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2025 RAC" sheetId="1" r:id="rId1"/>
    <sheet name="2025 MBT" sheetId="2" r:id="rId2"/>
    <sheet name="Customs Decl. &amp; Local Delivery" sheetId="3" r:id="rId3"/>
    <sheet name="SP" sheetId="4" r:id="rId4"/>
    <sheet name="物料" sheetId="5" r:id="rId5"/>
  </sheets>
  <definedNames>
    <definedName name="_xlnm._FilterDatabase" localSheetId="0" hidden="1">'2025 RAC'!$A$1:$M$2603</definedName>
    <definedName name="_xlnm._FilterDatabase" localSheetId="4" hidden="1">物料!$A$1:$I$214</definedName>
    <definedName name="_xlnm._FilterDatabase" localSheetId="1">'2025 MBT'!$A$1:$M$614</definedName>
    <definedName name="_xlnm._FilterDatabase" localSheetId="2">'Customs Decl. &amp; Local Delivery'!$K$1:$K$1001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tc={AF710003-FCC8-4C08-B4A0-BB2E493A89C2}</author>
    <author>tc={88F15577-5B5E-4A14-BEEA-D21AD925AFDF}</author>
    <author>tc={E9B8578A-E40A-41AE-B942-325A9F3DD1D3}</author>
    <author>tc={34ACA8C1-7CC3-475F-B23F-FD1A50C061DB}</author>
    <author>tc={CEB669D1-D0A1-4D3F-9157-749D63E7B1CD}</author>
    <author>tc={4B0EC35E-02FE-4DB3-B11D-6951F5434A5E}</author>
    <author>tc={D9FC482F-6E4F-4147-8D9E-DB92C2E8F9DF}</author>
    <author>tc={3A665568-E0F6-4C8D-8822-DCD3036999B5}</author>
    <author>tc={33770186-AB3A-436D-883B-B2FA21E3E9B2}</author>
    <author>tc={EFB7A0D7-06C8-49AE-8456-A4BE6CFD2B22}</author>
    <author>tc={A40BAF33-49E1-4256-82C6-A70E02297A6F}</author>
    <author>tc={18D0C41B-7B62-4357-9877-A61D39E0B40B}</author>
    <author>tc={01480FBA-4771-4E98-9537-7F3E193D5490}</author>
    <author>tc={0570C496-BB6B-497C-B8F3-9B5D8206A33D}</author>
    <author>tc={36F917C4-44B9-4BE3-9CCE-8251A37FE1C6}</author>
    <author>tc={E67AFF25-CE7A-46E3-91C9-309E796D05DD}</author>
    <author>tc={6F48928F-9073-4AD8-AB55-9BC7201E4FA5}</author>
    <author>tc={DDA6B16C-0460-438E-AEBC-D99D5EB0DFC7}</author>
    <author>tc={2D9EFB24-B5D4-41BA-A08B-AE70CC6C68AE}</author>
    <author>tc={ACAC0EF9-8FF1-4C50-9955-FC986A307C83}</author>
    <author>tc={1388CAED-B0EE-47CC-83A9-79B5DD577CC5}</author>
    <author>tc={8B58DF0C-60B3-4A60-BB6B-5F501C615FAF}</author>
    <author>tc={D3E9B308-EF29-4E9B-8B5B-05B3393469F7}</author>
    <author>tc={A6698211-6309-412C-B780-5AA3F013205B}</author>
    <author>tc={25766A82-5E58-44A1-80C0-83A9CD10DD9B}</author>
    <author>tc={DDEEC35C-86F7-4AB7-83AF-2F6DFCFE02F7}</author>
    <author>tc={37B9653E-8ECC-43D0-80E0-598038DAE666}</author>
    <author>tc={43881228-6C8A-4359-BCF2-5858FD47B01E}</author>
    <author>tc={58C5D820-6D40-4224-917B-1A15225FC1FC}</author>
    <author>tc={B7B43193-658F-4EAE-994D-AC5A90C86B7E}</author>
    <author>tc={D613759E-77D8-4004-804B-233B82FFE25C}</author>
    <author>tc={A39A4EAD-BB5B-4881-8EC1-47BF05DC3606}</author>
    <author>tc={AAA103CA-6559-4C9B-845C-3AAC0509AB94}</author>
    <author>tc={5E829271-94A7-403A-B86E-CF4F69794CBC}</author>
    <author>tc={E8EF4307-201D-42E9-9015-950709F97D86}</author>
    <author>tc={0617DF11-460A-4303-A017-426214EA144C}</author>
    <author>tc={73B3C5A3-2459-4865-AB83-3697EF93CA24}</author>
    <author>tc={903F5F10-9FBD-46CA-8208-44469678A698}</author>
    <author>tc={BB43413E-EB2E-4D9D-B205-CA29C6CD312C}</author>
    <author>tc={796A131D-4B89-4303-B2F7-189FD82EBC0A}</author>
    <author>tc={F5C9EA7E-4437-4BFE-BA5C-133934ECE20A}</author>
    <author>tc={3AEF4CE9-E670-479C-B841-775936F04B7B}</author>
    <author>tc={3BA2191A-2859-4E58-8D4A-505D74178EE1}</author>
    <author>tc={7E0754DF-C689-45FD-ABA5-33048BFF71B9}</author>
    <author>tc={060F2B2B-EDA4-47C8-9DAB-6C944A494C45}</author>
    <author>tc={926C4C08-A9AC-49E8-9DEE-AD2C95FA40F4}</author>
    <author>tc={D861E146-9C40-4C5F-A80B-5597549366BE}</author>
    <author>tc={B8E0695D-D82C-439D-A3FB-411ED0B8F99A}</author>
    <author>tc={A3987ED9-1FE8-42AA-B7C6-8D1E69D4C63E}</author>
    <author>tc={1709DC49-E055-4ED6-9ABC-134AFAA06216}</author>
    <author>tc={8676E531-371F-4A0C-A6D7-E01D1E72AA20}</author>
    <author>tc={6BD1BF38-F1FB-4E5C-A7D9-0C7753810392}</author>
    <author>tc={55339EA1-7CEB-4F44-AB3C-A545698A7839}</author>
    <author>tc={D4005C59-7BB4-471F-B7D4-BBC2365575E8}</author>
    <author>tc={0BB23914-C9D9-4C06-A7CB-F41239DED9E7}</author>
    <author>tc={FB442094-4040-4DA3-8133-774BBF289C1B}</author>
    <author>tc={9D3CA500-60F9-46C5-A61D-FCBD4B5E5793}</author>
    <author>tc={EBBC55D7-220E-47DF-A1EA-B7B346485B53}</author>
    <author>tc={61E552F8-3F60-432D-A631-F9EF7B08EB08}</author>
    <author>tc={5D893E1E-3962-4C1F-B5E8-4286F3A92240}</author>
    <author>tc={B0A04618-E8E2-4EAD-95AB-980824C631B0}</author>
    <author>tc={A6835A62-A7D0-4149-AC1A-481EFCADC6CB}</author>
    <author>tc={FB1A93A0-8A54-4541-A52D-7CB930ED55F5}</author>
    <author>tc={EF07A06F-EF18-4A0A-A27C-97C2085E14C1}</author>
    <author>tc={2D7C8B66-0EF4-4B6F-A1EF-FC25CE3774D3}</author>
    <author>tc={32FF6445-EED7-4B38-864E-0AB9E19099DD}</author>
    <author>tc={D34F03C8-3A9F-4A13-85F6-8A9B7A9C6623}</author>
    <author>tc={0400D20A-4A47-4DFE-9F03-16903C3FAF1E}</author>
    <author>tc={054ADADE-3094-442E-9796-C5BDB3E47DF5}</author>
    <author>tc={F07CFAB7-19EB-4F47-8F37-6CA0131D745E}</author>
    <author>tc={0DC8CC11-7EB5-4ADF-9851-0882E02A9C51}</author>
    <author>tc={B683759A-D418-4606-B8BD-1B9EC5542FBA}</author>
    <author>tc={A946055B-70FA-4AD7-8CB0-40208C8005E8}</author>
    <author>tc={7C3E98FC-8054-42C4-B1A6-7E5839442F33}</author>
    <author>tc={FB859929-0B85-44A7-BEBB-AB81EDDC1EDF}</author>
    <author>tc={BBEBE1D9-956A-4AA6-A466-791653863B73}</author>
    <author>tc={22424252-4BE1-479C-8FAD-38C31B7A2D3F}</author>
    <author>tc={26AC128C-D91A-47AA-83A1-225B91583795}</author>
    <author>tc={FDBE9C66-4443-462E-A067-D2208FE6E3D4}</author>
    <author>tc={18B8EA40-97B4-44D6-873B-170978DB5A30}</author>
    <author>tc={C498FE89-9049-493F-984A-07AE60E86E4E}</author>
    <author>tc={7ED0A35B-F771-4CAD-A4F7-931071CBFC12}</author>
    <author>tc={5AC282B3-AE63-4FBF-AD2E-BA4FAE92B5CC}</author>
    <author>tc={6F9266D1-4209-4D7B-89DB-30365FB683CE}</author>
    <author>tc={5780882A-BF6F-449E-9798-315F006B86FA}</author>
    <author>tc={B7586A4D-E392-4A93-B399-D60A3BEDD229}</author>
    <author>tc={EAE182F4-A696-4D66-AB3B-D10369752C7F}</author>
    <author>tc={2549B27C-5EE2-4DA0-86A8-668051AB2C5F}</author>
    <author>tc={59126F53-CB86-42AF-92CA-DDB13A4E662F}</author>
    <author>tc={2CF700E8-D17B-4257-A880-B3ED23E3F982}</author>
    <author>tc={B4DC727D-E4B4-4351-8DD0-0D5E3C1A72E7}</author>
    <author>tc={EEF64F2B-93C4-4563-8D9E-B81850CFBB0F}</author>
    <author>tc={9298CF38-7A25-446E-B49B-507F2A4BCF01}</author>
    <author>tc={42D6AD02-8A4D-497A-93B5-E28235A0FB18}</author>
    <author>tc={9DABEA46-B1E1-4597-9283-BB3C7814E9D6}</author>
    <author>tc={11BDE639-5191-41B1-9426-B45970FA5091}</author>
    <author>tc={4AB46495-C902-4DDD-8809-ED7C9E344793}</author>
    <author>tc={DDC8714A-E0D8-4301-82BD-FBC1408C8EA7}</author>
    <author>tc={28CD7803-5B5A-46F9-A614-C3C854551596}</author>
    <author>tc={2AAA6F5A-A8EB-429A-BDDA-F148EBA317E9}</author>
    <author>tc={C4281B7C-0574-4AFF-B5AC-729B6497A3BB}</author>
    <author>tc={167E7594-E6C7-4E3B-98B5-D8765F55917B}</author>
    <author>tc={5D8865A7-727C-40CD-AA1F-70DD14516C6C}</author>
    <author>tc={4B2D7C3D-6B86-45D9-942B-58D0286B03BE}</author>
    <author>tc={C0A6013B-2928-480B-B0EB-CD39F666E0C9}</author>
    <author>tc={AC311585-5C0B-44AF-AE60-397ACA3065A2}</author>
    <author>tc={9B13D3BE-6811-45BC-9E44-53EDF8256D06}</author>
    <author>tc={A45FB23A-C076-45EC-985C-4DF87E3BA8EA}</author>
    <author>tc={6E39DC4C-8182-42F3-8838-4C0314A6D3AE}</author>
    <author>tc={07EB9A4D-DF63-4968-AE01-21283F7543C5}</author>
    <author>tc={768132BB-4300-44BB-ACD4-994D6C361317}</author>
    <author>tc={A3060F01-E6F9-4DEA-89D4-D279B7DBB3CD}</author>
    <author>tc={21A94E6A-D462-45CA-A288-FCCAF8B59FE8}</author>
    <author>tc={1C7FE749-7AEF-43AE-AE7B-D025A518BA44}</author>
    <author>tc={7B2639D6-2409-42DF-BD33-213042A8719F}</author>
    <author>tc={A0C013B7-FBEB-4E5B-A317-38F7E62AB54E}</author>
    <author>tc={9645791D-7DBE-4FB7-A069-A63996FE2A4D}</author>
    <author>tc={2E032C61-9D17-4F7D-9A03-B105A7F86E9F}</author>
    <author>tc={31E33D76-50B1-4A99-BDA6-186E4B3A7E8F}</author>
    <author>tc={E0769269-C678-4A98-8A25-84837751F199}</author>
    <author>tc={F0D0C366-71DD-429D-ACEE-BB2B212B455B}</author>
    <author>tc={CE476F6C-F0A2-4C0D-B4CE-D1EB22689992}</author>
    <author>tc={184A8EE9-2379-4820-B79A-F803A2A8E176}</author>
    <author>tc={CCBE8E55-B497-4B0C-9D27-A082F37F45B6}</author>
    <author>tc={8059C445-4DAE-4149-958F-C43A1057E339}</author>
    <author>tc={0C79BD75-ABBA-48E8-B725-FCD6810B64FF}</author>
    <author>tc={A6D0D86C-2D4C-48FE-835C-0B7274C64BDC}</author>
    <author>tc={FADEA5EF-D33A-4006-9EBE-D248D99B9241}</author>
    <author>tc={DE98C4C4-8DB2-4AA6-8A98-A0038580E772}</author>
    <author>tc={5E4802F3-235B-4A49-9705-E6FB2477BE78}</author>
    <author>tc={DFCF10E5-1B33-4DF7-B1EC-2F302F06F6BD}</author>
    <author>tc={DA6C882B-5175-44E4-8461-8F469D061D50}</author>
    <author>tc={11B983C0-6D94-4B71-9ACA-5EC6800B6BA0}</author>
    <author>tc={84DCF917-58F0-4372-9DA7-9230539CC6BB}</author>
    <author>tc={EEB2FB24-020D-421E-8DE7-754FAB366552}</author>
    <author>tc={5F209678-0C62-4FF7-8632-42809BE8DDC4}</author>
    <author>tc={5496524A-4B41-4C36-B3F8-7592CA5BF97E}</author>
    <author>tc={63EFCC2F-FAE0-44DB-81FF-6800FC6BBE73}</author>
    <author>tc={76E159D0-5E75-418B-8472-13B62CA14DF2}</author>
    <author>tc={4B12CA23-EA05-40DA-810A-7AE3A3BF726F}</author>
    <author>tc={9C623B7E-6038-42F3-BBA2-BB41B033E031}</author>
    <author>tc={9AA3ADE2-8C65-485D-9BF4-9ECD05B312D5}</author>
    <author>tc={69599664-6259-47CB-BB2E-68CDE48F16E3}</author>
    <author>tc={B6631396-C6B8-46E0-89FF-E90041423FD9}</author>
    <author>tc={CF201481-A499-4B42-90B3-5110E66238F0}</author>
    <author>tc={D0596C7D-0BDB-48F3-A61E-D26EB7715E8C}</author>
    <author>tc={057E0344-2A1F-4CB7-9FF5-00FBA85B3D89}</author>
    <author>tc={195CC31D-F9B5-4061-97B9-2ABFAC2365D9}</author>
    <author>tc={46D30082-DDBE-4342-BE2B-158A5E76DF5C}</author>
    <author>tc={DE2E9B0B-6ABD-4242-A611-785D3E9E9D3F}</author>
    <author>tc={F12A50BA-CBC0-4608-B453-D7E837DD1705}</author>
    <author>tc={603CB529-404B-4ABE-BA19-11ED7D7F32A6}</author>
    <author>tc={EFC8FE6D-E937-4E1A-A519-159D8A20164C}</author>
    <author>tc={00E7189E-3DFB-432B-93EA-7365DBA510A0}</author>
    <author>tc={56AB2F50-E417-429A-817A-4D6FC4A82955}</author>
    <author>tc={16BEE5DF-F047-4BE4-A66C-85BFA230ADD5}</author>
    <author>tc={2213E4C0-7428-4D06-A55E-42B93C91DA44}</author>
    <author>tc={2D459B11-D1EB-47A8-BDD4-DDC29A36E285}</author>
    <author>tc={54DD6ECF-7C84-4E28-947D-1C0FFEF772A1}</author>
    <author>tc={4BD717BD-BAC7-4024-A036-3B097D318CFF}</author>
    <author>tc={EC96E7DB-6BF7-47F1-A0D7-18A7A34F6AFD}</author>
    <author>tc={37304FDE-69EB-4FE8-93CC-E189A82E7E47}</author>
    <author>tc={8DE729E8-6D60-4945-B050-69881B9233D3}</author>
    <author>tc={ED542D30-5A7B-477B-AD37-52D69574542D}</author>
    <author>tc={AAFB1AA9-77A5-4C2A-B616-016BE4C7725D}</author>
    <author>tc={CC3A27CF-16B3-47ED-9B53-856108898AD6}</author>
    <author>tc={915B287C-B113-4B55-994D-E5D38FAABF49}</author>
    <author>tc={6F55C96F-DF2A-4CB5-9AAA-8E32E1ED58A1}</author>
    <author>tc={D9F4B06F-360F-49F2-BD2B-50901A4FA0D4}</author>
    <author>tc={EDA264DA-CFF2-4F0A-92D9-C69FFF038FB8}</author>
    <author>tc={B018E281-2A5A-416A-81CB-A9A08EA29D64}</author>
    <author>tc={60BFD05A-EE0C-4ABE-B911-14A0CD6F8173}</author>
    <author>tc={AE1D5DCD-ED26-422A-B58D-55B47B809296}</author>
    <author>tc={156BF8F9-04C5-4EAE-881A-BB7898214D6D}</author>
    <author>tc={BE0DD3C8-41F9-4958-8C59-BF2087A3D131}</author>
    <author>tc={672991AC-4519-45A9-B1F9-B51C97CF8FE3}</author>
    <author>tc={4D245FFA-1C91-4896-8112-6433BB77FCA8}</author>
    <author>tc={54182B95-10F8-452B-920E-9DB5FB0E9B75}</author>
    <author>tc={6973E01B-10C4-4644-86FD-6C29B43181A6}</author>
    <author>tc={B61F9123-82B6-4E44-AC5B-37F20BB93FA4}</author>
    <author>tc={97013CD9-0DFD-4BA1-937D-C82AFE5B0237}</author>
    <author>tc={5033F8B4-490F-4E02-B1BE-11F37185C84B}</author>
    <author>tc={2EE2FA07-95FD-479B-850C-323EAE15F7CC}</author>
    <author>tc={53A0556C-947F-44E0-A9F8-39BC88F5B773}</author>
    <author>tc={1E9FC7EA-A7FA-4FA2-A175-E2D003EA2265}</author>
    <author>tc={7A6DAF66-D37E-4E77-90F0-41BEFC3953B3}</author>
    <author>tc={7AF0BB52-FE89-4F66-83D2-59D7F3ADF06B}</author>
    <author>tc={5B5F5A6C-1007-4299-A03D-893E00E926FF}</author>
    <author>tc={5A7C31F8-7062-4BD6-87EC-FEBCAD724D10}</author>
    <author>tc={6A54867C-9C9C-454C-A6A9-9BEA393E50B0}</author>
    <author>tc={0867E5AB-70F5-40B2-9AF2-BACF365F2D1D}</author>
    <author>tc={73F6283D-16BE-4F11-96B4-B111ED8DE472}</author>
    <author>tc={640CCDD2-27B5-4C0D-AC0A-165C528E592A}</author>
    <author>tc={6D6AD357-5D47-46E0-B56E-242EA41FA144}</author>
    <author>tc={B6387555-92AB-4EDA-BEF2-994B0CF17C04}</author>
    <author>tc={05BF48E4-3E63-4943-9CCD-2A534759858B}</author>
    <author>tc={14B5B008-AC74-4B71-872F-CB719927D692}</author>
    <author>tc={BAC27C5E-DC83-44FE-A891-64460F9BA8BA}</author>
    <author>tc={2D187E9D-7459-4795-A3E9-DBA2384FF5AC}</author>
    <author>tc={D129DBDF-6BF1-4155-BDC7-4E62F97A0CAE}</author>
    <author>tc={5EDA591B-ABB7-4DBD-BD60-6796B8E1428E}</author>
    <author>tc={016DBC8C-0D26-40B6-963B-A6888E87DFFE}</author>
    <author>tc={96C3A658-7145-4B8B-B697-85D9A06AEEC7}</author>
    <author>tc={4347ED11-EBFE-4D55-910A-FDB692F75A21}</author>
    <author>tc={C3CE5F6C-359D-443F-A22A-A69693AA5495}</author>
    <author>tc={275054A5-710E-4620-9A59-BB2E3B7D1A79}</author>
    <author>tc={FF79249F-0675-48D0-B218-713872EEB89F}</author>
    <author>tc={C49330CF-48B3-4FE8-BE81-573CDB086FE8}</author>
    <author>tc={41175FB8-BC18-4FA3-B4FA-A603FD72B8B5}</author>
    <author>tc={D6FE4A17-85F8-4F31-A05B-D09138867544}</author>
    <author>tc={4627DF52-57B4-4246-920F-5B7D09250936}</author>
    <author>tc={8C769B26-21BC-4A95-8BCE-F86D2EDD44E9}</author>
    <author>tc={62720C73-B91F-413A-8DBC-815F7442E5D3}</author>
    <author>tc={8BDC6507-A8BD-40F9-B2D2-018B4F8D98E0}</author>
    <author>tc={F31E1E14-88CB-4013-9114-CC15825F434F}</author>
    <author>tc={FD4A22E0-7564-4997-80D6-2DA77DF45C07}</author>
    <author>tc={011DED27-F363-4A37-A06B-2E5BDC978D2E}</author>
    <author>tc={B05B71D1-5554-442E-953B-942F53BDF2CE}</author>
    <author>tc={C6DE398C-2226-4EE0-8EEA-09BEC2C6A801}</author>
    <author>tc={DF824DA4-10B1-4C0F-878F-D4B98EA135B8}</author>
    <author>tc={1DED4861-70E1-4271-A042-01C34DF7B199}</author>
    <author>tc={9DE99B90-120D-41DE-8DD3-8D4BA0F95F25}</author>
    <author>tc={BE9D4FCF-5A7D-4B80-A79E-B2D624544D81}</author>
    <author>tc={46F7406B-0933-4060-886A-A1E68ADFE894}</author>
    <author>tc={EF79F2FB-C470-48B5-95B6-D5F37FEC3FC3}</author>
    <author>tc={C55766BD-A177-4001-8205-CD245755E1E6}</author>
    <author>tc={55F7F6CA-D241-448E-BBA4-660347EAE127}</author>
    <author>tc={8635ED43-212F-46DB-AC7F-4DDB83DE5BC5}</author>
    <author>tc={4E2F7160-451D-405A-9E0F-3C35D97DAE48}</author>
    <author>tc={0E2F8FF2-2B7C-4B71-A4A3-9933188AECFD}</author>
    <author>tc={1FA43DAB-A917-4FAD-B096-5A62BCED025D}</author>
    <author>tc={42C0DF75-BFA9-4D28-BCEB-C382D1C39317}</author>
    <author>tc={9D92FD71-5CC1-4555-A5D7-C2BCE5AD0692}</author>
    <author>tc={D7DE484D-51B6-4B8E-B06D-220172CE6B4C}</author>
    <author>tc={498DA8B5-02B5-4B15-BAFA-FCDB5692208A}</author>
    <author>tc={0198374E-94E2-4CAD-8787-07F641F02977}</author>
    <author>tc={C4037A1C-EAA3-414D-A3FA-E4D0D6ADBE06}</author>
    <author>tc={8BD27955-6774-4BDF-89E0-D8669D771AA6}</author>
    <author>tc={B7517873-79C8-494C-AA4A-DDB39347BE01}</author>
    <author>tc={08F2F5A9-CFED-436B-8DD4-4700208CB781}</author>
    <author>tc={E5403387-9621-4C18-A317-A9D03A40D2FB}</author>
    <author>tc={33DFBA8B-D14B-4AFB-94EB-0F4B6DABC8A2}</author>
    <author>tc={B99E5F58-D4F5-45F8-8865-7E7D9EE7C9CD}</author>
    <author>tc={2937F95B-815D-43BC-B600-F191E14F2F6F}</author>
    <author>tc={06F0B089-C4A0-4CDB-8C42-34B3205E67BF}</author>
    <author>tc={00E6C28A-D484-4F46-BAE2-CBDBA9C41CA3}</author>
    <author>tc={3D278E8E-2231-4E93-968B-574259F453B7}</author>
    <author>tc={E8E9800B-0DC3-456A-93FB-7848B31A381B}</author>
    <author>tc={81986631-6E64-4D27-BD74-9FE8376C1879}</author>
    <author>tc={92B46A72-ABD4-49E7-9704-A78C238CF65C}</author>
    <author>tc={2561ECE7-0CAC-49BD-B2DC-F6C554BE6514}</author>
    <author>tc={8F08CE03-6396-41AD-8694-E6CED93498AF}</author>
    <author>tc={8CEED39D-BE50-4490-BDF2-B8D7C38DD557}</author>
    <author>tc={102557B6-5F85-47B7-8C59-7E97EDC4DC6D}</author>
    <author>tc={6EDCC4FD-B328-44FB-9733-EAF88640E524}</author>
    <author>tc={04856DCF-5D66-441B-B04F-482361336B74}</author>
    <author>tc={02233036-2102-452A-9657-5EB297A58F71}</author>
    <author>tc={887375B4-4F83-49DB-8057-23ADB0C32051}</author>
    <author>tc={CA310A17-1B6C-4C7E-BE25-4ACAD7714B81}</author>
    <author>tc={5E55593A-346E-4BBE-A2DF-59D89C9E19D3}</author>
    <author>tc={C274A35A-9732-4B05-AC80-D7ACFB8FE0C3}</author>
    <author>tc={5C558087-37A4-4B76-AB02-1DE6198A6CE4}</author>
    <author>tc={455A90A1-1DF0-4BFD-AB2B-306F6740902C}</author>
    <author>tc={53AED06E-FBB4-4B55-B749-0473D5B1F542}</author>
    <author>tc={D34328B4-9158-4D5F-96ED-D0B85C17DBFF}</author>
    <author>tc={84ABE97C-3342-4011-BF6A-6B00CEC96120}</author>
    <author>tc={8231D436-BB12-4A59-9FD7-476C6BF6C2CF}</author>
    <author>tc={2CB546EC-4888-4483-A531-09769C8BF3C9}</author>
    <author>tc={4105F60D-DD89-4B9C-BC9A-24238525AF6E}</author>
    <author>tc={83213108-A1AB-4251-8125-44FA79F875FE}</author>
    <author>tc={BBE8E136-0039-4906-8C7D-7172594C4494}</author>
    <author>tc={314D28CC-89C2-469F-97F9-C1F2130C974B}</author>
    <author>tc={98B34C6F-E58F-422C-84C4-9A021950D6EB}</author>
    <author>tc={C48259EF-4BF7-42CB-85C8-381F56CBBE1B}</author>
    <author>tc={A5DDA87E-C981-4D16-8900-94047B0DE137}</author>
    <author>tc={03820808-4BE7-4F41-A667-52518DEEFDF8}</author>
    <author>tc={D30E0326-0A1E-45C6-BB2D-AEB8D47522DF}</author>
    <author>tc={F85B282A-5DEF-4D3B-ADF2-4098C7C6C310}</author>
    <author>tc={FBD22DEB-F0C7-45AE-8155-8561703E42E9}</author>
  </authors>
  <commentList>
    <comment ref="D416" authorId="0">
      <text>
        <r>
          <rPr>
            <sz val="10"/>
            <rFont val="宋体"/>
            <charset val="134"/>
          </rPr>
          <t>Sam:
local delivery：30</t>
        </r>
      </text>
    </comment>
    <comment ref="D417" authorId="1">
      <text>
        <r>
          <rPr>
            <sz val="10"/>
            <rFont val="宋体"/>
            <charset val="134"/>
          </rPr>
          <t>Sam:
local delivery：30</t>
        </r>
      </text>
    </comment>
    <comment ref="D418" authorId="2">
      <text>
        <r>
          <rPr>
            <sz val="10"/>
            <rFont val="宋体"/>
            <charset val="134"/>
          </rPr>
          <t>Sam:
local delivery：30</t>
        </r>
      </text>
    </comment>
    <comment ref="D419" authorId="3">
      <text>
        <r>
          <rPr>
            <sz val="10"/>
            <rFont val="宋体"/>
            <charset val="134"/>
          </rPr>
          <t>Sam:
local delivery：30</t>
        </r>
      </text>
    </comment>
    <comment ref="D420" authorId="4">
      <text>
        <r>
          <rPr>
            <sz val="10"/>
            <rFont val="宋体"/>
            <charset val="134"/>
          </rPr>
          <t>Sam:
local delivery：10</t>
        </r>
      </text>
    </comment>
    <comment ref="D421" authorId="5">
      <text>
        <r>
          <rPr>
            <sz val="10"/>
            <rFont val="宋体"/>
            <charset val="134"/>
          </rPr>
          <t>Sam:
local delivery：10</t>
        </r>
      </text>
    </comment>
    <comment ref="D422" authorId="6">
      <text>
        <r>
          <rPr>
            <sz val="10"/>
            <rFont val="宋体"/>
            <charset val="134"/>
          </rPr>
          <t>Sam:
local delivery：3</t>
        </r>
      </text>
    </comment>
    <comment ref="D423" authorId="7">
      <text>
        <r>
          <rPr>
            <sz val="10"/>
            <rFont val="宋体"/>
            <charset val="134"/>
          </rPr>
          <t>Sam:
local delivery：3</t>
        </r>
      </text>
    </comment>
    <comment ref="D424" authorId="8">
      <text>
        <r>
          <rPr>
            <sz val="10"/>
            <rFont val="宋体"/>
            <charset val="134"/>
          </rPr>
          <t>Sam:
local delivery：2</t>
        </r>
      </text>
    </comment>
    <comment ref="D425" authorId="9">
      <text>
        <r>
          <rPr>
            <sz val="10"/>
            <rFont val="宋体"/>
            <charset val="134"/>
          </rPr>
          <t>Sam:
local delivery：2</t>
        </r>
      </text>
    </comment>
    <comment ref="D426" authorId="10">
      <text>
        <r>
          <rPr>
            <sz val="10"/>
            <rFont val="宋体"/>
            <charset val="134"/>
          </rPr>
          <t>Sam:
local delivery：2</t>
        </r>
      </text>
    </comment>
    <comment ref="D427" authorId="11">
      <text>
        <r>
          <rPr>
            <sz val="10"/>
            <rFont val="宋体"/>
            <charset val="134"/>
          </rPr>
          <t>Sam:
local delivery：2</t>
        </r>
      </text>
    </comment>
    <comment ref="J661" authorId="12">
      <text>
        <r>
          <rPr>
            <sz val="10"/>
            <rFont val="宋体"/>
            <charset val="134"/>
          </rPr>
          <t>到澳洲后Local pick up</t>
        </r>
      </text>
    </comment>
    <comment ref="D684" authorId="13">
      <text>
        <r>
          <rPr>
            <sz val="10"/>
            <rFont val="宋体"/>
            <charset val="134"/>
          </rPr>
          <t>local delivery：1</t>
        </r>
      </text>
    </comment>
    <comment ref="D685" authorId="14">
      <text>
        <r>
          <rPr>
            <sz val="10"/>
            <rFont val="宋体"/>
            <charset val="134"/>
          </rPr>
          <t>local delivery：1</t>
        </r>
      </text>
    </comment>
    <comment ref="D686" authorId="15">
      <text>
        <r>
          <rPr>
            <sz val="10"/>
            <rFont val="宋体"/>
            <charset val="134"/>
          </rPr>
          <t>Sam:
local delivery：191</t>
        </r>
      </text>
    </comment>
    <comment ref="D687" authorId="16">
      <text>
        <r>
          <rPr>
            <sz val="10"/>
            <rFont val="宋体"/>
            <charset val="134"/>
          </rPr>
          <t>Sam:
local delivery：22</t>
        </r>
      </text>
    </comment>
    <comment ref="D688" authorId="17">
      <text>
        <r>
          <rPr>
            <sz val="10"/>
            <rFont val="宋体"/>
            <charset val="134"/>
          </rPr>
          <t>local delivery：22</t>
        </r>
      </text>
    </comment>
    <comment ref="D689" authorId="18">
      <text>
        <r>
          <rPr>
            <sz val="10"/>
            <rFont val="宋体"/>
            <charset val="134"/>
          </rPr>
          <t>Sam:
local delivery：18</t>
        </r>
      </text>
    </comment>
    <comment ref="D690" authorId="19">
      <text>
        <r>
          <rPr>
            <sz val="10"/>
            <rFont val="宋体"/>
            <charset val="134"/>
          </rPr>
          <t>local delivery：18</t>
        </r>
      </text>
    </comment>
    <comment ref="D691" authorId="20">
      <text>
        <r>
          <rPr>
            <sz val="10"/>
            <rFont val="宋体"/>
            <charset val="134"/>
          </rPr>
          <t>local delivery：36</t>
        </r>
      </text>
    </comment>
    <comment ref="D692" authorId="21">
      <text>
        <r>
          <rPr>
            <sz val="10"/>
            <rFont val="宋体"/>
            <charset val="134"/>
          </rPr>
          <t>local delivery：36</t>
        </r>
      </text>
    </comment>
    <comment ref="D693" authorId="22">
      <text>
        <r>
          <rPr>
            <sz val="10"/>
            <rFont val="宋体"/>
            <charset val="134"/>
          </rPr>
          <t>local delivery：10</t>
        </r>
      </text>
    </comment>
    <comment ref="D694" authorId="23">
      <text>
        <r>
          <rPr>
            <sz val="10"/>
            <rFont val="宋体"/>
            <charset val="134"/>
          </rPr>
          <t>local delivery：10</t>
        </r>
      </text>
    </comment>
    <comment ref="D695" authorId="24">
      <text>
        <r>
          <rPr>
            <sz val="10"/>
            <rFont val="宋体"/>
            <charset val="134"/>
          </rPr>
          <t>Sam:
local delivery：7</t>
        </r>
      </text>
    </comment>
    <comment ref="D696" authorId="25">
      <text>
        <r>
          <rPr>
            <sz val="10"/>
            <rFont val="宋体"/>
            <charset val="134"/>
          </rPr>
          <t>local delivery：7</t>
        </r>
      </text>
    </comment>
    <comment ref="K744" authorId="26">
      <text>
        <r>
          <rPr>
            <sz val="10"/>
            <rFont val="宋体"/>
            <charset val="134"/>
          </rPr>
          <t>3/18 Curtis 通知</t>
        </r>
      </text>
    </comment>
    <comment ref="K745" authorId="27">
      <text>
        <r>
          <rPr>
            <sz val="10"/>
            <rFont val="宋体"/>
            <charset val="134"/>
          </rPr>
          <t>3/18 Curtis 通知</t>
        </r>
      </text>
    </comment>
    <comment ref="K746" authorId="28">
      <text>
        <r>
          <rPr>
            <sz val="10"/>
            <rFont val="宋体"/>
            <charset val="134"/>
          </rPr>
          <t>3/18 Curtis 通知</t>
        </r>
      </text>
    </comment>
    <comment ref="K747" authorId="29">
      <text>
        <r>
          <rPr>
            <sz val="10"/>
            <rFont val="宋体"/>
            <charset val="134"/>
          </rPr>
          <t>3/18 Curtis 通知</t>
        </r>
      </text>
    </comment>
    <comment ref="D766" authorId="30">
      <text>
        <r>
          <rPr>
            <sz val="10"/>
            <rFont val="宋体"/>
            <charset val="134"/>
          </rPr>
          <t>Sam:
PI下单48台，由于装柜问题，实际只能装45台，美的按45台生产</t>
        </r>
      </text>
    </comment>
    <comment ref="K789" authorId="31">
      <text>
        <r>
          <rPr>
            <sz val="10"/>
            <rFont val="宋体"/>
            <charset val="134"/>
          </rPr>
          <t>3/18 Curtis 通知</t>
        </r>
      </text>
    </comment>
    <comment ref="K790" authorId="32">
      <text>
        <r>
          <rPr>
            <sz val="10"/>
            <rFont val="宋体"/>
            <charset val="134"/>
          </rPr>
          <t>3/18 Curtis 通知</t>
        </r>
      </text>
    </comment>
    <comment ref="K791" authorId="33">
      <text>
        <r>
          <rPr>
            <sz val="10"/>
            <rFont val="宋体"/>
            <charset val="134"/>
          </rPr>
          <t>3/18 Curtis 通知</t>
        </r>
      </text>
    </comment>
    <comment ref="K792" authorId="34">
      <text>
        <r>
          <rPr>
            <sz val="10"/>
            <rFont val="宋体"/>
            <charset val="134"/>
          </rPr>
          <t>3/18 Curtis 通知</t>
        </r>
      </text>
    </comment>
    <comment ref="D815" authorId="35">
      <text>
        <r>
          <rPr>
            <sz val="10"/>
            <rFont val="宋体"/>
            <charset val="134"/>
          </rPr>
          <t>Sam:
PI下单48台，由于装柜问题，实际只能装45台，美的按45台生产</t>
        </r>
      </text>
    </comment>
    <comment ref="K815" authorId="36">
      <text>
        <r>
          <rPr>
            <sz val="10"/>
            <rFont val="宋体"/>
            <charset val="134"/>
          </rPr>
          <t>4/17 Curtis通知改成Delia，原Odisee PO 1376</t>
        </r>
      </text>
    </comment>
    <comment ref="D816" authorId="37">
      <text>
        <r>
          <rPr>
            <sz val="10"/>
            <rFont val="宋体"/>
            <charset val="134"/>
          </rPr>
          <t>Sam:
PI下单48台，由于装柜问题，实际只能装45台，美的按45台生产</t>
        </r>
      </text>
    </comment>
    <comment ref="D817" authorId="38">
      <text>
        <r>
          <rPr>
            <sz val="10"/>
            <rFont val="宋体"/>
            <charset val="134"/>
          </rPr>
          <t>Sam:
PI下单48台，由于装柜问题，实际只能装45台，美的按45台生产</t>
        </r>
      </text>
    </comment>
    <comment ref="D818" authorId="39">
      <text>
        <r>
          <rPr>
            <sz val="10"/>
            <rFont val="宋体"/>
            <charset val="134"/>
          </rPr>
          <t>Sam:
PI下单48台，由于装柜问题，实际只能装45台，美的按45台生产</t>
        </r>
      </text>
    </comment>
    <comment ref="D819" authorId="40">
      <text>
        <r>
          <rPr>
            <sz val="10"/>
            <rFont val="宋体"/>
            <charset val="134"/>
          </rPr>
          <t>Sam:
PI下单48台，由于装柜问题，实际只能装45台，美的按45台生产</t>
        </r>
      </text>
    </comment>
    <comment ref="J841" authorId="41">
      <text>
        <r>
          <rPr>
            <sz val="10"/>
            <rFont val="宋体"/>
            <charset val="134"/>
          </rPr>
          <t>2月28 Edwin通知目的地由SYD改成QLD</t>
        </r>
      </text>
    </comment>
    <comment ref="J842" authorId="42">
      <text>
        <r>
          <rPr>
            <sz val="10"/>
            <rFont val="宋体"/>
            <charset val="134"/>
          </rPr>
          <t>2月28 Edwin通知目的地由SYD改成QLD</t>
        </r>
      </text>
    </comment>
    <comment ref="J843" authorId="43">
      <text>
        <r>
          <rPr>
            <sz val="10"/>
            <rFont val="宋体"/>
            <charset val="134"/>
          </rPr>
          <t>2月28 Edwin通知目的地由SYD改成QLD</t>
        </r>
      </text>
    </comment>
    <comment ref="J844" authorId="44">
      <text>
        <r>
          <rPr>
            <sz val="10"/>
            <rFont val="宋体"/>
            <charset val="134"/>
          </rPr>
          <t>2月28 Edwin通知目的地由SYD改成QLD</t>
        </r>
      </text>
    </comment>
    <comment ref="J845" authorId="45">
      <text>
        <r>
          <rPr>
            <sz val="10"/>
            <rFont val="宋体"/>
            <charset val="134"/>
          </rPr>
          <t>2月28 Edwin通知目的地由SYD改成QLD</t>
        </r>
      </text>
    </comment>
    <comment ref="J846" authorId="46">
      <text>
        <r>
          <rPr>
            <sz val="10"/>
            <rFont val="宋体"/>
            <charset val="134"/>
          </rPr>
          <t>2月28 Edwin通知目的地由SYD改成QLD</t>
        </r>
      </text>
    </comment>
    <comment ref="J847" authorId="47">
      <text>
        <r>
          <rPr>
            <sz val="10"/>
            <rFont val="宋体"/>
            <charset val="134"/>
          </rPr>
          <t>2月28 Edwin通知目的地由SYD改成QLD</t>
        </r>
      </text>
    </comment>
    <comment ref="J848" authorId="48">
      <text>
        <r>
          <rPr>
            <sz val="10"/>
            <rFont val="宋体"/>
            <charset val="134"/>
          </rPr>
          <t>2月28 Edwin通知目的地由SYD改成QLD</t>
        </r>
      </text>
    </comment>
    <comment ref="D1005" authorId="49">
      <text>
        <r>
          <rPr>
            <sz val="10"/>
            <rFont val="宋体"/>
            <charset val="134"/>
          </rPr>
          <t>Sam:
local delivery：5</t>
        </r>
      </text>
    </comment>
    <comment ref="D1006" authorId="50">
      <text>
        <r>
          <rPr>
            <sz val="10"/>
            <rFont val="宋体"/>
            <charset val="134"/>
          </rPr>
          <t>Sam:
local delivery：5</t>
        </r>
      </text>
    </comment>
    <comment ref="D1007" authorId="51">
      <text>
        <r>
          <rPr>
            <sz val="10"/>
            <rFont val="宋体"/>
            <charset val="134"/>
          </rPr>
          <t>Sam:
local delivery：2</t>
        </r>
      </text>
    </comment>
    <comment ref="D1008" authorId="52">
      <text>
        <r>
          <rPr>
            <sz val="10"/>
            <rFont val="宋体"/>
            <charset val="134"/>
          </rPr>
          <t>Sam:
local delivery：2</t>
        </r>
      </text>
    </comment>
    <comment ref="D1009" authorId="53">
      <text>
        <r>
          <rPr>
            <sz val="10"/>
            <rFont val="宋体"/>
            <charset val="134"/>
          </rPr>
          <t>Sam:
local delivery：2</t>
        </r>
      </text>
    </comment>
    <comment ref="D1010" authorId="54">
      <text>
        <r>
          <rPr>
            <sz val="10"/>
            <rFont val="宋体"/>
            <charset val="134"/>
          </rPr>
          <t>Sam:
local delivery：2</t>
        </r>
      </text>
    </comment>
    <comment ref="D1013" authorId="55">
      <text>
        <r>
          <rPr>
            <sz val="10"/>
            <rFont val="宋体"/>
            <charset val="134"/>
          </rPr>
          <t>Sam:
3/4 Daniel 确认改单，数量由67改成145</t>
        </r>
      </text>
    </comment>
    <comment ref="D1014" authorId="56">
      <text>
        <r>
          <rPr>
            <sz val="10"/>
            <rFont val="宋体"/>
            <charset val="134"/>
          </rPr>
          <t>Sam:
3/4 Daniel 确认改单，数量由34改成0</t>
        </r>
      </text>
    </comment>
    <comment ref="D1051" authorId="57">
      <text>
        <r>
          <rPr>
            <sz val="10"/>
            <rFont val="宋体"/>
            <charset val="134"/>
          </rPr>
          <t>Sam:
local delivery：1</t>
        </r>
      </text>
    </comment>
    <comment ref="D1052" authorId="58">
      <text>
        <r>
          <rPr>
            <sz val="10"/>
            <rFont val="宋体"/>
            <charset val="134"/>
          </rPr>
          <t>Sam:
local delivery：1</t>
        </r>
      </text>
    </comment>
    <comment ref="D1053" authorId="59">
      <text>
        <r>
          <rPr>
            <sz val="10"/>
            <rFont val="宋体"/>
            <charset val="134"/>
          </rPr>
          <t>Sam:
local delivery：58</t>
        </r>
      </text>
    </comment>
    <comment ref="D1054" authorId="60">
      <text>
        <r>
          <rPr>
            <sz val="10"/>
            <rFont val="宋体"/>
            <charset val="134"/>
          </rPr>
          <t>Sam:
local delivery：58</t>
        </r>
      </text>
    </comment>
    <comment ref="D1055" authorId="61">
      <text>
        <r>
          <rPr>
            <sz val="10"/>
            <rFont val="宋体"/>
            <charset val="134"/>
          </rPr>
          <t>Sam:
local delivery：22</t>
        </r>
      </text>
    </comment>
    <comment ref="D1056" authorId="62">
      <text>
        <r>
          <rPr>
            <sz val="10"/>
            <rFont val="宋体"/>
            <charset val="134"/>
          </rPr>
          <t>Sam:
local delivery：22</t>
        </r>
      </text>
    </comment>
    <comment ref="D1057" authorId="63">
      <text>
        <r>
          <rPr>
            <sz val="10"/>
            <rFont val="宋体"/>
            <charset val="134"/>
          </rPr>
          <t>Sam:
local delivery：18</t>
        </r>
      </text>
    </comment>
    <comment ref="D1058" authorId="64">
      <text>
        <r>
          <rPr>
            <sz val="10"/>
            <rFont val="宋体"/>
            <charset val="134"/>
          </rPr>
          <t>Sam:
local delivery：18</t>
        </r>
      </text>
    </comment>
    <comment ref="D1059" authorId="65">
      <text>
        <r>
          <rPr>
            <sz val="10"/>
            <rFont val="宋体"/>
            <charset val="134"/>
          </rPr>
          <t>Sam:
local delivery：36</t>
        </r>
      </text>
    </comment>
    <comment ref="D1060" authorId="66">
      <text>
        <r>
          <rPr>
            <sz val="10"/>
            <rFont val="宋体"/>
            <charset val="134"/>
          </rPr>
          <t>Sam:
local delivery：36</t>
        </r>
      </text>
    </comment>
    <comment ref="D1061" authorId="67">
      <text>
        <r>
          <rPr>
            <sz val="10"/>
            <rFont val="宋体"/>
            <charset val="134"/>
          </rPr>
          <t>Sam:
local delivery：10</t>
        </r>
      </text>
    </comment>
    <comment ref="D1062" authorId="68">
      <text>
        <r>
          <rPr>
            <sz val="10"/>
            <rFont val="宋体"/>
            <charset val="134"/>
          </rPr>
          <t>Sam:
local delivery：10</t>
        </r>
      </text>
    </comment>
    <comment ref="D1063" authorId="69">
      <text>
        <r>
          <rPr>
            <sz val="10"/>
            <rFont val="宋体"/>
            <charset val="134"/>
          </rPr>
          <t>Sam:
local delivery：7</t>
        </r>
      </text>
    </comment>
    <comment ref="D1064" authorId="70">
      <text>
        <r>
          <rPr>
            <sz val="10"/>
            <rFont val="宋体"/>
            <charset val="134"/>
          </rPr>
          <t>Sam:
local delivery：7</t>
        </r>
      </text>
    </comment>
    <comment ref="D1105" authorId="71">
      <text>
        <r>
          <rPr>
            <sz val="10"/>
            <rFont val="宋体"/>
            <charset val="134"/>
          </rPr>
          <t>Sam:
3/4 Daniel 确认改单，数量由67改成145</t>
        </r>
      </text>
    </comment>
    <comment ref="D1106" authorId="72">
      <text>
        <r>
          <rPr>
            <sz val="10"/>
            <rFont val="宋体"/>
            <charset val="134"/>
          </rPr>
          <t>Sam:
3/4 Daniel 确认改单，数量由34改成0</t>
        </r>
      </text>
    </comment>
    <comment ref="D1194" authorId="73">
      <text>
        <r>
          <rPr>
            <sz val="10"/>
            <rFont val="宋体"/>
            <charset val="134"/>
          </rPr>
          <t>Sam:
3/4 Daniel 确认改单，数量由67改成145</t>
        </r>
      </text>
    </comment>
    <comment ref="D1195" authorId="74">
      <text>
        <r>
          <rPr>
            <sz val="10"/>
            <rFont val="宋体"/>
            <charset val="134"/>
          </rPr>
          <t>Sam:
3/4 Daniel 确认改单，数量由34改成0</t>
        </r>
      </text>
    </comment>
    <comment ref="K1244" authorId="75">
      <text>
        <r>
          <rPr>
            <sz val="10"/>
            <rFont val="宋体"/>
            <charset val="134"/>
          </rPr>
          <t>4/17 Curtis通知</t>
        </r>
      </text>
    </comment>
    <comment ref="D1281" authorId="76">
      <text>
        <r>
          <rPr>
            <sz val="10"/>
            <rFont val="宋体"/>
            <charset val="134"/>
          </rPr>
          <t>原数量100台，装柜DOA 2台</t>
        </r>
      </text>
    </comment>
    <comment ref="D1421" authorId="77">
      <text>
        <r>
          <rPr>
            <sz val="10"/>
            <rFont val="宋体"/>
            <charset val="134"/>
          </rPr>
          <t>Sam:
local delivery：40</t>
        </r>
      </text>
    </comment>
    <comment ref="D1422" authorId="78">
      <text>
        <r>
          <rPr>
            <sz val="10"/>
            <rFont val="宋体"/>
            <charset val="134"/>
          </rPr>
          <t>Sam:
local delivery：2</t>
        </r>
      </text>
    </comment>
    <comment ref="D1423" authorId="79">
      <text>
        <r>
          <rPr>
            <sz val="10"/>
            <rFont val="宋体"/>
            <charset val="134"/>
          </rPr>
          <t>Sam:
local delivery：30</t>
        </r>
      </text>
    </comment>
    <comment ref="D1424" authorId="80">
      <text>
        <r>
          <rPr>
            <sz val="10"/>
            <rFont val="宋体"/>
            <charset val="134"/>
          </rPr>
          <t>Sam:
local delivery：30</t>
        </r>
      </text>
    </comment>
    <comment ref="D1425" authorId="81">
      <text>
        <r>
          <rPr>
            <sz val="10"/>
            <rFont val="宋体"/>
            <charset val="134"/>
          </rPr>
          <t>Sam:
local delivery：27</t>
        </r>
      </text>
    </comment>
    <comment ref="D1426" authorId="82">
      <text>
        <r>
          <rPr>
            <sz val="10"/>
            <rFont val="宋体"/>
            <charset val="134"/>
          </rPr>
          <t>Sam:
local delivery：3</t>
        </r>
      </text>
    </comment>
    <comment ref="D1427" authorId="83">
      <text>
        <r>
          <rPr>
            <sz val="10"/>
            <rFont val="宋体"/>
            <charset val="134"/>
          </rPr>
          <t>Sam:
local delivery：7</t>
        </r>
      </text>
    </comment>
    <comment ref="D1428" authorId="84">
      <text>
        <r>
          <rPr>
            <sz val="10"/>
            <rFont val="宋体"/>
            <charset val="134"/>
          </rPr>
          <t>Sam:
local delivery：13</t>
        </r>
      </text>
    </comment>
    <comment ref="D1429" authorId="85">
      <text>
        <r>
          <rPr>
            <sz val="10"/>
            <rFont val="宋体"/>
            <charset val="134"/>
          </rPr>
          <t>Sam:
local delivery：1</t>
        </r>
      </text>
    </comment>
    <comment ref="D1430" authorId="86">
      <text>
        <r>
          <rPr>
            <sz val="10"/>
            <rFont val="宋体"/>
            <charset val="134"/>
          </rPr>
          <t>Sam:
local delivery：1</t>
        </r>
      </text>
    </comment>
    <comment ref="D1431" authorId="87">
      <text>
        <r>
          <rPr>
            <sz val="10"/>
            <rFont val="宋体"/>
            <charset val="134"/>
          </rPr>
          <t>Sam:
local delivery：1</t>
        </r>
      </text>
    </comment>
    <comment ref="D1432" authorId="88">
      <text>
        <r>
          <rPr>
            <sz val="10"/>
            <rFont val="宋体"/>
            <charset val="134"/>
          </rPr>
          <t>Sam:
local delivery：1</t>
        </r>
      </text>
    </comment>
    <comment ref="D1433" authorId="89">
      <text>
        <r>
          <rPr>
            <sz val="10"/>
            <rFont val="宋体"/>
            <charset val="134"/>
          </rPr>
          <t>Sam:
local delivery：14</t>
        </r>
      </text>
    </comment>
    <comment ref="D1434" authorId="90">
      <text>
        <r>
          <rPr>
            <sz val="10"/>
            <rFont val="宋体"/>
            <charset val="134"/>
          </rPr>
          <t>Sam:
local delivery：14</t>
        </r>
      </text>
    </comment>
    <comment ref="D1435" authorId="91">
      <text>
        <r>
          <rPr>
            <sz val="10"/>
            <rFont val="宋体"/>
            <charset val="134"/>
          </rPr>
          <t>Sam:
local delivery：2</t>
        </r>
      </text>
    </comment>
    <comment ref="D1436" authorId="92">
      <text>
        <r>
          <rPr>
            <sz val="10"/>
            <rFont val="宋体"/>
            <charset val="134"/>
          </rPr>
          <t>Sam:
local delivery：13</t>
        </r>
      </text>
    </comment>
    <comment ref="D1437" authorId="93">
      <text>
        <r>
          <rPr>
            <sz val="10"/>
            <rFont val="宋体"/>
            <charset val="134"/>
          </rPr>
          <t>Sam:
local delivery：24</t>
        </r>
      </text>
    </comment>
    <comment ref="F1596" authorId="94">
      <text>
        <r>
          <rPr>
            <sz val="10"/>
            <rFont val="宋体"/>
            <charset val="134"/>
          </rPr>
          <t>(4/29Edwin通知推后一个月)</t>
        </r>
      </text>
    </comment>
    <comment ref="G1605" authorId="95">
      <text>
        <r>
          <rPr>
            <sz val="10"/>
            <rFont val="宋体"/>
            <charset val="134"/>
          </rPr>
          <t>原ETD:5.20</t>
        </r>
      </text>
    </comment>
    <comment ref="G1606" authorId="96">
      <text>
        <r>
          <rPr>
            <sz val="10"/>
            <rFont val="宋体"/>
            <charset val="134"/>
          </rPr>
          <t>原ETD:5.20</t>
        </r>
      </text>
    </comment>
    <comment ref="G1607" authorId="97">
      <text>
        <r>
          <rPr>
            <sz val="10"/>
            <rFont val="宋体"/>
            <charset val="134"/>
          </rPr>
          <t>原ETD:5.20</t>
        </r>
      </text>
    </comment>
    <comment ref="G1608" authorId="98">
      <text>
        <r>
          <rPr>
            <sz val="10"/>
            <rFont val="宋体"/>
            <charset val="134"/>
          </rPr>
          <t>原ETD:5.20</t>
        </r>
      </text>
    </comment>
    <comment ref="G1609" authorId="99">
      <text>
        <r>
          <rPr>
            <sz val="10"/>
            <rFont val="宋体"/>
            <charset val="134"/>
          </rPr>
          <t>原ETD:5.20</t>
        </r>
      </text>
    </comment>
    <comment ref="G1610" authorId="100">
      <text>
        <r>
          <rPr>
            <sz val="10"/>
            <rFont val="宋体"/>
            <charset val="134"/>
          </rPr>
          <t>原ETD:5.20</t>
        </r>
      </text>
    </comment>
    <comment ref="G1611" authorId="101">
      <text>
        <r>
          <rPr>
            <sz val="10"/>
            <rFont val="宋体"/>
            <charset val="134"/>
          </rPr>
          <t>原ETD:5.20</t>
        </r>
      </text>
    </comment>
    <comment ref="G1612" authorId="102">
      <text>
        <r>
          <rPr>
            <sz val="10"/>
            <rFont val="宋体"/>
            <charset val="134"/>
          </rPr>
          <t>原ETD:5.20</t>
        </r>
      </text>
    </comment>
    <comment ref="G1613" authorId="103">
      <text>
        <r>
          <rPr>
            <sz val="10"/>
            <rFont val="宋体"/>
            <charset val="134"/>
          </rPr>
          <t>原ETD:5.20</t>
        </r>
      </text>
    </comment>
    <comment ref="G1626" authorId="104">
      <text>
        <r>
          <rPr>
            <sz val="10"/>
            <rFont val="宋体"/>
            <charset val="134"/>
          </rPr>
          <t>原ETD:2025.5.25</t>
        </r>
      </text>
    </comment>
    <comment ref="D1632" authorId="105">
      <text>
        <r>
          <rPr>
            <sz val="10"/>
            <rFont val="宋体"/>
            <charset val="134"/>
          </rPr>
          <t>Sam:
Local delivery：6</t>
        </r>
      </text>
    </comment>
    <comment ref="D1633" authorId="106">
      <text>
        <r>
          <rPr>
            <sz val="10"/>
            <rFont val="宋体"/>
            <charset val="134"/>
          </rPr>
          <t>Sam:
Local delivery：6</t>
        </r>
      </text>
    </comment>
    <comment ref="D1634" authorId="107">
      <text>
        <r>
          <rPr>
            <sz val="10"/>
            <rFont val="宋体"/>
            <charset val="134"/>
          </rPr>
          <t>Sam:
Local delivery：4</t>
        </r>
      </text>
    </comment>
    <comment ref="D1635" authorId="108">
      <text>
        <r>
          <rPr>
            <sz val="10"/>
            <rFont val="宋体"/>
            <charset val="134"/>
          </rPr>
          <t>Sam:
Local delivery：4</t>
        </r>
      </text>
    </comment>
    <comment ref="D1636" authorId="109">
      <text>
        <r>
          <rPr>
            <sz val="10"/>
            <rFont val="宋体"/>
            <charset val="134"/>
          </rPr>
          <t>Sam:
Local delivery：86</t>
        </r>
      </text>
    </comment>
    <comment ref="D1637" authorId="110">
      <text>
        <r>
          <rPr>
            <sz val="10"/>
            <rFont val="宋体"/>
            <charset val="134"/>
          </rPr>
          <t>Sam:
Local delivery：86</t>
        </r>
      </text>
    </comment>
    <comment ref="D1638" authorId="111">
      <text>
        <r>
          <rPr>
            <sz val="10"/>
            <rFont val="宋体"/>
            <charset val="134"/>
          </rPr>
          <t>Sam:
Local delivery：6</t>
        </r>
      </text>
    </comment>
    <comment ref="D1639" authorId="112">
      <text>
        <r>
          <rPr>
            <sz val="10"/>
            <rFont val="宋体"/>
            <charset val="134"/>
          </rPr>
          <t>Sam:
Local delivery：6</t>
        </r>
      </text>
    </comment>
    <comment ref="D1640" authorId="113">
      <text>
        <r>
          <rPr>
            <sz val="10"/>
            <rFont val="宋体"/>
            <charset val="134"/>
          </rPr>
          <t>Sam:
local delivery：2</t>
        </r>
      </text>
    </comment>
    <comment ref="D1641" authorId="114">
      <text>
        <r>
          <rPr>
            <sz val="10"/>
            <rFont val="宋体"/>
            <charset val="134"/>
          </rPr>
          <t>Sam:
local delivery：2</t>
        </r>
      </text>
    </comment>
    <comment ref="D1642" authorId="115">
      <text>
        <r>
          <rPr>
            <sz val="10"/>
            <rFont val="宋体"/>
            <charset val="134"/>
          </rPr>
          <t>Sam:
local delivery：8</t>
        </r>
      </text>
    </comment>
    <comment ref="D1643" authorId="116">
      <text>
        <r>
          <rPr>
            <sz val="10"/>
            <rFont val="宋体"/>
            <charset val="134"/>
          </rPr>
          <t>Sam:
local delivery：8</t>
        </r>
      </text>
    </comment>
    <comment ref="D1659" authorId="117">
      <text>
        <r>
          <rPr>
            <sz val="10"/>
            <rFont val="宋体"/>
            <charset val="134"/>
          </rPr>
          <t>Sam:
local pick up：5</t>
        </r>
      </text>
    </comment>
    <comment ref="D1660" authorId="118">
      <text>
        <r>
          <rPr>
            <sz val="10"/>
            <rFont val="宋体"/>
            <charset val="134"/>
          </rPr>
          <t>Sam:
local pick up：1</t>
        </r>
      </text>
    </comment>
    <comment ref="D1661" authorId="119">
      <text>
        <r>
          <rPr>
            <sz val="10"/>
            <rFont val="宋体"/>
            <charset val="134"/>
          </rPr>
          <t>Sam:
local pick up：1</t>
        </r>
      </text>
    </comment>
    <comment ref="D1662" authorId="120">
      <text>
        <r>
          <rPr>
            <sz val="10"/>
            <rFont val="宋体"/>
            <charset val="134"/>
          </rPr>
          <t>Sam:
local pick up：2</t>
        </r>
      </text>
    </comment>
    <comment ref="D1663" authorId="121">
      <text>
        <r>
          <rPr>
            <sz val="10"/>
            <rFont val="宋体"/>
            <charset val="134"/>
          </rPr>
          <t>Sam:
local pick up：1</t>
        </r>
      </text>
    </comment>
    <comment ref="D1703" authorId="122">
      <text>
        <r>
          <rPr>
            <sz val="10"/>
            <rFont val="宋体"/>
            <charset val="134"/>
          </rPr>
          <t>local pick up: 4</t>
        </r>
      </text>
    </comment>
    <comment ref="D1704" authorId="123">
      <text>
        <r>
          <rPr>
            <sz val="10"/>
            <rFont val="宋体"/>
            <charset val="134"/>
          </rPr>
          <t>local pick up: 8</t>
        </r>
      </text>
    </comment>
    <comment ref="D1705" authorId="124">
      <text>
        <r>
          <rPr>
            <sz val="10"/>
            <rFont val="宋体"/>
            <charset val="134"/>
          </rPr>
          <t>local pick up: 12</t>
        </r>
      </text>
    </comment>
    <comment ref="F1752" authorId="125">
      <text>
        <r>
          <rPr>
            <sz val="10"/>
            <rFont val="宋体"/>
            <charset val="134"/>
          </rPr>
          <t>(5/6 Edwin通知延迟)</t>
        </r>
      </text>
    </comment>
    <comment ref="G1752" authorId="126">
      <text>
        <r>
          <rPr>
            <sz val="10"/>
            <rFont val="宋体"/>
            <charset val="134"/>
          </rPr>
          <t>原7.15</t>
        </r>
      </text>
    </comment>
    <comment ref="G1753" authorId="127">
      <text>
        <r>
          <rPr>
            <sz val="10"/>
            <rFont val="宋体"/>
            <charset val="134"/>
          </rPr>
          <t>原7.15</t>
        </r>
      </text>
    </comment>
    <comment ref="G1754" authorId="128">
      <text>
        <r>
          <rPr>
            <sz val="10"/>
            <rFont val="宋体"/>
            <charset val="134"/>
          </rPr>
          <t>原7.15</t>
        </r>
      </text>
    </comment>
    <comment ref="F1755" authorId="129">
      <text>
        <r>
          <rPr>
            <sz val="10"/>
            <rFont val="宋体"/>
            <charset val="134"/>
          </rPr>
          <t>(5/6 Edwin通知延迟)</t>
        </r>
      </text>
    </comment>
    <comment ref="G1755" authorId="130">
      <text>
        <r>
          <rPr>
            <sz val="10"/>
            <rFont val="宋体"/>
            <charset val="134"/>
          </rPr>
          <t>原7.15</t>
        </r>
      </text>
    </comment>
    <comment ref="G1756" authorId="131">
      <text>
        <r>
          <rPr>
            <sz val="10"/>
            <rFont val="宋体"/>
            <charset val="134"/>
          </rPr>
          <t>原7.15</t>
        </r>
      </text>
    </comment>
    <comment ref="G1757" authorId="132">
      <text>
        <r>
          <rPr>
            <sz val="10"/>
            <rFont val="宋体"/>
            <charset val="134"/>
          </rPr>
          <t>原7.15</t>
        </r>
      </text>
    </comment>
    <comment ref="G1758" authorId="133">
      <text>
        <r>
          <rPr>
            <sz val="10"/>
            <rFont val="宋体"/>
            <charset val="134"/>
          </rPr>
          <t>原7.15</t>
        </r>
      </text>
    </comment>
    <comment ref="G1759" authorId="134">
      <text>
        <r>
          <rPr>
            <sz val="10"/>
            <rFont val="宋体"/>
            <charset val="134"/>
          </rPr>
          <t>原7.15</t>
        </r>
      </text>
    </comment>
    <comment ref="G1760" authorId="135">
      <text>
        <r>
          <rPr>
            <sz val="10"/>
            <rFont val="宋体"/>
            <charset val="134"/>
          </rPr>
          <t>原7.15</t>
        </r>
      </text>
    </comment>
    <comment ref="F1761" authorId="136">
      <text>
        <r>
          <rPr>
            <sz val="10"/>
            <rFont val="宋体"/>
            <charset val="134"/>
          </rPr>
          <t>(5/6 Edwin通知延迟)</t>
        </r>
      </text>
    </comment>
    <comment ref="G1761" authorId="137">
      <text>
        <r>
          <rPr>
            <sz val="10"/>
            <rFont val="宋体"/>
            <charset val="134"/>
          </rPr>
          <t>原7.15</t>
        </r>
      </text>
    </comment>
    <comment ref="G1762" authorId="138">
      <text>
        <r>
          <rPr>
            <sz val="10"/>
            <rFont val="宋体"/>
            <charset val="134"/>
          </rPr>
          <t>原7.15</t>
        </r>
      </text>
    </comment>
    <comment ref="G1763" authorId="139">
      <text>
        <r>
          <rPr>
            <sz val="10"/>
            <rFont val="宋体"/>
            <charset val="134"/>
          </rPr>
          <t>原7.15</t>
        </r>
      </text>
    </comment>
    <comment ref="G1764" authorId="140">
      <text>
        <r>
          <rPr>
            <sz val="10"/>
            <rFont val="宋体"/>
            <charset val="134"/>
          </rPr>
          <t>原7.15</t>
        </r>
      </text>
    </comment>
    <comment ref="G1765" authorId="141">
      <text>
        <r>
          <rPr>
            <sz val="10"/>
            <rFont val="宋体"/>
            <charset val="134"/>
          </rPr>
          <t>原7.15</t>
        </r>
      </text>
    </comment>
    <comment ref="G1766" authorId="142">
      <text>
        <r>
          <rPr>
            <sz val="10"/>
            <rFont val="宋体"/>
            <charset val="134"/>
          </rPr>
          <t>原7.15</t>
        </r>
      </text>
    </comment>
    <comment ref="F1767" authorId="143">
      <text>
        <r>
          <rPr>
            <sz val="10"/>
            <rFont val="宋体"/>
            <charset val="134"/>
          </rPr>
          <t>(5/6 Edwin通知延迟)</t>
        </r>
      </text>
    </comment>
    <comment ref="G1767" authorId="144">
      <text>
        <r>
          <rPr>
            <sz val="10"/>
            <rFont val="宋体"/>
            <charset val="134"/>
          </rPr>
          <t>原7.15</t>
        </r>
      </text>
    </comment>
    <comment ref="G1768" authorId="145">
      <text>
        <r>
          <rPr>
            <sz val="10"/>
            <rFont val="宋体"/>
            <charset val="134"/>
          </rPr>
          <t>原7.15</t>
        </r>
      </text>
    </comment>
    <comment ref="G1769" authorId="146">
      <text>
        <r>
          <rPr>
            <sz val="10"/>
            <rFont val="宋体"/>
            <charset val="134"/>
          </rPr>
          <t>原7.15</t>
        </r>
      </text>
    </comment>
    <comment ref="G1770" authorId="147">
      <text>
        <r>
          <rPr>
            <sz val="10"/>
            <rFont val="宋体"/>
            <charset val="134"/>
          </rPr>
          <t>原7.15</t>
        </r>
      </text>
    </comment>
    <comment ref="G1771" authorId="148">
      <text>
        <r>
          <rPr>
            <sz val="10"/>
            <rFont val="宋体"/>
            <charset val="134"/>
          </rPr>
          <t>原7.15</t>
        </r>
      </text>
    </comment>
    <comment ref="G1772" authorId="149">
      <text>
        <r>
          <rPr>
            <sz val="10"/>
            <rFont val="宋体"/>
            <charset val="134"/>
          </rPr>
          <t>原7.15</t>
        </r>
      </text>
    </comment>
    <comment ref="D1773" authorId="150">
      <text>
        <r>
          <rPr>
            <sz val="10"/>
            <rFont val="宋体"/>
            <charset val="134"/>
          </rPr>
          <t>原34台;因装柜时弄坏，短装1台</t>
        </r>
      </text>
    </comment>
    <comment ref="G1773" authorId="151">
      <text>
        <r>
          <rPr>
            <sz val="10"/>
            <rFont val="宋体"/>
            <charset val="134"/>
          </rPr>
          <t>原7.15</t>
        </r>
      </text>
    </comment>
    <comment ref="D1774" authorId="152">
      <text>
        <r>
          <rPr>
            <sz val="10"/>
            <rFont val="宋体"/>
            <charset val="134"/>
          </rPr>
          <t>原订单数量是20台，6/19 Edwin通知挪10台去VIC</t>
        </r>
      </text>
    </comment>
    <comment ref="F1821" authorId="153">
      <text>
        <r>
          <rPr>
            <sz val="10"/>
            <rFont val="宋体"/>
            <charset val="134"/>
          </rPr>
          <t>(5/9Edwin通知delay一个月)</t>
        </r>
      </text>
    </comment>
    <comment ref="F1822" authorId="154">
      <text>
        <r>
          <rPr>
            <sz val="10"/>
            <rFont val="宋体"/>
            <charset val="134"/>
          </rPr>
          <t>(因工厂产能调配延迟）</t>
        </r>
      </text>
    </comment>
    <comment ref="F1823" authorId="155">
      <text>
        <r>
          <rPr>
            <sz val="10"/>
            <rFont val="宋体"/>
            <charset val="134"/>
          </rPr>
          <t>(因工厂产能调配延迟）</t>
        </r>
      </text>
    </comment>
    <comment ref="J1823" authorId="156">
      <text>
        <r>
          <rPr>
            <sz val="10"/>
            <rFont val="宋体"/>
            <charset val="134"/>
          </rPr>
          <t>原Destination:NSW-Sydney(6.30收到Edwin通知，Destination改为VIC-MEL)；</t>
        </r>
      </text>
    </comment>
    <comment ref="F1824" authorId="157">
      <text>
        <r>
          <rPr>
            <sz val="10"/>
            <rFont val="宋体"/>
            <charset val="134"/>
          </rPr>
          <t>(因工厂产能调配延迟）</t>
        </r>
      </text>
    </comment>
    <comment ref="J1824" authorId="158">
      <text>
        <r>
          <rPr>
            <sz val="10"/>
            <rFont val="宋体"/>
            <charset val="134"/>
          </rPr>
          <t>原Destination:NSW-Sydney(6.30收到Edwin通知，Destination改VIC-MEL)</t>
        </r>
      </text>
    </comment>
    <comment ref="D1825" authorId="159">
      <text>
        <r>
          <rPr>
            <sz val="10"/>
            <rFont val="宋体"/>
            <charset val="134"/>
          </rPr>
          <t>RAC-339短装</t>
        </r>
      </text>
    </comment>
    <comment ref="F1826" authorId="160">
      <text>
        <r>
          <rPr>
            <sz val="10"/>
            <rFont val="宋体"/>
            <charset val="134"/>
          </rPr>
          <t>(因工厂产能调配延迟）</t>
        </r>
      </text>
    </comment>
    <comment ref="J1826" authorId="161">
      <text>
        <r>
          <rPr>
            <sz val="10"/>
            <rFont val="宋体"/>
            <charset val="134"/>
          </rPr>
          <t>原Destination:NSW-Sydney(6.30收到Edwin通知，Destination改VIC-MEL)；</t>
        </r>
      </text>
    </comment>
    <comment ref="D1827" authorId="162">
      <text>
        <r>
          <rPr>
            <sz val="10"/>
            <rFont val="宋体"/>
            <charset val="134"/>
          </rPr>
          <t>RAC-339：共45台，短装4台</t>
        </r>
      </text>
    </comment>
    <comment ref="F1827" authorId="163">
      <text>
        <r>
          <rPr>
            <sz val="10"/>
            <rFont val="宋体"/>
            <charset val="134"/>
          </rPr>
          <t>(5/9Edwin通知delay一个月)</t>
        </r>
      </text>
    </comment>
    <comment ref="F1828" authorId="164">
      <text>
        <r>
          <rPr>
            <sz val="10"/>
            <rFont val="宋体"/>
            <charset val="134"/>
          </rPr>
          <t>(5/9Edwin通知delay一个月)</t>
        </r>
      </text>
    </comment>
    <comment ref="F1829" authorId="165">
      <text>
        <r>
          <rPr>
            <sz val="10"/>
            <rFont val="宋体"/>
            <charset val="134"/>
          </rPr>
          <t>(5/9Edwin通知delay一个月)</t>
        </r>
      </text>
    </comment>
    <comment ref="F1830" authorId="166">
      <text>
        <r>
          <rPr>
            <sz val="10"/>
            <rFont val="宋体"/>
            <charset val="134"/>
          </rPr>
          <t>(因工厂产能调配延迟）</t>
        </r>
      </text>
    </comment>
    <comment ref="D1831" authorId="167">
      <text>
        <r>
          <rPr>
            <sz val="10"/>
            <rFont val="宋体"/>
            <charset val="134"/>
          </rPr>
          <t>RAC-339短装</t>
        </r>
      </text>
    </comment>
    <comment ref="F1832" authorId="168">
      <text>
        <r>
          <rPr>
            <sz val="10"/>
            <rFont val="宋体"/>
            <charset val="134"/>
          </rPr>
          <t>(因工厂产能调配延迟）</t>
        </r>
      </text>
    </comment>
    <comment ref="F1833" authorId="169">
      <text>
        <r>
          <rPr>
            <sz val="10"/>
            <rFont val="宋体"/>
            <charset val="134"/>
          </rPr>
          <t>(5/6 Edwin通知延迟)</t>
        </r>
      </text>
    </comment>
    <comment ref="F1834" authorId="170">
      <text>
        <r>
          <rPr>
            <sz val="10"/>
            <rFont val="宋体"/>
            <charset val="134"/>
          </rPr>
          <t>(5/6 Edwin通知延迟)</t>
        </r>
      </text>
    </comment>
    <comment ref="D1839" authorId="171">
      <text>
        <r>
          <rPr>
            <sz val="10"/>
            <rFont val="宋体"/>
            <charset val="134"/>
          </rPr>
          <t>RAC-361：共45台，短装4台</t>
        </r>
      </text>
    </comment>
    <comment ref="F1839" authorId="172">
      <text>
        <r>
          <rPr>
            <sz val="10"/>
            <rFont val="宋体"/>
            <charset val="134"/>
          </rPr>
          <t>(5/9Edwin通知delay一个月)</t>
        </r>
      </text>
    </comment>
    <comment ref="G1839" authorId="173">
      <text>
        <r>
          <rPr>
            <sz val="10"/>
            <rFont val="宋体"/>
            <charset val="134"/>
          </rPr>
          <t>原ETD：7/10</t>
        </r>
      </text>
    </comment>
    <comment ref="J1839" authorId="174">
      <text>
        <r>
          <rPr>
            <sz val="10"/>
            <rFont val="宋体"/>
            <charset val="134"/>
          </rPr>
          <t>原Destination:NSW-Sydney(6.30收到Edwin通知，Destination改为VIC-MEL)</t>
        </r>
      </text>
    </comment>
    <comment ref="F1840" authorId="175">
      <text>
        <r>
          <rPr>
            <sz val="10"/>
            <rFont val="宋体"/>
            <charset val="134"/>
          </rPr>
          <t>(5/9Edwin通知delay一个月)</t>
        </r>
      </text>
    </comment>
    <comment ref="G1840" authorId="176">
      <text>
        <r>
          <rPr>
            <sz val="10"/>
            <rFont val="宋体"/>
            <charset val="134"/>
          </rPr>
          <t>原ETD：7/10</t>
        </r>
      </text>
    </comment>
    <comment ref="D1841" authorId="177">
      <text>
        <r>
          <rPr>
            <sz val="10"/>
            <rFont val="宋体"/>
            <charset val="134"/>
          </rPr>
          <t>RAC-361短装</t>
        </r>
      </text>
    </comment>
    <comment ref="F1842" authorId="178">
      <text>
        <r>
          <rPr>
            <sz val="10"/>
            <rFont val="宋体"/>
            <charset val="134"/>
          </rPr>
          <t>(5/9Edwin通知delay一个月)</t>
        </r>
      </text>
    </comment>
    <comment ref="G1842" authorId="179">
      <text>
        <r>
          <rPr>
            <sz val="10"/>
            <rFont val="宋体"/>
            <charset val="134"/>
          </rPr>
          <t>原ETD：7/10</t>
        </r>
      </text>
    </comment>
    <comment ref="F1843" authorId="180">
      <text>
        <r>
          <rPr>
            <sz val="10"/>
            <rFont val="宋体"/>
            <charset val="134"/>
          </rPr>
          <t>(5/9Edwin通知delay一个月)</t>
        </r>
      </text>
    </comment>
    <comment ref="G1843" authorId="181">
      <text>
        <r>
          <rPr>
            <sz val="10"/>
            <rFont val="宋体"/>
            <charset val="134"/>
          </rPr>
          <t>原ETD：7/10</t>
        </r>
      </text>
    </comment>
    <comment ref="D1844" authorId="182">
      <text>
        <r>
          <rPr>
            <sz val="10"/>
            <rFont val="宋体"/>
            <charset val="134"/>
          </rPr>
          <t>RAC-361短装</t>
        </r>
      </text>
    </comment>
    <comment ref="F1845" authorId="183">
      <text>
        <r>
          <rPr>
            <sz val="10"/>
            <rFont val="宋体"/>
            <charset val="134"/>
          </rPr>
          <t>(5/9Edwin通知delay一个月)</t>
        </r>
      </text>
    </comment>
    <comment ref="G1845" authorId="184">
      <text>
        <r>
          <rPr>
            <sz val="10"/>
            <rFont val="宋体"/>
            <charset val="134"/>
          </rPr>
          <t>原ETD：7/10</t>
        </r>
      </text>
    </comment>
    <comment ref="J1845" authorId="185">
      <text>
        <r>
          <rPr>
            <sz val="10"/>
            <rFont val="宋体"/>
            <charset val="134"/>
          </rPr>
          <t>原Destination:NSW-Sydney(6.30收到Edwin通知，Destination改为VIC-MEL)</t>
        </r>
      </text>
    </comment>
    <comment ref="F1846" authorId="186">
      <text>
        <r>
          <rPr>
            <sz val="10"/>
            <rFont val="宋体"/>
            <charset val="134"/>
          </rPr>
          <t>(5/9Edwin通知delay一个月)</t>
        </r>
      </text>
    </comment>
    <comment ref="G1846" authorId="187">
      <text>
        <r>
          <rPr>
            <sz val="10"/>
            <rFont val="宋体"/>
            <charset val="134"/>
          </rPr>
          <t>原ETD：7/10</t>
        </r>
      </text>
    </comment>
    <comment ref="J1846" authorId="188">
      <text>
        <r>
          <rPr>
            <sz val="10"/>
            <rFont val="宋体"/>
            <charset val="134"/>
          </rPr>
          <t>原Destination:NSW-Sydney(6.30收到Edwin通知，Destination改为VIC-MEL)</t>
        </r>
      </text>
    </comment>
    <comment ref="F1847" authorId="189">
      <text>
        <r>
          <rPr>
            <sz val="10"/>
            <rFont val="宋体"/>
            <charset val="134"/>
          </rPr>
          <t>(因工厂产能调配延迟）</t>
        </r>
      </text>
    </comment>
    <comment ref="G1847" authorId="190">
      <text>
        <r>
          <rPr>
            <sz val="10"/>
            <rFont val="宋体"/>
            <charset val="134"/>
          </rPr>
          <t>原ETD：7/10</t>
        </r>
      </text>
    </comment>
    <comment ref="F1848" authorId="191">
      <text>
        <r>
          <rPr>
            <sz val="10"/>
            <rFont val="宋体"/>
            <charset val="134"/>
          </rPr>
          <t>(5/9Edwin通知delay一个月)</t>
        </r>
      </text>
    </comment>
    <comment ref="G1848" authorId="192">
      <text>
        <r>
          <rPr>
            <sz val="10"/>
            <rFont val="宋体"/>
            <charset val="134"/>
          </rPr>
          <t>原ETD：7/10</t>
        </r>
      </text>
    </comment>
    <comment ref="J1848" authorId="193">
      <text>
        <r>
          <rPr>
            <sz val="10"/>
            <rFont val="宋体"/>
            <charset val="134"/>
          </rPr>
          <t>原Destination:NSW-Sydney(6.30收到Edwin通知，Destination改为VIC-MEL)</t>
        </r>
      </text>
    </comment>
    <comment ref="F1849" authorId="194">
      <text>
        <r>
          <rPr>
            <sz val="10"/>
            <rFont val="宋体"/>
            <charset val="134"/>
          </rPr>
          <t>(5/9Edwin通知delay一个月)</t>
        </r>
      </text>
    </comment>
    <comment ref="G1849" authorId="195">
      <text>
        <r>
          <rPr>
            <sz val="10"/>
            <rFont val="宋体"/>
            <charset val="134"/>
          </rPr>
          <t>原ETD：7/10</t>
        </r>
      </text>
    </comment>
    <comment ref="J1849" authorId="196">
      <text>
        <r>
          <rPr>
            <sz val="10"/>
            <rFont val="宋体"/>
            <charset val="134"/>
          </rPr>
          <t>原Destination:NSW-Sydney(6.30收到Edwin通知，Destination改为VIC-MEL)</t>
        </r>
      </text>
    </comment>
    <comment ref="F1850" authorId="197">
      <text>
        <r>
          <rPr>
            <sz val="10"/>
            <rFont val="宋体"/>
            <charset val="134"/>
          </rPr>
          <t>(因工厂产能调配延迟）</t>
        </r>
      </text>
    </comment>
    <comment ref="G1850" authorId="198">
      <text>
        <r>
          <rPr>
            <sz val="10"/>
            <rFont val="宋体"/>
            <charset val="134"/>
          </rPr>
          <t>原ETD：7/10</t>
        </r>
      </text>
    </comment>
    <comment ref="D1854" authorId="199">
      <text>
        <r>
          <rPr>
            <sz val="10"/>
            <rFont val="宋体"/>
            <charset val="134"/>
          </rPr>
          <t>从QLD尾单中挪了10台到这个柜</t>
        </r>
      </text>
    </comment>
    <comment ref="G1878" authorId="200">
      <text>
        <r>
          <rPr>
            <sz val="10"/>
            <rFont val="宋体"/>
            <charset val="134"/>
          </rPr>
          <t>原ETD:7.1,6/13 Brenden确认delay</t>
        </r>
      </text>
    </comment>
    <comment ref="G1884" authorId="201">
      <text>
        <r>
          <rPr>
            <sz val="10"/>
            <rFont val="宋体"/>
            <charset val="134"/>
          </rPr>
          <t>原ETD: 8.1</t>
        </r>
      </text>
    </comment>
    <comment ref="F1894" authorId="202">
      <text>
        <r>
          <rPr>
            <sz val="10"/>
            <rFont val="宋体"/>
            <charset val="134"/>
          </rPr>
          <t>(5/6 Edwin通知延迟)</t>
        </r>
      </text>
    </comment>
    <comment ref="G1894" authorId="203">
      <text>
        <r>
          <rPr>
            <sz val="10"/>
            <rFont val="宋体"/>
            <charset val="134"/>
          </rPr>
          <t>原ETD：7/15</t>
        </r>
      </text>
    </comment>
    <comment ref="F1895" authorId="204">
      <text>
        <r>
          <rPr>
            <sz val="10"/>
            <rFont val="宋体"/>
            <charset val="134"/>
          </rPr>
          <t>(5/6 Edwin通知延迟)</t>
        </r>
      </text>
    </comment>
    <comment ref="G1895" authorId="205">
      <text>
        <r>
          <rPr>
            <sz val="10"/>
            <rFont val="宋体"/>
            <charset val="134"/>
          </rPr>
          <t>原ETD：7/15</t>
        </r>
      </text>
    </comment>
    <comment ref="F1896" authorId="206">
      <text>
        <r>
          <rPr>
            <sz val="10"/>
            <rFont val="宋体"/>
            <charset val="134"/>
          </rPr>
          <t>(因工厂产能调配延迟）</t>
        </r>
      </text>
    </comment>
    <comment ref="F1897" authorId="207">
      <text>
        <r>
          <rPr>
            <sz val="10"/>
            <rFont val="宋体"/>
            <charset val="134"/>
          </rPr>
          <t>(因工厂产能调配延迟）</t>
        </r>
      </text>
    </comment>
    <comment ref="D1898" authorId="208">
      <text>
        <r>
          <rPr>
            <sz val="10"/>
            <rFont val="宋体"/>
            <charset val="134"/>
          </rPr>
          <t>RAC-339短装</t>
        </r>
      </text>
    </comment>
    <comment ref="F1899" authorId="209">
      <text>
        <r>
          <rPr>
            <sz val="10"/>
            <rFont val="宋体"/>
            <charset val="134"/>
          </rPr>
          <t>(因工厂产能调配延迟）</t>
        </r>
      </text>
    </comment>
    <comment ref="G1899" authorId="210">
      <text>
        <r>
          <rPr>
            <sz val="10"/>
            <rFont val="宋体"/>
            <charset val="134"/>
          </rPr>
          <t>原ETD：7/10</t>
        </r>
      </text>
    </comment>
    <comment ref="F1900" authorId="211">
      <text>
        <r>
          <rPr>
            <sz val="10"/>
            <rFont val="宋体"/>
            <charset val="134"/>
          </rPr>
          <t>(因工厂产能调配延迟）</t>
        </r>
      </text>
    </comment>
    <comment ref="G1900" authorId="212">
      <text>
        <r>
          <rPr>
            <sz val="10"/>
            <rFont val="宋体"/>
            <charset val="134"/>
          </rPr>
          <t>原ETD：7/10</t>
        </r>
      </text>
    </comment>
    <comment ref="J1900" authorId="213">
      <text>
        <r>
          <rPr>
            <sz val="10"/>
            <rFont val="宋体"/>
            <charset val="134"/>
          </rPr>
          <t>原Destination:NSW-Sydney(6.30收到Edwin通知，Destination改为VIC-MEL)</t>
        </r>
      </text>
    </comment>
    <comment ref="F1901" authorId="214">
      <text>
        <r>
          <rPr>
            <sz val="10"/>
            <rFont val="宋体"/>
            <charset val="134"/>
          </rPr>
          <t>(因工厂产能调配延迟）</t>
        </r>
      </text>
    </comment>
    <comment ref="G1901" authorId="215">
      <text>
        <r>
          <rPr>
            <sz val="10"/>
            <rFont val="宋体"/>
            <charset val="134"/>
          </rPr>
          <t>原ETD：7/10</t>
        </r>
      </text>
    </comment>
    <comment ref="J1901" authorId="216">
      <text>
        <r>
          <rPr>
            <sz val="10"/>
            <rFont val="宋体"/>
            <charset val="134"/>
          </rPr>
          <t>原Destination:NSW-Sydney(6.30收到Edwin通知，Destination改为VIC-MEL)</t>
        </r>
      </text>
    </comment>
    <comment ref="F1902" authorId="217">
      <text>
        <r>
          <rPr>
            <sz val="10"/>
            <rFont val="宋体"/>
            <charset val="134"/>
          </rPr>
          <t>(因工厂产能调配延迟）</t>
        </r>
      </text>
    </comment>
    <comment ref="F1903" authorId="218">
      <text>
        <r>
          <rPr>
            <sz val="10"/>
            <rFont val="宋体"/>
            <charset val="134"/>
          </rPr>
          <t>(4/29 Edwin通知delay 1个月，5/9Edwin通知再推迟一个月)</t>
        </r>
      </text>
    </comment>
    <comment ref="F1904" authorId="219">
      <text>
        <r>
          <rPr>
            <sz val="10"/>
            <rFont val="宋体"/>
            <charset val="134"/>
          </rPr>
          <t>(因工厂产能调配延迟）</t>
        </r>
      </text>
    </comment>
    <comment ref="F1905" authorId="220">
      <text>
        <r>
          <rPr>
            <sz val="10"/>
            <rFont val="宋体"/>
            <charset val="134"/>
          </rPr>
          <t>(因工厂产能调配延迟）</t>
        </r>
      </text>
    </comment>
    <comment ref="F1906" authorId="221">
      <text>
        <r>
          <rPr>
            <sz val="10"/>
            <rFont val="宋体"/>
            <charset val="134"/>
          </rPr>
          <t>(4/29 Edwin通知delay 1个月，5/9Edwin通知再推迟一个月)</t>
        </r>
      </text>
    </comment>
    <comment ref="G1926" authorId="222">
      <text>
        <r>
          <rPr>
            <sz val="10"/>
            <rFont val="宋体"/>
            <charset val="134"/>
          </rPr>
          <t>原ETD：7.15</t>
        </r>
      </text>
    </comment>
    <comment ref="G1929" authorId="223">
      <text>
        <r>
          <rPr>
            <sz val="10"/>
            <rFont val="宋体"/>
            <charset val="134"/>
          </rPr>
          <t>原ETD：7.15</t>
        </r>
      </text>
    </comment>
    <comment ref="D1932" authorId="224">
      <text>
        <r>
          <rPr>
            <sz val="10"/>
            <rFont val="宋体"/>
            <charset val="134"/>
          </rPr>
          <t>Justin确认改单，数量由138减到50</t>
        </r>
      </text>
    </comment>
    <comment ref="G1932" authorId="225">
      <text>
        <r>
          <rPr>
            <sz val="10"/>
            <rFont val="宋体"/>
            <charset val="134"/>
          </rPr>
          <t>原ETD：7.15</t>
        </r>
      </text>
    </comment>
    <comment ref="D1933" authorId="226">
      <text>
        <r>
          <rPr>
            <sz val="10"/>
            <rFont val="宋体"/>
            <charset val="134"/>
          </rPr>
          <t>Justin确认改单，数量由16改为120</t>
        </r>
      </text>
    </comment>
    <comment ref="D1934" authorId="227">
      <text>
        <r>
          <rPr>
            <sz val="10"/>
            <rFont val="宋体"/>
            <charset val="134"/>
          </rPr>
          <t>Justin确认改单，数量由220改为320原订单320台，短装59台</t>
        </r>
      </text>
    </comment>
    <comment ref="F1936" authorId="228">
      <text>
        <r>
          <rPr>
            <sz val="10"/>
            <rFont val="宋体"/>
            <charset val="134"/>
          </rPr>
          <t>(5/9Edwin通知delay一个月)</t>
        </r>
      </text>
    </comment>
    <comment ref="F1937" authorId="229">
      <text>
        <r>
          <rPr>
            <sz val="10"/>
            <rFont val="宋体"/>
            <charset val="134"/>
          </rPr>
          <t>(5/9Edwin通知delay一个月)</t>
        </r>
      </text>
    </comment>
    <comment ref="F1938" authorId="230">
      <text>
        <r>
          <rPr>
            <sz val="10"/>
            <rFont val="宋体"/>
            <charset val="134"/>
          </rPr>
          <t>(5/9Edwin通知delay一个月)</t>
        </r>
      </text>
    </comment>
    <comment ref="F1939" authorId="231">
      <text>
        <r>
          <rPr>
            <sz val="10"/>
            <rFont val="宋体"/>
            <charset val="134"/>
          </rPr>
          <t>(5/9Edwin通知delay一个月)</t>
        </r>
      </text>
    </comment>
    <comment ref="F1940" authorId="232">
      <text>
        <r>
          <rPr>
            <sz val="10"/>
            <rFont val="宋体"/>
            <charset val="134"/>
          </rPr>
          <t>(5/9Edwin通知delay一个月)</t>
        </r>
      </text>
    </comment>
    <comment ref="F1941" authorId="233">
      <text>
        <r>
          <rPr>
            <sz val="10"/>
            <rFont val="宋体"/>
            <charset val="134"/>
          </rPr>
          <t>(5/9Edwin通知delay一个月)</t>
        </r>
      </text>
    </comment>
    <comment ref="F1942" authorId="234">
      <text>
        <r>
          <rPr>
            <sz val="10"/>
            <rFont val="宋体"/>
            <charset val="134"/>
          </rPr>
          <t>(5/9Edwin通知delay一个月)</t>
        </r>
      </text>
    </comment>
    <comment ref="F1943" authorId="235">
      <text>
        <r>
          <rPr>
            <sz val="10"/>
            <rFont val="宋体"/>
            <charset val="134"/>
          </rPr>
          <t>(5/9Edwin通知delay一个月)</t>
        </r>
      </text>
    </comment>
    <comment ref="G1944" authorId="236">
      <text>
        <r>
          <rPr>
            <sz val="10"/>
            <rFont val="宋体"/>
            <charset val="134"/>
          </rPr>
          <t>原ETD:7.15, 6/13 Brenden确认delay</t>
        </r>
      </text>
    </comment>
    <comment ref="F1965" authorId="237">
      <text>
        <r>
          <rPr>
            <sz val="10"/>
            <rFont val="宋体"/>
            <charset val="134"/>
          </rPr>
          <t>（5/6Edwin通知延迟）</t>
        </r>
      </text>
    </comment>
    <comment ref="G1968" authorId="238">
      <text>
        <r>
          <rPr>
            <sz val="10"/>
            <rFont val="宋体"/>
            <charset val="134"/>
          </rPr>
          <t>原ETD:8/15</t>
        </r>
      </text>
    </comment>
    <comment ref="D1969" authorId="239">
      <text>
        <r>
          <rPr>
            <sz val="10"/>
            <rFont val="宋体"/>
            <charset val="134"/>
          </rPr>
          <t>RAC-325短装（原45台）</t>
        </r>
      </text>
    </comment>
    <comment ref="G1970" authorId="240">
      <text>
        <r>
          <rPr>
            <sz val="10"/>
            <rFont val="宋体"/>
            <charset val="134"/>
          </rPr>
          <t>原ETD:8/15</t>
        </r>
      </text>
    </comment>
    <comment ref="D1971" authorId="241">
      <text>
        <r>
          <rPr>
            <sz val="10"/>
            <rFont val="宋体"/>
            <charset val="134"/>
          </rPr>
          <t>RAC-325短装（原45台）</t>
        </r>
      </text>
    </comment>
    <comment ref="G1972" authorId="242">
      <text>
        <r>
          <rPr>
            <sz val="10"/>
            <rFont val="宋体"/>
            <charset val="134"/>
          </rPr>
          <t>原ETD:8/15</t>
        </r>
      </text>
    </comment>
    <comment ref="D1973" authorId="243">
      <text>
        <r>
          <rPr>
            <sz val="10"/>
            <rFont val="宋体"/>
            <charset val="134"/>
          </rPr>
          <t>RAC-325短装（原45台）</t>
        </r>
      </text>
    </comment>
    <comment ref="F1974" authorId="244">
      <text>
        <r>
          <rPr>
            <sz val="10"/>
            <rFont val="宋体"/>
            <charset val="134"/>
          </rPr>
          <t>（5/6Edwin通知延迟）</t>
        </r>
      </text>
    </comment>
    <comment ref="G1977" authorId="245">
      <text>
        <r>
          <rPr>
            <sz val="10"/>
            <rFont val="宋体"/>
            <charset val="134"/>
          </rPr>
          <t>原ETD：8/15</t>
        </r>
      </text>
    </comment>
    <comment ref="G1980" authorId="246">
      <text>
        <r>
          <rPr>
            <sz val="10"/>
            <rFont val="宋体"/>
            <charset val="134"/>
          </rPr>
          <t>原ETD：8/15</t>
        </r>
      </text>
    </comment>
    <comment ref="J1987" authorId="247">
      <text>
        <r>
          <rPr>
            <sz val="10"/>
            <rFont val="宋体"/>
            <charset val="134"/>
          </rPr>
          <t>原destination：VIC-MEL</t>
        </r>
      </text>
    </comment>
    <comment ref="G1989" authorId="248">
      <text>
        <r>
          <rPr>
            <sz val="10"/>
            <rFont val="宋体"/>
            <charset val="134"/>
          </rPr>
          <t>原ETD：9/1</t>
        </r>
      </text>
    </comment>
    <comment ref="G1999" authorId="249">
      <text>
        <r>
          <rPr>
            <sz val="10"/>
            <rFont val="宋体"/>
            <charset val="134"/>
          </rPr>
          <t>原ETD：9.1</t>
        </r>
      </text>
    </comment>
    <comment ref="G2005" authorId="250">
      <text>
        <r>
          <rPr>
            <sz val="10"/>
            <rFont val="宋体"/>
            <charset val="134"/>
          </rPr>
          <t>原ETD：9.1</t>
        </r>
      </text>
    </comment>
    <comment ref="D2011" authorId="251">
      <text>
        <r>
          <rPr>
            <sz val="10"/>
            <rFont val="宋体"/>
            <charset val="134"/>
          </rPr>
          <t>RAC-306短装；共320台，短装59台</t>
        </r>
      </text>
    </comment>
    <comment ref="G2013" authorId="252">
      <text>
        <r>
          <rPr>
            <sz val="10"/>
            <rFont val="宋体"/>
            <charset val="134"/>
          </rPr>
          <t>原ETD：9.1</t>
        </r>
      </text>
    </comment>
    <comment ref="G2018" authorId="253">
      <text>
        <r>
          <rPr>
            <sz val="10"/>
            <rFont val="宋体"/>
            <charset val="134"/>
          </rPr>
          <t>原ETD：9.1</t>
        </r>
      </text>
    </comment>
    <comment ref="G2024" authorId="254">
      <text>
        <r>
          <rPr>
            <sz val="10"/>
            <rFont val="宋体"/>
            <charset val="134"/>
          </rPr>
          <t>原ETD：9.1</t>
        </r>
      </text>
    </comment>
    <comment ref="G2029" authorId="255">
      <text>
        <r>
          <rPr>
            <sz val="10"/>
            <rFont val="宋体"/>
            <charset val="134"/>
          </rPr>
          <t>原ETD：9.1</t>
        </r>
      </text>
    </comment>
    <comment ref="D2042" authorId="256">
      <text>
        <r>
          <rPr>
            <sz val="10"/>
            <rFont val="宋体"/>
            <charset val="134"/>
          </rPr>
          <t>RAC-325短装（原45台）</t>
        </r>
      </text>
    </comment>
    <comment ref="G2042" authorId="257">
      <text>
        <r>
          <rPr>
            <sz val="10"/>
            <rFont val="宋体"/>
            <charset val="134"/>
          </rPr>
          <t>原ETD:8/15</t>
        </r>
      </text>
    </comment>
    <comment ref="D2043" authorId="258">
      <text>
        <r>
          <rPr>
            <sz val="10"/>
            <rFont val="宋体"/>
            <charset val="134"/>
          </rPr>
          <t>local delivery：34</t>
        </r>
      </text>
    </comment>
    <comment ref="F2043" authorId="259">
      <text>
        <r>
          <rPr>
            <sz val="10"/>
            <rFont val="宋体"/>
            <charset val="134"/>
          </rPr>
          <t>5/30客户提出愿意8.28接受货物</t>
        </r>
      </text>
    </comment>
    <comment ref="D2044" authorId="260">
      <text>
        <r>
          <rPr>
            <sz val="10"/>
            <rFont val="宋体"/>
            <charset val="134"/>
          </rPr>
          <t>local delivery：34</t>
        </r>
      </text>
    </comment>
    <comment ref="D2045" authorId="261">
      <text>
        <r>
          <rPr>
            <sz val="10"/>
            <rFont val="宋体"/>
            <charset val="134"/>
          </rPr>
          <t>local delivery：58</t>
        </r>
      </text>
    </comment>
    <comment ref="D2046" authorId="262">
      <text>
        <r>
          <rPr>
            <sz val="10"/>
            <rFont val="宋体"/>
            <charset val="134"/>
          </rPr>
          <t>local delivery：58</t>
        </r>
      </text>
    </comment>
    <comment ref="D2047" authorId="263">
      <text>
        <r>
          <rPr>
            <sz val="10"/>
            <rFont val="宋体"/>
            <charset val="134"/>
          </rPr>
          <t>local delivery：10</t>
        </r>
      </text>
    </comment>
    <comment ref="D2048" authorId="264">
      <text>
        <r>
          <rPr>
            <sz val="10"/>
            <rFont val="宋体"/>
            <charset val="134"/>
          </rPr>
          <t>local delivery：10</t>
        </r>
      </text>
    </comment>
    <comment ref="D2049" authorId="265">
      <text>
        <r>
          <rPr>
            <sz val="10"/>
            <rFont val="宋体"/>
            <charset val="134"/>
          </rPr>
          <t>local delivery：6</t>
        </r>
      </text>
    </comment>
    <comment ref="D2050" authorId="266">
      <text>
        <r>
          <rPr>
            <sz val="10"/>
            <rFont val="宋体"/>
            <charset val="134"/>
          </rPr>
          <t>local delivery：6</t>
        </r>
      </text>
    </comment>
    <comment ref="D2051" authorId="267">
      <text>
        <r>
          <rPr>
            <sz val="10"/>
            <rFont val="宋体"/>
            <charset val="134"/>
          </rPr>
          <t>local delivery：61</t>
        </r>
      </text>
    </comment>
    <comment ref="D2052" authorId="268">
      <text>
        <r>
          <rPr>
            <sz val="10"/>
            <rFont val="宋体"/>
            <charset val="134"/>
          </rPr>
          <t>local delivery：61</t>
        </r>
      </text>
    </comment>
    <comment ref="D2053" authorId="269">
      <text>
        <r>
          <rPr>
            <sz val="10"/>
            <rFont val="宋体"/>
            <charset val="134"/>
          </rPr>
          <t>local delivery：4</t>
        </r>
      </text>
    </comment>
    <comment ref="D2054" authorId="270">
      <text>
        <r>
          <rPr>
            <sz val="10"/>
            <rFont val="宋体"/>
            <charset val="134"/>
          </rPr>
          <t>local delivery：4</t>
        </r>
      </text>
    </comment>
    <comment ref="D2263" authorId="271">
      <text>
        <r>
          <rPr>
            <sz val="10"/>
            <rFont val="宋体"/>
            <charset val="134"/>
          </rPr>
          <t>Local pick up:156</t>
        </r>
      </text>
    </comment>
    <comment ref="D2264" authorId="272">
      <text>
        <r>
          <rPr>
            <sz val="10"/>
            <rFont val="宋体"/>
            <charset val="134"/>
          </rPr>
          <t>Local pick up:40</t>
        </r>
      </text>
    </comment>
    <comment ref="D2265" authorId="273">
      <text>
        <r>
          <rPr>
            <sz val="10"/>
            <rFont val="宋体"/>
            <charset val="134"/>
          </rPr>
          <t>Local pick up:5</t>
        </r>
      </text>
    </comment>
    <comment ref="D2266" authorId="274">
      <text>
        <r>
          <rPr>
            <sz val="10"/>
            <rFont val="宋体"/>
            <charset val="134"/>
          </rPr>
          <t>Local pick up:5</t>
        </r>
      </text>
    </comment>
    <comment ref="D2267" authorId="275">
      <text>
        <r>
          <rPr>
            <sz val="10"/>
            <rFont val="宋体"/>
            <charset val="134"/>
          </rPr>
          <t>Local pick up:27</t>
        </r>
      </text>
    </comment>
    <comment ref="D2268" authorId="276">
      <text>
        <r>
          <rPr>
            <sz val="10"/>
            <rFont val="宋体"/>
            <charset val="134"/>
          </rPr>
          <t>Local pick up:27</t>
        </r>
      </text>
    </comment>
    <comment ref="D2269" authorId="277">
      <text>
        <r>
          <rPr>
            <sz val="10"/>
            <rFont val="宋体"/>
            <charset val="134"/>
          </rPr>
          <t>Local pick up:2</t>
        </r>
      </text>
    </comment>
    <comment ref="F2458" authorId="278">
      <text>
        <r>
          <rPr>
            <sz val="10"/>
            <rFont val="宋体"/>
            <charset val="134"/>
          </rPr>
          <t>req date：2025/9/1。5/15 客户通知需延期到2025/12/1</t>
        </r>
      </text>
    </comment>
  </commentList>
</comments>
</file>

<file path=xl/comments2.xml><?xml version="1.0" encoding="utf-8"?>
<comments xmlns="http://schemas.openxmlformats.org/spreadsheetml/2006/main">
  <authors>
    <author>tc={2A5C420B-EC58-4C19-8C2C-477574F7A9D1}</author>
    <author>tc={48527F07-9845-4909-BE97-18ED95377AD0}</author>
    <author>tc={D1149367-A40E-419E-A6F6-A07CF5DDD564}</author>
    <author>tc={C9447DA3-8A79-44A6-A9B3-5E68E1A897CA}</author>
    <author>tc={1FD0CD96-8245-4857-A867-07363050DB07}</author>
    <author>tc={08465A4C-E60E-4CFB-A592-7D42198AB003}</author>
    <author>tc={CF0DCB89-37B3-4D8E-B67B-B4F0A9492F5C}</author>
    <author>tc={A990C0E5-B282-401B-B2D5-491A37A7E5D8}</author>
    <author>tc={21EDEAD6-C7AA-49F8-B9BA-E23CA9FBD99E}</author>
    <author>tc={811F10EB-EB5B-4EB1-809C-10CA7EB03B39}</author>
    <author>tc={9784BFC7-6D87-4479-AAA3-DE1294CD504F}</author>
    <author>tc={9DC268F9-805F-4E46-9E49-56F69B124EB7}</author>
    <author>tc={BEEE792D-834C-44B1-8D3C-E568B0DDB68E}</author>
    <author>tc={AD78C89F-0613-4E0B-B196-2D2C82668C8C}</author>
    <author>tc={4B7B63DC-79BA-4034-82B1-6C36595AF76C}</author>
    <author>tc={068DEE0D-FF1F-4FC8-B57C-F9E56C216596}</author>
    <author>tc={D0461EBD-32F8-4487-9E39-17338569C021}</author>
    <author>tc={8EB7EAB7-6378-425D-8195-290C3015ADEA}</author>
    <author>tc={E1602BEC-FEAE-4829-9038-1A6802381C60}</author>
    <author>tc={86EDA5BD-7280-4928-9177-E79705DC46A5}</author>
    <author>tc={C7084CB9-A725-4DAF-BCF4-841905E84017}</author>
    <author>tc={DBB54371-67AA-404B-8FFC-B75BAD507483}</author>
    <author>tc={7299D7C0-487B-483F-948E-BB179536D20B}</author>
    <author>tc={1890DFD6-7670-4289-BC61-346FDD249511}</author>
    <author>tc={6102972C-5A75-4E88-B1AE-AC604A1B677D}</author>
    <author>tc={914AE3BB-1856-406C-AC46-D14363EC391B}</author>
    <author>tc={F4313F51-1298-4130-9C36-99F6F0DF0BB1}</author>
    <author>tc={DF6415DE-5C21-4E87-ADF0-949C535F3031}</author>
    <author>tc={10F32AA5-7CD5-445B-BFD8-A9942F09487A}</author>
    <author>tc={54A91108-5146-4294-A22D-B49403B14529}</author>
    <author>tc={92D19E3C-6B60-46DA-9D94-E955ED852B2F}</author>
    <author>tc={ACCCB680-309D-4628-99A8-A3AA0162D3B3}</author>
    <author>tc={72275962-CB80-4A92-A64B-8ABD9F50B2A2}</author>
    <author>tc={3E7E6BE9-9437-40BA-859D-8B6D8B4C5D6E}</author>
    <author>tc={EF44A178-2A8E-4841-BFF7-BD1393E27968}</author>
    <author>tc={5B54A139-3F9F-4FE7-A294-E3ADD8B1435E}</author>
    <author>tc={8FC67CF8-8807-4DC5-B1B2-51F2651BA9AC}</author>
    <author>tc={B81587DE-CBAD-4E8F-AE5B-61EFAB589832}</author>
    <author>tc={310E534D-0C2A-4774-9822-3FAA0A5F0F19}</author>
    <author>tc={453CDF37-38CF-4F25-A9DA-F792AAC1F6CA}</author>
    <author>tc={AA453CDC-CC98-4103-BF5D-4A6F67574D96}</author>
    <author>tc={EAD6883C-BB62-4CD1-95F4-C72226FD1FDF}</author>
    <author>tc={F6CFCB01-DB70-4051-B775-39D05F1E0C6F}</author>
    <author>tc={3E1960AF-0F51-45AA-8EF1-92C553DA1079}</author>
    <author>tc={30B06B1E-3E0D-4298-8508-95B976DB55BF}</author>
    <author>tc={9F646380-8556-406F-B41A-0EC27F8BF478}</author>
    <author>tc={F2B70766-7500-4213-94FA-682C505B3BBB}</author>
    <author>tc={CEF40ABB-B1FC-4D26-AC82-71EF57D5C185}</author>
    <author>tc={173783FC-31A2-424E-8A2F-6FB8FD9C748F}</author>
    <author>tc={C8165D08-2D73-47C8-A74C-518346D2A862}</author>
    <author>tc={EF62F4F4-AC0F-427E-B003-754E893EC410}</author>
    <author>tc={B61DC3B0-ED73-4096-80FB-8B10A5E636CB}</author>
    <author>tc={9B3699BD-0EA5-4A4B-871D-980F9415EC15}</author>
    <author>tc={35C44C6D-963C-46B1-A762-5E67F766CF99}</author>
    <author>tc={98F3180E-8837-43F9-985B-1C74E5B17C66}</author>
    <author>tc={1773388D-644F-4FBF-8976-3792DE05DE75}</author>
    <author>tc={3950B328-BB42-4FF5-80A4-446F2A844604}</author>
    <author>tc={6EB0B71F-7BBF-4043-9CF0-282B91D87036}</author>
    <author>tc={76EB4A91-9B2A-4558-8898-26F8F4201804}</author>
    <author>tc={CC078A32-2661-4F2F-BD2A-2970A819797F}</author>
    <author>tc={8D252D96-202B-4CF9-8617-0D8C481488E5}</author>
    <author>tc={BF98DBFE-608C-4015-ABBC-8BD37B295945}</author>
    <author>tc={5DA911B2-DC66-4478-A39A-ECF251BD76DE}</author>
    <author>tc={99F358FD-5F7E-4B63-947F-72966741BAB7}</author>
    <author>tc={6988B4F7-4F61-4270-ADC7-83960A0F4FC3}</author>
    <author>tc={CAE8FD6F-B5C8-4EFC-BE6E-962C6E3AF2B2}</author>
    <author>tc={66040072-1214-4BE1-981C-0F0152BE6931}</author>
    <author>tc={5C17FE61-7567-40CD-B3F6-80D6DB31631A}</author>
    <author>tc={310132EC-D07B-44B9-897C-605D56AEA011}</author>
    <author>tc={83F8CF41-6D25-4ABE-9195-7C1A6779F742}</author>
    <author>tc={FD0FC9E5-6F8A-4282-802E-7ED805AD5433}</author>
    <author>tc={DE7C2B5C-337B-4B4A-A0C7-6D8EF53923CB}</author>
    <author>tc={22F9B1B5-3226-4BDE-96CB-2347EF5F3453}</author>
    <author>tc={EC85CECC-E371-4055-B39D-9C2087DE3C2F}</author>
    <author>tc={DBA28EF5-D327-489D-84C9-FD799449C1C4}</author>
    <author>tc={A5247DC1-9F1A-458B-8DCF-308AA9CA5B72}</author>
    <author>tc={B82CA769-D1CE-466D-9684-D8E3EAE0545D}</author>
    <author>tc={4DDCE108-F9C1-4B4C-B06C-E0E70BD98D42}</author>
    <author>tc={B603AC8D-EA08-45AD-8638-FAA36C5D438B}</author>
    <author>tc={B7743F27-3CB3-412A-971C-C941F4EFEA53}</author>
    <author>tc={5498F5F1-A08B-4AAC-B765-461CC34529D3}</author>
    <author>tc={DE2FAFCB-7986-4EA8-91DC-04F31217699C}</author>
    <author>tc={90E5BEED-4BF4-4E8E-9198-BC2362936522}</author>
    <author>tc={6A10E012-26F9-461A-9BFB-0B3F8A5B363D}</author>
    <author>tc={B23899AE-AF5A-4E71-A435-837888E8833E}</author>
    <author>tc={FC0621DF-D771-4E4C-B057-196589BB0D87}</author>
    <author>tc={A4DD8BE1-ED38-479A-A6BA-81A560FEE063}</author>
    <author>tc={084986ED-670C-4EAE-B0ED-BA47102023D0}</author>
    <author>tc={37A5889C-608D-422E-B87D-CC4A95D59A92}</author>
    <author>tc={36E77588-9E35-4359-ADD7-77A2ECD5EC9C}</author>
    <author>tc={A230F1EB-7338-47B0-9DEF-D928D7DD6421}</author>
    <author>tc={15DC7D36-B3AB-490C-B247-6080EB0E1BD2}</author>
    <author>tc={0BF4436D-DF19-47E5-8164-2E6A9964BDBB}</author>
    <author>tc={DDF60E68-C148-4026-BDF9-C16B8BB7162A}</author>
    <author>tc={34BC189E-C190-4DCE-82D5-B6744F53CD50}</author>
    <author>tc={FE162D7F-9CAF-4612-BEB0-DC2947F67AEA}</author>
    <author>tc={75CD9C83-D68E-4F2B-88D9-72F222C3A12E}</author>
    <author>tc={6C6FFA03-180B-475E-9E28-D5FAB61812E0}</author>
    <author>tc={BF4D05CF-7E14-48F8-B2E4-3F450E977CD7}</author>
    <author>tc={33731B8A-E4F9-476B-B3D6-B7A650AC5BB9}</author>
    <author>tc={71CD02A7-106F-40E7-A43E-D578732A81BF}</author>
    <author>tc={AAA70EBE-5A1A-4054-936E-7CC5F496D4D6}</author>
    <author>tc={653F03ED-E261-4DD7-913F-2AA9773EF84F}</author>
    <author>tc={066AEDE5-EA65-4280-AF01-9C1FDD3DD493}</author>
    <author>tc={C66B4D49-4B8D-41E4-89DA-561B6D0584E7}</author>
    <author>tc={B623FE58-0088-4533-9337-BFBA3B93CF67}</author>
    <author>tc={4776B2ED-CEBB-4E76-8425-650FC195C55F}</author>
    <author>tc={21828D81-1C74-45F8-8F5E-8ABEA82F6EB6}</author>
    <author>tc={22D367B8-BE93-4B0F-955B-0791AFD0DE75}</author>
    <author>tc={7C9D3A12-3972-464A-8A42-0CC7F24CFF77}</author>
    <author>tc={FCFC1CBD-DCE5-4C4F-9B32-3C3AB34A7249}</author>
    <author>tc={FA55F81E-47BD-4FCD-A527-133C766F82A0}</author>
    <author>tc={390CF6FA-EE20-4296-86B6-5618B8E77AA8}</author>
    <author>tc={672241D1-3D98-4678-AF4E-A9A6B21A345B}</author>
    <author>tc={D342728A-B272-4A07-B736-BEB0B9E79EAC}</author>
    <author>tc={5FD83F49-FE62-4CF1-8501-0BA77488A88B}</author>
    <author>tc={1CFDA792-D9B4-4CBB-B331-46700328DFDE}</author>
    <author>tc={DE3D1ECF-6D01-4F44-B8B6-6E490D8C1177}</author>
    <author>tc={19C3A408-B64D-46D4-9A72-A1CAEA827CDA}</author>
    <author>tc={B50776C4-FF95-40CC-AA3C-5C4A2F0C1C7F}</author>
    <author>tc={237E2CDA-1607-4A87-BA0C-1F0C4E35747E}</author>
    <author>tc={5277604A-C726-47D8-8793-3CB08D3A2139}</author>
    <author>tc={DC65837E-CAFA-4B81-8D02-D9ED57DB3437}</author>
    <author>tc={E2F1C37D-5441-4777-A537-2D108EF26BA6}</author>
    <author>tc={715B9C3B-B32F-41A2-A5D7-FCFC4F5550E7}</author>
    <author>tc={CC358474-9313-4BB0-998E-F01CCE7067CB}</author>
    <author>tc={701C1E97-5363-42F0-91EB-B7D7AA0ADB62}</author>
    <author>tc={CC90712D-B4B7-442C-9495-C7D527A7B468}</author>
    <author>tc={58530568-9A46-4FBB-A6AA-366E89A49D20}</author>
    <author>tc={96EB33B6-2EA5-4CDB-87A1-0A9AB638A49C}</author>
    <author>tc={D0EE5A8E-6834-4593-9CA0-0C239B8AF9AB}</author>
    <author>tc={D49A117C-2380-4854-9A97-E8B707613216}</author>
    <author>tc={7FAE888F-D167-48F2-A4E8-EE4C4B2C3DF4}</author>
    <author>tc={A2768806-88DE-406F-9574-4B47AB6277EF}</author>
    <author>tc={2C275324-9C9E-468F-A41C-2F72686A6C1C}</author>
    <author>tc={E136FB6B-F517-4957-B957-08F70F19FEF7}</author>
    <author>tc={21F54CF6-7216-4B17-83D4-F9C18323F0E9}</author>
    <author>tc={F0F19C84-C257-4393-9C74-CE1DDACF8BFA}</author>
    <author>tc={79B7F038-C773-4530-8E9D-BC284E6BD326}</author>
    <author>tc={F2862884-3BC5-47FC-8552-2A84DCE2785D}</author>
    <author>tc={B0A312AD-B206-4327-B1EC-8277E10142CC}</author>
    <author>tc={9AA309F0-E4EE-41F2-9CDE-ACE83024DB4B}</author>
    <author>tc={B4F82587-A613-46F9-9319-B991AF8D2C3C}</author>
    <author>tc={7A5A4A3E-E18E-4D5B-BFBE-B92250827F6D}</author>
    <author>tc={45AE93B5-E81B-4307-BDC3-7D368E1E3F2A}</author>
    <author>tc={A98A56ED-9CDA-4164-A77E-8830A01F1EC8}</author>
    <author>tc={92F6740E-D155-4CF3-B10B-0E1CA6C35F11}</author>
    <author>tc={EE05E40E-1528-4307-8D8E-27C0879FB4D9}</author>
    <author>tc={FEEC5C1B-B2B4-45EA-A132-407BC2DB92C3}</author>
    <author>tc={BF6574B2-25A9-4629-AC30-5107E24337F8}</author>
    <author>tc={F147EEEE-BED2-4B05-AF06-A710F2013CDB}</author>
    <author>tc={1041537F-3832-48BB-AF1A-7338BB880781}</author>
    <author>tc={84E27C72-5B02-461A-B6B5-68BAEB6F3D1D}</author>
    <author>tc={EF3D46B3-0F81-41BA-A53C-4AF5E8658BB9}</author>
    <author>tc={7723C1D6-5E82-41A1-8212-AC345BB46852}</author>
    <author>tc={7933E77D-E3E5-4502-9F24-88A5CC185DEB}</author>
    <author>tc={E3C9F374-5820-4B76-8F7D-426EA7C487E1}</author>
    <author>tc={8C4DDD46-D5C4-4233-B342-9BED9F442C55}</author>
    <author>tc={3DB0520E-160F-4DAC-81DA-A07DB0342C7A}</author>
    <author>tc={71D8E529-AA9F-4272-A15F-DC61CA88EF9B}</author>
    <author>tc={7BFFE6FD-AB40-4C92-8DC1-E5D22C6B7CDD}</author>
    <author>tc={C531086D-4EDE-4777-B061-69E849B61B34}</author>
    <author>tc={599D12AC-791D-4507-9F5C-49EBF2B818AF}</author>
    <author>tc={1C7EA6BB-D667-49C9-A21A-FCCE18408961}</author>
    <author>tc={8CB3EACF-0580-4545-A890-66B12C328872}</author>
    <author>tc={9AE092C2-471D-4D11-B616-E1BBF14EEE22}</author>
    <author>tc={54990799-BF9F-49CE-91D3-43D41EA567CA}</author>
    <author>tc={49966795-3E2D-4147-B24A-6FAC843D5D0E}</author>
    <author>tc={35E30066-083F-418D-8E86-469DE850E7A5}</author>
    <author>tc={6506CEDA-E824-49DB-926D-8B2CF7CBC192}</author>
    <author>tc={93D0EAD1-511A-415F-8DF5-51309795EE6F}</author>
    <author>tc={8509BC37-5DB3-4F66-9A60-9E1D42E64AD9}</author>
    <author>tc={9BB18E10-C07C-44A7-8B84-91E9D6E30CDB}</author>
    <author>tc={FA3B93D1-8A47-4D20-85B2-B954B5F219F2}</author>
    <author>tc={8A13141C-CD65-4852-9849-89DE311224A3}</author>
    <author>tc={4FEB7E42-DA8D-4906-A6FB-7961EB5EA99F}</author>
    <author>tc={91E1138E-3C94-4943-BABC-D7AACC23476F}</author>
    <author>tc={66D7C07F-7DD2-4F46-A859-D829C8A76C35}</author>
    <author>tc={8FC63D1D-80D8-4AF2-9478-2E9F495E384D}</author>
    <author>tc={FDFEB01A-1EC3-4868-9A5E-C209208CFDA1}</author>
    <author>tc={609D2FD3-B555-4484-9F84-17598FA891D2}</author>
    <author>tc={EB872B42-DB41-4F66-950E-C2F1E176740A}</author>
    <author>tc={317130DC-35B9-4C62-82F5-8630F6AD0C47}</author>
    <author>tc={C5F2A6A9-BC20-4715-AC5A-36F50FA4926C}</author>
    <author>tc={CC45F8BC-26E5-49ED-B39F-BB8ABCDA1DF5}</author>
    <author>tc={A69CF72C-8892-4661-922D-8E0B92C191F3}</author>
    <author>tc={57AC2FBF-D46B-453A-86CF-EF63C1DDB341}</author>
    <author>tc={355696AC-576D-48E6-B651-3D5D9861940C}</author>
    <author>tc={4F28AC39-C438-4B04-8210-AC52527399B1}</author>
    <author>tc={6B87B2F4-2B77-4591-986C-62923063FC52}</author>
    <author>tc={BBF4B915-D263-4BB1-86EC-E4064D738D8F}</author>
    <author>tc={6D1E02C9-9F1A-4DCE-A9CF-52A5EDB726AC}</author>
    <author>tc={6BF92816-3345-4353-A45F-9D2BB7847578}</author>
    <author>tc={2CB1E2CE-22B8-4FD5-BC5A-8803F5F734D9}</author>
    <author>tc={43C8C96F-817E-4A7D-80AD-0AD55F274585}</author>
    <author>tc={2C972309-4C60-4E80-9AA4-3269DCE59912}</author>
    <author>tc={AECDBFF1-2684-447E-96CD-3B6FB54D1D0B}</author>
    <author>tc={C8ADC725-DCAA-404A-83D7-9373830C3EAE}</author>
    <author>tc={C4A81364-8204-4D4D-A7E7-3E89A5D68CC0}</author>
    <author>tc={3D0902F6-0DDF-4C38-A046-3ED8D2D84164}</author>
    <author>tc={83DF9E0D-9639-4CE1-823C-6BE59C1B0A12}</author>
    <author>tc={5446866E-370D-47F8-8FF3-EBEE9F744A7A}</author>
  </authors>
  <commentList>
    <comment ref="K266" authorId="0">
      <text>
        <r>
          <rPr>
            <sz val="10"/>
            <rFont val="宋体"/>
            <charset val="134"/>
          </rPr>
          <t>4/7 Curtis 通知：本地供货</t>
        </r>
      </text>
    </comment>
    <comment ref="K267" authorId="1">
      <text>
        <r>
          <rPr>
            <sz val="10"/>
            <rFont val="宋体"/>
            <charset val="134"/>
          </rPr>
          <t>4/7 Curtis 通知：本地供货</t>
        </r>
      </text>
    </comment>
    <comment ref="K268" authorId="2">
      <text>
        <r>
          <rPr>
            <sz val="10"/>
            <rFont val="宋体"/>
            <charset val="134"/>
          </rPr>
          <t>4/7 Curtis 通知：本地供货</t>
        </r>
      </text>
    </comment>
    <comment ref="K269" authorId="3">
      <text>
        <r>
          <rPr>
            <sz val="10"/>
            <rFont val="宋体"/>
            <charset val="134"/>
          </rPr>
          <t>4/7 Curtis 通知：本地供货</t>
        </r>
      </text>
    </comment>
    <comment ref="K270" authorId="4">
      <text>
        <r>
          <rPr>
            <sz val="10"/>
            <rFont val="宋体"/>
            <charset val="134"/>
          </rPr>
          <t>4/7 Curtis 通知：本地供货</t>
        </r>
      </text>
    </comment>
    <comment ref="K271" authorId="5">
      <text>
        <r>
          <rPr>
            <sz val="10"/>
            <rFont val="宋体"/>
            <charset val="134"/>
          </rPr>
          <t>4/7 Curtis 通知：本地供货</t>
        </r>
      </text>
    </comment>
    <comment ref="K272" authorId="6">
      <text>
        <r>
          <rPr>
            <sz val="10"/>
            <rFont val="宋体"/>
            <charset val="134"/>
          </rPr>
          <t>4/7 Curtis 通知：本地供货</t>
        </r>
      </text>
    </comment>
    <comment ref="K315" authorId="7">
      <text>
        <r>
          <rPr>
            <sz val="10"/>
            <rFont val="宋体"/>
            <charset val="134"/>
          </rPr>
          <t>4/17 Curtis通知改成EA,原Odisee PO 1510</t>
        </r>
      </text>
    </comment>
    <comment ref="K316" authorId="8">
      <text>
        <r>
          <rPr>
            <sz val="10"/>
            <rFont val="宋体"/>
            <charset val="134"/>
          </rPr>
          <t>4/17 Curtis通知改成EA,原Odisee PO 1510</t>
        </r>
      </text>
    </comment>
    <comment ref="K317" authorId="9">
      <text>
        <r>
          <rPr>
            <sz val="10"/>
            <rFont val="宋体"/>
            <charset val="134"/>
          </rPr>
          <t>4/17 Curtis通知改成EA,原Odisee PO 1510</t>
        </r>
      </text>
    </comment>
    <comment ref="K318" authorId="10">
      <text>
        <r>
          <rPr>
            <sz val="10"/>
            <rFont val="宋体"/>
            <charset val="134"/>
          </rPr>
          <t>4/17 Curtis通知改成EA,原Odisee PO 1510</t>
        </r>
      </text>
    </comment>
    <comment ref="K319" authorId="11">
      <text>
        <r>
          <rPr>
            <sz val="10"/>
            <rFont val="宋体"/>
            <charset val="134"/>
          </rPr>
          <t>4/17 Curtis通知改成EA,原Odisee PO 1510</t>
        </r>
      </text>
    </comment>
    <comment ref="K320" authorId="12">
      <text>
        <r>
          <rPr>
            <sz val="10"/>
            <rFont val="宋体"/>
            <charset val="134"/>
          </rPr>
          <t>4/17 Curtis通知改成EA,原Odisee PO 1510</t>
        </r>
      </text>
    </comment>
    <comment ref="K371" authorId="13">
      <text>
        <r>
          <rPr>
            <sz val="10"/>
            <rFont val="宋体"/>
            <charset val="134"/>
          </rPr>
          <t>4/7 curtis 通知：本地供货</t>
        </r>
      </text>
    </comment>
    <comment ref="H380" authorId="14">
      <text>
        <r>
          <rPr>
            <sz val="10"/>
            <rFont val="宋体"/>
            <charset val="134"/>
          </rPr>
          <t>4.27</t>
        </r>
      </text>
    </comment>
    <comment ref="H381" authorId="15">
      <text>
        <r>
          <rPr>
            <sz val="10"/>
            <rFont val="宋体"/>
            <charset val="134"/>
          </rPr>
          <t>4.27</t>
        </r>
      </text>
    </comment>
    <comment ref="D385" authorId="16">
      <text>
        <r>
          <rPr>
            <sz val="10"/>
            <rFont val="宋体"/>
            <charset val="134"/>
          </rPr>
          <t>3/28 无库存， 4/3 显示有库存</t>
        </r>
      </text>
    </comment>
    <comment ref="D386" authorId="17">
      <text>
        <r>
          <rPr>
            <sz val="10"/>
            <rFont val="宋体"/>
            <charset val="134"/>
          </rPr>
          <t>3/28 无库存， 4/3 显示有库存</t>
        </r>
      </text>
    </comment>
    <comment ref="D389" authorId="18">
      <text>
        <r>
          <rPr>
            <sz val="10"/>
            <rFont val="宋体"/>
            <charset val="134"/>
          </rPr>
          <t>3/28 无库存， 4/3 显示有库存</t>
        </r>
      </text>
    </comment>
    <comment ref="D390" authorId="19">
      <text>
        <r>
          <rPr>
            <sz val="10"/>
            <rFont val="宋体"/>
            <charset val="134"/>
          </rPr>
          <t>3/28 无库存， 4/3 显示有库存</t>
        </r>
      </text>
    </comment>
    <comment ref="D391" authorId="20">
      <text>
        <r>
          <rPr>
            <sz val="10"/>
            <rFont val="宋体"/>
            <charset val="134"/>
          </rPr>
          <t>3/28 无库存， 4/3 显示有库存</t>
        </r>
      </text>
    </comment>
    <comment ref="D392" authorId="21">
      <text>
        <r>
          <rPr>
            <sz val="10"/>
            <rFont val="宋体"/>
            <charset val="134"/>
          </rPr>
          <t>3/28 无库存， 4/3 显示有库存</t>
        </r>
      </text>
    </comment>
    <comment ref="K465" authorId="22">
      <text>
        <r>
          <rPr>
            <sz val="10"/>
            <rFont val="宋体"/>
            <charset val="134"/>
          </rPr>
          <t>4/17 Curtis通知改成Odisee PO 1510</t>
        </r>
      </text>
    </comment>
    <comment ref="K466" authorId="23">
      <text>
        <r>
          <rPr>
            <sz val="10"/>
            <rFont val="宋体"/>
            <charset val="134"/>
          </rPr>
          <t>4/17 Curtis通知改成Odisee PO 1510</t>
        </r>
      </text>
    </comment>
    <comment ref="K467" authorId="24">
      <text>
        <r>
          <rPr>
            <sz val="10"/>
            <rFont val="宋体"/>
            <charset val="134"/>
          </rPr>
          <t>4/17 Curtis通知改成Odisee PO 1510</t>
        </r>
      </text>
    </comment>
    <comment ref="C489" authorId="25">
      <text>
        <r>
          <rPr>
            <sz val="10"/>
            <rFont val="宋体"/>
            <charset val="134"/>
          </rPr>
          <t>原订单是230外机，MBT实际装入235外机</t>
        </r>
      </text>
    </comment>
    <comment ref="C492" authorId="26">
      <text>
        <r>
          <rPr>
            <sz val="10"/>
            <rFont val="宋体"/>
            <charset val="134"/>
          </rPr>
          <t>原订单是230外机，MBT实际装入235外机</t>
        </r>
      </text>
    </comment>
    <comment ref="C525" authorId="27">
      <text>
        <r>
          <rPr>
            <sz val="10"/>
            <rFont val="宋体"/>
            <charset val="134"/>
          </rPr>
          <t>经核对，MBT-140重复出，挪用了MBT-145的货</t>
        </r>
      </text>
    </comment>
    <comment ref="D569" authorId="28">
      <text>
        <r>
          <rPr>
            <sz val="10"/>
            <rFont val="宋体"/>
            <charset val="134"/>
          </rPr>
          <t>原300个，扣减了16个给polyaire PO应为284个，CI显示280个（短装4件）</t>
        </r>
      </text>
    </comment>
    <comment ref="N645" authorId="29">
      <text>
        <r>
          <rPr>
            <sz val="10"/>
            <rFont val="宋体"/>
            <charset val="134"/>
          </rPr>
          <t>4/22 更新，原CRD:5/10</t>
        </r>
      </text>
    </comment>
    <comment ref="D647" authorId="30">
      <text>
        <r>
          <rPr>
            <sz val="10"/>
            <rFont val="宋体"/>
            <charset val="134"/>
          </rPr>
          <t>原数量200个。
5/14确认从中抽25个，留给Polyaire.
5/15 Edwin确认从中抽50个安排空运</t>
        </r>
      </text>
    </comment>
    <comment ref="K687" authorId="31">
      <text>
        <r>
          <rPr>
            <sz val="10"/>
            <rFont val="宋体"/>
            <charset val="134"/>
          </rPr>
          <t>6/2 Curtis通知</t>
        </r>
      </text>
    </comment>
    <comment ref="K694" authorId="32">
      <text>
        <r>
          <rPr>
            <sz val="10"/>
            <rFont val="宋体"/>
            <charset val="134"/>
          </rPr>
          <t>6/2 Curtis通知</t>
        </r>
      </text>
    </comment>
    <comment ref="K701" authorId="33">
      <text>
        <r>
          <rPr>
            <sz val="10"/>
            <rFont val="宋体"/>
            <charset val="134"/>
          </rPr>
          <t>6/17 Curtis通知</t>
        </r>
      </text>
    </comment>
    <comment ref="D704" authorId="34">
      <text>
        <r>
          <rPr>
            <sz val="10"/>
            <rFont val="宋体"/>
            <charset val="134"/>
          </rPr>
          <t>原订单数量15pcs，工厂实际装入的是15台的45-R</t>
        </r>
      </text>
    </comment>
    <comment ref="K709" authorId="35">
      <text>
        <r>
          <rPr>
            <sz val="10"/>
            <rFont val="宋体"/>
            <charset val="134"/>
          </rPr>
          <t>7/1 Curtis通知</t>
        </r>
      </text>
    </comment>
    <comment ref="D710" authorId="36">
      <text>
        <r>
          <rPr>
            <sz val="10"/>
            <rFont val="宋体"/>
            <charset val="134"/>
          </rPr>
          <t>原订单数量50pcs，工厂实际装入40台28-A和10台28-R</t>
        </r>
      </text>
    </comment>
    <comment ref="C723" authorId="37">
      <text>
        <r>
          <rPr>
            <sz val="10"/>
            <rFont val="宋体"/>
            <charset val="134"/>
          </rPr>
          <t>要求装200外机，MBT实际装了230外机</t>
        </r>
      </text>
    </comment>
    <comment ref="D731" authorId="38">
      <text>
        <r>
          <rPr>
            <sz val="10"/>
            <rFont val="宋体"/>
            <charset val="134"/>
          </rPr>
          <t>原计划装入22pcs，短装2pcs</t>
        </r>
      </text>
    </comment>
    <comment ref="B732" authorId="39">
      <text>
        <r>
          <rPr>
            <sz val="10"/>
            <rFont val="宋体"/>
            <charset val="134"/>
          </rPr>
          <t>邮件发的是0312</t>
        </r>
      </text>
    </comment>
    <comment ref="D736" authorId="40">
      <text>
        <r>
          <rPr>
            <sz val="10"/>
            <rFont val="宋体"/>
            <charset val="134"/>
          </rPr>
          <t>原计划装入260pcs，多装12pcs</t>
        </r>
      </text>
    </comment>
    <comment ref="K744" authorId="41">
      <text>
        <r>
          <rPr>
            <sz val="10"/>
            <rFont val="宋体"/>
            <charset val="134"/>
          </rPr>
          <t>7.3 客户确认取消PolyairePO #429287.7 Curtis 通知客户不取消</t>
        </r>
      </text>
    </comment>
    <comment ref="K745" authorId="42">
      <text>
        <r>
          <rPr>
            <sz val="10"/>
            <rFont val="宋体"/>
            <charset val="134"/>
          </rPr>
          <t>7.3 客户确认取消PolyairePO #429287.7 Curtis 通知客户不取消</t>
        </r>
      </text>
    </comment>
    <comment ref="K746" authorId="43">
      <text>
        <r>
          <rPr>
            <sz val="10"/>
            <rFont val="宋体"/>
            <charset val="134"/>
          </rPr>
          <t>7.3 客户确认取消PolyairePO #429287.7 Curtis 通知客户不取消</t>
        </r>
      </text>
    </comment>
    <comment ref="K747" authorId="44">
      <text>
        <r>
          <rPr>
            <sz val="10"/>
            <rFont val="宋体"/>
            <charset val="134"/>
          </rPr>
          <t>7.3 客户确认取消PolyairePO #429287.7 Curtis 通知客户不取消</t>
        </r>
      </text>
    </comment>
    <comment ref="K748" authorId="45">
      <text>
        <r>
          <rPr>
            <sz val="10"/>
            <rFont val="宋体"/>
            <charset val="134"/>
          </rPr>
          <t>7.3 客户确认取消PolyairePO #429287.7 Curtis 通知客户不取消</t>
        </r>
      </text>
    </comment>
    <comment ref="B749" authorId="46">
      <text>
        <r>
          <rPr>
            <sz val="10"/>
            <rFont val="宋体"/>
            <charset val="134"/>
          </rPr>
          <t>邮件发的是0311</t>
        </r>
      </text>
    </comment>
    <comment ref="K749" authorId="47">
      <text>
        <r>
          <rPr>
            <sz val="10"/>
            <rFont val="宋体"/>
            <charset val="134"/>
          </rPr>
          <t>7.3 客户确认取消PolyairePO #429287.7 Curtis 通知客户不取消</t>
        </r>
      </text>
    </comment>
    <comment ref="D750" authorId="48">
      <text>
        <r>
          <rPr>
            <sz val="10"/>
            <rFont val="宋体"/>
            <charset val="134"/>
          </rPr>
          <t>原订单3pcs，多装15pcs</t>
        </r>
      </text>
    </comment>
    <comment ref="K750" authorId="49">
      <text>
        <r>
          <rPr>
            <sz val="10"/>
            <rFont val="宋体"/>
            <charset val="134"/>
          </rPr>
          <t>7.3 客户确认取消PolyairePO #429287.7 Curtis 通知客户不取消</t>
        </r>
      </text>
    </comment>
    <comment ref="K751" authorId="50">
      <text>
        <r>
          <rPr>
            <sz val="10"/>
            <rFont val="宋体"/>
            <charset val="134"/>
          </rPr>
          <t>7.3 客户确认取消PolyairePO #429287.7 Curtis 通知客户不取消</t>
        </r>
      </text>
    </comment>
    <comment ref="K752" authorId="51">
      <text>
        <r>
          <rPr>
            <sz val="10"/>
            <rFont val="宋体"/>
            <charset val="134"/>
          </rPr>
          <t>7.3 客户确认取消PolyairePO #429287.7 Curtis 通知客户不取消</t>
        </r>
      </text>
    </comment>
    <comment ref="K753" authorId="52">
      <text>
        <r>
          <rPr>
            <sz val="10"/>
            <rFont val="宋体"/>
            <charset val="134"/>
          </rPr>
          <t>7.3 客户确认取消PolyairePO #429287.7 Curtis 通知客户不取消</t>
        </r>
      </text>
    </comment>
    <comment ref="K754" authorId="53">
      <text>
        <r>
          <rPr>
            <sz val="10"/>
            <rFont val="宋体"/>
            <charset val="134"/>
          </rPr>
          <t>6/19 Curtis通知7/11 Curtis通知把DLZ改成SPT 0108</t>
        </r>
      </text>
    </comment>
    <comment ref="B758" authorId="54">
      <text>
        <r>
          <rPr>
            <sz val="10"/>
            <rFont val="宋体"/>
            <charset val="134"/>
          </rPr>
          <t>邮件发的是0312</t>
        </r>
      </text>
    </comment>
    <comment ref="K759" authorId="55">
      <text>
        <r>
          <rPr>
            <sz val="10"/>
            <rFont val="宋体"/>
            <charset val="134"/>
          </rPr>
          <t>6/19 Curtis通知</t>
        </r>
      </text>
    </comment>
    <comment ref="D764" authorId="56">
      <text>
        <r>
          <rPr>
            <sz val="10"/>
            <rFont val="宋体"/>
            <charset val="134"/>
          </rPr>
          <t>原订单30pcs，短装12pcs</t>
        </r>
      </text>
    </comment>
    <comment ref="K765" authorId="57">
      <text>
        <r>
          <rPr>
            <sz val="10"/>
            <rFont val="宋体"/>
            <charset val="134"/>
          </rPr>
          <t>6/19 Curtis通知</t>
        </r>
      </text>
    </comment>
    <comment ref="D770" authorId="58">
      <text>
        <r>
          <rPr>
            <sz val="10"/>
            <rFont val="宋体"/>
            <charset val="134"/>
          </rPr>
          <t>原订单30pcs，短装16pcs</t>
        </r>
      </text>
    </comment>
    <comment ref="K771" authorId="59">
      <text>
        <r>
          <rPr>
            <sz val="10"/>
            <rFont val="宋体"/>
            <charset val="134"/>
          </rPr>
          <t>7/8 Curtis通知</t>
        </r>
      </text>
    </comment>
    <comment ref="D774" authorId="60">
      <text>
        <r>
          <rPr>
            <sz val="10"/>
            <rFont val="宋体"/>
            <charset val="134"/>
          </rPr>
          <t>原订单20pcs，短装了7pcs</t>
        </r>
      </text>
    </comment>
    <comment ref="K776" authorId="61">
      <text>
        <r>
          <rPr>
            <sz val="10"/>
            <rFont val="宋体"/>
            <charset val="134"/>
          </rPr>
          <t>7/8 Curtis通知</t>
        </r>
      </text>
    </comment>
    <comment ref="D778" authorId="62">
      <text>
        <r>
          <rPr>
            <sz val="10"/>
            <rFont val="宋体"/>
            <charset val="134"/>
          </rPr>
          <t>多装20pcs</t>
        </r>
      </text>
    </comment>
    <comment ref="K782" authorId="63">
      <text>
        <r>
          <rPr>
            <sz val="10"/>
            <rFont val="宋体"/>
            <charset val="134"/>
          </rPr>
          <t>7/8 Curtis通知</t>
        </r>
      </text>
    </comment>
    <comment ref="B786" authorId="64">
      <text>
        <r>
          <rPr>
            <sz val="10"/>
            <rFont val="宋体"/>
            <charset val="134"/>
          </rPr>
          <t>邮件是0312的</t>
        </r>
      </text>
    </comment>
    <comment ref="K789" authorId="65">
      <text>
        <r>
          <rPr>
            <sz val="10"/>
            <rFont val="宋体"/>
            <charset val="134"/>
          </rPr>
          <t>7/8 Curtis通知</t>
        </r>
      </text>
    </comment>
    <comment ref="B793" authorId="66">
      <text>
        <r>
          <rPr>
            <sz val="10"/>
            <rFont val="宋体"/>
            <charset val="134"/>
          </rPr>
          <t>邮件发的是0312</t>
        </r>
      </text>
    </comment>
    <comment ref="K796" authorId="67">
      <text>
        <r>
          <rPr>
            <sz val="10"/>
            <rFont val="宋体"/>
            <charset val="134"/>
          </rPr>
          <t>7/8 Curtis通知</t>
        </r>
      </text>
    </comment>
    <comment ref="B800" authorId="68">
      <text>
        <r>
          <rPr>
            <sz val="10"/>
            <rFont val="宋体"/>
            <charset val="134"/>
          </rPr>
          <t>邮件发的是0312</t>
        </r>
      </text>
    </comment>
    <comment ref="K803" authorId="69">
      <text>
        <r>
          <rPr>
            <sz val="10"/>
            <rFont val="宋体"/>
            <charset val="134"/>
          </rPr>
          <t>7/8 Curtis通知</t>
        </r>
      </text>
    </comment>
    <comment ref="D806" authorId="70">
      <text>
        <r>
          <rPr>
            <sz val="10"/>
            <rFont val="宋体"/>
            <charset val="134"/>
          </rPr>
          <t>原订单15pcs，短装1pcs</t>
        </r>
      </text>
    </comment>
    <comment ref="B807" authorId="71">
      <text>
        <r>
          <rPr>
            <sz val="10"/>
            <rFont val="宋体"/>
            <charset val="134"/>
          </rPr>
          <t>邮件发的是0312</t>
        </r>
      </text>
    </comment>
    <comment ref="K810" authorId="72">
      <text>
        <r>
          <rPr>
            <sz val="10"/>
            <rFont val="宋体"/>
            <charset val="134"/>
          </rPr>
          <t>7/8 Curtis通知7.11Curtis通知把HDA改成dlz。</t>
        </r>
      </text>
    </comment>
    <comment ref="D813" authorId="73">
      <text>
        <r>
          <rPr>
            <sz val="10"/>
            <rFont val="宋体"/>
            <charset val="134"/>
          </rPr>
          <t>原订单15pcs，多装1pcs</t>
        </r>
      </text>
    </comment>
    <comment ref="B814" authorId="74">
      <text>
        <r>
          <rPr>
            <sz val="10"/>
            <rFont val="宋体"/>
            <charset val="134"/>
          </rPr>
          <t>邮件发的是0312</t>
        </r>
      </text>
    </comment>
    <comment ref="D818" authorId="75">
      <text>
        <r>
          <rPr>
            <sz val="10"/>
            <rFont val="宋体"/>
            <charset val="134"/>
          </rPr>
          <t>原订单20pcs，短装10pcs</t>
        </r>
      </text>
    </comment>
    <comment ref="K832" authorId="76">
      <text>
        <r>
          <rPr>
            <sz val="10"/>
            <rFont val="宋体"/>
            <charset val="134"/>
          </rPr>
          <t>7/9 Curtis通知</t>
        </r>
      </text>
    </comment>
    <comment ref="K837" authorId="77">
      <text>
        <r>
          <rPr>
            <sz val="10"/>
            <rFont val="宋体"/>
            <charset val="134"/>
          </rPr>
          <t>6/19 Curtis通知</t>
        </r>
      </text>
    </comment>
    <comment ref="K842" authorId="78">
      <text>
        <r>
          <rPr>
            <sz val="10"/>
            <rFont val="宋体"/>
            <charset val="134"/>
          </rPr>
          <t>7/9 Curtis通知</t>
        </r>
      </text>
    </comment>
    <comment ref="K848" authorId="79">
      <text>
        <r>
          <rPr>
            <sz val="10"/>
            <rFont val="宋体"/>
            <charset val="134"/>
          </rPr>
          <t>7/9 Curtis通知</t>
        </r>
      </text>
    </comment>
    <comment ref="K853" authorId="80">
      <text>
        <r>
          <rPr>
            <sz val="10"/>
            <rFont val="宋体"/>
            <charset val="134"/>
          </rPr>
          <t>7/9 Curtis通知</t>
        </r>
      </text>
    </comment>
    <comment ref="D856" authorId="81">
      <text>
        <r>
          <rPr>
            <sz val="10"/>
            <rFont val="宋体"/>
            <charset val="134"/>
          </rPr>
          <t>原15，多装5台。从MBT-175里抽。</t>
        </r>
      </text>
    </comment>
    <comment ref="D858" authorId="82">
      <text>
        <r>
          <rPr>
            <sz val="10"/>
            <rFont val="宋体"/>
            <charset val="134"/>
          </rPr>
          <t>原36，短装1台，先为35</t>
        </r>
      </text>
    </comment>
    <comment ref="K858" authorId="83">
      <text>
        <r>
          <rPr>
            <sz val="10"/>
            <rFont val="宋体"/>
            <charset val="134"/>
          </rPr>
          <t>7/9 Curtis通知</t>
        </r>
      </text>
    </comment>
    <comment ref="K863" authorId="84">
      <text>
        <r>
          <rPr>
            <sz val="10"/>
            <rFont val="宋体"/>
            <charset val="134"/>
          </rPr>
          <t>7/9 Curtis通知</t>
        </r>
      </text>
    </comment>
    <comment ref="K871" authorId="85">
      <text>
        <r>
          <rPr>
            <sz val="10"/>
            <rFont val="宋体"/>
            <charset val="134"/>
          </rPr>
          <t>6/24 Curtis通知</t>
        </r>
      </text>
    </comment>
    <comment ref="K873" authorId="86">
      <text>
        <r>
          <rPr>
            <sz val="10"/>
            <rFont val="宋体"/>
            <charset val="134"/>
          </rPr>
          <t>7/9 Curtis通知</t>
        </r>
      </text>
    </comment>
    <comment ref="K875" authorId="87">
      <text>
        <r>
          <rPr>
            <sz val="10"/>
            <rFont val="宋体"/>
            <charset val="134"/>
          </rPr>
          <t>7/9 Curtis通知</t>
        </r>
      </text>
    </comment>
    <comment ref="K877" authorId="88">
      <text>
        <r>
          <rPr>
            <sz val="10"/>
            <rFont val="宋体"/>
            <charset val="134"/>
          </rPr>
          <t>8/6 Martin通知</t>
        </r>
      </text>
    </comment>
    <comment ref="K878" authorId="89">
      <text>
        <r>
          <rPr>
            <sz val="10"/>
            <rFont val="宋体"/>
            <charset val="134"/>
          </rPr>
          <t>8/6 Martin通知</t>
        </r>
      </text>
    </comment>
    <comment ref="K879" authorId="90">
      <text>
        <r>
          <rPr>
            <sz val="10"/>
            <rFont val="宋体"/>
            <charset val="134"/>
          </rPr>
          <t>7/9 Curtis通知</t>
        </r>
      </text>
    </comment>
    <comment ref="K881" authorId="91">
      <text>
        <r>
          <rPr>
            <sz val="10"/>
            <rFont val="宋体"/>
            <charset val="134"/>
          </rPr>
          <t>8/6 Martin通知</t>
        </r>
      </text>
    </comment>
    <comment ref="D882" authorId="92">
      <text>
        <r>
          <rPr>
            <sz val="10"/>
            <rFont val="宋体"/>
            <charset val="134"/>
          </rPr>
          <t>已有16台库存提前安排出货（MBT-099），原数量24pcs，MBT-185短装2pcs，现数量应为10pcs</t>
        </r>
      </text>
    </comment>
    <comment ref="K882" authorId="93">
      <text>
        <r>
          <rPr>
            <sz val="10"/>
            <rFont val="宋体"/>
            <charset val="134"/>
          </rPr>
          <t>8/6 Martin通知</t>
        </r>
      </text>
    </comment>
    <comment ref="D883" authorId="94">
      <text>
        <r>
          <rPr>
            <sz val="10"/>
            <rFont val="宋体"/>
            <charset val="134"/>
          </rPr>
          <t>原订单数量60pcs，MBT-176多装20pcs，扣减相应数量</t>
        </r>
      </text>
    </comment>
    <comment ref="K883" authorId="95">
      <text>
        <r>
          <rPr>
            <sz val="10"/>
            <rFont val="宋体"/>
            <charset val="134"/>
          </rPr>
          <t>7.3 客户确认取消PolyairePO #42928</t>
        </r>
      </text>
    </comment>
    <comment ref="G890" authorId="96">
      <text>
        <r>
          <rPr>
            <sz val="10"/>
            <rFont val="宋体"/>
            <charset val="134"/>
          </rPr>
          <t>原7.16</t>
        </r>
      </text>
    </comment>
    <comment ref="D898" authorId="97">
      <text>
        <r>
          <rPr>
            <sz val="10"/>
            <rFont val="宋体"/>
            <charset val="134"/>
          </rPr>
          <t>原订单3pcs，MBT-187多装了这部分的数量</t>
        </r>
      </text>
    </comment>
    <comment ref="G902" authorId="98">
      <text>
        <r>
          <rPr>
            <sz val="10"/>
            <rFont val="宋体"/>
            <charset val="134"/>
          </rPr>
          <t>原7.16</t>
        </r>
      </text>
    </comment>
    <comment ref="D909" authorId="99">
      <text>
        <r>
          <rPr>
            <sz val="10"/>
            <rFont val="宋体"/>
            <charset val="134"/>
          </rPr>
          <t>原订单3pcs，MBT-187多装了这部分的数量</t>
        </r>
      </text>
    </comment>
    <comment ref="K913" authorId="100">
      <text>
        <r>
          <rPr>
            <sz val="10"/>
            <rFont val="宋体"/>
            <charset val="134"/>
          </rPr>
          <t>7/9 Curtis通知</t>
        </r>
      </text>
    </comment>
    <comment ref="K916" authorId="101">
      <text>
        <r>
          <rPr>
            <sz val="10"/>
            <rFont val="宋体"/>
            <charset val="134"/>
          </rPr>
          <t>7/9 Curtis通知</t>
        </r>
      </text>
    </comment>
    <comment ref="K919" authorId="102">
      <text>
        <r>
          <rPr>
            <sz val="10"/>
            <rFont val="宋体"/>
            <charset val="134"/>
          </rPr>
          <t>7/9 Curtis通知8/8 Martin通知从Odisee 改为No8/14 Martin通知留给客户Aus Solar</t>
        </r>
      </text>
    </comment>
    <comment ref="K921" authorId="103">
      <text>
        <r>
          <rPr>
            <sz val="10"/>
            <rFont val="宋体"/>
            <charset val="134"/>
          </rPr>
          <t>7/9 Curtis通知8/8 Martin通知从Odisee 改为No</t>
        </r>
      </text>
    </comment>
    <comment ref="K928" authorId="104">
      <text>
        <r>
          <rPr>
            <sz val="10"/>
            <rFont val="宋体"/>
            <charset val="134"/>
          </rPr>
          <t>6/19 Curtis通知</t>
        </r>
      </text>
    </comment>
    <comment ref="K930" authorId="105">
      <text>
        <r>
          <rPr>
            <sz val="10"/>
            <rFont val="宋体"/>
            <charset val="134"/>
          </rPr>
          <t>6/19 Curtis通知</t>
        </r>
      </text>
    </comment>
    <comment ref="D940" authorId="106">
      <text>
        <r>
          <rPr>
            <sz val="10"/>
            <rFont val="宋体"/>
            <charset val="134"/>
          </rPr>
          <t>原订单3pcs，MBT-187多装了这部分的数量</t>
        </r>
      </text>
    </comment>
    <comment ref="D952" authorId="107">
      <text>
        <r>
          <rPr>
            <sz val="10"/>
            <rFont val="宋体"/>
            <charset val="134"/>
          </rPr>
          <t>原订单3pcs，MBT-187多装了这部分的数量</t>
        </r>
      </text>
    </comment>
    <comment ref="D956" authorId="108">
      <text>
        <r>
          <rPr>
            <sz val="10"/>
            <rFont val="宋体"/>
            <charset val="134"/>
          </rPr>
          <t>原订单80pcs，短装1pc</t>
        </r>
      </text>
    </comment>
    <comment ref="D961" authorId="109">
      <text>
        <r>
          <rPr>
            <sz val="10"/>
            <rFont val="宋体"/>
            <charset val="134"/>
          </rPr>
          <t>原订单85pcs，MBT-176多装38pcs，扣减相应数量</t>
        </r>
      </text>
    </comment>
    <comment ref="D964" authorId="110">
      <text>
        <r>
          <rPr>
            <sz val="10"/>
            <rFont val="宋体"/>
            <charset val="134"/>
          </rPr>
          <t>MBT-183多装5pcs</t>
        </r>
      </text>
    </comment>
    <comment ref="K969" authorId="111">
      <text>
        <r>
          <rPr>
            <sz val="10"/>
            <rFont val="宋体"/>
            <charset val="134"/>
          </rPr>
          <t>7.3 客户确认取消PolyairePO #43051</t>
        </r>
      </text>
    </comment>
    <comment ref="K970" authorId="112">
      <text>
        <r>
          <rPr>
            <sz val="10"/>
            <rFont val="宋体"/>
            <charset val="134"/>
          </rPr>
          <t>7.3 客户确认取消PolyairePO #43051</t>
        </r>
      </text>
    </comment>
    <comment ref="D972" authorId="113">
      <text>
        <r>
          <rPr>
            <sz val="10"/>
            <rFont val="宋体"/>
            <charset val="134"/>
          </rPr>
          <t>原订单45pcs，MBT-172多装了5pcs，MBT-173多装了16pcs，扣减相应数量</t>
        </r>
      </text>
    </comment>
    <comment ref="K972" authorId="114">
      <text>
        <r>
          <rPr>
            <sz val="10"/>
            <rFont val="宋体"/>
            <charset val="134"/>
          </rPr>
          <t>7.3 客户确认取消PolyairePO #43051</t>
        </r>
      </text>
    </comment>
    <comment ref="K973" authorId="115">
      <text>
        <r>
          <rPr>
            <sz val="10"/>
            <rFont val="宋体"/>
            <charset val="134"/>
          </rPr>
          <t>7.3 客户确认取消PolyairePO #43051</t>
        </r>
      </text>
    </comment>
    <comment ref="K974" authorId="116">
      <text>
        <r>
          <rPr>
            <sz val="10"/>
            <rFont val="宋体"/>
            <charset val="134"/>
          </rPr>
          <t>7.3 客户确认取消PolyairePO #43051</t>
        </r>
      </text>
    </comment>
    <comment ref="K975" authorId="117">
      <text>
        <r>
          <rPr>
            <sz val="10"/>
            <rFont val="宋体"/>
            <charset val="134"/>
          </rPr>
          <t>7.3 客户确认取消PolyairePO #43051</t>
        </r>
      </text>
    </comment>
    <comment ref="K976" authorId="118">
      <text>
        <r>
          <rPr>
            <sz val="10"/>
            <rFont val="宋体"/>
            <charset val="134"/>
          </rPr>
          <t>7.3 客户确认取消PolyairePO #43051</t>
        </r>
      </text>
    </comment>
    <comment ref="D977" authorId="119">
      <text>
        <r>
          <rPr>
            <sz val="10"/>
            <rFont val="宋体"/>
            <charset val="134"/>
          </rPr>
          <t>原订单3pcs，MBT-187多装了这部分的数量</t>
        </r>
      </text>
    </comment>
    <comment ref="K977" authorId="120">
      <text>
        <r>
          <rPr>
            <sz val="10"/>
            <rFont val="宋体"/>
            <charset val="134"/>
          </rPr>
          <t>7.3 客户确认取消PolyairePO #43051</t>
        </r>
      </text>
    </comment>
    <comment ref="K978" authorId="121">
      <text>
        <r>
          <rPr>
            <sz val="10"/>
            <rFont val="宋体"/>
            <charset val="134"/>
          </rPr>
          <t>7.3 客户确认取消PolyairePO #43051</t>
        </r>
      </text>
    </comment>
    <comment ref="D979" authorId="122">
      <text>
        <r>
          <rPr>
            <sz val="10"/>
            <rFont val="宋体"/>
            <charset val="134"/>
          </rPr>
          <t>原订单8pcs，MBT-185多装了这部分的数量</t>
        </r>
      </text>
    </comment>
    <comment ref="K979" authorId="123">
      <text>
        <r>
          <rPr>
            <sz val="10"/>
            <rFont val="宋体"/>
            <charset val="134"/>
          </rPr>
          <t>7.3 客户确认取消PolyairePO #43051</t>
        </r>
      </text>
    </comment>
    <comment ref="K980" authorId="124">
      <text>
        <r>
          <rPr>
            <sz val="10"/>
            <rFont val="宋体"/>
            <charset val="134"/>
          </rPr>
          <t>7.3 客户确认取消PolyairePO #43051</t>
        </r>
      </text>
    </comment>
    <comment ref="K981" authorId="125">
      <text>
        <r>
          <rPr>
            <sz val="10"/>
            <rFont val="宋体"/>
            <charset val="134"/>
          </rPr>
          <t>7.3 客户确认取消PolyairePO #43051</t>
        </r>
      </text>
    </comment>
    <comment ref="G982" authorId="126">
      <text>
        <r>
          <rPr>
            <sz val="10"/>
            <rFont val="宋体"/>
            <charset val="134"/>
          </rPr>
          <t>原ETD 7.28 / ETA 8.21</t>
        </r>
      </text>
    </comment>
    <comment ref="K982" authorId="127">
      <text>
        <r>
          <rPr>
            <sz val="10"/>
            <rFont val="宋体"/>
            <charset val="134"/>
          </rPr>
          <t>8/14 Martin通知</t>
        </r>
      </text>
    </comment>
    <comment ref="K983" authorId="128">
      <text>
        <r>
          <rPr>
            <sz val="10"/>
            <rFont val="宋体"/>
            <charset val="134"/>
          </rPr>
          <t>8/14 Martin通知</t>
        </r>
      </text>
    </comment>
    <comment ref="G984" authorId="129">
      <text>
        <r>
          <rPr>
            <sz val="10"/>
            <rFont val="宋体"/>
            <charset val="134"/>
          </rPr>
          <t>原ETD 7.28 / ETA 8.21</t>
        </r>
      </text>
    </comment>
    <comment ref="G986" authorId="130">
      <text>
        <r>
          <rPr>
            <sz val="10"/>
            <rFont val="宋体"/>
            <charset val="134"/>
          </rPr>
          <t>原ETD 7.28 / ETA 8.21</t>
        </r>
      </text>
    </comment>
    <comment ref="G988" authorId="131">
      <text>
        <r>
          <rPr>
            <sz val="10"/>
            <rFont val="宋体"/>
            <charset val="134"/>
          </rPr>
          <t>原ETD 7.28 / ETA 8.21</t>
        </r>
      </text>
    </comment>
    <comment ref="G990" authorId="132">
      <text>
        <r>
          <rPr>
            <sz val="10"/>
            <rFont val="宋体"/>
            <charset val="134"/>
          </rPr>
          <t>原ETD 7.28 / ETA 8.21</t>
        </r>
      </text>
    </comment>
    <comment ref="G992" authorId="133">
      <text>
        <r>
          <rPr>
            <sz val="10"/>
            <rFont val="宋体"/>
            <charset val="134"/>
          </rPr>
          <t>7/24 Martin通知被甩柜，原ETD 7.23，延后一水</t>
        </r>
      </text>
    </comment>
    <comment ref="G994" authorId="134">
      <text>
        <r>
          <rPr>
            <sz val="10"/>
            <rFont val="宋体"/>
            <charset val="134"/>
          </rPr>
          <t>7/24 Martin通知被甩柜，原ETD 7.23，延后一水</t>
        </r>
      </text>
    </comment>
    <comment ref="D996" authorId="135">
      <text>
        <r>
          <rPr>
            <sz val="10"/>
            <rFont val="宋体"/>
            <charset val="134"/>
          </rPr>
          <t>原订单100pcs，因为MBT-185有多装数量，导致MBT-186客单有4pcs缺口，扣减相应数量</t>
        </r>
      </text>
    </comment>
    <comment ref="G997" authorId="136">
      <text>
        <r>
          <rPr>
            <sz val="10"/>
            <rFont val="宋体"/>
            <charset val="134"/>
          </rPr>
          <t>7/24 Martin通知被甩柜，原ETD 7.23，延后一水</t>
        </r>
      </text>
    </comment>
    <comment ref="K1004" authorId="137">
      <text>
        <r>
          <rPr>
            <sz val="10"/>
            <rFont val="宋体"/>
            <charset val="134"/>
          </rPr>
          <t>7/3 Curtis确认短装数量不需留给客户AGM</t>
        </r>
      </text>
    </comment>
    <comment ref="D1017" authorId="138">
      <text>
        <r>
          <rPr>
            <sz val="10"/>
            <rFont val="宋体"/>
            <charset val="134"/>
          </rPr>
          <t>原订单数量36pcs，短装1pc</t>
        </r>
      </text>
    </comment>
    <comment ref="K1020" authorId="139">
      <text>
        <r>
          <rPr>
            <sz val="10"/>
            <rFont val="宋体"/>
            <charset val="134"/>
          </rPr>
          <t>8/14 Martin通知</t>
        </r>
      </text>
    </comment>
    <comment ref="K1021" authorId="140">
      <text>
        <r>
          <rPr>
            <sz val="10"/>
            <rFont val="宋体"/>
            <charset val="134"/>
          </rPr>
          <t>8/14 Martin通知</t>
        </r>
      </text>
    </comment>
    <comment ref="K1025" authorId="141">
      <text>
        <r>
          <rPr>
            <sz val="10"/>
            <rFont val="宋体"/>
            <charset val="134"/>
          </rPr>
          <t>8/12 Martin通知</t>
        </r>
      </text>
    </comment>
    <comment ref="K1026" authorId="142">
      <text>
        <r>
          <rPr>
            <sz val="10"/>
            <rFont val="宋体"/>
            <charset val="134"/>
          </rPr>
          <t>8/12 Martin通知</t>
        </r>
      </text>
    </comment>
    <comment ref="K1027" authorId="143">
      <text>
        <r>
          <rPr>
            <sz val="10"/>
            <rFont val="宋体"/>
            <charset val="134"/>
          </rPr>
          <t>7/24 Martin通知</t>
        </r>
      </text>
    </comment>
    <comment ref="K1028" authorId="144">
      <text>
        <r>
          <rPr>
            <sz val="10"/>
            <rFont val="宋体"/>
            <charset val="134"/>
          </rPr>
          <t>7/24 Martin通知</t>
        </r>
      </text>
    </comment>
    <comment ref="J1029" authorId="145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30" authorId="146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31" authorId="147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32" authorId="148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33" authorId="149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34" authorId="150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35" authorId="151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36" authorId="152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37" authorId="153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38" authorId="154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39" authorId="155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40" authorId="156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41" authorId="157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42" authorId="158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J1043" authorId="159">
      <text>
        <r>
          <rPr>
            <sz val="10"/>
            <rFont val="宋体"/>
            <charset val="134"/>
          </rPr>
          <t>原Destination: QLD-Brisbane，因短期内没有柜去QLD，Edwin 7/18确认先海运去VIC再安排中转到QLD</t>
        </r>
      </text>
    </comment>
    <comment ref="K1044" authorId="160">
      <text>
        <r>
          <rPr>
            <sz val="10"/>
            <rFont val="宋体"/>
            <charset val="134"/>
          </rPr>
          <t>8/6 Martin通知</t>
        </r>
      </text>
    </comment>
    <comment ref="K1045" authorId="161">
      <text>
        <r>
          <rPr>
            <sz val="10"/>
            <rFont val="宋体"/>
            <charset val="134"/>
          </rPr>
          <t>8/6 Martin通知</t>
        </r>
      </text>
    </comment>
    <comment ref="K1046" authorId="162">
      <text>
        <r>
          <rPr>
            <sz val="10"/>
            <rFont val="宋体"/>
            <charset val="134"/>
          </rPr>
          <t>8/6 Martin通知</t>
        </r>
      </text>
    </comment>
    <comment ref="K1047" authorId="163">
      <text>
        <r>
          <rPr>
            <sz val="10"/>
            <rFont val="宋体"/>
            <charset val="134"/>
          </rPr>
          <t>8/6 Martin通知</t>
        </r>
      </text>
    </comment>
    <comment ref="K1048" authorId="164">
      <text>
        <r>
          <rPr>
            <sz val="10"/>
            <rFont val="宋体"/>
            <charset val="134"/>
          </rPr>
          <t>8/6 Martin通知</t>
        </r>
      </text>
    </comment>
    <comment ref="K1049" authorId="165">
      <text>
        <r>
          <rPr>
            <sz val="10"/>
            <rFont val="宋体"/>
            <charset val="134"/>
          </rPr>
          <t>8/6 Martin通知</t>
        </r>
      </text>
    </comment>
    <comment ref="K1050" authorId="166">
      <text>
        <r>
          <rPr>
            <sz val="10"/>
            <rFont val="宋体"/>
            <charset val="134"/>
          </rPr>
          <t>8/6 Martin通知</t>
        </r>
      </text>
    </comment>
    <comment ref="K1051" authorId="167">
      <text>
        <r>
          <rPr>
            <sz val="10"/>
            <rFont val="宋体"/>
            <charset val="134"/>
          </rPr>
          <t>8/6 Martin通知</t>
        </r>
      </text>
    </comment>
    <comment ref="K1052" authorId="168">
      <text>
        <r>
          <rPr>
            <sz val="10"/>
            <rFont val="宋体"/>
            <charset val="134"/>
          </rPr>
          <t>8/6 Martin通知</t>
        </r>
      </text>
    </comment>
    <comment ref="K1053" authorId="169">
      <text>
        <r>
          <rPr>
            <sz val="10"/>
            <rFont val="宋体"/>
            <charset val="134"/>
          </rPr>
          <t>8/6 Martin通知</t>
        </r>
      </text>
    </comment>
    <comment ref="K1054" authorId="170">
      <text>
        <r>
          <rPr>
            <sz val="10"/>
            <rFont val="宋体"/>
            <charset val="134"/>
          </rPr>
          <t>8/6 Martin通知</t>
        </r>
      </text>
    </comment>
    <comment ref="D1055" authorId="171">
      <text>
        <r>
          <rPr>
            <sz val="10"/>
            <rFont val="宋体"/>
            <charset val="134"/>
          </rPr>
          <t>原订单100pcs，抽出2台改机给售后</t>
        </r>
      </text>
    </comment>
    <comment ref="K1055" authorId="172">
      <text>
        <r>
          <rPr>
            <sz val="10"/>
            <rFont val="宋体"/>
            <charset val="134"/>
          </rPr>
          <t>8/6 Martin通知</t>
        </r>
      </text>
    </comment>
    <comment ref="K1056" authorId="173">
      <text>
        <r>
          <rPr>
            <sz val="10"/>
            <rFont val="宋体"/>
            <charset val="134"/>
          </rPr>
          <t>8/14 Martin通知</t>
        </r>
      </text>
    </comment>
    <comment ref="K1057" authorId="174">
      <text>
        <r>
          <rPr>
            <sz val="10"/>
            <rFont val="宋体"/>
            <charset val="134"/>
          </rPr>
          <t>8/14 Martin通知</t>
        </r>
      </text>
    </comment>
    <comment ref="K1058" authorId="175">
      <text>
        <r>
          <rPr>
            <sz val="10"/>
            <rFont val="宋体"/>
            <charset val="134"/>
          </rPr>
          <t>7.28 Martin通知留给客户AUS SOLAR。</t>
        </r>
      </text>
    </comment>
    <comment ref="K1059" authorId="176">
      <text>
        <r>
          <rPr>
            <sz val="10"/>
            <rFont val="宋体"/>
            <charset val="134"/>
          </rPr>
          <t>7.28 Martin通知留给客户AUS SOLAR。</t>
        </r>
      </text>
    </comment>
    <comment ref="K1060" authorId="177">
      <text>
        <r>
          <rPr>
            <sz val="10"/>
            <rFont val="宋体"/>
            <charset val="134"/>
          </rPr>
          <t>7.28 Martin通知留给客户AUS SOLAR。</t>
        </r>
      </text>
    </comment>
    <comment ref="K1061" authorId="178">
      <text>
        <r>
          <rPr>
            <sz val="10"/>
            <rFont val="宋体"/>
            <charset val="134"/>
          </rPr>
          <t>7.28 Martin通知留给客户AUS SOLAR。</t>
        </r>
      </text>
    </comment>
    <comment ref="K1062" authorId="179">
      <text>
        <r>
          <rPr>
            <sz val="10"/>
            <rFont val="宋体"/>
            <charset val="134"/>
          </rPr>
          <t>7.28 Martin通知留给客户AUS SOLAR。</t>
        </r>
      </text>
    </comment>
    <comment ref="K1063" authorId="180">
      <text>
        <r>
          <rPr>
            <sz val="10"/>
            <rFont val="宋体"/>
            <charset val="134"/>
          </rPr>
          <t>7.28 Martin通知留给客户AUS SOLAR。8/14 Martin通知改为留给客户Odisee</t>
        </r>
      </text>
    </comment>
    <comment ref="K1064" authorId="181">
      <text>
        <r>
          <rPr>
            <sz val="10"/>
            <rFont val="宋体"/>
            <charset val="134"/>
          </rPr>
          <t>7.28 Martin通知留给客户AUS SOLAR。8/14 Martin通知改为留给客户Odisee</t>
        </r>
      </text>
    </comment>
    <comment ref="K1065" authorId="182">
      <text>
        <r>
          <rPr>
            <sz val="10"/>
            <rFont val="宋体"/>
            <charset val="134"/>
          </rPr>
          <t>8/14 Martin通知</t>
        </r>
      </text>
    </comment>
    <comment ref="D1066" authorId="183">
      <text>
        <r>
          <rPr>
            <sz val="10"/>
            <rFont val="宋体"/>
            <charset val="134"/>
          </rPr>
          <t>原订单130pcs，抽出3台改机给售后</t>
        </r>
      </text>
    </comment>
    <comment ref="K1066" authorId="184">
      <text>
        <r>
          <rPr>
            <sz val="10"/>
            <rFont val="宋体"/>
            <charset val="134"/>
          </rPr>
          <t>8/14 Martin通知</t>
        </r>
      </text>
    </comment>
    <comment ref="K1067" authorId="185">
      <text>
        <r>
          <rPr>
            <sz val="10"/>
            <rFont val="宋体"/>
            <charset val="134"/>
          </rPr>
          <t>8/14 Martin通知</t>
        </r>
      </text>
    </comment>
    <comment ref="K1068" authorId="186">
      <text>
        <r>
          <rPr>
            <sz val="10"/>
            <rFont val="宋体"/>
            <charset val="134"/>
          </rPr>
          <t>8/14 Martin通知</t>
        </r>
      </text>
    </comment>
    <comment ref="K1069" authorId="187">
      <text>
        <r>
          <rPr>
            <sz val="10"/>
            <rFont val="宋体"/>
            <charset val="134"/>
          </rPr>
          <t>8/14 Martin通知</t>
        </r>
      </text>
    </comment>
    <comment ref="D1071" authorId="188">
      <text>
        <r>
          <rPr>
            <sz val="10"/>
            <rFont val="宋体"/>
            <charset val="134"/>
          </rPr>
          <t>MBT-175短装，由于工厂中转时部分尾数的纸箱破损，装柜时发现，需重新返修，导致短装。</t>
        </r>
      </text>
    </comment>
    <comment ref="D1084" authorId="189">
      <text>
        <r>
          <rPr>
            <sz val="10"/>
            <rFont val="宋体"/>
            <charset val="134"/>
          </rPr>
          <t>原订单10pcs，抽出3台改机给售后</t>
        </r>
      </text>
    </comment>
    <comment ref="D1086" authorId="190">
      <text>
        <r>
          <rPr>
            <sz val="10"/>
            <rFont val="宋体"/>
            <charset val="134"/>
          </rPr>
          <t>原订单12pcs，抽出3台改机给售后</t>
        </r>
      </text>
    </comment>
    <comment ref="K1086" authorId="191">
      <text>
        <r>
          <rPr>
            <sz val="10"/>
            <rFont val="宋体"/>
            <charset val="134"/>
          </rPr>
          <t>7/3 Curtis确认短装数量不需留给客户DLZ</t>
        </r>
      </text>
    </comment>
    <comment ref="K1092" authorId="192">
      <text>
        <r>
          <rPr>
            <sz val="10"/>
            <rFont val="宋体"/>
            <charset val="134"/>
          </rPr>
          <t>8/6 Martin通知</t>
        </r>
      </text>
    </comment>
    <comment ref="K1093" authorId="193">
      <text>
        <r>
          <rPr>
            <sz val="10"/>
            <rFont val="宋体"/>
            <charset val="134"/>
          </rPr>
          <t>8/6 Martin通知</t>
        </r>
      </text>
    </comment>
    <comment ref="K1094" authorId="194">
      <text>
        <r>
          <rPr>
            <sz val="10"/>
            <rFont val="宋体"/>
            <charset val="134"/>
          </rPr>
          <t>8/8 Martin通知</t>
        </r>
      </text>
    </comment>
    <comment ref="K1095" authorId="195">
      <text>
        <r>
          <rPr>
            <sz val="10"/>
            <rFont val="宋体"/>
            <charset val="134"/>
          </rPr>
          <t>8/8 Martin通知</t>
        </r>
      </text>
    </comment>
    <comment ref="K1096" authorId="196">
      <text>
        <r>
          <rPr>
            <sz val="10"/>
            <rFont val="宋体"/>
            <charset val="134"/>
          </rPr>
          <t>8/8 Martin通知留给Odisee</t>
        </r>
      </text>
    </comment>
    <comment ref="K1097" authorId="197">
      <text>
        <r>
          <rPr>
            <sz val="10"/>
            <rFont val="宋体"/>
            <charset val="134"/>
          </rPr>
          <t>8/8 Martin通知留给Odisee</t>
        </r>
      </text>
    </comment>
    <comment ref="K1098" authorId="198">
      <text>
        <r>
          <rPr>
            <sz val="10"/>
            <rFont val="宋体"/>
            <charset val="134"/>
          </rPr>
          <t>8/8 Martin通知留给Odisee</t>
        </r>
      </text>
    </comment>
    <comment ref="K1115" authorId="199">
      <text>
        <r>
          <rPr>
            <sz val="10"/>
            <rFont val="宋体"/>
            <charset val="134"/>
          </rPr>
          <t>7/24 Martin通知</t>
        </r>
      </text>
    </comment>
    <comment ref="K1117" authorId="200">
      <text>
        <r>
          <rPr>
            <sz val="10"/>
            <rFont val="宋体"/>
            <charset val="134"/>
          </rPr>
          <t>8/6 Martin通知</t>
        </r>
      </text>
    </comment>
    <comment ref="K1119" authorId="201">
      <text>
        <r>
          <rPr>
            <sz val="10"/>
            <rFont val="宋体"/>
            <charset val="134"/>
          </rPr>
          <t>8/6 Martin通知</t>
        </r>
      </text>
    </comment>
  </commentList>
</comments>
</file>

<file path=xl/comments3.xml><?xml version="1.0" encoding="utf-8"?>
<comments xmlns="http://schemas.openxmlformats.org/spreadsheetml/2006/main">
  <authors>
    <author>tc={C091979D-0CA2-4208-AA31-46BDCD21CC2B}</author>
    <author>tc={807612E2-5736-482A-8755-C32AEF506601}</author>
    <author>tc={59A40D3C-212B-468F-9C15-B4CDD3C9C9DA}</author>
    <author>tc={5E3E1072-E513-4B38-98D1-16E3B3461F17}</author>
    <author>tc={97D1189B-E24A-48E9-BD7D-325B5A8E370E}</author>
    <author>tc={B8B1168D-8D43-4B9C-A192-6259F8CB5857}</author>
    <author>tc={69CB9779-1B85-4452-AFFB-1779060C79A4}</author>
    <author>tc={B23AA663-67A6-4AA3-822E-B7C16EB4E5AF}</author>
    <author>tc={711F8F41-176F-423F-B0B2-BF173FA3C6D2}</author>
    <author>tc={4D0DF4A6-619D-4288-98B8-E5AFE0634D57}</author>
    <author>tc={31E5EEFC-05F9-46FB-AA32-33A9D3565590}</author>
    <author>tc={C962F84C-024B-4179-BE9C-55D898B0E49D}</author>
    <author>tc={5FC130EF-5E1C-483F-B3B1-64F674CD8DC1}</author>
    <author>tc={223CC928-F850-435A-8789-FD449404CE6E}</author>
    <author>tc={0668D445-3EFB-4E3F-B78A-7F963BC5A3AD}</author>
    <author>tc={4940C06B-D6DC-45C0-9FD7-9BBF87DAFF2B}</author>
    <author>tc={48F005B9-4D67-4CC3-A0C2-52E1BA6C2689}</author>
    <author>tc={D232D9CA-F1F0-4C6A-AE3C-29C4BFBA7A4D}</author>
    <author>tc={6E1CBEE3-2EC0-48D2-8DF0-AE656EE23963}</author>
    <author>tc={EC480402-CD41-4154-B678-199613B0731A}</author>
    <author>tc={735C8CC1-B3BB-4B3F-B6EB-4A014C0F60BC}</author>
    <author>tc={67FDF57B-6C2F-4D43-9F05-BEBB36ABCDEA}</author>
    <author>tc={22F8015A-91F9-4684-9035-0BBC801AF4BC}</author>
    <author>tc={C1813FA2-2F0E-4C84-9423-BB321E8A3246}</author>
    <author>tc={E4A7BD61-A7E3-4736-867F-A437AC9846CE}</author>
    <author>tc={4074D958-EC8F-4606-A8C0-3205605A9DF3}</author>
    <author>tc={DA5B3F29-1EC6-47AA-A284-2AE04A90A884}</author>
    <author>tc={C828013B-CE6D-47D9-8208-E6CFF8FA92E2}</author>
    <author>tc={A5EAF118-E309-448D-9158-B25A65726FD8}</author>
    <author>tc={A6F3BD06-B0A9-4E70-A65E-810E920A997F}</author>
    <author>tc={1AC1D8ED-F52E-424C-89CA-C8AAAA2E301A}</author>
    <author>tc={25BA0484-1464-47F9-9F4F-A17CCBF47882}</author>
    <author>tc={2DCA5BE3-5A69-4686-A1A3-CB4BD51FB7F7}</author>
    <author>tc={B0C989C9-19EC-4966-804E-909157525C86}</author>
    <author>tc={24BDF89D-2CB2-4876-94FE-1B48582BEEE3}</author>
    <author>tc={417DB8B4-5472-47D2-A8D4-C5B4264BD110}</author>
    <author>tc={4AFFEE58-BF13-47D9-A2C4-EE8E29D5A9D0}</author>
    <author>tc={A5B90D7F-661B-447D-8C5A-B05BBBABD054}</author>
    <author>tc={57D4E7E1-9A04-4C33-B4AD-65A058610D9F}</author>
    <author>tc={B6EA52E4-28F4-4B4D-9F10-5EF8DF57C0BE}</author>
    <author>tc={5B65E4C0-5491-4747-808B-5B3870031BF3}</author>
    <author>tc={4EB8DDC7-5002-47FF-946C-FF815BCEB36B}</author>
    <author>tc={9B0DEE52-D4C4-4654-9A1A-D8E8B996ED8A}</author>
    <author>tc={BBB5682C-489F-4F23-AC58-9C1EC695A6C0}</author>
    <author>tc={4FAE5021-0AA1-4F23-ADCD-8732E70CC838}</author>
    <author>tc={44175B51-15E2-499D-957C-7D43BCF81D15}</author>
    <author>tc={A535B364-BB83-40CF-BB9D-D3BF03486769}</author>
    <author>tc={3BFD47B7-5340-43AA-9A26-7F1133E13A04}</author>
    <author>tc={E3DCCE30-2E42-4C0C-9B10-CFEB37362B82}</author>
    <author>tc={C2618711-35AA-46F8-8D1B-8F109C210A69}</author>
    <author>tc={2929E1A7-5F05-4373-8BE7-AED2688B6215}</author>
    <author>tc={029115DF-584E-4E60-8F6B-51B50A17FE60}</author>
    <author>tc={B39560EC-1B44-4AB1-B411-C8C3A76DEEFF}</author>
    <author>tc={0860F90C-6F9C-466A-A40F-98EC79F287E4}</author>
    <author>tc={300A2FD4-F1BE-487A-B189-639FC90B3DA3}</author>
    <author>tc={8C73B353-8A05-40D1-8509-D3B1807DA4BC}</author>
    <author>tc={6178B031-606A-4429-B597-9E8A8BE1FB8C}</author>
    <author>tc={28918CF8-9E61-4640-95B4-8E739C05086C}</author>
    <author>tc={43A54B66-C6FB-4B57-9056-9FD441B79A2E}</author>
    <author>tc={0B366591-DA0E-431D-BE7E-BC43ACAB8872}</author>
    <author>tc={F1701AA4-E674-4BAD-8F26-28481ED57D5F}</author>
    <author>tc={0BA20B7F-43C7-4AA4-A9A3-2749521590F3}</author>
    <author>tc={90DC083B-2884-4194-9058-581C8290C9F7}</author>
    <author>tc={F94BB541-42E7-40E0-B06D-54D53C475E5B}</author>
    <author>tc={D4E78C70-937E-405D-979D-C8030859D2BA}</author>
    <author>tc={2C626E98-4C75-4A0F-9CB3-610BE02334E5}</author>
    <author>tc={08750556-BD57-45F8-91B2-5998F2183EBA}</author>
    <author>tc={9807FD3B-2D73-40F1-91AA-0F1B0A0964E4}</author>
    <author>tc={503308DE-D764-4B77-B593-9B80D7B547FF}</author>
    <author>tc={755154C5-F483-403F-A978-6A2AB27B1C61}</author>
    <author>tc={E5228319-BBDE-4C9E-8824-E3EDF4FB600C}</author>
    <author>tc={10FCFBC5-159C-4BDB-82A0-60F41FC9727B}</author>
    <author>tc={AD4FE97D-43C8-4896-9604-F161845631A4}</author>
    <author>tc={9F57C669-DB4E-47AC-B360-DC4CBFF5E7D8}</author>
    <author>tc={94643F0A-C01B-47CC-9BFA-51A95AFD9FF9}</author>
    <author>tc={02840DA0-75CF-46B8-A96D-27B8F1709352}</author>
    <author>tc={048F1CE9-30C7-41A6-ADA6-62E7F14640E7}</author>
    <author>tc={93094886-D711-4B64-9334-87E6C7317C5D}</author>
    <author>tc={37CFD3C0-3691-4C4B-9095-37B6C744061F}</author>
    <author>tc={27510322-4758-4C8E-A382-3EB25C30FD58}</author>
    <author>tc={F5E9D7E1-B30C-4C00-BF8A-6931B2086D6D}</author>
    <author>tc={F3C856AA-0B66-4C0C-867E-1D717123461B}</author>
    <author>tc={D6359C1F-0659-450A-A7F7-744FAF74ABB4}</author>
    <author>tc={380F2CFC-8470-457B-BFD4-E8E92B02546C}</author>
    <author>tc={2743F8EF-36AF-4577-B121-CF730C01894D}</author>
    <author>tc={793B7927-3732-47F0-B504-B4743F88FD00}</author>
    <author>tc={1482EA31-8785-46F8-8DF6-20F6A73D524C}</author>
    <author>tc={8C054380-76CF-4CF1-A803-4E35F0A1EE29}</author>
    <author>tc={7639C57F-3CB7-43D1-8FA9-2E41602B666A}</author>
    <author>tc={C27AFE59-3010-4FB2-A6CF-563149AA9BF2}</author>
    <author>tc={8C73ED69-729E-4D89-8341-4418C8742986}</author>
    <author>tc={56AD9F84-7D5F-4415-A43C-511A087DBF0D}</author>
    <author>tc={309765E3-9183-4811-B680-7783082E5D0A}</author>
    <author>tc={B0BCD85D-0FAB-4F3A-B3E2-A8F7D84CEDC1}</author>
    <author>tc={8D7A8338-9133-40D6-86AC-1FDEFF599808}</author>
    <author>tc={922240E6-7006-41C9-B025-55D2263EB86D}</author>
    <author>tc={C404F2B3-BAB4-42F9-8590-328F84F9C710}</author>
    <author>tc={F2C7C918-A654-47D1-AFB3-628F75E5E060}</author>
    <author>tc={5C97AE95-24DD-418A-A566-540B9E0D1348}</author>
    <author>tc={48DD3E2C-7FFC-4322-B1FD-1CF4B9DF27A5}</author>
    <author>tc={4CB9BBE1-7443-434C-9F0E-022F020726C6}</author>
    <author>tc={5B98E435-2136-4E1E-84B9-ABBFE24109CF}</author>
    <author>tc={2A2B15B7-AB0D-4EDF-9837-AB75C3DAFFFE}</author>
    <author>tc={B23A4618-E0F5-42EA-9C20-15262EDC577D}</author>
    <author>tc={67D3376D-10E5-40DD-89EC-503736FD2F93}</author>
    <author>tc={67378AD4-E1A1-4805-BA5D-5435661C8C73}</author>
    <author>tc={EFDB7E33-84FB-4DB2-900C-B95935E3AEA2}</author>
    <author>tc={7210BF5B-6CE1-44F9-B79D-346097B413E9}</author>
    <author>tc={0FA27B93-BF5D-44AA-99FF-5CFB17AE7D9C}</author>
    <author>tc={45EA7AE5-9B4A-43C7-BFDE-24C468A49E84}</author>
    <author>tc={4D858318-A5A2-4819-A292-42C1AC961EC3}</author>
    <author>tc={18662802-D4DF-422A-ACB1-67774C4EC069}</author>
    <author>tc={56CF6384-4AE8-4F71-9973-7A12454083FA}</author>
    <author>tc={7CDDF09C-6866-4511-A8C2-468931372F95}</author>
    <author>tc={93FA7A59-886D-4FFF-811A-E1A8D64E1892}</author>
    <author>tc={8F493DBF-D773-40A9-82EF-823B669DFA26}</author>
    <author>tc={4151C6B6-145D-48FC-9DE1-DBCBDEABF6AD}</author>
    <author>tc={803CEB30-4674-4DC6-8CE6-42426DA7DA16}</author>
    <author>tc={A6263F51-27B8-48BE-BABA-70433D565262}</author>
    <author>tc={32B013EC-18F3-46EF-8383-2290589FCC8B}</author>
    <author>tc={569BDBA2-3F6D-4175-94D5-A399A2B10862}</author>
    <author>tc={A7DD73BE-7CA5-4F15-9BBD-D2A83FFA7E0E}</author>
    <author>tc={E212BFAD-8D92-4847-B292-BF1DEFA0E3F7}</author>
    <author>tc={BABDCA79-3D04-4129-8173-CF996D1DE615}</author>
    <author>tc={8FEF8220-810F-44F4-B4F3-3C90EC19186B}</author>
    <author>tc={576CBF45-E037-43FD-B78B-4A5952228CD4}</author>
    <author>tc={78F52A4A-C661-4A30-9953-62742A92E4C0}</author>
    <author>tc={9DEEB58D-42CC-4CC8-9249-056F721C4C37}</author>
    <author>tc={1A2754E6-EB5A-41F8-9B72-84B981146FBD}</author>
    <author>tc={65164C02-8CAD-494C-91D6-7B8229CB5102}</author>
    <author>tc={947D8619-2875-4433-BA71-E6A2434222B6}</author>
    <author>tc={878A7AFE-72C4-47BC-915A-E29BFAEB7EF3}</author>
    <author>tc={D8E367F3-71F2-4E5A-80A0-1590F943A610}</author>
    <author>tc={AA3C5902-66BC-4D35-A6D0-BB20D78C45D5}</author>
    <author>tc={FD2470A9-6F94-4C96-B1A4-156572650AA8}</author>
    <author>tc={E0784E97-B959-4436-A751-DAB4F39B8525}</author>
    <author>tc={2D2A3408-7188-456F-8932-5AB3C6D5244D}</author>
    <author>tc={36C34CFC-9889-4E25-BAEF-D835FFD0D010}</author>
    <author>tc={307DE043-98CF-4480-90B7-F593D978433F}</author>
    <author>tc={F9F78400-8F93-4262-AC59-C6FD64CA050A}</author>
    <author>tc={FEBF55DC-40A4-4760-8134-24971E8598B1}</author>
    <author>tc={7C1F8D72-4FED-4402-AE02-6C75A0480686}</author>
    <author>tc={2FEA88C0-94DF-4F25-8D00-C671A3E16138}</author>
    <author>tc={0E0CBA12-E4EC-4092-8092-FB5E99F6ADE7}</author>
    <author>tc={16FBB424-3859-40ED-BCD7-4E2683E2F700}</author>
    <author>tc={837042EA-DF83-435E-9005-CEC4ED543719}</author>
    <author>tc={133B95FE-86F5-46D9-8D56-EAF832EF69E9}</author>
    <author>tc={9612C086-A4DE-446A-8022-947E9370EF4B}</author>
    <author>tc={4685DE7A-6216-41E8-A381-F790E8415CFE}</author>
    <author>tc={B9757A5D-100D-44B9-81FA-76D01F9C9B0D}</author>
    <author>tc={1502CD61-CDC3-472A-8EE8-E785CE498E6A}</author>
    <author>tc={3383F357-2C54-46B6-BCF9-A1DF67043417}</author>
    <author>tc={8A3C31A7-4E00-4CB7-9652-263A6BAB8B87}</author>
    <author>tc={283BA4C8-A061-4458-AE6E-AFC01366C302}</author>
    <author>tc={732A6657-1520-484E-A11A-4288BE76584B}</author>
    <author>tc={5DCE7807-7582-4EB0-B64C-85C73F58286D}</author>
    <author>tc={88D1C019-5C2D-4814-8C8A-387CAFB3A73F}</author>
    <author>tc={6CA6051E-877F-4981-9D82-B449C4C6F7B6}</author>
    <author>tc={FE9DDCC1-F18A-41AC-8534-DF68C67868ED}</author>
    <author>tc={76773EBD-3433-4C86-857D-E3A1ACD22767}</author>
    <author>tc={F4521AB4-A473-4BF0-97AF-BE50F3D4C972}</author>
    <author>tc={7ED51E74-B4A2-4274-8728-9AE0C79CD5DF}</author>
    <author>tc={F451311B-64C9-4891-9BF6-2BFB398A10AE}</author>
    <author>tc={2E4D54F8-C57A-4207-9061-5244EF65DCE8}</author>
    <author>tc={5C687AC1-62C8-43AD-AE1C-3A92BA131B34}</author>
    <author>tc={F9BF6B76-1472-47BC-BBD3-DF6729E60895}</author>
    <author>tc={1C9B321C-3ABA-4596-A83A-7C896E03A8A4}</author>
    <author>tc={4AF592E5-3172-453C-9739-C138E711F51C}</author>
    <author>tc={EF1CF7F4-8311-4622-B572-0EC863ACF54A}</author>
    <author>tc={7818203C-F7BF-4BC2-8406-443A8A9B7AC6}</author>
    <author>tc={CEC826C3-CB7B-4863-8B64-539A8D73F500}</author>
    <author>tc={3727D902-16CF-443D-A2AF-87D0DE60DAA6}</author>
    <author>tc={3C3D8414-F725-468C-9529-C585C34D95EB}</author>
    <author>tc={6659B052-11F2-4C4A-9C84-D454C5E89B6A}</author>
    <author>tc={58B2D019-B256-4EF2-A472-953C1EFEFAB1}</author>
    <author>tc={F918B71F-61D9-48B0-A937-CB3AEA204D3B}</author>
    <author>tc={D67DA897-7A24-4A35-9890-1AB35A5324BB}</author>
    <author>tc={CBB0DCBE-8F59-45F2-9566-A586FA7CDA5F}</author>
    <author>tc={F1DE183F-148F-4CD1-A4FB-33303C8665AC}</author>
    <author>tc={1E6C4C6B-B400-4FBD-A49C-E67F8AC23D2B}</author>
    <author>tc={B34D4132-5A55-4041-9501-A1D186C2A8C5}</author>
    <author>tc={C0105903-729E-4941-A211-EE98F85DB2F5}</author>
    <author>tc={BCBBD214-A67D-40BF-AF20-2ADEA5567D23}</author>
    <author>tc={C496C5FD-AE51-4C03-8283-DEAE37736074}</author>
    <author>tc={2F18F8E3-58EF-46C5-B2AB-58FAB35C245B}</author>
    <author>tc={997B3283-F75E-4569-B493-ABAFBC258C49}</author>
    <author>tc={75F53EF2-BF29-4123-8AED-CBE1DB296C6F}</author>
    <author>tc={BF53D0E0-446B-481F-A09B-0B0511AA20EE}</author>
    <author>tc={B333264A-A2F1-427A-BD57-6DC594D95D48}</author>
    <author>tc={651B5D19-2C92-49E4-8F4F-8F5921A01CA0}</author>
    <author>tc={0E945F01-5970-4EC4-97F0-21DCFB6646FE}</author>
    <author>tc={259351C0-2914-411D-BE24-84FC6672E3C2}</author>
    <author>tc={12F2040D-EB1B-4856-864F-4C69C2D8E3DA}</author>
    <author>tc={15DBB1ED-7787-4AA0-A8C6-3E8F4270DEF7}</author>
    <author>tc={5EEEDB40-F50A-4FF7-A759-B09DDEEAFB0C}</author>
    <author>tc={67717E81-FA84-4957-96D5-8CFFCC5BC70E}</author>
    <author>tc={3FC9D762-32E6-4FF9-9B3B-7678A2F40DFF}</author>
    <author>tc={672408FE-36AB-4AB6-B58E-B2C46BB271CE}</author>
    <author>tc={73D82022-67FF-46CB-AF83-AE8E35A2443E}</author>
    <author>tc={A01C01E1-0015-43A8-AB0B-C23C54661BBD}</author>
    <author>tc={330ED6CD-A73C-4668-B6E9-A5CC0711BE00}</author>
    <author>tc={9BB57170-FC83-45BA-9F35-350DA55DF375}</author>
    <author>tc={D6985E00-97FD-4B80-9D2D-5A7FB14AACEE}</author>
    <author>tc={BB897756-114A-4107-BF65-A061413CC3D6}</author>
    <author>tc={EA79CD3B-AF29-4635-A8D1-BCD179083F4A}</author>
    <author>tc={3619CE7D-034D-49E2-BCBE-6C05C804C0EA}</author>
    <author>tc={14042E9E-73CD-4377-88C8-54C0DEC70E63}</author>
    <author>tc={9E8870F3-79F1-4CF2-BEB0-FD39CA1E0296}</author>
    <author>tc={B3740BCA-1430-453F-9864-AB3E91265925}</author>
    <author>tc={CD9BD326-3686-4DD5-93A4-837B9074C98D}</author>
    <author>tc={F0FA7FF8-E91D-4F57-8D59-93553B5CF8C4}</author>
    <author>tc={B3BA4624-AAEE-4180-877E-D3B60DACCE83}</author>
    <author>tc={85EFB60C-411F-4C7B-B8CF-96B4436C934B}</author>
    <author>tc={1A0911B7-8B27-4C1E-AB88-B8FB49D02AC7}</author>
    <author>tc={F3579CB2-B12C-450A-972B-C39DAAF8AE2B}</author>
    <author>tc={A51F9FC8-EAEF-4336-A069-6AFC24986046}</author>
    <author>tc={5C4CC1DC-097E-487B-A9D4-A142AD1783B8}</author>
    <author>tc={25FD1E15-B881-4A29-B9E2-EDF8FB5F2D9B}</author>
    <author>tc={5EA49983-91F3-4AA1-A7B1-9E4578A3D7DE}</author>
    <author>tc={6461DC44-4911-49FF-9023-02A5C26E0FA0}</author>
    <author>tc={DD933A10-A600-4240-B4EC-BDEF92915930}</author>
    <author>tc={04D6F852-FEA0-4E96-A451-211D0D0B3B1F}</author>
    <author>tc={4C04B445-6145-4A6D-B2C1-BB2C733AFBB3}</author>
    <author>tc={27D3457E-271A-48CB-A72D-28303423C858}</author>
    <author>tc={2D100DA4-DF69-4210-A504-36529BE47EA7}</author>
    <author>tc={9AB9C5D9-C419-4DB6-B680-C6BD6C11BFA7}</author>
    <author>tc={67A53208-62DF-4B43-A7D8-1C4F115C6F9E}</author>
    <author>tc={DD5B450B-4277-4C3B-9880-EE359BE02820}</author>
    <author>tc={50A78A02-F118-4ABC-B883-4189A1FE6910}</author>
    <author>tc={FA335265-5FD3-404F-B55D-15A87469698C}</author>
    <author>tc={88ACCC84-BE05-4A9C-97E1-D951F481E2AD}</author>
    <author>tc={6949E1B9-AAC6-4A29-BABA-7EDC1C63C822}</author>
    <author>tc={4C77644A-D9FD-402C-8742-03BEBA298C5C}</author>
    <author>tc={6F3D236F-DC52-483E-83FB-2A1406540EB6}</author>
    <author>tc={A8EE9F58-6B6F-4049-896F-46A838DC9DB2}</author>
    <author>tc={0C31F3AC-0661-434A-82E5-B25A0D6C933D}</author>
    <author>tc={89B8A185-EB62-4CD1-9368-0F1C21E8B8A6}</author>
    <author>tc={44893C3A-09F8-4660-8154-A5FD8C12DE2B}</author>
    <author>tc={E40313CF-BF07-4727-A104-550D2EB78B1F}</author>
    <author>tc={EA7A2A6F-D5C7-4AA1-B6C1-C33E01D54104}</author>
    <author>tc={8381EB48-2E41-4C25-9329-F2C7092B64FC}</author>
    <author>tc={5FD5E731-F0F5-4809-A8CE-A9BFE32276DA}</author>
    <author>tc={9D5E9921-1C54-486A-A7D9-EE14EBEC409D}</author>
    <author>tc={6F7B1B4D-A70A-47BC-B6CF-3EE7A640DEA6}</author>
    <author>tc={3EDEA06F-B498-4491-8E4F-51605071F929}</author>
    <author>tc={2CC350EF-CEDE-44AF-AEBB-43765C0B97A5}</author>
    <author>tc={173A57E2-0A18-4C9D-B639-DE162FBED565}</author>
    <author>tc={DB2E0334-8553-4C89-9612-6373A750F2D1}</author>
    <author>tc={24CE78F8-3D38-4E0D-9F85-8E3C59F9CF66}</author>
    <author>tc={1C7CF2BF-E2A0-4181-B1DB-2513F1841DC5}</author>
    <author>tc={AD04B530-8825-47C1-99F6-4210469F7EE1}</author>
    <author>tc={2E6DE698-01F9-4C24-AD38-CCAC41EFE12A}</author>
    <author>tc={792F795B-3F17-4636-8248-A6416B09795F}</author>
    <author>tc={36CBFA9A-34DB-4837-A234-27942AA08B57}</author>
    <author>tc={A6D92B45-F096-4F38-907D-FC455A1A97AA}</author>
    <author>tc={F14A7885-02C3-483F-8E56-DB3D7BE60465}</author>
    <author>tc={89105D58-AD16-4205-A417-E0073F8A29BF}</author>
    <author>tc={A2A3C368-BFF2-47F0-8AA0-4FD312461F50}</author>
    <author>tc={CA5BA39C-0018-4D91-BC10-2C8024AE26EC}</author>
    <author>tc={05ED4297-478A-4F06-A9D7-47D7985C82C9}</author>
    <author>tc={EF2FCC65-4601-4F21-A773-49B751290142}</author>
    <author>tc={D60CC8BE-6FD1-4A78-83D5-0713A8D5D151}</author>
    <author>tc={2A25E5D0-F495-4501-AD0B-C7ED1D655680}</author>
    <author>tc={AF8FDB16-60AF-468A-AB41-38D8B1C2BCD2}</author>
    <author>tc={00A6F95A-3250-4145-AC10-B28DEB4E7BDC}</author>
    <author>tc={49C3C6CD-CB1F-4367-BB75-67FF2B0A716A}</author>
    <author>tc={11B9BB07-E237-40B5-A5E8-08920DCE8447}</author>
    <author>tc={D2CAD87B-BF51-4C4B-892E-15393E350024}</author>
    <author>tc={5820E59C-3D88-4D4B-BAE1-8E3DB8FA03DA}</author>
    <author>tc={7D5B3505-2CE4-4FC2-9D9E-57E8F49C558E}</author>
    <author>tc={472B47A0-D724-480F-9092-0CED4364F307}</author>
    <author>tc={D83A59FF-1EA2-43C6-8B48-C0005CFFE929}</author>
    <author>tc={51496FCC-1FD9-4AC2-AC32-8DD2435A6B5E}</author>
    <author>tc={945C7C33-02BC-4794-8608-2ECEEC0D75EC}</author>
    <author>tc={D8CE625C-78AB-4191-8796-837812045D8E}</author>
    <author>tc={D042652D-9456-4618-94D4-D26AC9BC7C37}</author>
    <author>tc={90391303-161E-4D48-8A8E-9F8EAAB2BB54}</author>
    <author>tc={353B4EE5-37C9-4C6A-A328-7F0121949066}</author>
    <author>tc={8A8B3927-FF2B-4A60-A745-3A73E744595D}</author>
    <author>tc={61B88865-087E-4B04-A272-647C711DFDE9}</author>
    <author>tc={8F69F4E2-D81B-4567-A270-D9650F4693C0}</author>
    <author>tc={504A11B6-AC0C-4C48-A8B9-2003AEA3CEE3}</author>
    <author>tc={B8B222D2-3072-4768-82BE-7F42173DE4C9}</author>
    <author>tc={B574E171-59FB-40BA-A454-51332121F1B7}</author>
    <author>tc={0B1EB4C9-0045-4E55-AE47-978AD7E251A4}</author>
    <author>tc={C5995782-83CB-4F26-BE12-AA9A3A38732B}</author>
    <author>tc={CBBA0402-F627-490A-92D9-14CBEB0346E0}</author>
    <author>tc={A86AC4F7-DDF5-4D79-8E3F-BD06AEAC16F1}</author>
    <author>tc={1F499536-90F8-4A8B-8157-8A7C4D74F0A6}</author>
    <author>tc={DB2FFAC1-5F37-465A-97D1-C32EC121E67E}</author>
    <author>tc={C3AD40BF-7FEC-4E94-BE89-DEF844E7B7E4}</author>
    <author>tc={D144C0D9-6DA1-4798-AF39-61E4B5045AF4}</author>
    <author>tc={E13430F0-604A-4B82-890D-4506774C6C6A}</author>
    <author>tc={EB756CE1-EBDE-4BBD-9E03-5C0BEF53FC2D}</author>
    <author>tc={3B48F156-025F-49BC-A847-C03CC898E11E}</author>
    <author>tc={57EA93AE-4603-428F-B40F-B4D8486C6BB6}</author>
    <author>tc={C5A76EA9-2CEF-4C83-A4C5-9FB205A8C8B7}</author>
    <author>tc={EE7CC92F-A14C-4E39-A02B-1066BF8E5E95}</author>
    <author>tc={EDF0B65B-76F3-47C6-BFAA-F59474D433A2}</author>
    <author>tc={40B4FD5B-8827-4951-AADC-C5A4FD9C1384}</author>
    <author>tc={18CD8DD8-20AE-43FA-8895-3D1D3271E792}</author>
    <author>tc={1F7EB383-1FEE-45BE-B93D-6C7612FA9710}</author>
    <author>tc={998E9F9B-3BC2-472B-B50D-9DD0A6C17933}</author>
    <author>tc={ACCC6A05-89B0-4533-BE2D-055544DFB9CA}</author>
    <author>tc={23E1A76A-C707-4DAB-B200-66822110FA44}</author>
    <author>tc={59B9C8A8-2DBE-4534-A912-28E241040288}</author>
    <author>tc={EA9F0A36-5CC4-4A85-950C-30F4B30E2BD1}</author>
    <author>tc={1BA700AA-26E2-4136-908D-853FA4FEB979}</author>
    <author>tc={74B86502-2FB2-4A98-BBEC-2BD8A5B8E029}</author>
    <author>tc={52DBC9C1-5A65-41DD-ABDE-C842DBDBF391}</author>
    <author>tc={440E6063-CA68-4655-8091-02F2DAE4BB9E}</author>
    <author>tc={EDC10893-9AF5-4E9C-A205-F78AB93470DD}</author>
    <author>tc={50BFAAC2-7365-4261-99BB-9170A70517EC}</author>
    <author>tc={61527BDD-1E94-4DAE-A116-CE33190D5C4F}</author>
    <author>tc={DA875E2B-7F3D-4D43-ADB2-E0EE7AB0C790}</author>
    <author>tc={9250F14F-6B73-4BD3-8D32-DE802760D063}</author>
    <author>tc={A14A0475-C3A6-49D1-90E4-A4317A1981ED}</author>
    <author>tc={AB249A93-B8D7-4847-A67F-5C9607FA0FFA}</author>
    <author>tc={BB57041F-AC02-4D52-809F-354722C812AC}</author>
    <author>tc={D5A69FCE-92B6-488E-85E8-1F204FE6A75E}</author>
    <author>tc={00CFAE7F-8AC5-4F59-B903-8D918E2FDDE2}</author>
    <author>tc={8BA98038-056F-4C43-BE37-87C009E62C67}</author>
    <author>tc={980E2E40-E06C-47C1-A493-0D7FA80D6AF3}</author>
    <author>tc={B88D34BD-965F-4EA2-B800-F6F94F566E6C}</author>
    <author>tc={E1D6E96B-7AFB-407B-874A-775677D85554}</author>
    <author>tc={9D460B11-1362-4552-8A45-9F901C124B1D}</author>
    <author>tc={3EC4E062-DCA1-4B85-9B6D-CA5B821696B2}</author>
    <author>tc={79C60AEC-F023-47DB-983F-742F71ABD4EF}</author>
    <author>tc={28B336C6-D266-4BD5-BADE-E4A79483EA6A}</author>
    <author>tc={19CE4527-E526-4748-B9E7-82215C70A038}</author>
    <author>tc={B29F1CED-642B-4391-A548-AA2216E5402B}</author>
    <author>tc={59C07827-6455-448F-8CDA-B5502F85D6AC}</author>
    <author>tc={17E7C76D-FE2D-42B2-A969-5B6A0372987E}</author>
    <author>tc={A1C0E83E-818C-4B77-91CF-7160421A24E1}</author>
    <author>tc={AB421D23-E0AD-4FAF-BE1F-425D0A0DA0BF}</author>
    <author>tc={26F40BB6-4DFF-4FB4-BEBC-02727E989207}</author>
    <author>tc={623D5F9A-DC63-4E51-BCAB-DE63C6CDCB9A}</author>
    <author>tc={2C045B6D-C7F8-49E1-B144-95DBCAA89E32}</author>
    <author>tc={DB3284DE-4A59-4775-BF4E-97243D13344A}</author>
    <author>tc={EE62AC42-DB76-4146-BF4F-70EF4AB113D2}</author>
    <author>tc={FAF8E8BB-63DD-4EE9-BCF4-C2748863506B}</author>
    <author>tc={837CA44C-70FA-4442-9BB2-74ADB235D71A}</author>
    <author>tc={45F5CFDA-46C1-4F3D-9352-AF7E51DB6F4C}</author>
    <author>tc={BB82F606-70F7-4485-AE64-5AB4A1036635}</author>
    <author>tc={4FC8D6A2-F00B-41D2-94DE-79BDA98927EF}</author>
    <author>tc={A8FCAB62-A1EC-4DC2-AFE3-76FF06D25AA4}</author>
    <author>tc={B9D86817-F980-45D9-AA41-9B45C00C43BF}</author>
    <author>tc={ADBFD54B-3914-4ADE-A590-3C5F9B6A4916}</author>
    <author>tc={90A2B3F6-D537-4E23-9E5F-11F4C6E82955}</author>
    <author>tc={4DBEB188-721B-4B05-B273-ACB3BCE31CDB}</author>
    <author>tc={CEAE5D14-94C7-4612-8BB6-A2956AFF933D}</author>
    <author>tc={7DE5A61D-96FB-4CAB-97D4-5EA6DDE1C75B}</author>
    <author>tc={8D27B3D7-3580-4D54-9EAC-53ED1033FBB4}</author>
    <author>tc={E28FFB25-D6D0-4173-A90A-446F670A27C4}</author>
    <author>tc={9895741A-D1B6-4360-9BC2-049E2328F445}</author>
    <author>tc={7C9CAD24-CC99-481F-A3DB-A0F8BE34E0D4}</author>
    <author>tc={F024402C-BD32-4E3B-A25F-43E21C5BD637}</author>
    <author>tc={26E85A7F-4BA7-4E8A-88F2-3DD334FEE3F2}</author>
    <author>tc={941083FE-8D27-4D60-9F0C-4845226947D0}</author>
    <author>tc={9393031B-2458-46D7-BF85-25AC4FE645E8}</author>
    <author>tc={2CC69F9A-247E-4D63-9D84-1189E4AAF40A}</author>
    <author>tc={8E74AD80-5937-4428-B57A-FE881D73D3A8}</author>
    <author>tc={D55084D0-59ED-4A66-B8A6-0360804DA990}</author>
    <author>tc={E835273C-DC26-4DB3-9CC1-E57353FCC0E5}</author>
    <author>tc={8FFF9FD3-0F69-4EE1-A4C3-BF7DADA27ACE}</author>
    <author>tc={B56077B9-0003-4258-84A4-177A6FBEB358}</author>
    <author>tc={F9EE0A79-FC34-4928-AFB3-DB75B7F57E8B}</author>
    <author>tc={6969C26F-0334-44C7-9D95-9A9502414FE1}</author>
    <author>tc={A7830F4B-CBD1-4B71-8B87-77F0F8EE3E50}</author>
    <author>tc={2906ABA0-9BDF-4147-94D5-609E0358FD41}</author>
    <author>tc={BAFAAB08-57F2-4827-98F3-893A14357683}</author>
    <author>tc={879EA2C0-2CE0-4AF3-AACF-0F48CA6DEE33}</author>
    <author>tc={D8156DBA-D2D5-4833-A6A6-1DF73B71D638}</author>
    <author>tc={E483C6D6-160C-4D2E-BCC7-E90D0F9B8A9B}</author>
    <author>tc={6BDDFD6C-CD69-433C-8C7C-9F6260567233}</author>
    <author>tc={DFA7D797-4FBE-46F6-AA09-77E89BA2E660}</author>
    <author>tc={9D6E8705-8BA8-465A-AF99-B5A07D784396}</author>
    <author>tc={3F971697-0BFE-480C-8AD8-547A33333F57}</author>
    <author>tc={74B107E0-742D-4DD3-9FD8-C5832C7EC465}</author>
    <author>tc={128B4B14-78F1-452A-9E78-081DE6A9AA1E}</author>
    <author>tc={528675F9-91F1-4097-888D-FFE924151607}</author>
    <author>tc={ABEFC1B9-1A42-4111-B6E5-C79A94DAFAD9}</author>
    <author>tc={FB43904E-0617-4F85-B6B9-B803747380C6}</author>
    <author>tc={9FF40DB9-4BFD-47B1-ABFD-959A06BED2AB}</author>
    <author>tc={A3F79E04-55F1-4BD3-A491-BE2400679794}</author>
    <author>tc={11B241A9-BC5A-40A3-AC21-F2229777B60E}</author>
    <author>tc={7806E9BA-291C-4DB3-9AF2-B884F591A37C}</author>
    <author>tc={29B1DA97-B908-4E53-8E2F-6E5D0510C2A2}</author>
    <author>tc={8B54A9EC-3623-4312-8E43-71615B9DE3A4}</author>
    <author>tc={A59C58BC-C545-4FF3-B10D-042C925734BA}</author>
    <author>tc={2B4A4F31-5F1D-4ABA-9620-A0C93BBD82C6}</author>
    <author>tc={E2A263C5-DC26-4B67-A98E-F45E85EC5CFE}</author>
    <author>tc={66BEE247-8380-4339-821B-DFE762571E18}</author>
    <author>tc={F2CDDFEF-19BC-40A4-A7E8-CC0A801D188B}</author>
    <author>tc={140CE99B-4C0E-472F-9588-9B7411558F0D}</author>
    <author>tc={5AD4ED43-C499-4893-A203-168139848F89}</author>
    <author>tc={F3B1279E-4667-457C-A22F-E8B6E7AB09D7}</author>
    <author>tc={D363940E-BEC1-41E1-B714-21D04B4C9546}</author>
    <author>tc={136257EC-A170-4348-B44D-5F838310BA4E}</author>
    <author>tc={D5597FBE-30EB-49D2-89BD-736FD17DB918}</author>
    <author>tc={16B082E9-0140-454A-954B-A0947E5298A8}</author>
    <author>tc={AD757635-60F7-4D58-88B9-812383E64164}</author>
    <author>tc={7369AFE7-DFC1-49E9-ABC0-02661E0B4C86}</author>
    <author>tc={69CBBDB6-BCD5-4F4C-B7D0-15D71F9BA564}</author>
    <author>tc={F74066D9-3542-40D9-8242-AD3726186AF5}</author>
    <author>tc={82B56317-5627-449F-BBC6-942B225594A7}</author>
    <author>tc={7071BA9D-B221-4AEE-AE93-6673DEBA1ED1}</author>
    <author>tc={8A58CAB1-19FD-4D79-90BA-EF0FEA9436AF}</author>
    <author>tc={64CEF312-0A46-412E-ADF7-21D0738E5453}</author>
    <author>tc={0A2EDBAD-D644-4581-90C3-29E5D99BE8B4}</author>
    <author>tc={70AD1DB7-2D34-4687-861B-AF77C1A10FF3}</author>
    <author>tc={111546C7-C254-4ED3-B387-35CD87A83D4B}</author>
    <author>tc={45B4E244-BEC0-491B-9CCF-78BAEB993657}</author>
    <author>tc={825493D4-F478-436A-A599-35349829B3BC}</author>
    <author>tc={493C895D-03B1-41F1-A50C-A9FB0D317201}</author>
    <author>tc={2D568C52-4CC0-467A-8E4A-05847DB01965}</author>
    <author>tc={8A26BD6D-05DD-46CA-AC84-9940466AFB7C}</author>
    <author>tc={102F5819-DC8A-42F9-8C7B-F9983BF5970A}</author>
    <author>tc={00D7B505-B3D1-4E60-955F-33FBD15B4963}</author>
    <author>tc={14A1EDBE-DE48-4025-AF2E-0CFA0B88ECEE}</author>
    <author>tc={E0400631-6625-49C6-9757-6F9A2A4FFDAD}</author>
    <author>tc={7F5BD06C-CB3E-4889-9643-A3AB84E8981D}</author>
    <author>tc={5E5B70E6-AA80-4F5A-BA5B-312DDF1F0E3E}</author>
    <author>tc={903AE264-57E5-4C46-9650-397D0D53D212}</author>
    <author>tc={72ED4715-8F1A-458D-A2B4-C79357B68C2C}</author>
    <author>tc={4A130286-70D8-43C1-97CF-5D65A0634253}</author>
    <author>tc={A4B236EA-F1BE-4EA2-AB97-5D745B3B5913}</author>
    <author>tc={498929B0-A68E-4156-A39B-41666FF26775}</author>
    <author>tc={0A60205E-7E19-42CE-9941-A483096CFDD1}</author>
    <author>tc={A792000C-B570-4DE2-AB98-F6D1D3DFD946}</author>
    <author>tc={A50C2AF5-8884-41BB-AC30-9434753FB008}</author>
    <author>tc={03DFC7D3-8AEB-40DE-ACB9-5CB4EE4E1A32}</author>
    <author>tc={9757CFF6-A0DD-4C0C-A826-31970B78EFE1}</author>
    <author>tc={0045D208-75CF-4493-B694-66C2823A21F8}</author>
    <author>tc={1B82448B-D926-41C3-9F3F-3CC93B83C69E}</author>
    <author>tc={317DF771-4BB2-49AE-8B86-ABE12965F6C9}</author>
    <author>tc={06646CE7-A7B8-49B1-ACBE-EAB8CC1673B6}</author>
    <author>tc={3A4706E1-A040-4AE9-93D5-FED0D49A635B}</author>
    <author>tc={413EDC68-8917-45A9-88B4-38DA81758BB2}</author>
    <author>tc={859E5443-ED4F-43D5-9BAB-8ABAE0902F18}</author>
    <author>tc={1A1E10BD-BEC2-4143-BBC8-44FA9144D5DD}</author>
    <author>tc={4DB88663-CE45-4570-A5BD-550469DA5012}</author>
    <author>tc={3CAB7C7E-C373-48E4-83E1-D0D52E1CAC5D}</author>
    <author>tc={9ECAC264-B372-41AD-A691-43CC61D186D7}</author>
    <author>tc={D84848E1-7FCD-4C6C-902E-E8752C1F3FD1}</author>
    <author>tc={8DB27072-DD21-483A-AC17-B2F5B840E12C}</author>
    <author>tc={47F2461E-D941-422F-84B8-E920CA170316}</author>
    <author>tc={DE46406E-3992-416E-B4E4-FCB5D3CE30DE}</author>
    <author>tc={3E01B16F-BFD2-46E4-AA92-5B6497DD3495}</author>
    <author>tc={37231A6C-0679-42B3-AC52-60D45EF7CDA9}</author>
    <author>tc={AB7BDEF2-328A-4565-BE25-E6D10ADAF1D5}</author>
    <author>tc={895F4D6C-2D5B-4AB2-A5BD-7B7B57B71597}</author>
    <author>tc={B735E231-D574-41AD-A936-C1D235AD6BFF}</author>
    <author>tc={C73E173E-26E4-4993-ACC0-47D14771625A}</author>
    <author>tc={4CB0373F-BC3F-43D7-83AB-05D1387500F6}</author>
    <author>tc={AF6BD7FE-DEA8-49DD-918F-33A0ACB8CFDC}</author>
    <author>tc={9863CC66-D3D1-4A97-A976-A59C82FEE7FB}</author>
    <author>tc={2305D9F8-688C-484E-A689-BFB5D76B20C7}</author>
    <author>tc={D281B56B-6EC8-4FB0-AB4A-D8232AED45FA}</author>
    <author>tc={A358FE00-61A7-4671-9CCD-34B95FD4AC0C}</author>
    <author>tc={87A0B2F9-E79B-4687-9A22-FE0326E847D1}</author>
    <author>tc={65A869A1-BC9B-4768-8D4F-6FE1EE454EF1}</author>
    <author>tc={B6729CD3-462B-4FFB-80DE-641BF7E3A200}</author>
    <author>tc={E655E97C-B83E-4F6E-96F0-3EB74400FC5A}</author>
    <author>tc={FD376F3B-AB7B-49E5-A283-D2D813939661}</author>
    <author>tc={5F5533F8-2EF6-412D-9C40-4C971CE02CF5}</author>
    <author>tc={0A45C7C4-D293-43C4-A99B-D581A1B8D5FE}</author>
    <author>tc={478C60FC-2BEE-48E1-BE35-9F0EFC23F739}</author>
    <author>tc={0B901A7B-9C44-474B-B313-EE4E70D4936B}</author>
    <author>tc={8D42798C-AEDB-460F-974D-C002A000078B}</author>
    <author>tc={A4B3B1DB-63FE-4FCF-92C0-77276B56BE25}</author>
    <author>tc={55047E40-DD55-41C1-8BD0-8380A0C7D6E8}</author>
    <author>tc={0EC9EEB4-8F76-455A-9E9C-9C2D03564EB6}</author>
    <author>tc={33552B5C-4B81-470F-B02D-7D919872848E}</author>
    <author>tc={6DD0054E-4597-4BD2-867D-29E375FF1282}</author>
    <author>tc={65F9E058-DE1E-42FB-9C26-B09BEA0C3E68}</author>
    <author>tc={D7219100-9F9A-4755-A226-ACE30331C46F}</author>
    <author>tc={508A257A-FC69-429C-ABE0-5EB26E842813}</author>
    <author>tc={BCA066BA-1647-4A54-A3FC-D3DEF09C47BE}</author>
    <author>tc={DEEF158B-51F8-4431-BCE6-AA7CD81AEDA7}</author>
    <author>tc={79075862-6F72-4877-A48B-49A024169287}</author>
    <author>tc={58877835-BF84-4A6A-9D38-D56DC8D3CB17}</author>
    <author>tc={A407C6AC-8740-43C3-BFC2-443545F45D0A}</author>
    <author>tc={6EED9C5F-34D9-4827-AB8E-3B032075EFCD}</author>
    <author>tc={CA3A0BE6-020E-4A13-8E3F-C9966FB11B69}</author>
    <author>tc={207B60F5-F223-4268-9DC0-A00DE239BB07}</author>
    <author>tc={DBE812CF-F6CF-40BC-9F0C-7000B75B510F}</author>
    <author>tc={808144D9-9D7F-46B0-94CA-93CB1B01D154}</author>
    <author>tc={16BA7F71-2D70-460F-8C1C-BCC116096E52}</author>
    <author>tc={8377225B-7407-4B76-9299-6A3A709DBB06}</author>
    <author>tc={7B583463-5093-4073-B886-0346C2A494FF}</author>
    <author>tc={70C5699F-12CA-4DB1-9C9D-390600FF0710}</author>
    <author>tc={CCB73052-9FCF-43B2-98DF-F802778FEA0F}</author>
    <author>tc={2732FD61-B8D3-4F30-BAFE-FF7F1C86B28A}</author>
    <author>tc={B65805BD-E9E5-4871-BCF8-BCD02AF32C03}</author>
    <author>tc={8804A167-7299-4908-99A4-D170B0262610}</author>
    <author>tc={D5E7AA70-A7C0-4A36-8FB4-56D938ECA6AB}</author>
    <author>tc={06699FB9-7168-4DCD-9A22-3E8479FA54FE}</author>
    <author>tc={2F8DFD7F-31B3-43C1-8C55-F4DF811AE38B}</author>
    <author>tc={D4016A66-0296-4202-98D8-7B6574BAAC28}</author>
    <author>tc={262634D7-1569-45D3-A7D5-549664D734CF}</author>
    <author>tc={A1F7BB72-D6B1-4E36-BA4B-61F01CBDB821}</author>
    <author>tc={5AE84DF9-508B-43DF-8F88-8CACA3CE4E49}</author>
    <author>tc={D1A6778C-6707-452B-83B1-59E0C36BAE37}</author>
    <author>tc={117E9D6C-E45C-4004-B0C8-1A692AD0DFBD}</author>
    <author>tc={873445B3-7181-48F5-94C3-B26B59F052EE}</author>
    <author>tc={4FAA0FD0-BEED-410B-8A2D-DCF9D0D237EF}</author>
    <author>tc={AAB663E2-B694-481E-AD19-829BA131F860}</author>
    <author>tc={7EDFC2CE-5209-49C0-B1F1-A8F397979519}</author>
    <author>tc={9AD40B85-C3DF-4FE4-A291-AF4608DEB0E5}</author>
    <author>tc={3F5BADD1-538E-4DE8-9955-A891A91456DA}</author>
    <author>tc={974E96EA-B24E-41F4-A663-E9C20DB2662E}</author>
    <author>tc={A1C994AB-864E-45E6-86CB-6F35D0C704FF}</author>
    <author>tc={7D14BC66-F970-46B3-B99D-B1A4C24291AC}</author>
    <author>tc={D94C5D91-086A-4267-9004-B6EAE51F210E}</author>
    <author>tc={CF216B6A-92BE-42F7-8510-2CB60604ADD4}</author>
    <author>tc={A9571522-49E7-4623-8C0B-87AD596A8026}</author>
    <author>tc={151D99FC-784A-437F-A8F8-8F75066CC3A2}</author>
    <author>tc={9916E485-B341-49F3-BFA7-B7E0EFFCFD61}</author>
    <author>tc={59D6654E-010A-4D04-A996-5FB30CFDD01D}</author>
    <author>tc={912E5BE3-65B3-4D68-8D68-F2FC70BA6FD9}</author>
    <author>tc={5499B1B0-DEB8-4A89-80E6-A430704DDF29}</author>
    <author>tc={06B1DAAA-6A58-40FC-ABD2-31545E2EE396}</author>
    <author>tc={05404062-A3D3-4232-9625-70F74E16A978}</author>
    <author>tc={3787BCC4-7B4D-4549-9FB2-90E715BB960A}</author>
    <author>tc={987DBBCB-9425-4F91-B757-FA0687400400}</author>
    <author>tc={652DD792-8A4C-44F1-B8A2-70772903003F}</author>
    <author>tc={8C5EBB40-3BED-460F-BB53-16ACC319700C}</author>
    <author>tc={EA5C6BA6-2165-42B7-9C15-B854C63C2D25}</author>
    <author>tc={289CAB44-8FCD-4982-B92E-4AFAB2BF701B}</author>
    <author>tc={619C1FDF-B33A-496F-8FE5-A76E91CEB166}</author>
    <author>tc={87E884B9-DBCE-43DC-A098-F765DA25B657}</author>
    <author>tc={42E0D7F8-9BE8-4CA2-9B5B-3A7DEE0DDDDE}</author>
    <author>tc={D5FEEEB4-3A45-438A-8779-A152D9F64A2F}</author>
    <author>tc={AD3D0267-701C-4F8C-992F-9CD024961643}</author>
    <author>tc={72A12A33-A0D5-4181-9FC0-46292E38A48D}</author>
    <author>tc={E147EEA7-622A-4D1D-A579-8BCF63C22FCD}</author>
    <author>tc={FA200B9A-E628-40AF-B19B-18A29EC7D26C}</author>
    <author>tc={C11E79E9-8EFA-433D-BD00-EA8E97663E71}</author>
    <author>tc={A47F5BBE-08C9-4263-9D2C-8E2A4C7DE5FD}</author>
    <author>tc={7A04CBA6-7301-41AA-B1C3-3517021EF9C4}</author>
    <author>tc={DE9BB984-F8D8-4159-9FE4-350DA229A10E}</author>
    <author>tc={3904484A-4577-4B34-91F8-6B852BBD0998}</author>
    <author>tc={2C000B54-3983-4670-BBC3-49422BC7FE11}</author>
    <author>tc={CD8F2C2D-B0C1-49FB-BDB9-0E6C857A82A0}</author>
    <author>tc={0E83496D-432F-401D-B99B-F2CAD3FD3F15}</author>
    <author>tc={8CAFB861-3B35-4DB7-BDB5-174341906AFF}</author>
    <author>tc={F942AE5E-4560-4318-8378-9A9447D865A2}</author>
    <author>tc={F5BB2EE1-E074-409D-82A0-C346625AFACD}</author>
    <author>tc={BA71FCDB-22F0-4867-9384-0E308C17B5D7}</author>
    <author>tc={8E449965-3631-4DE2-A81B-EBEC58147FC4}</author>
    <author>tc={6A2877BD-2AD2-49FA-9C59-A58C5F6A5394}</author>
    <author>tc={0E5619D5-B8CD-477B-8E2F-030E4C5478E7}</author>
    <author>tc={DD815F04-C51E-4520-91E6-FB4EE5897F3E}</author>
    <author>tc={C770FDD3-3C4F-414E-B9E6-78F882B4FCAF}</author>
    <author>tc={21701015-F136-4280-AFA5-D601371C79E1}</author>
    <author>tc={25DB31A0-9198-4EF2-86D1-047609C00AF9}</author>
    <author>tc={9A97641A-4D51-4DB3-B53B-AB8C468819D7}</author>
    <author>tc={BCCAEC80-C6AE-42D7-9CEE-ABCF5AEFAFC5}</author>
    <author>tc={6B64CC50-84E6-4315-93FD-B4618370D0ED}</author>
    <author>tc={AC91B415-F8FA-4DE4-8B5E-186F21251B72}</author>
    <author>tc={79EA57F0-DD9D-477A-8432-F3FE450D4B07}</author>
    <author>tc={EA68513E-5C24-4414-8645-824FB41D3802}</author>
    <author>tc={01CBE233-1826-4FF9-9964-D2D94A545C1F}</author>
    <author>tc={40911F1C-4C8A-40AB-83E4-513AC6C616C4}</author>
    <author>tc={28DE1D21-6C1C-482A-8400-186C5273CF99}</author>
    <author>tc={7EA792CD-2235-4300-87EA-706AAC0B3180}</author>
    <author>tc={B0D8BF8F-5745-4FEA-B085-EB968F4E2C47}</author>
    <author>tc={2E09E239-E178-46A2-AA44-785027B54465}</author>
    <author>tc={748CCC4B-A5D7-4B08-B26F-9F6EC9A17402}</author>
    <author>tc={F4B116E6-2EF7-4A57-9B90-831DA7E42A66}</author>
    <author>tc={83F9F470-3AA1-494B-B9E5-95C5D9A314EB}</author>
    <author>tc={8339C317-8AC6-4399-B1F2-09A80659D6C8}</author>
    <author>tc={7060BA08-E293-4610-BE88-10BA67900472}</author>
    <author>tc={2A979DEC-F845-46FB-8151-2039BE8B44AF}</author>
    <author>tc={34B91290-FE22-4597-82B6-45993E9A2915}</author>
    <author>tc={4E4AA413-F889-40F1-8287-EEBDE0B36119}</author>
    <author>tc={93755D31-2786-4A22-8BC3-F80228B4C42E}</author>
    <author>tc={C74C7A2A-C994-440E-9026-E16DFDBC6669}</author>
    <author>tc={13FD64B5-5B6D-4BC4-A2D1-BC6969241E08}</author>
    <author>tc={08867E1C-04D8-44B4-90AC-DC927CF2F2AB}</author>
    <author>tc={4D605A26-5B3C-4A85-951D-3541BADC047C}</author>
    <author>tc={196B5CB1-6D15-4260-AE2E-01FAE4F63F22}</author>
    <author>tc={CC2B49D9-6541-41B0-A055-DA3F4954426B}</author>
    <author>tc={393E9E69-632B-48AC-8989-14CD3FAB0E86}</author>
    <author>tc={F8548143-4C6B-4508-9DFA-B3D5406B0505}</author>
    <author>tc={B3E6DC00-6028-40EE-A41D-8479CD92617C}</author>
    <author>tc={4CBE916A-B81E-427E-B260-AA4D14396E29}</author>
    <author>tc={FD1139D8-5723-4A65-973E-F542CE8F0C9E}</author>
    <author>tc={AC70ADA4-7433-4D64-9DE8-A582764A9F89}</author>
    <author>tc={997ABD9D-682D-4312-BE91-E1E5615F7C14}</author>
    <author>tc={3625070F-7863-483D-87E3-4F7A49CEFDAB}</author>
    <author>tc={48F23F97-6752-4873-BD5D-A9ECFECE3B47}</author>
    <author>tc={8EF07954-69EC-4126-B8BD-9E1BB81E63FF}</author>
    <author>tc={EEEBAC51-5F2C-433C-9BD1-921474582C15}</author>
    <author>tc={08E7BC86-0D33-4866-9181-C5423C890C4F}</author>
    <author>tc={39F12B28-E89E-4149-B191-F12317344B27}</author>
    <author>tc={575D6517-B501-4645-9F65-FDE42CE84D8D}</author>
    <author>tc={53A67731-F9A1-4D40-9891-9B8EDD216833}</author>
    <author>tc={AF935006-6E81-49EC-BB5A-7F5DE37A4519}</author>
    <author>tc={1F4E73EC-AC02-4678-B991-F402912DDC25}</author>
    <author>tc={A5D52953-3C51-4360-89F3-38F533B6C403}</author>
    <author>tc={DCE3EA37-849B-4ACB-9E4B-6DFEE40D3207}</author>
    <author>tc={6E241127-3EF0-4378-A275-442EF5862E5D}</author>
    <author>tc={9D868B62-7F75-4069-966A-4F979EAC5CFF}</author>
    <author>tc={9DE7AD3E-83A6-4E52-8634-F76081DAA52F}</author>
    <author>tc={C20338D4-34CF-48C1-9EF3-1DF96F082D5E}</author>
    <author>tc={2E47BA75-BC6F-4C3B-BB8A-FB68C210E6DB}</author>
    <author>tc={B885D914-B97F-4CF2-85E5-79E97239C95D}</author>
    <author>tc={8DBD8DF0-DBE9-419C-9674-FC1B21C6745B}</author>
    <author>tc={B654F148-AC86-4EC5-ADEF-777DAF892DA5}</author>
    <author>tc={2C43EF3F-D8D9-4A99-B11D-86A4D6295D2E}</author>
    <author>tc={E99E385C-94E8-41B6-9815-0EE2890BD5A3}</author>
    <author>tc={47232317-92A8-4FAD-B7B9-6B57522B4CAF}</author>
    <author>tc={0E7A5131-D685-406A-BCCD-DD4BBD5AFF1D}</author>
    <author>tc={6DA3532C-0C4C-40A7-845D-9E2E0DFB7DEA}</author>
    <author>tc={358FB31C-EA24-4A82-870C-D302C54FD89B}</author>
    <author>tc={89D8C238-2B9B-40C1-B682-45F3D7CDF40F}</author>
    <author>tc={F8E0BF20-7F07-4EA3-B9C7-0EBC39FEB9AB}</author>
    <author>tc={89EF0244-8FAE-48CA-869E-01D23EACBAF4}</author>
    <author>tc={316440EE-B23D-4AF1-A5F8-77E8C86E3F92}</author>
    <author>tc={0413BAC4-E1E4-4AF7-8FF4-7FE83A34FEB4}</author>
    <author>tc={71AF77AB-D2DC-4DC9-BFD3-C0184B5D41DB}</author>
    <author>tc={3F5598C6-4D90-4C74-AC04-DBCEB6B8C0F2}</author>
    <author>tc={FEF27890-A1F1-44CA-8DBB-4387B3BC9400}</author>
    <author>tc={11650BF8-2609-43CF-9923-4CBD5FCB6A31}</author>
    <author>tc={9D8A9119-4E8E-404D-90FF-D94F5843FCE7}</author>
    <author>tc={6784F11B-7A3C-4674-A4A9-C8F13630878E}</author>
    <author>tc={9B11A611-C90C-491D-88BF-C96D689B3720}</author>
    <author>tc={2D85589E-E198-4302-BB98-9A460602F8A3}</author>
    <author>tc={FCA359E8-E545-48E7-B882-A7EFFEA162A9}</author>
    <author>tc={11CDE410-A7B9-448D-9F4D-9FDFEBEC11FD}</author>
    <author>tc={038C4CA6-7C26-49F9-974C-50D2818C0DF9}</author>
    <author>tc={6532D590-592F-4A26-A913-5D771E9834D3}</author>
    <author>tc={797C949C-9717-4EFF-8E32-D91215D29855}</author>
    <author>tc={17AC16FB-8574-408D-B149-18EB1636A7A6}</author>
    <author>tc={21B5C504-0B96-43EE-B15D-9A4496CE286D}</author>
    <author>tc={9CF24FEB-E948-49E0-AEAA-8D587A47A369}</author>
    <author>tc={1F38A0B8-9779-449B-A911-0D24DBEAB149}</author>
    <author>tc={0A0BC359-532B-41C2-86C7-87F5F45E6645}</author>
    <author>tc={FBA3B001-9D3C-4D60-89A8-73EFE0625ED2}</author>
    <author>tc={E75FA9BB-FB8D-4EFC-964C-302279E9990C}</author>
    <author>tc={0B8A8F57-83E4-4276-AE51-7DDEA58086A6}</author>
    <author>tc={1C8AB6E8-6BA2-4499-ADCD-2CEC7F64EB5E}</author>
    <author>tc={55CED3C7-AD89-4942-A403-97659D4035B4}</author>
    <author>tc={597BDBB6-64ED-4C1C-8324-08E2480BF06F}</author>
    <author>tc={C33DC573-E5E3-4A16-83B4-746C3E6C71E7}</author>
    <author>tc={4BD0A500-37D3-4B11-8B3B-790E12047153}</author>
    <author>tc={64039AD7-DBA4-44B5-A54D-9E768FB0410B}</author>
    <author>tc={68E4E099-30BA-4FCB-8275-637DA2B14AFE}</author>
    <author>tc={D6A9FB6C-3363-4E8B-9493-A82EF111636C}</author>
    <author>tc={3CC07197-717B-4192-9AE9-E0DE42811FDE}</author>
    <author>tc={612DAA5C-3AA5-42EF-AAA9-95B1DC0AC1F9}</author>
    <author>tc={2496154B-C7AB-48B0-A439-0A4201DDC78D}</author>
    <author>tc={0926EC37-6580-4C02-8454-03CEDC2BF871}</author>
    <author>tc={32BCA662-400E-499A-80D5-0E002D856F3D}</author>
    <author>tc={2CD56EDF-7847-4C01-A9EE-F579A4BFA4A0}</author>
    <author>tc={FA35871F-DF57-45CC-9A99-FC7C2A54E77D}</author>
    <author>tc={649D98B8-DB28-4FC9-B3BF-7EE4CD848EB3}</author>
    <author>tc={E3457962-F93B-4CBF-9594-A3945AAE7BC2}</author>
    <author>tc={6DA12827-7D97-47CB-9F7D-09E4CEF9EF71}</author>
    <author>tc={ED33B604-D672-4406-A6A1-5882C3437EE9}</author>
    <author>tc={C8AB8C0B-EC69-4036-BF48-13069620FA9E}</author>
    <author>tc={0169B726-9C1E-4918-9E60-0F592D3D2654}</author>
    <author>tc={4C51DED5-F446-4E47-9FC0-5A6C328758AB}</author>
    <author>tc={04221536-CDB4-489D-97EC-71F177C40A3A}</author>
    <author>tc={4E85B2F3-9206-43A7-B1BC-C5535E31D32F}</author>
    <author>tc={0DD2CD1A-93A9-49F7-ABBE-A1C9B959F3AA}</author>
    <author>tc={08086B32-756D-4536-A7C2-217BA48771F9}</author>
    <author>tc={FDE6DB38-DC40-43A7-917C-B3224D490A5C}</author>
    <author>tc={B195AE81-C101-45C4-A512-9955BEC90C37}</author>
    <author>tc={D50F60F5-4023-4E8E-BFF3-670FDA493FED}</author>
    <author>tc={26E51B25-B945-4648-B32F-15E968C5A21A}</author>
    <author>tc={82DFBF23-303B-42A5-AA6D-9AB63CE60609}</author>
    <author>tc={36E1EEEA-7AA0-4E81-9F0F-071117160BF4}</author>
    <author>tc={D81FF38A-70BC-4B06-A2BF-F90F053E9F11}</author>
    <author>tc={0C0DD815-9C8C-43C3-9CF1-0A0086F784EF}</author>
    <author>tc={8DF273C3-7D55-4613-A2D8-D57702A0BA3F}</author>
    <author>tc={5A2D8C68-6FFA-4FC1-A770-8F1C6FDD2AFC}</author>
    <author>tc={C3497B86-0E01-4A43-A505-F5032DFC6F38}</author>
    <author>tc={D45F608D-AEF6-48EF-95C1-5C9CC6BFD518}</author>
    <author>tc={A3A72BEE-5FFD-49DE-83EE-0A5F1916A1AE}</author>
    <author>tc={B13239E8-E046-4244-9D77-290F24FD848E}</author>
    <author>tc={AFC6466F-FEE8-4A6A-88C8-AADDC1483998}</author>
    <author>tc={999E2AD7-0AE4-4963-9B67-6034A5AA8A89}</author>
    <author>tc={64A3F559-F788-40EA-9E50-DFC1CF21B65F}</author>
    <author>tc={6CBEE5B8-951E-497C-B333-1C95BB620AE5}</author>
    <author>tc={A3982A9A-F73B-4C80-98FC-85121C6EC130}</author>
    <author>tc={43367553-DC7E-4401-833A-A50B64604D12}</author>
    <author>tc={AE0FDE20-D4F0-4552-A5D5-68B05236D633}</author>
    <author>tc={D6BB962D-5E64-40DA-B4BD-2CDEFF31D092}</author>
    <author>tc={27AD262F-FAAA-414D-BB9C-EA2DBB06EF23}</author>
    <author>tc={CB643168-A619-4A7E-95CF-A1AD28AAC308}</author>
    <author>tc={C371A70A-5F25-495A-9E5D-DB78279C0695}</author>
    <author>tc={360250A6-7A3C-4373-9279-24B982B24D0B}</author>
    <author>tc={17752790-BA7B-4E4D-9538-31DE997CC4EE}</author>
    <author>tc={EF4736EF-CE52-4AB3-B78D-29260B000B28}</author>
    <author>tc={90C4AD7A-80C3-4535-86D8-0B74CC8FA8F6}</author>
    <author>tc={724A7E2F-7CC5-450D-A3B4-805A58F92952}</author>
    <author>tc={5DAA4EAE-C39A-40ED-9095-1E11DEC13377}</author>
    <author>tc={4DC82A53-57B6-4B99-816D-7E7615DAFFD5}</author>
    <author>tc={104D0096-E5D2-49DB-A1C7-6085720BD184}</author>
    <author>tc={42330EB2-E196-46FE-B3DD-A0461E31D51B}</author>
    <author>tc={531BA7DF-ED71-461F-B7D0-F49DDC726A3F}</author>
    <author>tc={67EDC5C2-B2D9-4D12-9670-12E15361F7B5}</author>
    <author>tc={D440B0C0-8B04-4319-9163-D3F35E26B61D}</author>
    <author>tc={DA62C040-48D1-4441-9CD4-4FAB430DE546}</author>
    <author>tc={77A3E852-3736-40BB-BCCA-0188F59F709A}</author>
    <author>tc={BF974E13-DC06-45AF-812C-0A315CB95168}</author>
    <author>tc={B40B5B65-FE45-4876-902B-27CEED241F7E}</author>
    <author>tc={8915EFF9-1948-49AE-A45E-B1AF91F86252}</author>
    <author>tc={F8E3EDF6-A7E0-49B5-BCE9-D1654007230F}</author>
    <author>tc={10260784-E36F-40A8-9EE1-2A08FE1F678E}</author>
    <author>tc={D253A137-BF10-411E-B11D-FF9B3230FDBB}</author>
    <author>tc={007A29D2-8883-437C-98E1-04D6DD3B0D74}</author>
    <author>tc={4B3CB047-3781-49C4-B5CF-9BE8D84F781B}</author>
    <author>tc={FA67DEE2-EE35-4834-AF5A-51C37298FA3A}</author>
    <author>tc={615BB694-28BD-422D-8565-9BCD3224A1F9}</author>
    <author>tc={8A5D2256-A2F9-4643-8197-67BA670B82D9}</author>
    <author>tc={8F64D898-B21F-4AD2-A869-D793D8B2117F}</author>
    <author>tc={0C6FF983-4EC3-4914-8402-9658625A3AD4}</author>
    <author>tc={B857FAB1-5AB9-4C99-9B7F-E6D3C2D3F691}</author>
    <author>tc={8099C437-B899-406E-8517-415768057998}</author>
    <author>tc={0DA7B34F-0D3A-4990-ABDC-8015CB3333E4}</author>
    <author>tc={6ED23E29-37B9-4D3A-9EE4-73335513501B}</author>
    <author>tc={C2C41174-1DCB-40BE-9C1A-98BFB394095C}</author>
    <author>tc={A20DA0FA-47CF-4BA8-850E-B065D047DB2A}</author>
    <author>tc={D0C39C6B-E68E-4514-9887-3EFD3536F8B4}</author>
    <author>tc={3678E31D-8227-4B78-BE2A-0E119CED2178}</author>
    <author>tc={27FDE6F3-83C6-49BA-8D61-30ADAB84D361}</author>
    <author>tc={9627B7E8-A775-4591-B522-45CDF2413CA8}</author>
    <author>tc={5EF798E1-81BB-4DF2-84E2-7C30766DCDB6}</author>
    <author>tc={BEFFC27E-52C5-4DFE-9039-C24F0EEB16E7}</author>
    <author>tc={C899A18C-E14A-45A7-9A0D-2A76F3B9D3B5}</author>
    <author>tc={C5DAED6A-2E4B-4AE0-884A-CBF31EC87A58}</author>
    <author>tc={EDDBBB09-4DD7-4E1D-8634-B36993319E2C}</author>
    <author>tc={CA93AD65-81EB-4127-BA80-A11E50C172DA}</author>
    <author>tc={AA64D0DF-B966-48DF-9A45-5062B6F3C567}</author>
    <author>tc={1CB063D1-DA71-404E-ABF7-92F6F37EC23F}</author>
    <author>tc={D1706BF0-C1E4-4A75-B05E-F0EB190D9E09}</author>
    <author>tc={EA062849-289F-4988-8EE3-2D6CE91E2771}</author>
    <author>tc={390EAE2C-3D30-49DC-8B36-344253116C03}</author>
    <author>tc={91CE50A0-7025-4E80-B683-6C260EE3D781}</author>
    <author>tc={8F408BD3-6149-4300-845F-7665043C44C2}</author>
    <author>tc={BEE9DF32-1B9B-4D6D-B058-BD9ED8E74D3C}</author>
    <author>tc={2FBE35A6-FC51-407C-AFA2-B0133BB93082}</author>
    <author>tc={252806D5-86EC-47C1-B22F-5E5F464A1E7C}</author>
    <author>tc={CAB2A2B8-FF41-44FE-90CD-B5C1E82C8DEB}</author>
    <author>tc={3AD709D4-B703-47C5-BF14-C92DC132617E}</author>
    <author>tc={C37B3036-E006-4F56-8A8D-18059D37C6DD}</author>
    <author>tc={BC73CB82-D47D-47A3-8212-52698F37E11C}</author>
    <author>tc={4CD5E823-AF95-4CCB-8DEB-B70A030D67DC}</author>
    <author>tc={1223CB06-B6A5-497E-BE52-597275C1B3A7}</author>
    <author>tc={7AB059AF-2A57-4054-BE0F-6ABAE8CAE94C}</author>
    <author>tc={F468C9C9-FFBE-4E61-BDF3-2DBB115D4C87}</author>
    <author>tc={30514025-B9E0-4E68-9949-A327E215E51B}</author>
    <author>tc={2B03D318-88F2-49A9-9B72-E1C234F4596A}</author>
    <author>tc={5A8B8C96-1DD5-46F0-99B3-272E878545C1}</author>
    <author>tc={805B995F-F369-4176-9174-DE9C46A1D13A}</author>
    <author>tc={63E71B67-E326-4584-85C7-9E527548F6E3}</author>
    <author>tc={79F20A4B-A432-4578-BC32-84EDFE52DFF0}</author>
    <author>tc={49D053F7-26A9-407E-9A78-2B755E1D952C}</author>
    <author>tc={C8566EDF-954C-43FB-8148-0A42D4793910}</author>
    <author>tc={4794D0D7-CB3D-4661-B9B6-5153477504FA}</author>
    <author>tc={BB24F914-2F8E-41D9-807B-D30998390C1B}</author>
    <author>tc={65001B0D-D13D-4DD5-BA9F-975716D2F2B4}</author>
    <author>tc={5A2056D0-7AA2-4B56-B6F0-1C7AB2BEDCB2}</author>
    <author>tc={191CE218-7D08-46DC-ACEB-602F16F6285A}</author>
    <author>tc={E8603B56-E5E1-4798-9EA4-133F8FC3EC0D}</author>
    <author>tc={11E4687E-C382-4D81-8979-F395FBC06ED4}</author>
    <author>tc={C9E4C4B4-C3C2-4572-9F6C-A9C7BD7036FE}</author>
    <author>tc={CCD62768-7955-4918-95DD-8A9165896418}</author>
    <author>tc={5A995677-BC8A-4895-942A-622E79F10A2E}</author>
    <author>tc={982920B8-73B0-4037-B281-F77CF1F80E7F}</author>
    <author>tc={DCF3A5A7-D6C7-40A6-AECA-DAE21B0E5841}</author>
    <author>tc={AB07BD84-6467-40A7-A464-F9E27D579CFE}</author>
    <author>tc={A159D230-3C32-49A6-BD48-105847F0AC1D}</author>
    <author>tc={DA5F6DCB-50EB-4FFB-88A8-0F081C50F854}</author>
    <author>tc={790F435F-4B71-4A8F-AEBF-ACBE3555CD66}</author>
    <author>tc={A9188D74-FE29-4FC7-8F35-47801C697F68}</author>
    <author>tc={64C22514-E34E-4A4E-BD66-5463BF5C4351}</author>
    <author>tc={F13C90A3-C0C1-4778-9AEF-0C8C6AB7EDBA}</author>
    <author>tc={901B08FC-1571-4236-94BA-0D692635241A}</author>
    <author>tc={EE7DA066-2CFD-4CF9-B6BB-3EBA961563CA}</author>
    <author>tc={00A8F543-2028-4334-BF6A-5D11F8E6FE12}</author>
    <author>tc={EDFEA0E4-CAAB-4ADF-861B-E45AAAD271B7}</author>
    <author>tc={FE42357E-E1D8-4DF8-BDD9-65B82FE49B67}</author>
    <author>tc={1D238274-CAF0-4009-B449-27CCB965BB6B}</author>
    <author>tc={DB6AC9C3-09C4-4340-947B-29EA7A1F05C0}</author>
    <author>tc={9612CAA4-B678-4383-81C8-07D5F3C95ADE}</author>
    <author>tc={24017D8D-2676-4C96-B043-86A55A501E3E}</author>
    <author>tc={6870AE85-4408-45E4-8614-BE366A51A687}</author>
    <author>tc={DDBC4B89-DB5C-4E86-AEBA-400EDE3BEE7D}</author>
    <author>tc={2165418A-CCBB-4C76-9460-DA8EB8002AF6}</author>
    <author>tc={79445093-8B36-4D4A-A962-39B002543FAA}</author>
    <author>tc={87DD3DEC-02BF-4767-BC2F-FB2F50593694}</author>
    <author>tc={297EA507-FC99-4278-89D2-E439085FE66C}</author>
    <author>tc={B4ABBDC2-67BF-4AF6-82C1-AA52B3A43761}</author>
    <author>tc={CB38DEDD-DCAA-48CA-9539-AE8CE974D219}</author>
    <author>tc={8A5A986B-C783-4406-8465-724935F02BA0}</author>
    <author>tc={648B850F-74E0-4BB7-BDE7-6DCD8FF41783}</author>
    <author>tc={B49DD1E3-7D49-4D3B-A3C0-89E0A8B7117E}</author>
    <author>tc={4ABC8DC5-1DD5-4F76-BAFC-48A4DBD0B5BD}</author>
    <author>tc={D5D349E7-FC1A-482D-9921-960EAB260A34}</author>
    <author>tc={6823EEC7-2C65-4087-B008-C14F51B4680C}</author>
    <author>tc={8A523632-E67E-4109-AFCF-16292DE84553}</author>
    <author>tc={2BC16814-6400-48E2-8382-80AB78AE20A2}</author>
    <author>tc={C45DE6CD-219D-4241-8FBC-FFFC2E02EF85}</author>
    <author>tc={8CB2AA59-6AB9-4157-8BC3-F82A1AB98832}</author>
    <author>tc={192699D8-F46F-49C5-B5F7-F8249D2727A7}</author>
    <author>tc={269C9DE5-4240-40DC-BABF-C12F4C58CCED}</author>
    <author>tc={F3419D70-1439-4C5F-8066-C8B983678762}</author>
    <author>tc={5764710D-8443-4BAC-96F7-0E1916499537}</author>
    <author>tc={F2DAF0EC-6F9C-409F-9C89-C79E6BBD7593}</author>
    <author>tc={5D737547-F6F3-4268-AD72-D77CB9067E8A}</author>
    <author>tc={5D5220D0-8DD3-491A-85FD-33B84650A532}</author>
    <author>tc={D58CDD44-B530-4DC8-958D-70D5BAB2358E}</author>
    <author>tc={A610800E-B214-4FE6-AEE7-B537527A9DDD}</author>
    <author>tc={A67684C2-6572-4073-99B6-BB045148A8F7}</author>
    <author>tc={AC1DB0B2-AA8A-42DB-88D3-1FEC0F369AFB}</author>
    <author>tc={9B3E0B53-2603-4532-8F41-9F462F7932AB}</author>
    <author>tc={2527439D-61FD-45DA-A03C-80991A6D1BE7}</author>
    <author>tc={B805ACD3-5B3D-4900-89C1-143433E13F2F}</author>
    <author>tc={C028C263-228E-4F8A-BAB7-BB3DD85A508B}</author>
    <author>tc={21E641A0-6B91-40E2-8AD0-2035443E4B75}</author>
    <author>tc={107D8948-2895-47C2-B240-F92D47E4D39B}</author>
    <author>tc={BFE70C0C-7523-4C35-B6A8-2F092E63EB04}</author>
    <author>tc={A375E5B1-33AD-4979-AE8F-635F813D0E83}</author>
    <author>tc={E5DECA8D-C71D-49B7-9838-654507A1E447}</author>
    <author>tc={CCF26F11-E570-449D-8EF2-6A5BDD4778ED}</author>
    <author>tc={24EF1261-E3B3-4642-BAB2-3F32FAEE1A61}</author>
    <author>tc={FE97DD4D-AA8E-42D7-A2AE-716467EC15FF}</author>
    <author>tc={2B93870C-B018-49B5-8F89-96ACC14C89AE}</author>
    <author>tc={18305481-F24C-416F-A66C-06870D279604}</author>
    <author>tc={90AE5DDD-CA68-4545-985B-F3FE666F2798}</author>
    <author>tc={F2F8AF7F-64EB-49B6-9F86-E0FD18365970}</author>
    <author>tc={AF7EA093-8BDC-421D-AD86-BA137663E314}</author>
    <author>tc={9B20E3B6-06C2-4F49-95D4-B6037A79B8E3}</author>
    <author>tc={F439CC79-727E-43C6-A33F-9B0CE2EC7A23}</author>
    <author>tc={04113217-F07C-4C3D-9670-F69802D60CB2}</author>
    <author>tc={D7AEDDC8-3D83-4003-AAC1-3022ACB55CA5}</author>
    <author>tc={A87DE11D-1420-4998-93B1-7139D5265204}</author>
    <author>tc={63BFA7A0-E61D-4BE1-AAF1-1962408FA496}</author>
    <author>tc={355EC4FF-F042-4561-B5E3-D4099877AB32}</author>
    <author>tc={6E3146EB-81F0-4B78-BD80-91A6341922F5}</author>
    <author>tc={74E069B7-B73F-4DE8-81D5-6BF1D92F2205}</author>
    <author>tc={42C81A05-2C2D-4D2D-8E0F-09F8EDD35189}</author>
    <author>tc={E0371546-8902-4ECD-B240-040C0D0C07EA}</author>
    <author>tc={1844DCC0-2B7E-4E45-B6AE-99FC2560987B}</author>
    <author>tc={93273BBC-3B4A-47BC-97C4-226D7F7054F2}</author>
    <author>tc={897880D0-C4BD-49E0-AF4D-9ECC03AA6B01}</author>
    <author>tc={15284DC7-A0DD-4FBB-9D23-1DEF671F7209}</author>
    <author>tc={E8B53969-BA08-4B8A-AE06-6C3FA1251D32}</author>
    <author>tc={A5FA17D3-2187-463F-B4E2-371DC764515D}</author>
    <author>tc={E5B3E909-E42E-4C90-90E7-9C15290A939D}</author>
    <author>tc={3FC6A1EF-D910-4A9A-8657-322CAB695315}</author>
    <author>tc={C2157FE2-1F39-4A8A-8F9F-10225FCFFBA8}</author>
    <author>tc={30670ACB-926F-441A-958F-270AE75C095F}</author>
    <author>tc={C1295A08-67F0-4696-8A0D-E4CC56A6097F}</author>
    <author>tc={26E6B126-BA1D-4915-8A9E-55E5BD6C9966}</author>
    <author>tc={50251E16-F6C3-4E1F-9DF3-D859D81EAD44}</author>
    <author>tc={17E92FB3-8E48-46D6-A065-8578E6DAC847}</author>
    <author>tc={03D1AAE1-8BC9-488B-AADE-ACED59E7DB57}</author>
    <author>tc={DB223779-7E1A-41C0-9F98-B7280A0131D9}</author>
    <author>tc={872EDA3C-8215-4067-A596-24BAFFC75111}</author>
    <author>tc={B23CB8E6-1031-46EE-B03E-C4873329A52E}</author>
    <author>tc={BB440080-3680-48DB-91D6-82ACFAC393B5}</author>
    <author>tc={C3A5B9CB-8B4D-47CA-9931-82191F593CCF}</author>
    <author>tc={F3D38598-F52B-4462-9A42-8ED67349BE25}</author>
    <author>tc={D287CEA2-2445-4B36-B042-6CED6247E128}</author>
    <author>tc={0B8DAFDA-37B5-4EB2-81E0-92088FEFCE69}</author>
    <author>tc={7B3D24FE-57E9-45CE-BA9A-C0656ED4E274}</author>
    <author>tc={002E2863-33B7-4449-ABBD-B783CDA82AE3}</author>
    <author>tc={367775B9-5195-41AA-A8E7-536E7ADA507F}</author>
    <author>tc={EF6E5EC5-D220-4BF6-88AE-69C857EB45C1}</author>
    <author>tc={9BE8B351-17F5-49CB-961E-3CB55EB883A9}</author>
    <author>tc={5C8A57DD-A3E7-45DE-AB1C-756C1049925D}</author>
    <author>tc={F2BBCADD-165F-404E-8208-57FA2AAAC03C}</author>
    <author>tc={BCF9D009-A4A3-4700-9A90-510AF8E9057E}</author>
    <author>tc={9E3AD758-98FD-42A9-B6E7-24E9704B99A3}</author>
    <author>tc={D36DB8E3-BE28-4EA7-8F01-EBE357AC5963}</author>
    <author>tc={A792F740-1EA4-4CD5-BB1B-52B6862606A4}</author>
    <author>tc={FD4ECC8B-8403-45C9-ACC4-2CA9EB715311}</author>
    <author>tc={73E7751E-40FC-4C38-BE22-5BE420728927}</author>
    <author>tc={49C54234-D9B5-47FB-B613-2F0262CB5625}</author>
    <author>tc={ABE25F86-8D18-4ACE-A663-6F3FFE5B2434}</author>
    <author>tc={7C50CB3E-BDF1-42D7-8F49-858801536685}</author>
    <author>tc={DF530C69-DAF6-458D-A7D6-019449370431}</author>
    <author>tc={A04388AF-13E0-4CA9-84FC-06ED4E5EE07D}</author>
    <author>tc={E747554E-26C6-4E2C-8142-7362EE16602C}</author>
    <author>tc={3DF9A270-F4BA-442E-85F8-104C868C4A3B}</author>
    <author>tc={748DBF71-3790-477C-A4C8-279458E05945}</author>
    <author>tc={665A3FF0-7D04-44BB-BC96-7B5C92308BED}</author>
    <author>tc={445C5B83-BD0F-4916-9948-5CC1D3EEF5B7}</author>
    <author>tc={70D21D06-BC92-440D-BB66-E2E93434D240}</author>
    <author>tc={B0C70581-EF37-4794-ACC7-950E2768D9BD}</author>
    <author>tc={1FD58615-315E-40FB-97FA-8224F923FA58}</author>
    <author>tc={AD39A070-FC87-4010-AB6D-4A9A404DCA7E}</author>
    <author>tc={25082ECB-F092-4C7D-A5FB-86BCA87038EB}</author>
    <author>tc={B1DFF7CB-C4B2-40B0-A83C-4C9CBED48E50}</author>
    <author>tc={64A316E2-9A4E-494C-9AD2-58D2173A05EB}</author>
    <author>tc={0BCE0C4F-E48C-4D9B-A09A-4868189255F5}</author>
    <author>tc={B549AE5B-BC08-41D1-8F1F-7E62047895BD}</author>
    <author>tc={A0320CC7-F35C-4291-8D18-528FF586663D}</author>
    <author>tc={EF2CBB53-F088-413C-90DC-434D179CF55F}</author>
    <author>tc={75CBB3E6-EDE7-402A-944B-4E3B3462F063}</author>
    <author>tc={E1BF2479-587D-42F7-99DA-1EFCAEF2E4C6}</author>
    <author>tc={B0B5C7C8-E847-4056-949A-4D0575398E9F}</author>
    <author>tc={3F71E426-F0EC-4436-8C88-55A5BDDE8B3C}</author>
    <author>tc={10353EE9-3845-433F-A2D7-123044E35DB4}</author>
    <author>tc={56EDF20E-3FCA-40E7-8420-97C841A98142}</author>
    <author>tc={7F3EEA98-E2F6-4815-AE85-B0F7199CC26A}</author>
    <author>tc={03D6D649-1FA7-4E52-92FA-6881AE8D194E}</author>
    <author>tc={DC0D6BAA-BC24-4F31-8CD8-8111BA7DD601}</author>
    <author>tc={85036093-74B8-4B45-AE35-D19BA529ED9E}</author>
    <author>tc={2374E4A0-940C-4079-93A1-4C32CAD79D52}</author>
    <author>tc={492B19CD-1979-41D9-A146-71D301DDB501}</author>
    <author>tc={62C80A80-4233-4CFC-A686-BD9A0545853D}</author>
    <author>tc={066F7CBF-33F3-4D99-A904-FB5662EE88E0}</author>
    <author>tc={477D5319-764B-4FCA-9927-F4C79B07BE89}</author>
    <author>tc={7D17888A-94F4-437A-815D-784599F1CA82}</author>
    <author>tc={FEEF68A7-B2E9-4BA9-B149-B1920C396CE6}</author>
    <author>tc={8A0C27EA-CDE4-40ED-AFD0-2B7FE9B10E32}</author>
    <author>tc={A09D3F16-DAFA-4644-90BA-946ABEB1645B}</author>
    <author>tc={ACDA82C7-484D-44E7-939E-1F8CEE06AB4F}</author>
    <author>tc={9D63EC2A-045E-4B16-8B62-26ADBE6B893B}</author>
    <author>tc={5A426AE1-19B8-4D3E-9DDF-70A83C7541D0}</author>
    <author>tc={D6E66DF7-7EEA-439F-A32F-4CB572753090}</author>
    <author>tc={7911DA08-94AC-428E-B1D4-12BD3E7FA346}</author>
    <author>tc={53EEFD5F-790B-4175-A572-FEC31B1891D5}</author>
    <author>tc={2339E931-AB6F-46D0-9ED6-6120805E7748}</author>
    <author>tc={8B81FA26-3BD1-4AA7-8BBA-3238550443A5}</author>
    <author>tc={DA0E8852-7579-403C-90E6-E3DD3BBA9EB7}</author>
    <author>tc={929B9069-ED7C-4549-A480-01FAC2C7DF6B}</author>
    <author>tc={4BE54A80-396F-4BDD-A087-703938153506}</author>
    <author>tc={D9E974B2-6C6A-46D0-9ABB-790DA7BD647F}</author>
    <author>tc={C337C9F1-7BD0-4E7D-8AFB-3ED3DC607A4B}</author>
    <author>tc={D8395178-C0A7-4157-B1D5-4E349A563164}</author>
    <author>tc={8BE8D473-AF08-4A44-9E83-2C8294D01E0E}</author>
    <author>tc={B994BD6F-D432-487F-BC54-7DC7B2C8C1EF}</author>
    <author>tc={58245457-2A65-49C6-8D59-3D2EB3E981B5}</author>
    <author>tc={61FE5CAA-AF2F-4067-8500-D0B4FC76D10A}</author>
    <author>tc={C6BD2D18-9D6C-40F7-AA2B-51AFA7F3F796}</author>
    <author>tc={9448B209-75AC-45A6-8905-B5609513DC57}</author>
    <author>tc={570B7BDD-D6DF-4FE9-BFA0-4A7B3147D217}</author>
    <author>tc={25B7773A-86F1-4878-BDE3-1D09CDF9137F}</author>
    <author>tc={E3EB1800-4126-4705-814C-80FB46CD6310}</author>
    <author>tc={DC688373-BE86-4E34-9289-54C30283BF10}</author>
    <author>tc={CB610F9C-60AB-4102-8BCC-20302D28EAE8}</author>
    <author>tc={95DCD486-8E49-4804-94BA-78ED47105502}</author>
    <author>tc={5C72FE00-F3A2-40B2-BF37-BC3C66263FA9}</author>
    <author>tc={851745FC-CA22-4BFA-A4A9-9E0A8B5C6219}</author>
    <author>tc={230DBEED-1710-4488-8CE8-B729915470AC}</author>
    <author>tc={5C2D2806-0EE1-4B87-B165-749BA77DB800}</author>
    <author>tc={CF288D76-DA9D-441D-AE98-A58A1EB6DE07}</author>
    <author>tc={F5DBC18B-D5C0-46CB-B470-24D2EA0951CF}</author>
    <author>tc={8F44D008-3E3C-4780-8B47-AD2360812425}</author>
    <author>tc={5C48BFF0-4BF3-4152-9F16-EF0108CC64FB}</author>
    <author>tc={34C1D78D-4738-4207-B648-03BA0E076F31}</author>
    <author>tc={CD7E9AD3-2DAE-43FD-897A-C1EAC1892159}</author>
    <author>tc={C1A3B04A-F435-45FA-840F-C8CAD9BE9D36}</author>
    <author>tc={EE190FF3-9D05-44C0-BE94-693D6D2E7A40}</author>
    <author>tc={E026FC2C-561C-4B8F-BB4D-DBC5F6976C96}</author>
    <author>tc={EEDD622F-6194-41CD-B402-8F4F16A6D3BA}</author>
    <author>tc={F31E1D91-EDF5-48ED-91BB-07FF04B506D5}</author>
    <author>tc={EAA83218-5A29-42AF-9DB9-DCD0674DEEA9}</author>
    <author>tc={4B74C433-C6AB-4D2F-B6A9-5B62A82455CC}</author>
    <author>tc={E9465DA6-832F-4FDB-8535-40825CDE3BC4}</author>
    <author>tc={873EA161-A947-49D3-8CED-F249B4C4E42F}</author>
    <author>tc={4EC6C44C-F647-4B43-92C6-D09219026AA6}</author>
    <author>tc={A931ECF6-C697-4864-ABB1-B3012EA550FB}</author>
    <author>tc={3F0CB113-125F-4B3F-A83F-2D4136DE530A}</author>
    <author>tc={A243FE5D-6DF5-41D3-9826-460FDC5EC71F}</author>
    <author>tc={F9F8EB5F-7B77-48B7-AE57-9D406AEC4912}</author>
    <author>tc={970BC30F-77AB-44AC-B470-B91C69318A9E}</author>
    <author>tc={8EF9CADE-A667-4A7D-B835-ABB33F49D32C}</author>
    <author>tc={8D25CBF8-B1E6-46EC-9F85-8A22BFF0CE76}</author>
    <author>tc={E1C4940C-FA0A-4E19-AC52-8B121F852AC4}</author>
    <author>tc={C6148D2A-788B-4BA6-A850-091B7698A362}</author>
    <author>tc={941936EC-A986-4165-8AAE-0BDAF0E3E7C5}</author>
    <author>tc={72162FC0-07B3-4EC2-B2B6-120F4975A300}</author>
    <author>tc={5FC3D929-A9AF-4618-B1F3-083D22815906}</author>
    <author>tc={58827F1C-4E93-4FFE-AF5D-AC94BBFB433C}</author>
    <author>tc={FA1D5D37-3B4F-44E4-A390-6267AA0BC19C}</author>
    <author>tc={E1569AE9-743A-4173-A76F-52225DC6F74F}</author>
    <author>tc={6FC3DEAE-7C97-40D2-ADB9-F4A5AD64E631}</author>
    <author>tc={BDFFFA0A-824E-484E-861A-4F734E5D4971}</author>
    <author>tc={BB12AA1D-46A3-4037-BB29-DA0D59883A11}</author>
    <author>tc={D51B14D0-E8FC-4027-BA77-F0EF1621E99A}</author>
    <author>tc={116A0717-DCB4-49FC-BA80-ED37328F7825}</author>
    <author>tc={BF4E49D1-355E-4F75-A110-8216BFB03553}</author>
    <author>tc={9326C2BD-3DE4-4A7E-B18C-5CC81570711F}</author>
    <author>tc={B08EA628-F3E5-4EED-9F76-6CF8DFAE14E6}</author>
    <author>tc={F4A36A98-1B7F-48F4-B999-2D2C07ADD539}</author>
    <author>tc={E6954F1D-01FC-4A82-9B6E-BF8E369DE768}</author>
    <author>tc={9F7E4E66-A949-40D2-B9DF-620B9FD7B94D}</author>
    <author>tc={2EF75018-9C82-42B0-A9DF-A8D4B40CD04E}</author>
    <author>tc={BE4B5B04-21B3-455D-88C6-BEB12D5966E2}</author>
    <author>tc={163FE197-6804-4A69-B3F0-B11ACB7DC98E}</author>
    <author>tc={E655137C-5C07-4CD9-A859-1307EEB76139}</author>
    <author>tc={A0977622-3168-409D-B5C8-4AA06B72DC95}</author>
    <author>tc={D34F0261-928B-4B35-9DE1-F628B5FCB222}</author>
    <author>tc={C9701BB4-A71F-4CCB-A537-82B9961BDF4D}</author>
    <author>tc={7220BCE7-1197-43DF-866B-7B0A8671A24D}</author>
    <author>tc={ABABF580-0EFA-40CF-BBE8-31CB9086CA41}</author>
    <author>tc={0C4C81B4-B78C-4FB0-B74A-D306912FC85C}</author>
    <author>tc={524B840E-20AE-48B5-AA8F-6B1E4EA78BAA}</author>
    <author>tc={D21035A5-B69D-42C6-95FF-D0A205710096}</author>
    <author>tc={D2B0A203-2EC5-45C2-88C8-8FF8C2DBEB25}</author>
    <author>tc={D1ADBBCD-71AA-49AB-A942-DFA26E9ABF07}</author>
    <author>tc={53B376FE-26BD-4D7B-AA73-25CDAC82C71A}</author>
    <author>tc={01B3A2E6-4564-42CF-80FD-F41AA1DC4A8E}</author>
    <author>tc={77188F4C-A2A3-4D6B-AE35-5B429445F1B1}</author>
    <author>tc={D3BF4E22-05A0-45AC-A66A-93C2FA906EAB}</author>
    <author>tc={086276D3-0CF9-4085-9B11-935A36510066}</author>
    <author>tc={26190DE5-FB97-4F7F-BAFC-98784446CE40}</author>
    <author>tc={1178CBC0-5809-405D-A4C1-A83054EB7BF5}</author>
    <author>tc={79CBDED1-E037-45D7-B6B4-B3F0EFA392AC}</author>
    <author>tc={0A8BE4C0-1A2C-4073-8F6C-AF6D8A32F231}</author>
    <author>tc={E7F789A4-33FC-4DA3-8A2B-FFBA60FE2EFA}</author>
    <author>tc={963A1339-9BDD-4334-974E-6AF14366AB1E}</author>
    <author>tc={CAA1EC92-7D2C-4E7D-BD9B-150C3E08E7CF}</author>
    <author>tc={B6CD530A-4681-4688-BC42-B8D92E1F53A7}</author>
    <author>tc={C71DA734-4BF7-4CCD-8A6E-9E26491F2437}</author>
    <author>tc={9C52B12A-784A-4A13-9650-EDD13A8D5F03}</author>
    <author>tc={33E031EB-C07C-4341-A091-7874D45F75C6}</author>
    <author>tc={36945922-EBBD-4C10-9619-0369E29F3CCC}</author>
    <author>tc={E82E9067-AF42-4A0F-BEB3-79E267C80362}</author>
    <author>tc={D9149406-6DE1-4370-84F4-6C827A77C3D9}</author>
    <author>tc={5935E37A-F98C-4441-89EB-873618D6458F}</author>
    <author>tc={6FFF0CD9-F668-45BE-9BD8-9CF16ED1F25A}</author>
    <author>tc={F109BE1A-B015-4CC7-8137-CA942E1D644C}</author>
    <author>tc={E72CE846-4FAA-4A4F-B140-B6E44F2447EE}</author>
    <author>tc={65F4686A-0F64-45A0-BD88-D28487B03547}</author>
    <author>tc={58935140-757D-4475-AB37-B1D1DCF9F92F}</author>
    <author>tc={90D862EA-B979-4409-AB4C-4FD4FF712211}</author>
    <author>tc={EE15F1EE-D0EE-4A75-8BB4-B75BD4CEF5F3}</author>
    <author>tc={430A9AEC-323A-4C57-856A-A7F9F01A0D89}</author>
    <author>tc={0DAD760D-3612-40D9-A02E-8E3B9D7A14EA}</author>
    <author>tc={30E4EE95-1308-45EE-9658-C84F7E23416F}</author>
    <author>tc={058585ED-472A-45A0-9DB6-22AB3C932009}</author>
    <author>tc={BF6D1009-C102-4C54-A510-72F872534F1B}</author>
    <author>tc={933429D1-C2F6-4E16-9A2F-DF2E29A57503}</author>
    <author>tc={6F10779B-D199-40AA-83F4-3A9812319477}</author>
    <author>tc={2F82B9B9-A7AF-4329-8F1F-7E2E658C37A7}</author>
    <author>tc={36313AE9-9D45-41BA-9FC0-92FD6D126E50}</author>
    <author>tc={A36E4221-CF92-465C-B1BD-3C9CFD551A44}</author>
    <author>tc={CD1859EA-CD9D-4C60-B526-A3E601F45E5F}</author>
    <author>tc={80ED9272-8826-4FDF-8A99-F22D92306515}</author>
    <author>tc={C0E252FD-A932-4485-B34F-3B8657E2661C}</author>
    <author>tc={D6710FE3-1047-4B77-BFB9-445E5293997B}</author>
    <author>tc={240FB20A-9082-4F70-8445-CABF45653D83}</author>
    <author>tc={F984A0EF-271F-4E68-859A-6AB9555A6C36}</author>
    <author>tc={79696C0A-384E-4667-9961-02F06B46F1A5}</author>
    <author>tc={BECA5723-F5F1-4218-8769-C7890DF811E6}</author>
    <author>tc={52F0A78E-0607-4A51-B37A-8ECD99D8203B}</author>
    <author>tc={97ECD470-E5F9-409E-8096-FD0B8B82F185}</author>
    <author>tc={E07B98DE-8C2C-4677-AB31-60B49B00ED0A}</author>
    <author>tc={2ED0FF21-7F43-41BF-B1EE-D07B2A99956C}</author>
    <author>tc={BF0A4585-76B1-4CF1-8C81-5BDCDACF6445}</author>
    <author>tc={60C37E43-F94E-4625-AA60-DA227BF4FCCC}</author>
    <author>tc={BB88F08A-B7C4-4E07-A708-C7216F221649}</author>
    <author>tc={94F3A615-A714-4C95-A7FA-0726E9378B89}</author>
    <author>tc={3F262349-2FB2-4858-84EF-604E8488C794}</author>
    <author>tc={1429BB3F-C0E7-4642-89C6-A12812EC91CC}</author>
    <author>tc={EEB32113-3341-461E-AE7D-9F454252E555}</author>
    <author>tc={C51828E9-02C3-4283-B735-139F7F5130DE}</author>
    <author>tc={8F8CB6E4-15CC-47FB-ABBE-15CF8AD1CEE3}</author>
    <author>tc={6CDC1AC1-CCDE-4932-BD9B-9FCE19F794A7}</author>
    <author>tc={C80CA4B2-D882-4B13-9222-0BE44C466400}</author>
    <author>tc={A1118C41-AB2C-4CED-BD49-B02039CE2F5C}</author>
    <author>tc={A8DEF450-2FDB-4DC8-BFA1-1C6DD8D9510E}</author>
    <author>tc={B186A5AE-FBF7-479A-B86C-2C8B350A2C9C}</author>
    <author>tc={AD850711-452C-43C6-9BBE-82988110636B}</author>
    <author>tc={F992F402-F274-43B9-8E68-1E548BB764A9}</author>
    <author>tc={656E2335-5258-4D04-BD53-153CE14460B2}</author>
    <author>tc={E4F6DB37-4D62-4F5B-8B67-62CF573A2EC6}</author>
    <author>tc={0D71C09F-B234-403D-820F-94AD9DA2A80A}</author>
    <author>tc={DAE10245-CE00-4979-9815-E6D0F3F2255C}</author>
    <author>tc={BA4377A6-CE33-4464-8F7D-C97F900A3328}</author>
    <author>tc={E218C651-FBD6-44C5-BBDF-1C1BDC02BAA9}</author>
    <author>tc={5761A42B-5FAA-4D33-B836-EEEB34626AC6}</author>
    <author>tc={0CF7F3AE-04C1-4A94-ABDA-197EC4706610}</author>
    <author>tc={F91AE388-6DB7-4E57-9A2C-0483BF1FE0CA}</author>
    <author>tc={1F7C3728-744C-496E-B257-681517D33298}</author>
    <author>tc={7FF90525-59FD-413E-976F-FC1326864A4D}</author>
    <author>tc={4C379255-219F-40D4-8681-A6F8CE397991}</author>
    <author>tc={722339A1-C780-4BA6-B014-4275F775B8D3}</author>
    <author>tc={DDF65693-1B83-4BA5-9DE9-7B02A3CE6F21}</author>
    <author>tc={6CB8C18C-49B2-4E19-9284-FB9DFC5FD918}</author>
    <author>tc={155B3200-8C76-440B-8B9A-4CCB30B46409}</author>
    <author>tc={A9F8BCD2-8251-4E06-90E9-38AAEC6CD139}</author>
    <author>tc={5839D6BE-5A9F-40A8-B719-56B481D63503}</author>
    <author>tc={D23E4B87-79F4-43D5-9EEC-E9409A56D664}</author>
    <author>tc={B8CA4602-483A-4537-8056-AAE547721592}</author>
    <author>tc={C4218F84-0665-4AFC-986C-3364873D504E}</author>
    <author>tc={96DBBC6B-2036-4786-BC7E-2B15CEB65E55}</author>
    <author>tc={636E61CD-BE02-4DC5-AC18-7250A62DBB8D}</author>
    <author>tc={21E27A51-FBF1-4207-9C63-498C8E683AD8}</author>
    <author>tc={69066DF8-FFE6-4DDB-8215-D530F2B0E89E}</author>
    <author>tc={1BA7DA63-40A1-4B36-8DFC-BFE2F5CF90C9}</author>
    <author>tc={65CEA379-8C45-4814-82E3-05CFA40E33C7}</author>
    <author>tc={E1057FB6-BB1C-47A4-A9BE-C8951F5D0EB5}</author>
    <author>tc={0B32FC3B-DBB4-405F-9533-9A5990BA839A}</author>
    <author>tc={B5891EA1-38A4-4A86-A007-2F91255584B8}</author>
    <author>tc={39644D48-E042-494E-A17A-B49B76060B91}</author>
    <author>tc={0FDDE2B8-80E9-4E03-B597-27EDC1941EA8}</author>
    <author>tc={7E4E6B2C-C5CC-4471-9BE0-81A423F540A4}</author>
    <author>tc={54D5F129-B250-4092-8C2C-EDB0685B0062}</author>
    <author>tc={B75CE7F2-0FA6-4AF5-89C1-A30F5D44D732}</author>
    <author>tc={1651879B-F157-490B-A5DC-315614D582E0}</author>
    <author>tc={0F3461F3-3FF3-4528-9E05-A3862F58FAB5}</author>
    <author>tc={C6705BC4-71F6-469B-BDBB-4089AD14B214}</author>
    <author>tc={774DE20F-39A4-4A7B-8E08-A0A5B7BC3117}</author>
    <author>tc={9050AD36-5CED-438E-8668-51C500B3AFF4}</author>
    <author>tc={DEBE56C4-38EA-486B-89D9-CCCB8FD47EE2}</author>
    <author>tc={890AC96E-1725-46B8-89D4-2537C8D0A158}</author>
    <author>tc={BF464C6C-CC01-4DA2-856E-AD9B7669991D}</author>
    <author>tc={F2EF8E25-B961-4A0F-9000-17A883F98DE0}</author>
    <author>tc={0FC91838-8839-42CE-8C30-45B5988D8FDC}</author>
    <author>tc={335F4960-54BA-412E-8ADF-E86DEA34EDF7}</author>
    <author>tc={9835FCF2-41F1-41C1-BED1-10E3EFE05E46}</author>
    <author>tc={350F55EB-4CDF-4318-9020-D1A8BAAE71B0}</author>
    <author>tc={A42DFE43-6E87-425C-A014-52F600AE22B6}</author>
    <author>tc={D431A877-462A-4AF7-9E19-0F336029D13E}</author>
    <author>tc={87760C43-939C-45E9-AA98-5C774CBA6841}</author>
    <author>tc={6B20B18F-C24D-48E9-BED6-4A08E0C7B179}</author>
    <author>tc={234CDCF0-E579-4F23-920B-034177EF128B}</author>
    <author>tc={E2AB55DF-50F7-45D0-AA21-12933B11D652}</author>
    <author>tc={DB339BF0-CF43-4779-9309-1C7A7D17A2DD}</author>
    <author>tc={EDE04660-841D-4EEA-8D29-D0760B7DF060}</author>
    <author>tc={8FE1D6A8-8465-4678-81DC-808DEC79540A}</author>
    <author>tc={7D1B9574-EA3D-4F9B-BB86-462DE6816092}</author>
    <author>tc={7F58C92A-A495-4128-BD2A-2E5FE8791DA2}</author>
    <author>tc={D88603BA-A771-4B7D-A9B1-229C7851F430}</author>
    <author>tc={30388E22-468F-457D-93A4-6AAB565F018C}</author>
    <author>tc={24D3E3A2-7E98-4B89-9CE8-50CF4F143183}</author>
    <author>tc={B7E051C9-166B-43E2-AD54-C6715392C044}</author>
    <author>tc={69969307-BF41-409D-BA59-1F842D509786}</author>
    <author>tc={AABFA45D-8F84-402A-B204-C341384CDF08}</author>
    <author>tc={7665984E-AA99-4794-9C8B-5E447B8FC0CE}</author>
    <author>tc={0EDB7482-63B3-4B1A-97F2-24F8E8218EC2}</author>
    <author>tc={19F9AEA3-6FA1-448D-BB05-3C380FB117E1}</author>
    <author>tc={640B187C-D08E-441E-A8A7-A7FBD603DA0E}</author>
    <author>tc={2A655A1D-4075-42A1-AB3F-2363640547F6}</author>
    <author>tc={E8291322-D75E-4AA0-8A78-CEFF5659F929}</author>
    <author>tc={7B28D5AF-77E5-434F-B3D1-A504DE963566}</author>
    <author>tc={6F9FBDAC-A8CB-4AC1-82E7-34C0E618BFB1}</author>
    <author>tc={AC70A5CB-6976-47DD-BED1-9C7884A2A578}</author>
    <author>tc={6B11A0EB-ABAD-4AA8-9646-9E1C3C546A21}</author>
    <author>tc={68206C48-8310-40FA-A767-2D9EC04BBAC6}</author>
    <author>tc={9D2006C2-B71A-4A71-85D9-9EE8427E0D46}</author>
    <author>tc={8D192EAD-7311-40B1-8D9E-61F62DF02073}</author>
    <author>tc={96DBED64-7AC9-4AAF-BAA1-F00825DE5C75}</author>
    <author>tc={E2D3E735-6388-4052-A4C2-D5352CECCD4C}</author>
    <author>tc={0DFE2E3F-35AA-4C05-9A09-4B9E6B4867DD}</author>
    <author>tc={7EAEB5C5-65F7-4A71-B2ED-D9E9E582A1CC}</author>
    <author>tc={5A6090F1-1E17-4C0C-A405-362925ED37A0}</author>
    <author>tc={D913091E-5087-411B-9186-9DBFB0651E47}</author>
    <author>tc={600DCA83-C5C5-4B4F-AE03-19173B7E325C}</author>
    <author>tc={E679BF9B-502F-4452-935B-4058C5D3D40F}</author>
    <author>tc={08705FC2-ED63-4034-89FC-1CE9C92695C8}</author>
    <author>tc={A2BDFCA8-CFB9-4AC0-A8A8-82F65390B1ED}</author>
    <author>tc={9FA30093-4A0E-4060-A6D3-384AC07C0589}</author>
    <author>tc={646F790A-A742-4CC3-88DD-A84484534521}</author>
    <author>tc={B0B629B4-A296-41F2-A811-311E587D8BCD}</author>
    <author>tc={FC257D2C-76BE-477C-A8C7-59434E5AEEF9}</author>
    <author>tc={076B5C66-D06E-4B31-B576-8D095ADAA7B9}</author>
    <author>tc={DE51BEF7-259E-4112-87B6-A9C8D63193E3}</author>
    <author>tc={41EE514D-1AE2-4B7D-B6B8-E2D5D4E16C56}</author>
    <author>tc={4DB3DC8D-4ED1-4FDC-94F8-E188E964961D}</author>
    <author>tc={EFCF3E20-A4CC-4011-94E8-AD1D97484330}</author>
    <author>tc={FF5ACB38-4F08-4C53-8948-5387CFB9A1AC}</author>
    <author>tc={C49C699B-D2F1-45C5-ABAD-EE90F707CC94}</author>
    <author>tc={E6DFB57B-EE11-4B4F-93F9-9369EC34C53D}</author>
    <author>tc={A26899C6-B44B-4A6F-90E3-F6869CCB86F2}</author>
    <author>tc={6F7DA3C1-0885-4E65-A826-D3D9D4E66198}</author>
    <author>tc={C4A4B6ED-3395-406B-8136-19C406248AF4}</author>
    <author>tc={0283E4FD-CCAF-45E7-9A96-86619D846FC9}</author>
    <author>tc={AD960447-BA88-42CF-B673-0960E1DFD801}</author>
    <author>tc={F581AA54-DF4B-44E8-B999-282E10B3B11B}</author>
    <author>tc={ED66ACC5-AAE8-4E9A-98F8-92ADD83B6853}</author>
    <author>tc={F9D5C9FA-885C-43AB-8378-EEAEE975F616}</author>
    <author>tc={249639BC-D99C-44F7-B31A-B35D587D3727}</author>
    <author>tc={7FB8797C-BA15-4C19-BCE5-F7FDBA3F4A1F}</author>
    <author>tc={F740D704-0CC9-4AFB-A3A7-66CF70B980B0}</author>
    <author>tc={1DBBDBE0-15B1-48EC-B729-65ADE78D3081}</author>
    <author>tc={51288C9D-C04F-45E3-A11C-3B4BE37D62A5}</author>
    <author>tc={D784D047-F9E7-4176-91C1-23A67F73F54D}</author>
    <author>tc={AC940D1C-FC9B-4E61-807F-6C45CE0DDEE7}</author>
    <author>tc={79E280F7-C372-4754-9FF3-6E44C45AA269}</author>
    <author>tc={C6C2C1E8-3557-4455-9083-6D901CFE4D81}</author>
    <author>tc={DD4BDA7A-E414-45B3-A876-D9329A229CA5}</author>
    <author>tc={7474F492-0520-4F77-97D9-58BF57442BC8}</author>
    <author>tc={7AFF8A18-FF00-4550-A8B3-C0A3993D48BE}</author>
    <author>tc={99ED440C-A7DA-4C69-BBD4-C2741CA59E92}</author>
    <author>tc={F347E9AD-3F6E-4926-B3A5-8FBFE46E932D}</author>
    <author>tc={0DB648C4-5F5A-424C-98C3-846962F7E5AC}</author>
    <author>tc={41351789-62B7-48B1-B41F-528A2281D956}</author>
    <author>tc={7E9E0C31-C499-44C4-91B4-F176F90B4F06}</author>
    <author>tc={BAB131D9-918E-46B3-BCB0-A0330F586464}</author>
    <author>tc={D47894F8-6816-4EF7-B837-67F578E2CE0C}</author>
    <author>tc={E6CCD407-D4DE-4609-AD8D-FB696518E975}</author>
    <author>tc={2C00078C-B089-420E-A38B-D093953340FB}</author>
    <author>tc={D7C58305-3ED7-4898-9F0B-E3E47B6C7EA6}</author>
    <author>tc={43151E48-B0FB-45C3-8CDD-4828273D0E6F}</author>
    <author>tc={ACAC6A35-68BE-4D7F-99F2-77D765FA4955}</author>
    <author>tc={4633967B-F464-4F80-8407-F671F4840569}</author>
    <author>tc={5E5BE2B1-83F3-496D-9BC3-FA4F22DC0D1F}</author>
    <author>tc={A22E2D55-DE29-432E-9019-055C2E5EB00C}</author>
    <author>tc={157062E8-7071-4C34-BFCF-BA8F7A63FC52}</author>
    <author>tc={6143DBE9-7F5B-4CEB-877A-C862466E4A29}</author>
    <author>tc={1D900860-17B0-43F9-8A36-2342397ED2FD}</author>
    <author>tc={8699D2BF-B544-4A20-8B3A-8C3066B20F58}</author>
    <author>tc={ACBB0A1D-D3D7-414B-80E8-854C19BDA384}</author>
    <author>tc={ECE78BE7-558D-4042-A988-8C44F9F0A8C5}</author>
    <author>tc={C5F95586-5F63-4A83-9675-DCB21CE186C8}</author>
    <author>tc={BB3E76E2-9FE2-4DAA-B756-B3429CB8CEC4}</author>
    <author>tc={5461C002-D3AF-4AB3-94C1-BACE63E9AD49}</author>
    <author>tc={922341F1-01AA-41E4-BFDA-DAAFBCB4A36C}</author>
    <author>tc={08A687B8-EC69-492E-BEB6-CDA7E1F81824}</author>
    <author>tc={D282C427-E0B0-40A5-BFC5-C78FB1C06D11}</author>
    <author>tc={FD232FBC-F0E5-4323-AD9C-9983509E830D}</author>
    <author>tc={8EE85D8C-245E-4713-92F7-B68706949C95}</author>
    <author>tc={FD3DFC16-54A9-4239-94D9-4C521BCAE3B2}</author>
    <author>tc={D83CEF8C-CA93-47B4-A34B-215A80F3135C}</author>
    <author>tc={5AA7351C-E73B-43DC-8B8A-67D83D40B0EA}</author>
    <author>tc={132FDBA6-D8C7-4159-9C45-96676099C901}</author>
    <author>tc={0C65487B-0839-418E-BC4F-1DF1B647015F}</author>
    <author>tc={7B206055-7E50-4814-8A22-FB4E7E5CD538}</author>
    <author>tc={A37A0C0A-9DBC-4373-8F41-7646E5EDF43E}</author>
    <author>tc={55D07F2C-8EC5-406E-8BBA-7C72CF70A1D1}</author>
    <author>tc={3ABB006B-1824-4503-9665-564198EE43CE}</author>
    <author>tc={4AFB1AD0-871B-4664-8C17-D7670CAEACA0}</author>
    <author>tc={F09E35A8-7F7B-436B-8973-94ECB3982F19}</author>
    <author>tc={3DAABBBA-7286-41BA-AFD0-4CF4CCCF26AC}</author>
    <author>tc={9E2B55D1-D0FD-4BB4-BDE3-BE3AB49F8198}</author>
    <author>tc={99B08BDA-68D8-4A7A-BB12-E57936AB0FF4}</author>
    <author>tc={66AB9326-ACAF-46A0-B207-118BF8E71233}</author>
    <author>tc={CD828355-BD8B-4E20-A6B7-29EB71CD986D}</author>
    <author>tc={181FB730-485B-479C-A945-FB7CAB4DFC67}</author>
    <author>tc={17DE9236-8868-4A62-A680-02074E97E803}</author>
    <author>tc={BF16270A-11DB-4BA5-A826-8B9E2797B8B0}</author>
    <author>tc={757BDC83-3976-45A4-963B-B01080506BE6}</author>
    <author>tc={A44DB079-C5DA-461C-B076-E9D73C299756}</author>
    <author>tc={BBD02912-C002-4049-B4B7-31782FEC60FF}</author>
    <author>tc={F9B50C0C-DEFA-4CFA-860C-499B055CD209}</author>
    <author>tc={1634A920-5E3D-4796-B9C6-9EF0D5F3F46B}</author>
    <author>tc={DB1018A1-A316-4960-B885-DC73E8F7D502}</author>
    <author>tc={039873A8-628E-4F77-BD6D-86FEA6BDEC0D}</author>
    <author>tc={F758B950-F054-48D7-B43B-5A3C3F085D15}</author>
    <author>tc={20C26C64-BB6B-4890-AB60-5AE4B3C5C30F}</author>
    <author>tc={0145F28E-3BCE-4032-B5AC-515EE7B20371}</author>
    <author>tc={3EBD7CCF-44E8-4AAF-8E2D-CA23977F32FC}</author>
    <author>tc={CB9DA88A-6D3B-4EB0-9165-3F3ABB97D980}</author>
    <author>tc={711BBC2E-C865-4E83-958F-E1F104D9CE66}</author>
    <author>tc={E6E4157E-435C-4654-98C1-711B8822B20F}</author>
    <author>tc={F32914A6-A616-4CEB-AA6B-A6A63D704ED7}</author>
    <author>tc={ACA66F52-746D-4AAB-B6C5-0AC37C8AEA1A}</author>
    <author>tc={736693D1-78D5-459C-A04B-378729E89045}</author>
    <author>tc={BA6ED49F-BC53-46C5-B761-CB18965E6894}</author>
    <author>tc={6F001A30-DCAD-4BBD-B80D-0F59AE83B91F}</author>
    <author>tc={7D1A6419-5200-4AE6-9223-9A122FD606AD}</author>
    <author>tc={95B0E2A7-2356-4925-B671-09FA8B4EAEF4}</author>
    <author>tc={A2DBDD2A-AB23-4C08-A531-7E9346FFE76F}</author>
    <author>tc={778E1A8E-B6DF-432C-A210-70489DC0B9C1}</author>
    <author>tc={7011D49C-50FA-47CF-BE24-744A487E5B5E}</author>
    <author>tc={22605ED4-EC94-49DE-B02E-07A5726D982F}</author>
    <author>tc={BC59166D-D1A2-4AEE-A434-F3583AC773D8}</author>
    <author>tc={0CB1D9F1-C9E6-472B-9880-924C89293264}</author>
    <author>tc={723F6D47-DE84-4C59-9387-54120FDF8510}</author>
    <author>tc={1A78FD44-960E-4BFB-8632-4BF5B5C32D01}</author>
    <author>tc={E13CE8B6-610E-4179-A886-4C232F8EBBD6}</author>
    <author>tc={5306C28D-E298-40C9-AADD-E75AE1CC2835}</author>
    <author>tc={7DCA5822-94C0-4455-8023-CE571D924880}</author>
    <author>tc={150D445A-E961-49DD-9F99-3C75D49BA7F6}</author>
    <author>tc={75DA1A8D-CDF9-4855-9A4E-4CC80B201C71}</author>
    <author>tc={2EDF4D7C-058A-4922-BD2C-D5E81D44B481}</author>
    <author>tc={52B155BB-3F51-4A2B-B4B0-809ADDF83A7C}</author>
    <author>tc={CB935DC7-FD6C-48F4-88F4-6B07421BE66A}</author>
    <author>tc={5473C89E-F814-49BA-81C4-08B2D20F1856}</author>
    <author>tc={2A361414-CDA8-47F5-987C-4F77AE91D736}</author>
    <author>tc={856D91AA-FF1C-4529-BF72-7A4D5B60FCA4}</author>
    <author>tc={F83560C4-7DA3-4CD7-AFCC-FAB6D554945F}</author>
    <author>tc={6EC0B502-9928-4F3D-B9D7-08E51717356B}</author>
    <author>tc={458ADDDF-1042-4A49-B7F2-002CA16F8446}</author>
    <author>tc={5F5CF5C0-6C95-4BA7-B02F-F404A5022699}</author>
    <author>tc={9F2B436F-FE55-4463-AB93-D154709B9775}</author>
    <author>tc={3ADFAB37-ED62-47CC-8DD9-4A6423174EBA}</author>
    <author>tc={6391DD7C-1666-43DA-BF46-96F68B83591C}</author>
    <author>tc={C7468FFE-3EC2-413F-AC31-D08E3C5C133D}</author>
    <author>tc={0781EAB6-5558-49D1-9EA7-6D1C431F4235}</author>
    <author>tc={A0FD9D46-543A-425D-8606-AB4D05959A59}</author>
    <author>tc={6ECD47B1-7979-4A3C-90A9-63B5D8AA413F}</author>
    <author>tc={92F8CE3B-FCD4-4DB2-96DC-FF21120A47A6}</author>
    <author>tc={5FD91574-C6AC-40F9-ADCF-0C18AFDB3633}</author>
    <author>tc={831D7D71-5EB7-4E51-94A4-D34066E42124}</author>
    <author>tc={2888D955-70F3-466D-9771-C59B9889BB2C}</author>
    <author>tc={2185F557-FC76-4059-8E85-684DDF15EB0A}</author>
    <author>tc={8B100C64-DC99-4401-8EC5-F8697F97A9EE}</author>
    <author>tc={8B569A76-4EA3-4385-BF1B-B3C56CA2AAFB}</author>
    <author>tc={E5E7388F-5648-411C-8C3C-6DB5FB7A388A}</author>
    <author>tc={F1A19453-31EA-40D0-9A48-221D901E8D66}</author>
    <author>tc={5755FB5B-B0E5-4068-9DDC-333BFFE5C212}</author>
    <author>tc={7211534F-E856-4CD4-8522-B4D4F3F95F43}</author>
    <author>tc={298B3CC8-37E7-430F-98CD-4AA0C4C4B6E8}</author>
    <author>tc={D83B4C38-AE25-4783-AA2F-46E76F9C7126}</author>
    <author>tc={1F399C7E-2F42-45E4-8F72-B612B2F0473E}</author>
    <author>tc={970501DF-0B35-4AFC-ABFB-052927305DF5}</author>
    <author>tc={DBE2750D-48B6-44A0-90A7-D00708DB7D04}</author>
    <author>tc={9E77E614-B1D6-437A-AB29-7094D781A0E3}</author>
    <author>tc={00364A93-0AB9-4178-84A6-8A0D53C1880C}</author>
    <author>tc={B9DD035E-A981-4EF0-A0F4-993759984FEA}</author>
    <author>tc={9ADFFF34-C2BC-408A-8210-631413CB9CF7}</author>
    <author>tc={FDA02BE3-C2F6-4B4D-B36B-1EAC43E26724}</author>
    <author>tc={3E6BFABF-A801-4E75-BA93-337592D0A7A4}</author>
    <author>tc={D219F37A-1206-4E91-94D0-6E30450AF9D8}</author>
    <author>tc={69EFC4C8-E474-447B-92E2-A32ED0BA8B60}</author>
    <author>tc={D3072C97-04EA-42A8-AA4C-557FB9B8691A}</author>
    <author>tc={A9CFBA0A-CFED-47D9-832C-503DBB3C080A}</author>
    <author>tc={AD876198-40BC-4FCA-B5B4-54F5C4503EE5}</author>
    <author>tc={C11419AF-8B7F-483A-B2C3-8466FEC30759}</author>
    <author>tc={68F95BC1-F2B2-4143-9C94-233843E09346}</author>
    <author>tc={F840C072-071F-48F8-86E2-0E1AFAB2FA6E}</author>
    <author>tc={B768DE1F-C30D-442B-9BC2-52A152F7C14F}</author>
    <author>tc={7AA242F9-4F71-45BD-ABBC-6D40CC92A1E8}</author>
    <author>tc={8A2A9C64-290D-4FD8-A656-7B584A877FD2}</author>
    <author>tc={8C9EC533-2905-4231-B1C3-7966E6858EC6}</author>
    <author>tc={90185BEB-3AB3-424F-8D8C-0F966FCA010D}</author>
    <author>tc={49D28851-0535-41F6-AFD8-1BCE3E7DD212}</author>
    <author>tc={9CECCD6E-D513-4094-B816-0827E9CAD637}</author>
    <author>tc={D1F5C1B5-5527-4EC8-9FCB-C06C8C1A7624}</author>
    <author>tc={5F574F86-F25A-4594-A792-8BFEC0150941}</author>
    <author>tc={5B056E77-6709-4C37-B012-5F7301C603EF}</author>
    <author>tc={0DBE00DF-64A5-491E-817A-BDEC61F4ECAB}</author>
    <author>tc={980BB83E-4AD8-4081-BA4D-E8221B938F5A}</author>
    <author>tc={C208F7A3-42E6-4C8A-9FF7-EC076069C9E2}</author>
    <author>tc={1AB38EA4-7499-4D79-9C93-BCB54E23E562}</author>
    <author>tc={DBACFB62-B8B4-48CA-8FA5-27F3ACAAA022}</author>
    <author>tc={2DC21122-0609-4F50-A244-CA487C3611F0}</author>
    <author>tc={4711E21F-FAF3-4086-AC74-C318E7AC0D35}</author>
    <author>tc={14A855CE-38F3-4A65-9186-3200A3D7D6DA}</author>
    <author>tc={B6476E9E-62E7-4C42-9D5F-E39D7BE2E001}</author>
    <author>tc={A261D3EA-0032-4B46-BD57-F1F9C6B6A435}</author>
    <author>tc={B07C9492-EA72-4C90-8E0B-74C4B56851D7}</author>
    <author>tc={BD2727F0-209E-4EC2-8BB0-E852F435BAF1}</author>
    <author>tc={40053F21-6DBF-4C85-9137-FCD1CC60D884}</author>
    <author>tc={9F9A3CDE-46F8-43EC-BED5-DCD0FC850E1C}</author>
    <author>tc={B56DDA2F-4887-4056-8371-58AB91F703C2}</author>
    <author>tc={866E551C-8E04-4C12-AD1E-D77ED87FCFF9}</author>
    <author>tc={85221D0D-07D0-4CD7-82E5-4848A5CD4642}</author>
    <author>tc={E871BFE6-02BB-42DC-B9CB-1E30ACE3D491}</author>
    <author>tc={ECB7C287-C52A-4B20-986B-1442A7099419}</author>
    <author>tc={36EFB4DF-164E-4F66-B16B-B069F70445FC}</author>
    <author>tc={F7BEF509-63D5-46C0-BF59-69E3E20A22E7}</author>
    <author>tc={C9C5A36F-65F1-4BA6-B4A0-A1A1FBDF94CE}</author>
    <author>tc={69ECAE1E-41FB-4529-BB55-31D06D3B04D5}</author>
    <author>tc={66E6F92F-4614-47D5-8380-0D15C593A8A4}</author>
    <author>tc={AEB55C72-8C59-4613-AF7F-BE795608420C}</author>
    <author>tc={D3D9CCF0-4040-4241-A914-F82C911FB1BD}</author>
    <author>tc={58A6795E-2FEC-43FF-A96F-C07C5438BBAA}</author>
    <author>tc={1CD9FAEB-3D34-4DC1-9466-549F6ADBBD92}</author>
    <author>tc={91C4FB5E-8A06-4A0B-8C58-19EC9A333846}</author>
    <author>tc={D5050FF9-4733-4C0B-9BE5-420C8E8F8ABF}</author>
    <author>tc={C604342E-E778-48E9-8B4E-AF7583106DD8}</author>
    <author>tc={9FA5B0EE-995F-47A3-A820-7B2E78A95CB1}</author>
    <author>tc={C33E8D22-B5AE-4EFF-B7E5-79DD2E4C87B2}</author>
    <author>tc={92CB348F-CCDF-48A5-B573-0E0BADD558AB}</author>
    <author>tc={70843CEE-61B7-43AE-B6E9-374C0DC15A40}</author>
    <author>tc={6A00652D-69D3-4815-AACD-1609F34E951C}</author>
    <author>tc={1690C6EF-964A-43DE-B105-0013222E7BF3}</author>
    <author>tc={991583DF-96C4-4BB6-9F7E-93E3FAC1884A}</author>
    <author>tc={7AD35F8F-C7FE-4A0F-AEFF-7958D60969F1}</author>
    <author>tc={ED1ADFD7-0459-4030-8688-717D00A902E5}</author>
    <author>tc={E4A06D9B-9DBA-464E-A48F-A318163D1227}</author>
    <author>tc={8978C179-032E-4577-90C8-0D54A54E7CCE}</author>
    <author>tc={AF6C8C93-C8F2-4503-AB67-728082C37044}</author>
    <author>tc={8B6A6919-6567-47BB-924D-FA693838D49D}</author>
    <author>tc={48D0BA4C-CEB4-45FF-BC8B-C58A21FAB025}</author>
    <author>tc={A9A9A857-F07A-4E76-BF3A-866C78A169FD}</author>
    <author>tc={015BB3BD-B9F9-4165-93B6-778E18C21E45}</author>
    <author>tc={57BDCA26-4E68-47EE-B07A-14213621BC35}</author>
    <author>tc={FED9F47C-F8A8-423F-A074-A50F99E59EC0}</author>
    <author>tc={A0A24FF3-3D44-4A90-81D4-A5F84737C201}</author>
    <author>tc={EF237E2C-66B0-41F5-B34F-679220A4261D}</author>
    <author>tc={CB303A28-A674-4036-98DA-174E71698C26}</author>
    <author>tc={A1174B14-157F-407A-9C72-5286A983BD99}</author>
    <author>tc={43F1360A-8F76-49C1-9BBD-E78001ADCAC9}</author>
    <author>tc={B734B77E-41E7-4BC9-9949-B88F67E718E6}</author>
    <author>tc={554A7AD4-A15F-4BA4-A2EE-0A2889E70ABD}</author>
    <author>tc={4C99D171-6B7B-4832-883B-F14CB588B3F0}</author>
    <author>tc={C998AE99-9865-4FB7-8188-5FFD065AF909}</author>
    <author>tc={2BE0587E-5D9F-4AA0-91FE-E8304CE47C22}</author>
    <author>tc={0D35EF98-1AB6-4376-BADF-68842A9DD442}</author>
    <author>tc={0FDC5CF6-ADF6-4D3C-B856-14BBF652AF20}</author>
    <author>tc={EDC3DDB9-0C2C-47C2-8E8A-8F81A8D7BC08}</author>
    <author>tc={88747A97-C7D9-49EC-9821-A07EA469C276}</author>
    <author>tc={81F25FFE-47BE-45A0-A824-BDF7680933DA}</author>
    <author>tc={37877E32-C294-4293-AC57-EF1989DB47DD}</author>
    <author>tc={3285A896-2BC5-44EE-AA33-06D5C3AE935A}</author>
    <author>tc={8C68B9CE-791B-43EC-89D6-5A8EF8CEA81B}</author>
    <author>tc={D40F36E3-0813-408F-BC73-BFC95D56591C}</author>
    <author>tc={D285F3B1-87C7-41B9-A063-1AED69C97EFC}</author>
    <author>tc={B0D76857-0CF2-42FD-8E94-6918B7644D55}</author>
    <author>tc={565A0332-60D5-430D-AC14-96643365DF00}</author>
    <author>tc={88A6015A-B134-4657-83DA-30FFA3328A69}</author>
    <author>tc={17842650-DF75-4013-8718-7483D3502FB8}</author>
    <author>tc={E07770D4-FC5A-4487-B045-BDB914BA3F7A}</author>
    <author>tc={BE5C1D6F-55A4-4E1B-97F9-E6218931C2C1}</author>
    <author>tc={3697A96A-F85F-43EB-BA14-3BD298B81C19}</author>
    <author>tc={EB7265AE-3FAF-46FD-A7BD-84C262CE92CB}</author>
    <author>tc={C7A0FAF2-64D6-418A-A192-300929AEE3A3}</author>
    <author>tc={29CB2BD9-F6C9-47AD-BCF4-230AA206C25F}</author>
    <author>tc={59ABBC60-0BDF-441E-A7D8-3B867F93F9A7}</author>
    <author>tc={25B90939-0987-4540-A4BC-89758CEBE4DA}</author>
    <author>tc={D3CF2907-FA1A-4520-BF6D-2C2E28A57E65}</author>
    <author>tc={AFB6D183-CA25-42AA-9B8B-29B601D3B7A0}</author>
    <author>tc={DD67C90C-46AD-4954-B753-BF3B5EDD315E}</author>
    <author>tc={03F80932-0F45-4959-B721-5DB3E1850186}</author>
    <author>tc={DF5AF004-E153-4858-BBD4-B05A395366D5}</author>
    <author>tc={D69C784D-0CB0-48A1-ABA9-996AA5423161}</author>
    <author>tc={4698077D-A1A7-4650-892D-F266B3C21540}</author>
    <author>tc={4CDFD5C6-1BE5-42C0-9FFC-B28CB4535DCF}</author>
    <author>tc={8C5E21CE-307C-4888-8FAA-ECEDE2B9E71B}</author>
    <author>tc={B2280374-95E6-46CC-B58F-3E1941A0F1E6}</author>
    <author>tc={C1185410-46FC-4E4D-9FCC-4B7E6C3B2409}</author>
    <author>tc={C305FE38-2B07-47A4-9313-ED17BCC3DCF2}</author>
    <author>tc={03B973B8-90C8-43D5-A991-1B424BE6E66E}</author>
    <author>tc={5C14A89D-2375-48E6-815B-D432C70AB6A2}</author>
    <author>tc={F71548A2-A72C-4540-A1C0-CC251E3EB61C}</author>
    <author>tc={FA5284C3-8289-4DCB-BD67-4EB8263145E0}</author>
    <author>tc={50D98465-01C8-4779-BB9D-C319A16AD0FA}</author>
    <author>tc={31764DAE-86BA-4AFC-AAF9-3B36ED1C1F69}</author>
    <author>tc={73677CE1-EAD1-4D79-AC78-D37F3AFC16C1}</author>
    <author>tc={3B20836E-4563-4809-BE15-8D23C769BA4E}</author>
    <author>tc={0BC65678-7AF9-43E7-98E7-AAC6DBAE128C}</author>
    <author>tc={6916E1B8-35FF-43A4-B979-E717E231F859}</author>
    <author>tc={FEB73258-5938-4A3B-B080-7537C5955C2B}</author>
    <author>tc={7E961883-35B9-46E5-9CF0-6F52E06E5C94}</author>
    <author>tc={D5E11298-32FE-4C8D-A4C7-F4640F86F674}</author>
    <author>tc={DA342EE1-EB3F-4A11-8EE3-7CA0CDD72C8D}</author>
    <author>tc={9D826AFD-BDF3-4461-B86D-5EAC30517AE2}</author>
    <author>tc={75A27BD8-F217-4CB4-9EBA-94FCBE9A1CCD}</author>
    <author>tc={21EA88B5-80FA-4BD8-8F1D-39D593D0E68F}</author>
    <author>tc={CC684349-0550-4BE6-AF0A-EDE338171174}</author>
    <author>tc={8CD17692-0833-435B-8D76-7FD00D1B35BF}</author>
    <author>tc={040607C6-73D9-4CCF-A515-F3EA3DCB2BC5}</author>
    <author>tc={D15DA0D0-B948-4294-A889-8766F2BFC2BA}</author>
    <author>tc={CDF666D6-5D22-4966-99A3-F0F54EAE079E}</author>
    <author>tc={F64D4D53-37A6-414B-B70A-B18C4940F64A}</author>
    <author>tc={0B942DDF-7710-4EA1-85C0-47D91F0E20C7}</author>
    <author>tc={C2FFF37C-E8B2-4267-BE35-3729E548B8AF}</author>
    <author>tc={046F92A8-AA2D-448A-895B-A5ED5DD50A2B}</author>
    <author>tc={FE6B14A4-773A-4788-85CC-B1E25964A2DC}</author>
    <author>tc={8402F95D-0074-4D00-AFE6-80FA82586F72}</author>
    <author>tc={2920BC20-108D-48D1-BF52-08BDFF8022A1}</author>
    <author>tc={670D2F33-EEF8-470A-ACF3-90E763E88D28}</author>
    <author>tc={2B9225CD-D842-4046-9AA4-4A19E1A915B5}</author>
    <author>tc={D716F2C5-F9D5-4DB7-BE9B-666309846D96}</author>
    <author>tc={E63CC55E-C0A4-4FC7-AEA7-75E4249A9B11}</author>
    <author>tc={32C53015-A2B4-4E6D-A948-49159EA346A1}</author>
    <author>tc={188D1413-E393-435F-8E0D-02E7589757BE}</author>
    <author>tc={34ED5A12-9706-4477-9F6B-84A587B97A47}</author>
    <author>tc={24F2B122-D3BB-43E6-88CD-7577A93742D7}</author>
    <author>tc={722D9CF1-B2EC-4961-A247-26A3BF575731}</author>
    <author>tc={FF22E694-F511-4679-B57E-42FABB9BCAA8}</author>
    <author>tc={645921C4-C8B1-41F6-9625-161CED47F3A6}</author>
    <author>tc={5B5BCF9B-3CC0-46CE-862A-F4AF802B9EC0}</author>
    <author>tc={48EEE8B1-1253-472F-88AA-BB26D585728A}</author>
    <author>tc={94F19954-0D0A-47C2-A0B9-839B63FB8C7E}</author>
    <author>tc={B424B42B-AAA1-42CB-819F-617661FD1B18}</author>
    <author>tc={40EC699A-98A0-4C89-88FE-58B010834100}</author>
    <author>tc={12340911-3554-46B0-99D7-99877530589D}</author>
    <author>tc={A14362FD-7C17-4C73-880F-E9F7A926D025}</author>
    <author>tc={C46F113D-B38E-4AA3-B2D1-E62EE06567AB}</author>
    <author>tc={997D74D6-AD13-43EF-8390-096BEF773A88}</author>
    <author>tc={852AD413-73C3-48BE-B84F-BC86C743D73F}</author>
    <author>tc={653DB6F7-7EC7-492C-A344-0652304708F9}</author>
    <author>tc={6E22B117-F0F9-40D1-A4C8-9490AD1252DF}</author>
    <author>tc={9F1D36DF-65C4-4165-B5A8-AA54A78B153E}</author>
    <author>tc={5C82E78C-83EE-4A74-AF12-F5AAF3E22730}</author>
    <author>tc={277BC2A2-AB3F-4967-ADB1-24516A073C41}</author>
    <author>tc={F438525F-BA3C-456A-81B4-0FF8595B331B}</author>
    <author>tc={4DBC943F-023B-49A9-B03B-E003A539557A}</author>
    <author>tc={A373C201-1C48-4893-AA55-5752A5A4162A}</author>
    <author>tc={7BE6ED1B-C248-4172-9E38-B177AF8A719B}</author>
    <author>tc={F7046D2D-D843-44FB-AC76-9915F34C6C47}</author>
    <author>tc={90103E47-4A21-44BB-B999-D78944C83165}</author>
    <author>tc={75CF51F8-C33E-4FA2-8031-18179E92C3B4}</author>
    <author>tc={3991F460-4013-42D7-AD9A-DEC79B653BC4}</author>
    <author>tc={93D4FBED-9DA6-453C-B3C7-B1695881F555}</author>
    <author>tc={69FE31A0-1ECF-4A45-A92C-52EFCACDFFE0}</author>
    <author>tc={D90323C6-8434-48DF-B8DD-4B6C2146311C}</author>
    <author>tc={79E76D53-FEB4-4658-BABA-D34F03F7D6B7}</author>
    <author>tc={DBA1C38C-2D49-4BB1-B02C-411DD190451C}</author>
    <author>tc={15C49B39-8578-4A53-A112-381F53FDF6E4}</author>
    <author>tc={D33E16D8-4879-4AD8-97A7-AFC4CB814E59}</author>
    <author>tc={536D42F9-9F16-419B-82AE-86DAF4313C55}</author>
    <author>tc={E4216EB1-5393-4767-ABBD-E4BD41A5955F}</author>
    <author>tc={C77853A7-16F3-4113-BA28-F5791E4D75DF}</author>
    <author>tc={7B87459E-F8BD-49C1-8CD0-1F08433FA4DA}</author>
    <author>tc={2232BD14-781B-4A04-9E83-474AADE6068D}</author>
    <author>tc={68771E03-9A90-4877-AAB2-3BE5E3CDDCD3}</author>
    <author>tc={BA91551A-EB71-42D4-ADFF-E8D6616488B2}</author>
    <author>tc={E86D53E3-C207-42A0-86FA-05246FB542A6}</author>
    <author>tc={3A9B55F8-BB90-4892-BA68-464CE0E3D4D6}</author>
    <author>tc={60AE0F13-95E7-4A8F-87A5-0CED79CE336E}</author>
    <author>tc={2B8B1C31-501F-4059-A40A-35B49120305F}</author>
    <author>tc={EB088A2E-27AF-494B-85CB-A045A96C5665}</author>
    <author>tc={71B6E111-4022-4CBB-8373-1EB87AE31F24}</author>
    <author>tc={E67C7188-5C74-48AB-873A-87C47AEAC8C6}</author>
    <author>tc={21550BB5-566D-4216-81E6-E05888DEA6FE}</author>
    <author>tc={B6509116-AA01-44D8-854A-E5006066007E}</author>
    <author>tc={DD6151ED-EDFC-4510-84AF-2BF57AE4AB28}</author>
    <author>tc={E7C11CA3-941E-453C-8B88-D4A2B362688B}</author>
    <author>tc={CC3DBA79-3127-45A3-AE8C-78B59BA8663D}</author>
    <author>tc={54807ECF-0163-4E31-B092-9AA037027CFC}</author>
    <author>tc={79643691-7134-4451-AC86-61974BD42788}</author>
    <author>tc={6CE235C9-E894-4601-A938-5AC852E5CD4B}</author>
    <author>tc={639C76C0-6C9B-4DD3-9C52-450FCBB2A7C0}</author>
    <author>tc={2ED0F37D-525C-419D-A07A-074C67EAA6B2}</author>
    <author>tc={50A4A672-3C7A-4B98-A470-7CCC4635C403}</author>
    <author>tc={E5FFCEA3-AB00-402F-A21C-FC426B22B85C}</author>
    <author>tc={38D01974-103D-4908-A359-B5D5A10F3AAC}</author>
    <author>tc={277686F3-074A-42E3-84FE-C55AC4D97AAE}</author>
    <author>tc={EF0C12DD-8DA8-47FA-A8DD-1D967026E297}</author>
    <author>tc={1D857CD2-8548-4988-9024-3BA1CEE81B52}</author>
    <author>tc={F971D266-C299-4D90-90ED-E47B01D2C69D}</author>
    <author>tc={898C9BB0-176B-42BE-AFAA-428CCCCED22A}</author>
    <author>tc={42775126-4761-4D86-9D85-A5F56E187E75}</author>
    <author>tc={A27E1ECD-147C-4216-8E9A-51F837ED3720}</author>
    <author>tc={B06E85D8-EEB1-4DAA-9015-C5DCA270C498}</author>
    <author>tc={4A02BD69-787E-4B43-9E54-F6D26CD457BB}</author>
    <author>tc={8BCDAAD6-CBE2-4570-8489-BA74021A9FEA}</author>
    <author>tc={2C08D0E7-9FC2-4E34-8A63-6801A0EA084C}</author>
    <author>tc={2F45E91B-DA8B-4B7D-8DBD-9F598298C6B9}</author>
    <author>tc={991063ED-8692-436A-8C5D-198F494872FE}</author>
    <author>tc={C4F857EC-7907-4792-A2ED-F53619BC2E52}</author>
    <author>tc={6822EC52-DBE7-4D83-8ACE-7D1D1B3554E6}</author>
    <author>tc={18DC2554-5848-4831-89CD-E5ACD663A3EA}</author>
    <author>tc={85A4B637-A836-4543-AC0C-241F7D73A7D2}</author>
    <author>tc={354BE692-C327-4AF8-A6FE-57B897F8C0DB}</author>
    <author>tc={BB8EE0D2-1110-4DB6-9FE1-FCA26DF68CBA}</author>
    <author>tc={0A1D1F98-1545-4953-BBB2-D9B6ADA4FBE2}</author>
    <author>tc={1B7AABC8-0003-40FB-B434-605C54219A32}</author>
    <author>tc={8ACA035D-C2AC-4108-9AE9-8376C31C1075}</author>
    <author>tc={E28E8A1E-C6BF-4E59-A76B-451524FC2AC7}</author>
    <author>tc={D698ECF1-1118-4360-A0E8-341E95A5697F}</author>
    <author>tc={ED122EA2-4A66-45D1-B8F8-C1A87402A3FA}</author>
    <author>tc={E0FADFAB-05E9-4A03-A3CE-C1E1E4A94F89}</author>
    <author>tc={1304B16F-E61D-4DA9-8436-D860FDB15D6F}</author>
    <author>tc={035DC4AB-60BC-418A-9E53-542349DFE0B3}</author>
    <author>tc={9FC64FB0-8C2D-49AD-A670-DB72476D77EE}</author>
    <author>tc={1D599E35-0B60-416B-937B-5DF443BABE0A}</author>
    <author>tc={BA1C1F80-3CBD-4193-BE0C-97414BD8DAB7}</author>
    <author>tc={5349FBD0-BAA6-4A4D-9C18-AE61983D2988}</author>
    <author>tc={150DC00D-25B1-4C61-83AE-09143AD2C113}</author>
    <author>tc={39A4E355-65C8-4FAD-AE75-9C1D39AC7B5D}</author>
    <author>tc={66E0F873-ACAF-4A87-959D-91A3288CFB07}</author>
    <author>tc={FFE4278F-99E9-4B8F-8098-F0E9F695A4D3}</author>
    <author>tc={4E3CAB45-8985-452C-927A-201BEF05C13F}</author>
    <author>tc={EFE0DC78-8173-44F7-AB36-08BD18B4AF54}</author>
    <author>tc={DF5F3F9B-F6E8-42BE-8371-9264ED42E894}</author>
    <author>tc={055B3A6E-D06B-4BE8-99D8-54F1091C783D}</author>
    <author>tc={C9F0E513-88D4-4314-892B-094CACF7E10D}</author>
    <author>tc={6F0FE38C-B3B8-4EFC-966C-F57A2F05FAE9}</author>
    <author>tc={54A2A19A-E30A-4DA1-8F5D-0D770196832F}</author>
    <author>tc={B349EC4D-5510-43DC-9541-27AFA936A818}</author>
    <author>tc={0A2831FD-0F85-4804-BC8C-10FB40D3B966}</author>
    <author>tc={224D32F8-127A-491E-862B-7B3CF09ED7C6}</author>
    <author>tc={04322317-949F-4722-A64D-69D5F36B896A}</author>
    <author>tc={890D130A-5027-432A-9832-FE7D407DCAED}</author>
    <author>tc={A41E2065-BF09-4092-90A6-0122A533B8D0}</author>
    <author>tc={7D55FEA4-8868-4DD3-9D01-861DE6B93FA1}</author>
    <author>tc={D2DA585C-0AA1-46ED-952B-E7FB3F19B69B}</author>
    <author>tc={5F20707B-0E69-4936-BEDB-62DFA06224D6}</author>
    <author>tc={34328724-2B06-4991-B3B0-BC7EA7CCD957}</author>
    <author>tc={CC1F953B-D32F-4BBB-81E3-3D7FE592DB7F}</author>
    <author>tc={46D29147-F370-45FA-92E4-C88E31ECDA87}</author>
    <author>tc={9136D3FE-B315-419B-B7CE-BBA41782D57C}</author>
    <author>tc={49D9BEE7-EC28-4114-97B6-CDCB0DA6FB11}</author>
    <author>tc={9764DAB2-846F-4D4F-AAA2-1699559CB2BE}</author>
    <author>tc={A9A57876-E9AB-4805-9B44-415176DDFC07}</author>
    <author>tc={9AE7916D-2874-493B-8AAB-663E30B00BBB}</author>
    <author>tc={C61F71F3-039B-42B1-A876-2CF1B3DC819C}</author>
    <author>tc={01776326-DBF5-423B-9EFB-E34750A23DDF}</author>
    <author>tc={279E870D-47A9-4A67-BDBF-25FBDE23D485}</author>
    <author>tc={D665D455-15FE-4CB1-A872-3E402CCEAB20}</author>
    <author>tc={ADE87AAE-2EFC-4AFF-885C-AB82BC1767AD}</author>
    <author>tc={218E7727-9342-4E6B-A68F-9D56B262D5A5}</author>
    <author>tc={CA6C5939-F05D-4686-AD3B-64243A5DB881}</author>
    <author>tc={EC984C79-983E-4097-BBF8-55082A1E2CED}</author>
    <author>tc={F5D730FE-3A4E-41F1-8716-2E465D365D4C}</author>
    <author>tc={71ED8C8B-F85A-449D-8150-A805D53EDFFE}</author>
    <author>tc={E11D2C74-80A3-4B13-B23E-E510EDED71BD}</author>
    <author>tc={B1E32E5F-01E9-4403-9F8C-444E7ED5594E}</author>
    <author>tc={12313151-4BC1-4F56-8433-790C0C2F6D4A}</author>
    <author>tc={B8C959A6-0C9E-4090-ADDB-C69235461249}</author>
    <author>tc={DB0C5BCE-3F6C-4DE4-AA8A-2E82A96526E6}</author>
    <author>tc={B4463CED-D77C-40D9-A7B8-6C21583C1C2F}</author>
    <author>tc={8A07468E-9964-4FAF-89DA-4EAFF2A30F9B}</author>
    <author>tc={27C061B8-8973-4829-B0D8-EF6468C8F3D5}</author>
    <author>tc={14A29B06-D179-4892-86DC-900F8A3C8583}</author>
    <author>tc={69F1D9F9-8E4B-4587-8FB3-1EF56E4C373A}</author>
    <author>tc={1425316D-DA56-4B4B-A28B-A6B73B7CE80C}</author>
    <author>tc={713B5363-7F06-4835-A107-772DA4C0D770}</author>
    <author>tc={466BA87C-474C-4A4E-9D87-8A915F1E7FA5}</author>
    <author>tc={BDA60848-52D4-4716-803B-0B79D2DF1151}</author>
    <author>tc={11D444B1-2459-4C61-936F-F0E70E13A7D5}</author>
    <author>tc={EB38F8DB-A3F3-4229-88EC-F46D36EA3005}</author>
    <author>tc={91227990-0F89-4314-87D3-E54940AE2325}</author>
    <author>tc={495C04A5-DBF9-40FF-B391-75B5F32BBC29}</author>
    <author>tc={48DF1E84-097C-4332-B69E-A7667FC8FEBB}</author>
    <author>tc={BF688DC8-ACB9-413B-B30A-D974AD19A6B3}</author>
    <author>tc={F1223175-FF9F-4A85-A990-B7265DB09388}</author>
    <author>tc={CFE131DC-160A-49E0-A3B9-39DFA00FD23E}</author>
    <author>tc={1D6EBE0D-22CD-42B8-8DE4-AF53C4680956}</author>
    <author>tc={EC26D433-CC1F-48EB-B029-01385B7E2456}</author>
    <author>tc={99CE0A53-3E3B-4DD3-8575-CF096E15B7AB}</author>
    <author>tc={37587194-DB05-4A4B-B4E7-19816F9BAFCA}</author>
    <author>tc={A026183D-7B4E-4652-9027-44CB403EB9FA}</author>
    <author>tc={A24BC91C-14E7-4156-91C5-15A52237579D}</author>
    <author>tc={81254400-819F-4765-9CC1-9335B06B8516}</author>
    <author>tc={C0A114E0-4D05-49CC-978F-2E3577624BB4}</author>
    <author>tc={524A9FAA-AC84-4BCF-B13E-FD47AAAC5254}</author>
    <author>tc={391A0A9F-934A-451A-A3CF-5D91BE183D31}</author>
    <author>tc={1C4F685C-8A1C-40A0-B8CC-59152DFBB2C2}</author>
    <author>tc={FE60289E-040F-4A12-BA03-F7B1794D2A10}</author>
    <author>tc={36F70816-CBBC-46C2-936F-C3A8E314A771}</author>
    <author>tc={D6C2B261-071D-4D1B-AE6A-F4AC31724274}</author>
    <author>tc={7F31EB73-6F10-4196-A70D-ED66412F2022}</author>
    <author>tc={20D14B19-0D72-494C-A5EB-C269CF8A3C65}</author>
    <author>tc={5B621C28-0A20-452F-825F-B39C0A786BBF}</author>
    <author>tc={8BED5032-4654-4298-B82C-761674BD9E2F}</author>
    <author>tc={A12F0C17-1B8E-4819-AC27-2CE43C30F53E}</author>
    <author>tc={71057914-DFAC-4289-944A-1C6DD8788FBD}</author>
    <author>tc={EBF6A77B-3B5D-4B86-BD47-DDBE2CE06A39}</author>
    <author>tc={3FCA9927-478D-4A7F-86B8-F29FFAD52492}</author>
    <author>tc={48EE5AEB-6D42-48AF-86FE-BBF687951475}</author>
    <author>tc={7BDD6101-7F87-4CC5-B14B-68150C4AFA7D}</author>
    <author>tc={607218C1-D0BD-401B-8375-7973F7F56DC4}</author>
    <author>tc={DB249DC6-9119-41E8-8A91-A44EA8818AE5}</author>
    <author>tc={51F842BD-705F-4F3C-8126-1E207F434929}</author>
    <author>tc={1C22F306-D9B1-4EBC-8B3C-1813475F4998}</author>
    <author>tc={9733C656-9A8D-4EDE-BC8E-1D83C8065A50}</author>
    <author>tc={DCCB8172-6988-4716-B963-AD2965C7E5D3}</author>
    <author>tc={585612AA-775B-44B2-AE5A-A975A0EAE14A}</author>
    <author>tc={09B8CFBD-276D-4A70-9DFA-135EB2B3BA02}</author>
    <author>tc={0E086767-F497-4329-9636-58BC05C6AB8A}</author>
    <author>tc={B6684415-C9C8-4F94-9DDF-FA53D803FF71}</author>
    <author>tc={EE9D84D5-B739-435D-B5F1-BFCAC05825A6}</author>
    <author>tc={D581B5C5-650D-4992-A7BD-BEA0C7B24832}</author>
    <author>tc={8CCE2D24-325D-4FC4-AB5E-7635A0B1B813}</author>
    <author>tc={220A7E83-C6CB-4CC5-B06A-33E486AF1D70}</author>
    <author>tc={5C16B713-496E-4333-8DD9-167889A845BA}</author>
    <author>tc={F9CEB38B-BDC3-4669-A21E-4B607FE9AB95}</author>
    <author>tc={8DB58DD0-4A8F-4F62-88BF-3E9BE8B23653}</author>
    <author>tc={8C41D6A3-D1BB-454E-B5A4-1ACB09E8CD8F}</author>
    <author>tc={B13FB918-8629-4B0D-BECD-B9B842497205}</author>
    <author>tc={43683908-3F32-4EA7-A5B7-6F166DB03F54}</author>
    <author>tc={E6E68DDA-6A82-4CEC-854F-EC8F2AF0536D}</author>
    <author>tc={0A4E8C44-BBBC-4DF9-B246-15E867AF8EAC}</author>
    <author>tc={8AD06FD6-A768-4F68-A12B-05215F5C9D24}</author>
    <author>tc={7CE96AA2-4DFD-47B7-817C-563701212395}</author>
    <author>tc={C539BE35-6814-42F5-81C7-00A6A69F8469}</author>
    <author>tc={5E064A7F-54D8-4C8B-AB33-3D2E8A58BAF0}</author>
    <author>tc={0EEEF95F-58B3-43E8-809D-DA6571DC43F1}</author>
    <author>tc={2B1879AF-BE94-40B8-B60C-A8CF1471BEC3}</author>
    <author>tc={11AA799B-396B-4AA3-8C94-170A7BF7F246}</author>
    <author>tc={A0AF8F74-F832-4F45-8B61-B9DAC3437332}</author>
    <author>tc={60650DC4-CA44-4420-B9DC-821ED4E2CCE1}</author>
    <author>tc={F864652C-A96F-4B00-9EF7-5AD14A2D5F90}</author>
    <author>tc={9D9B8AEE-8D7E-40DC-B6FD-D4E47C9C9749}</author>
    <author>tc={0471E2DB-572F-4A57-BD64-23044B1D5541}</author>
    <author>tc={2BA2A0B5-33BB-4FC2-B39D-FD4FFE56EC35}</author>
    <author>tc={5814AE40-988E-42E8-B1C2-1AA90FA92D29}</author>
    <author>tc={304CAF35-7814-4CC6-A483-E4E6FCE4BC57}</author>
    <author>tc={17DF97A2-BA34-4377-A164-06D801559EE7}</author>
    <author>tc={4C1B1060-1514-4952-825F-CDD9C3ABF559}</author>
    <author>tc={307FD92A-78EF-420D-83F7-411B84003EF4}</author>
    <author>tc={FC2F0AEA-E2FE-45C2-A05A-41EBDC0EE3B3}</author>
    <author>tc={B97B7BB4-54AA-420D-9B48-6115CEB1DF25}</author>
    <author>tc={D30C44D5-2044-4FB2-A9C4-E511B10837F8}</author>
    <author>tc={96A080B2-3BEE-42EA-AFD7-9146D4B4C69B}</author>
    <author>tc={55AC27D1-D123-4CE9-ADEE-97BCC0FDD962}</author>
    <author>tc={1FA9BB82-0AF7-4AE4-AA05-369E25F17513}</author>
    <author>tc={62A89EFD-A0E1-42CC-A9ED-520E88F8C5CF}</author>
    <author>tc={3A7D2B31-1B4E-4579-A091-6DB063432FB2}</author>
    <author>tc={A40AA59B-7A1B-47CD-9AE5-0009AEC32E20}</author>
    <author>tc={477775F4-2B4D-48F1-9342-E5472DE33EB0}</author>
    <author>tc={FD65A36E-EC68-4896-AF27-C73CA9C3B6A2}</author>
    <author>tc={35CD157B-E1E6-47CF-9CDC-AF3AC6D7D798}</author>
    <author>tc={A342F863-AA4F-4FD4-B2F8-3A9CBF34BDFA}</author>
    <author>tc={3C5B2B3C-2023-4484-80BB-B0F1861890C9}</author>
    <author>tc={14B83866-93DD-4FF1-A1C1-35E4764A8C28}</author>
    <author>tc={6935BE0E-F349-4DBE-B29C-BACA74B4FBDB}</author>
    <author>tc={A04EC00C-C490-49C9-9663-1390BA2C9FE1}</author>
    <author>tc={04ECD933-0229-4B44-9626-E6A282B2664D}</author>
    <author>tc={8EB7692B-B39B-406A-A56E-E3C6193C909B}</author>
    <author>tc={5722E8F5-5E23-4283-9321-3ABB9A0079BC}</author>
    <author>tc={0343B201-B573-473B-B6DA-D2AF2F5B3B14}</author>
    <author>tc={3B1AC58C-6F8A-465B-B246-E656297B3C31}</author>
    <author>tc={61F49383-0834-4991-9FA1-0F1A40572CAC}</author>
    <author>tc={8228E1C1-8A85-4FEE-882B-BC7B377F2352}</author>
    <author>tc={60D982D3-CC19-4861-944F-EEBBF1470CC2}</author>
    <author>tc={43C7D388-F70D-4189-820A-CDF3139DBA0E}</author>
    <author>tc={15807486-083E-45D5-A18B-4B1659A9AAE5}</author>
    <author>tc={867E266A-52C2-414B-A6AF-4CCDE7B3223F}</author>
    <author>tc={25137FF7-D576-449B-B53A-CF3E7D94BF79}</author>
    <author>tc={1A0765A6-A989-4FC9-BF56-AF5780688D7E}</author>
    <author>tc={70783FA1-35AF-4D9E-8EDD-7D8206EE89B2}</author>
    <author>tc={3CC8B3BD-6AA2-40C0-A986-4EC00E9EB9DC}</author>
    <author>tc={EE5E6805-1527-4C40-B566-4D009D53F259}</author>
    <author>tc={C566C0DF-15FB-4D20-939C-28E5F177B783}</author>
    <author>tc={7CD90292-4D5A-4322-88E1-49BB5102B2BD}</author>
    <author>tc={CCF99143-3F67-411F-88BC-801A6AE3BDE2}</author>
    <author>tc={2D8B979B-EAE3-4B03-A6FD-5E7A46883704}</author>
    <author>tc={5B4F305C-CF9C-4953-BEE1-23F7E2E2565B}</author>
    <author>tc={7F5678F9-0FFF-47FC-9383-89E1307890FC}</author>
    <author>tc={346E7FE6-4D9A-4537-9C27-189CF3DA677D}</author>
    <author>tc={830C4E7B-208E-4ED4-960C-8FEB38A77925}</author>
    <author>tc={23970128-219B-48E0-ACF4-9F603CB9AA8E}</author>
    <author>tc={5D70F700-51F0-42D0-9935-624CB68830DA}</author>
    <author>tc={6BBE9FC8-3A31-4367-8268-3A1E3D84AA7F}</author>
    <author>tc={F4C081F9-CDE3-4E87-882A-F0F8F793A6B9}</author>
    <author>tc={0077E798-1B0D-4F41-9275-27AE07489902}</author>
    <author>tc={B27BC2FF-55AB-4F38-9A56-B85FD3C84ADD}</author>
    <author>tc={67A7540C-DACA-4159-B9A7-A0B287DCA55E}</author>
    <author>tc={E73596E6-F3A4-403A-BFF0-80A08C2FFA08}</author>
    <author>tc={A2680276-DA2F-4525-8E69-5D54E137D9DE}</author>
    <author>tc={F80C828C-17FB-41D4-928F-08D13E5E36D7}</author>
    <author>tc={572B27DE-FF5E-4B7B-B990-93BD128A4BB6}</author>
    <author>tc={93A5909D-41EF-4BD5-B87A-CF46E2516C4A}</author>
    <author>tc={2E935DC6-3AD7-4705-834B-0B59E9FB1A1F}</author>
    <author>tc={1F2A2DAF-025E-4B8D-B666-F637D401963B}</author>
    <author>tc={5F2BEA89-C7CD-4049-AE67-1E954AA4D5E0}</author>
    <author>tc={9DBD8A8F-6579-4291-AB64-3A915ED6ADB1}</author>
    <author>tc={DC113DC8-2345-46B8-8EEB-D65A13E8358C}</author>
    <author>tc={E9C65969-680C-4D5E-AE9F-F806452A24A7}</author>
    <author>tc={3EA6805A-D837-4D13-80C4-1E4FA7738BD6}</author>
    <author>tc={9EBBADD4-527C-4745-A07E-E17473135CCE}</author>
    <author>tc={435ED0C0-6866-4436-9D79-366CE0D7D9D8}</author>
    <author>tc={028E88A8-C995-42A4-A587-093F84877CA6}</author>
    <author>tc={053A4159-9769-4D28-A76C-ABE7B670B848}</author>
    <author>tc={2EF5114B-D77E-4BC0-A1D6-8FBB379BC7CE}</author>
    <author>tc={DD94E903-2944-4B81-ABC7-3A0F1E8A03C5}</author>
    <author>tc={69A9FA72-12A1-4161-83BC-B19ACC5A30F6}</author>
    <author>tc={A938C9C3-988A-4C52-8A7F-37A79DA673C1}</author>
    <author>tc={7D6D6EA2-19AF-40C5-BA23-7E53A84D9B89}</author>
    <author>tc={2AE1602C-F1DA-4B27-88C6-D4B8558F3C37}</author>
    <author>tc={4AC47705-A7E2-4663-940D-0DB34F994BFC}</author>
    <author>tc={6E6B6AB2-AD90-433C-A2C7-9CED7DB63191}</author>
    <author>tc={027D6D6A-899E-4DFF-A7A2-284DD75E7DB3}</author>
    <author>tc={01825F6E-926A-4E56-A0E4-B89259616452}</author>
    <author>tc={D8035C3B-AE0C-4363-AE8F-3C65B0A823E7}</author>
    <author>tc={4DD17958-CE38-4155-87C4-1BA80E4F2FFA}</author>
    <author>tc={47A18EE7-C89D-4D33-883A-B902EEAFAA3C}</author>
    <author>tc={23E4CB4D-69D8-459C-93D3-9033A26A58B5}</author>
    <author>tc={CBC9FC17-AF5B-4349-AA28-1AED3855DA74}</author>
    <author>tc={942E4040-0F52-4492-87EC-10FBFED036E0}</author>
    <author>tc={C649A932-5E1C-42F5-A966-17A84A9A9918}</author>
    <author>tc={EE7AD8A6-A5E9-4C5B-AA58-6BE88ED87CE5}</author>
    <author>tc={A12FC21A-7C4E-4FAE-A886-AE94D4A5F939}</author>
    <author>tc={B74C1693-B8A7-4613-9192-DA8D417228E0}</author>
    <author>tc={7C7F85D2-6B57-4D01-B5BF-826D61597A1D}</author>
    <author>tc={CD55B999-DAA0-4CBB-A0AC-7DE95A770E8D}</author>
    <author>tc={6FABE01C-23B8-4422-A8DA-804AE537B922}</author>
    <author>tc={3A19B2F6-F1CE-4BA4-8015-C8CEF435AC25}</author>
    <author>tc={8B552EBB-77A7-437A-9C29-B15B34550403}</author>
    <author>tc={CF580F30-A17A-4274-A469-0EFC6E9C5CA2}</author>
    <author>tc={65DD66DB-790F-4FDC-8F56-BFD1932424B8}</author>
    <author>tc={B3399554-28DC-45C2-BBC6-5EDEEA19B8A9}</author>
    <author>tc={26AB9BE5-1707-4B22-88CB-73DA11A973CB}</author>
    <author>tc={728DF829-502E-479F-833F-3A1E4894AB5B}</author>
    <author>tc={496E84B9-2A25-408C-B9E4-9FD6E2F26C5A}</author>
    <author>tc={2F1B8EA6-13FE-4052-B5DF-0B19C49FF861}</author>
    <author>tc={66E1CA64-7BDD-4197-8139-C729CD0A1D22}</author>
    <author>tc={F8578745-4D52-4437-96C8-475E535B9994}</author>
    <author>tc={B0CB26F5-0FC0-4784-8393-E43450C20063}</author>
    <author>tc={3BE8FDF1-3F9A-4DD1-A756-C8EE69555B3B}</author>
    <author>tc={6D8CF004-BD7F-4246-9630-F6A008AEE1D3}</author>
    <author>tc={EDD27670-80F0-4E69-8A3E-BA19C801CF79}</author>
    <author>tc={2E4955FA-14B0-4DB4-A552-4D5EF7B87B1B}</author>
    <author>tc={DCFAFB1F-9942-4FF8-94A6-1774F1594870}</author>
    <author>tc={B81C9A1E-1C14-4DCF-A0DC-08EA4408AF3F}</author>
    <author>tc={FB5A488D-4BE5-481F-BAFF-01C718B20C6B}</author>
    <author>tc={89D3DDB1-2537-425F-9443-A403E6BCF9E3}</author>
    <author>tc={7D1D798C-0A32-42F5-A344-BC7030AC5280}</author>
    <author>tc={0ED70F01-94CE-4B36-9F80-013693B25D9F}</author>
    <author>tc={3C4A2505-6868-4D1E-AA63-F2E43AD3F185}</author>
    <author>tc={48CA5A19-7DBB-46D2-B092-A039D0046DC8}</author>
    <author>tc={E65088E5-48EA-4470-987A-70E9BABC9254}</author>
    <author>tc={850F927B-F81F-4849-A836-FC392A6D867A}</author>
    <author>tc={5A83157C-327A-45D2-A131-D7CE32AB4AB6}</author>
    <author>tc={82BD29F0-71B5-41EB-B069-61F590C1CB57}</author>
    <author>tc={D301D81A-6814-4763-B2D4-508F2748093C}</author>
    <author>tc={DBFF1394-E637-497A-A4E6-EC18C137B2DB}</author>
    <author>tc={C87B897B-45D7-4969-B4F4-CF3B110604BC}</author>
    <author>tc={F880AC4E-9CFD-41C7-8771-010A36F024F4}</author>
    <author>tc={65D41343-B4E5-42F2-B804-25690195654B}</author>
    <author>tc={1D421F98-DD35-4BE6-B2D1-157D2F75222D}</author>
    <author>tc={8C250C2D-6FFA-4D4B-B7BD-43C1913F6241}</author>
    <author>tc={6EA29726-0A36-442C-BF86-3DEAD37E4194}</author>
    <author>tc={1474ADA9-7688-4155-960C-1F672086E024}</author>
    <author>tc={E9D08EFE-E770-43A0-8E71-21A6D99EDA69}</author>
    <author>tc={121F0299-0788-40FE-B72B-91BDFBC40932}</author>
    <author>tc={7C228581-FE97-42C8-B87E-4E4382A9F06B}</author>
    <author>tc={47466E74-EEC3-41E1-8F0F-6D231D18718C}</author>
    <author>tc={88F0D142-9FFA-4BEC-B6EB-E0DB92222794}</author>
    <author>tc={D14A3B12-DB3A-4FEA-84C5-07C317D98D75}</author>
    <author>tc={4906B9A7-9A73-4100-96D9-7688F01FE5A8}</author>
    <author>tc={A24A24FE-3340-49A2-9074-B06C31CECA70}</author>
    <author>tc={90D294DB-A15E-4E7F-923B-D5DD02AA448F}</author>
    <author>tc={D6F4888E-CC5D-4976-BC97-EB3F9B9A8DAA}</author>
    <author>tc={0864D374-399C-412A-A3B1-2511BA59B349}</author>
    <author>tc={A4AFCA44-58B8-4F98-AC97-BD4870441954}</author>
    <author>tc={BE13034D-E83A-4958-9CFB-38010493EF76}</author>
    <author>tc={D8BF95D1-5432-48C2-ACA3-2197285F339B}</author>
    <author>tc={91AF7987-1220-4278-BA83-E6BA63AE6EDF}</author>
    <author>tc={46C14473-345D-4033-975F-26F0DCAE1F09}</author>
    <author>tc={F8B3F1CD-4A16-4E5B-9583-E881E6D2CEA8}</author>
    <author>tc={9EB3A160-539C-4005-A795-B43777DCF9EC}</author>
    <author>tc={051D6E55-10FC-433D-96F8-20160C29CE19}</author>
    <author>tc={36A51E3A-E4CF-4EBE-B1DC-C104BB63D921}</author>
    <author>tc={D7572487-45C1-4055-B0D9-5A9977E598A2}</author>
    <author>tc={6551559C-E69B-4ACB-AB10-B43B345735CF}</author>
    <author>tc={031AA666-FBC9-42AE-AB0E-1CBB1E7AF8E3}</author>
    <author>tc={B0AA55F4-655E-4CDA-932F-7B2742F57B72}</author>
    <author>tc={CFFBA502-9A7C-45DB-9BBE-BA5E8C7B6B11}</author>
    <author>tc={F695E9FE-2790-4480-A3BB-F0AA2360A458}</author>
    <author>tc={AFE6AFF8-9059-4BDF-BA8F-B31C0E7FA959}</author>
    <author>tc={B0071141-7D11-4DBF-A9D7-F58050435495}</author>
    <author>tc={391B58E3-D8F5-4745-8C49-7CB98C2A78B9}</author>
    <author>tc={C4CE02F4-7E7E-4696-96B4-80EAE0A2FDE6}</author>
    <author>tc={3B331F46-E551-4F29-8582-60C7B13BEE1A}</author>
    <author>tc={D96D9DCD-3C80-497E-BB7C-AC698453C455}</author>
    <author>tc={3C0945E1-42D3-4AC4-BCCC-8989CD3670FC}</author>
    <author>tc={4F4777CA-AC09-4F40-B112-39240CAA403C}</author>
    <author>tc={B7A4F580-EFEA-4954-8D60-EE6D808BA678}</author>
    <author>tc={3C5B01FE-D235-43AF-96F5-B5810823701D}</author>
    <author>tc={B086981E-C1B3-41B6-B453-3ABD3ABA3F94}</author>
    <author>tc={E67DA847-F7C0-46ED-B6B7-2D2F1C55E189}</author>
    <author>tc={83A5F34D-4E2F-4B90-A849-EA2621211FE8}</author>
    <author>tc={E5130DDB-330A-4BCD-89C1-A5D3263F7833}</author>
    <author>tc={98EB71BD-2BD3-43C9-8281-4620B45FC316}</author>
    <author>tc={45A74763-8AC1-4F3C-83DB-E33BCA077A0C}</author>
    <author>tc={10AA3CF2-61E7-4D12-A918-763DBEABA45D}</author>
    <author>tc={0133CF0C-E4E6-48C3-B7BD-C2465D30DD22}</author>
    <author>tc={7BF56454-EFD7-4C14-83B4-D4D59853AEDE}</author>
    <author>tc={6549EB11-D774-4AAB-948C-6BE7BBE9A26E}</author>
    <author>tc={A06AE143-3CFE-4727-8583-8553A8D06F4E}</author>
    <author>tc={2E901EC6-1D74-46EB-9F34-653998E06E8B}</author>
    <author>tc={9758C935-4960-493E-848B-652DB7B0986D}</author>
    <author>tc={C921802B-C0AD-4A5B-A532-C0ED792269DC}</author>
    <author>tc={5298815A-A4E0-4798-8CE9-F3735CF08776}</author>
    <author>tc={C0306ACA-27BD-451C-8DA1-34856D8640E7}</author>
    <author>tc={1CAD4C0E-99A8-4049-A3E8-647EB8768269}</author>
    <author>tc={E7838276-9DF7-43B4-93A2-21770318D55B}</author>
    <author>tc={BEB0C7E3-6CAF-4DAA-B1CF-43A39617F37B}</author>
    <author>tc={58AD4C03-C667-4D00-A999-CB4EA31F7958}</author>
    <author>tc={C9D1D8F8-FAB3-4994-9866-04D805E71BE4}</author>
    <author>tc={AC3DE8FE-E967-4556-8137-E2AAC5FF268E}</author>
    <author>tc={F1242FC6-FE4D-46B6-9377-FC0E21B432F8}</author>
    <author>tc={74AAA9C2-ACA4-44D6-B2BC-8FDF5EC13CE3}</author>
    <author>tc={8812CAB6-86F8-4FFB-B8DF-F246B4D53A49}</author>
    <author>tc={6BF53A6A-D975-4BAE-BCCA-3F317209B8A5}</author>
    <author>tc={E994C646-A503-440F-BA99-07C44F623353}</author>
    <author>tc={FD1D2393-3053-44B3-B319-6D31288FFF49}</author>
    <author>tc={3AF5BFEA-0AE9-479C-8CC4-63B8536DF1D8}</author>
    <author>tc={C27053B4-B11B-4DD3-8462-AA8A0F795412}</author>
    <author>tc={E7DAF02E-D171-4E6D-A431-D5A83DEB726D}</author>
    <author>tc={4E428D5C-A961-4983-9E2F-5260DAA4A193}</author>
    <author>tc={10DCE898-8805-4A59-9944-6EDAAE3AA02C}</author>
    <author>tc={D06B28EC-FD4A-4FAB-BB92-CC7B57ACB18F}</author>
    <author>tc={DA196A86-0C0C-4491-BB29-5D8E458E8EEC}</author>
    <author>tc={4CD8E586-101E-49F7-AF33-D53ED98F99DE}</author>
    <author>tc={F9425840-200D-462C-8CC7-89F3F4279051}</author>
    <author>tc={3EB6AD3D-E687-4780-A96D-A82989C2B8D1}</author>
    <author>tc={3C7DF839-9962-4451-B3C7-A3EBE6C16632}</author>
    <author>tc={C01EA677-2AF8-46EC-9903-0C5A4EFB641C}</author>
    <author>tc={63E9D350-C2A4-4AC8-B48D-C06F716FEFCD}</author>
    <author>tc={CA13DABD-EBFC-4601-9CE2-E7E22EC34250}</author>
    <author>tc={AF2E839E-F7F8-4E43-8523-16D727FCB5A7}</author>
    <author>tc={EBD7A81A-F3DC-47B3-A36C-4BA7E5726D9C}</author>
    <author>tc={D14DF213-778D-47AF-9B87-4445D16530B8}</author>
    <author>tc={03188050-D27E-4B42-98EB-A92BF98F59EF}</author>
    <author>tc={83D27148-0844-467F-90D4-E6DFA6F22BC5}</author>
    <author>tc={C2B88EEF-8F8E-4464-93D9-3CBBA7F3779B}</author>
    <author>tc={B6641D85-9C42-42C7-9F06-F5A3DB59D255}</author>
    <author>tc={419EAC24-E689-4387-BB53-FF4DDABFD9D4}</author>
    <author>tc={A040685C-2A95-4604-8086-36BA623B9A67}</author>
    <author>tc={FA4D754C-4952-425A-943A-E9C5BF5201E0}</author>
    <author>tc={7F7A6E58-3930-4FFE-B38B-7DCB2F56ABE7}</author>
    <author>tc={2885ADDF-DB16-40CF-97CA-F43DF69B9EA5}</author>
    <author>tc={42A84CC7-2813-49DD-AE54-CF98296F4307}</author>
    <author>tc={F5F22FBE-FDA8-48C5-85CE-FD1F475F3AD5}</author>
    <author>tc={B26C53C4-987B-4A12-B2CB-C21361D99AF5}</author>
    <author>tc={F18D864D-8D48-45B7-9066-861BC31D0E92}</author>
    <author>tc={573E3763-2C18-4EE1-9132-4FBC418F2051}</author>
    <author>tc={E85E2CEB-F121-443A-BA25-914C87A811AD}</author>
    <author>tc={B309D626-8B87-4900-BEC9-80411822A11A}</author>
    <author>tc={FCE5A889-7CC5-4B94-9325-9D19A2D5FC0E}</author>
    <author>tc={7A43839F-2328-43FC-BBD9-CE3C48F89E34}</author>
    <author>tc={F6612724-5103-40E7-B879-61519BEEEB09}</author>
    <author>tc={6A6E86A0-D384-45A6-A163-03347B855E79}</author>
    <author>tc={15D8115D-6668-4EB8-BBF2-B82F4296D71C}</author>
    <author>tc={01B7989D-AE12-4AEB-AC48-308D20B30F22}</author>
    <author>tc={0131D54E-F7B4-465C-886F-063BB0184CF6}</author>
    <author>tc={C2E8739E-4D8A-449F-B3CD-687361B4AF37}</author>
    <author>tc={4530239D-8043-4527-B5F7-75C6C8922D75}</author>
    <author>tc={796925A3-36C9-483F-A319-75D9352C5C26}</author>
    <author>tc={21B53046-D205-408A-BBF1-5607A8EA8754}</author>
    <author>tc={6AE3CD4A-75DD-4827-84EC-EB5D005D0706}</author>
    <author>tc={D9097AA6-0EC4-4E04-9B14-D61AC58246D0}</author>
    <author>tc={B08185CD-175B-421C-BB8B-F5CBCD4940E8}</author>
    <author>tc={EADFEECF-CF09-48B9-BB0C-6D225CD2F3E7}</author>
    <author>tc={AEBFF4F2-0006-44CC-A05D-3E5831718C57}</author>
    <author>tc={7734D8FD-1CA0-40DE-9157-E7D95688A2D9}</author>
    <author>tc={3351934C-56AB-4C97-8B46-CBD7770A4FB0}</author>
    <author>tc={9ACF9407-0858-48C4-90E1-69ED41A6BA2F}</author>
    <author>tc={A62975D3-4149-4F5A-8B91-6F1A5909FE2F}</author>
    <author>tc={788C5BAF-E12C-455F-A350-74F0EA332CB9}</author>
    <author>tc={7243218A-831F-4503-8E70-95A784B6148B}</author>
    <author>tc={CFDD937F-7CEE-4F31-B9A9-050671C5D94B}</author>
    <author>tc={FD2DF68E-DE61-4A8C-A3E9-67C78E182B1F}</author>
    <author>tc={A2B341CD-B741-4239-8B54-591B7B9D34B9}</author>
    <author>tc={22D6EAA0-508A-4C39-8B7B-C8A6E92F3285}</author>
    <author>tc={EEE91789-D870-4EB4-ACC9-F883FC84BDA9}</author>
    <author>tc={CD1DAB45-FD50-4F7C-B427-A742571F3479}</author>
    <author>tc={382B30C2-8E05-475F-93BD-B59116AC4B8B}</author>
    <author>tc={C01D2D62-1BA1-4464-8499-FAE389A537CE}</author>
    <author>tc={1BD9105A-62C1-48CC-B4AC-843E1E0C0705}</author>
    <author>tc={3966D64C-438D-40C8-AAAC-55A6ECE1722C}</author>
    <author>tc={82A696B8-082F-419F-AD67-74C7C2886BB1}</author>
    <author>tc={C9B1D61B-B3FA-4B3A-85E6-6B5E74EC3FE5}</author>
    <author>tc={867C1A41-686F-43BB-9364-DFF60988AA45}</author>
    <author>tc={12DEDA53-61AB-476B-9907-CC92884DC885}</author>
    <author>tc={15F66E09-6119-41A5-B57A-AD80591A02F8}</author>
    <author>tc={71161682-0BDE-4EB5-972D-684D24058E3E}</author>
    <author>tc={EB193098-53F1-4CAF-912F-2868FA6586DA}</author>
    <author>tc={4E6A81BD-145B-4D16-94F5-2A71A2E3B69A}</author>
    <author>tc={D2188DC4-7875-4D73-A76E-B9B2E979B978}</author>
    <author>tc={1ADE2103-6D45-4932-85F2-42A1FD141059}</author>
    <author>tc={3984BC7E-71A5-49E7-92A6-B52121F6FE3A}</author>
    <author>tc={D3A7D845-7D99-45CE-B5CE-44418BBE3FE3}</author>
    <author>tc={2EF2C240-09C6-4291-AD13-4546E71317DB}</author>
    <author>tc={9DA3AF61-220B-4C69-A177-D6BBF95E9680}</author>
    <author>tc={B1FC2B54-CEE1-4C94-9A84-52543C209B70}</author>
    <author>tc={AFCA40DD-21CD-4039-A68E-D247DFBC6485}</author>
    <author>tc={56433718-23A2-42EC-89CB-A9CF08CB0C3C}</author>
    <author>tc={E1B6CAF7-A380-4325-90FC-341B0F660D80}</author>
    <author>tc={EC8E34DC-897B-4EFE-8E8A-1074B18B2CFD}</author>
    <author>tc={F3AE9D18-56C4-4BD9-A47A-238800E6AE00}</author>
    <author>tc={5DF45940-F426-44F4-AA6A-D5919BDAD7A9}</author>
    <author>tc={238D2583-E554-4028-9C8F-A31EC24F383F}</author>
    <author>tc={1724212B-CB21-4A32-AC5C-501DBB6C6C66}</author>
    <author>tc={6B4BB080-8BD5-4724-9DAC-C7A4647881B8}</author>
    <author>tc={DB2E0F77-0DA2-4001-9EF6-C9C10EE6FBE5}</author>
    <author>tc={6950A483-0B44-4824-8D58-235187BCC15C}</author>
    <author>tc={A608A01F-88A8-4570-B3B2-9EFA05E619CF}</author>
    <author>tc={29AE2CE4-57AC-4F98-8C8A-1388B4763CA0}</author>
    <author>tc={765565D3-A7AF-4A4C-9B66-0B96767D9D29}</author>
    <author>tc={D79C3DBE-8554-42B4-9DE2-ADB71E1B12DE}</author>
    <author>tc={AFC88B91-B1DD-4CB3-9208-4F7EFAEF9A9E}</author>
    <author>tc={216F8793-E62F-4C50-AF96-AD9196607075}</author>
    <author>tc={FB44C5C7-5F27-4C33-8DAB-EDE5799009E3}</author>
    <author>tc={FE15DFB6-CA2C-4294-86B8-7119F51A71CF}</author>
    <author>tc={1BD1F41F-8495-4CB9-95F4-F472D00B582C}</author>
    <author>tc={0A6FEACB-6AFF-47FE-B0F0-737F94EE993A}</author>
    <author>tc={8CC67E10-40BC-4C1A-97CF-0AC57C4AC747}</author>
    <author>tc={AED62085-21D2-4BA8-8384-8864CAE84472}</author>
    <author>tc={EAFE64FA-E99D-4032-832D-54118AB4A226}</author>
    <author>tc={4F832DC6-ECA2-45D0-A8AE-019D4E757919}</author>
    <author>tc={A251794A-B386-47D2-92F3-9390E2FE351E}</author>
    <author>tc={08CD9713-3F6E-4AEB-A138-F0013E98044A}</author>
    <author>tc={CB9D73A5-6F32-44A1-BACA-477DBF8B9BE8}</author>
    <author>tc={F14FDCC2-5CAA-441F-918D-32D197AF45A8}</author>
    <author>tc={70C2DC2E-FDA4-4185-85CC-2A5145A79A34}</author>
    <author>tc={462D33CF-C6C6-4231-9BF2-6D18E61B4C03}</author>
    <author>tc={9766317C-8D30-4940-842A-E5F35C57E684}</author>
    <author>tc={9FC0E3BA-214D-4C5C-BE29-7285812A9218}</author>
    <author>tc={82C84278-3E43-4E7B-B0E9-8540AC3ADB89}</author>
    <author>tc={F7842F83-9707-4722-8758-DF9CB10A6FAD}</author>
    <author>tc={6400EF24-5307-465C-BB26-15F1D731E417}</author>
    <author>tc={39894781-FFEA-434D-A1B8-E3B19A16B28A}</author>
    <author>tc={93985476-F92E-4616-9097-3DECAAEFA059}</author>
    <author>tc={B08DCE69-33CD-4555-8201-F7DE16C265B4}</author>
    <author>tc={568A85D2-47F9-40CC-81B8-D071632DD526}</author>
    <author>tc={BD2FD61E-C1D8-4669-98A1-67B89A889FD8}</author>
    <author>tc={CB445A4D-8393-4117-B876-B90B0EA7B834}</author>
    <author>tc={5871C772-64AF-4EEE-8E2C-17A03588033A}</author>
    <author>tc={BD2ABD8A-9B0B-4362-8E52-078F44003A26}</author>
    <author>tc={E9BFFA67-8897-4A48-BFB2-ED600D31DBBC}</author>
    <author>tc={3E11BF8A-AEDF-40EC-8458-92418C94D19B}</author>
    <author>tc={8C45E3DA-6B24-490B-A2E2-4062017A7E86}</author>
    <author>tc={800B9674-0E5F-4BA3-AB22-7C02EE7E5034}</author>
    <author>tc={1D1E3BCD-6B70-47AC-AC11-764DF430E7ED}</author>
    <author>tc={D26AE5EC-AF8D-41E2-90CC-B6A3F1D5DD92}</author>
    <author>tc={C458AA4C-F5DC-4C21-8015-2D811302BF2C}</author>
    <author>tc={F9C7ADA3-C9C9-4B82-84B1-F62DC1A5F7A3}</author>
    <author>tc={AF01B445-5601-4FA4-B7E8-8A5E9F920632}</author>
    <author>tc={C7F67C89-5864-4239-918E-D188179AC718}</author>
    <author>tc={8BE7D542-5103-4A3C-86DB-7A12AE7A9897}</author>
    <author>tc={03DD844D-2413-48FA-B2A5-53A842929EE0}</author>
    <author>tc={2FFCDA40-E777-4C1A-8465-994EBDC6CDDC}</author>
    <author>tc={03559037-C695-4C49-8F51-5960296DC6B8}</author>
    <author>tc={F0AD6F84-BD5E-4205-ACA3-3339EBF82B35}</author>
    <author>tc={2B3F2F3F-60BB-4692-80D8-922FB8220522}</author>
    <author>tc={E7E6A5C4-ADC3-4006-B5CB-AD93B92A7BBF}</author>
    <author>tc={AE8E3643-ADF2-42A6-A007-B1005336F017}</author>
    <author>tc={C3B7F7C6-74FA-4E9E-B0B0-2A59CDB45141}</author>
    <author>tc={B9C22B86-F45A-4A4E-BED7-328D238F9BA0}</author>
    <author>tc={0B0D98B6-DB94-4F34-A77D-6A70DDCF1086}</author>
    <author>tc={8E15D143-06E3-4EF7-B99F-5DE9DEF200EB}</author>
    <author>tc={FB499760-14D1-4447-9C46-795638DFE3FD}</author>
    <author>tc={ECF6F1A9-FCEC-4338-B22E-553D619D6AFF}</author>
    <author>tc={217AADC6-F81A-45F2-8657-BA46C8F7ABF4}</author>
    <author>tc={E968370B-CF5D-4D13-9333-B32ECDDE90B0}</author>
    <author>tc={36343D3F-22B2-4314-989D-9C26406C1898}</author>
    <author>tc={DC96E5CF-6FCE-4F21-BA0A-E6ADA7906051}</author>
    <author>tc={D2F11CCB-223B-44D6-A469-BE6308FC16BA}</author>
    <author>tc={264FF704-9694-4C2E-9689-701D217AE9CD}</author>
    <author>tc={9926347D-6092-4A39-AA36-F36924D0F531}</author>
    <author>tc={F80D7118-CB85-4B5C-BFBE-85ED3D5580B4}</author>
    <author>tc={C487AC28-E6B2-4E33-80F3-A6C481BCD1B7}</author>
    <author>tc={A375AB0A-9611-453F-912B-C1CB69C63538}</author>
    <author>tc={4E8DE430-87C6-4358-9DC7-1D4C9CBEC06B}</author>
    <author>tc={DB655052-5606-48FE-B516-1C1C5328271B}</author>
    <author>tc={3AB75545-14FD-430E-972C-37F2132C4CD6}</author>
    <author>tc={C89B60CB-DFB8-4775-9799-A60294B407A7}</author>
    <author>tc={E0D41C90-550A-464C-A5DD-113B256E7460}</author>
    <author>tc={E092DFB2-DC85-4651-9B2C-FA82943D0644}</author>
    <author>tc={59CED969-0E48-4F33-ADB4-032F702169BB}</author>
    <author>tc={CCFA07B9-FB61-4870-9259-582B71A02D73}</author>
    <author>tc={28611765-B3BB-426F-9BA3-819D8510097E}</author>
    <author>tc={980DF663-5961-42F1-8CA6-C3BE55DA14E8}</author>
    <author>tc={7840080E-9DDB-419D-9EF2-6E4911E3E817}</author>
    <author>tc={405196CF-3972-4FED-9FBA-EFE569645C23}</author>
    <author>tc={B1730160-292B-42B7-A9B8-68F4BA0E8F9D}</author>
    <author>tc={F13A6CFD-093E-42E1-AAE5-6BEAC12D5328}</author>
    <author>tc={C4BA7536-B38E-4ABC-A451-0698A896C5D7}</author>
    <author>tc={716F75E9-E2F7-4A04-B417-4E7724F3743A}</author>
    <author>tc={7C3E9708-B67C-4322-A770-7538326DC954}</author>
    <author>tc={45D3C50F-0F8F-481D-9CD8-29E44FB675DF}</author>
    <author>tc={35393BD0-4663-4EB1-B1D5-22F90F443FC5}</author>
    <author>tc={B8AB16A7-D9FC-4E63-B2E6-9EDC72C6A70D}</author>
    <author>tc={E4352725-A242-450E-81E2-B68A6DF9DB7F}</author>
    <author>tc={E0875119-65B3-4BCF-B202-255CA138B481}</author>
    <author>tc={F272A68D-EBAB-4D5B-9746-24C28A3483E2}</author>
    <author>tc={BAA0B27C-E65D-4F87-A5A2-5A9B6CE40AAD}</author>
    <author>tc={5BDB74F8-7A69-403C-B09C-0F7CA3C53A7A}</author>
    <author>tc={D80A28BE-1CE7-4053-8724-B769073C79AD}</author>
    <author>tc={E13DC717-0977-4427-867F-B8D9BF5E60B0}</author>
    <author>tc={C3DB36E8-80EB-4599-9B9C-7F1EDB00565E}</author>
    <author>tc={DA481D3D-6AD1-4FD9-A9E8-3C017DC02699}</author>
    <author>tc={B93E6CD7-4E19-402D-97E7-C2C15A8656AE}</author>
    <author>tc={08906942-76D2-4300-93DC-02FA9C693396}</author>
    <author>tc={6BFE31B1-A0B3-4C45-92A7-D54D5C3A9FDC}</author>
    <author>tc={1522CC6D-01AF-4B3A-8EC6-53E142329BA9}</author>
    <author>tc={AAF6650B-98AC-4962-B180-592697623746}</author>
    <author>tc={A9A02DE7-BD9A-4F17-B8C2-7CCAEEDE24FD}</author>
    <author>tc={E2299ABA-D6D3-4632-B537-E1FDAD968A2A}</author>
    <author>tc={FE47799F-3625-4DEF-9591-D95AEFCFFB9E}</author>
    <author>tc={B79639EA-7EB3-4DAF-836C-72C64D06D1C0}</author>
    <author>tc={96EC6AAC-E6B6-4846-8A06-8E676B43FBAE}</author>
    <author>tc={78AD2D59-1EAB-487C-A86C-22120E469432}</author>
    <author>tc={F9868446-647F-4E2F-A73E-1B59B7091ECE}</author>
    <author>tc={9A2910CA-9AB6-41B3-8D4E-295CCEFB40AB}</author>
    <author>tc={30D089AB-0D88-435E-918D-4EFF236AA9EF}</author>
    <author>tc={780E970D-5380-4841-91EA-FBE52EBA219C}</author>
    <author>tc={E76F2145-FEB3-4563-BE5E-C693B8C0CFC8}</author>
    <author>tc={75D499A1-1A46-4FA3-A3C7-C75337B88251}</author>
    <author>tc={44D2B346-0A22-48FB-B50A-A7E43D19F8AE}</author>
    <author>tc={CE9FC205-38F7-4F00-B4B1-69AA8D3AB941}</author>
    <author>tc={95CEA9E7-4E89-4A5E-967E-FF5B230EC41A}</author>
    <author>tc={FEFF802A-065A-4884-A904-9C154D635EB5}</author>
    <author>tc={61C6E8B0-7446-4ECA-9D3B-9F0916FC458C}</author>
    <author>tc={B48B066A-F015-4A2C-BE58-4D9BF35D3E73}</author>
    <author>tc={1BE95D87-FD82-4156-B11E-2EA03CB736B2}</author>
    <author>tc={78FFA356-4292-47B5-A4CA-32AF3AB20236}</author>
    <author>tc={315905A7-853A-44D9-B90A-F024DBC2E1FC}</author>
    <author>tc={B0A2D294-B4F3-452F-9B75-FC48A70C349B}</author>
    <author>tc={01E28192-E7A0-40F9-8F6B-EC06EE0B9B4D}</author>
    <author>tc={2491CA4A-AC65-4A02-9416-602A76F4C328}</author>
    <author>tc={6D22C33F-9049-42D1-93AA-EF74FC094A6F}</author>
    <author>tc={4EDAEC43-70BA-48A1-94A2-DE611DB1FF3C}</author>
    <author>tc={9790AD4F-F96D-4192-86B4-DFA57E7B2F2C}</author>
    <author>tc={BBF9A719-3929-4662-9920-0BE14CEFE28D}</author>
    <author>tc={45311817-3015-4415-B0E7-9299CFF97BA6}</author>
    <author>tc={58F3B86E-DD65-4E6C-BA7B-448F46D75FFB}</author>
    <author>tc={BDBE1A19-8DB2-4D8D-83D1-078754567B8C}</author>
    <author>tc={EC57D5C8-A1A7-4680-ADE9-A8E0373A69DD}</author>
    <author>tc={8A4B48DC-3670-471F-B51D-AF275194BE00}</author>
    <author>tc={2C2CD2EC-6B82-41FD-9769-0468BC13AD5B}</author>
    <author>tc={BD7940FA-2979-4D8E-A3A8-159B5ADC42A5}</author>
    <author>tc={5C3F5158-8E54-4C65-B645-F92DA66B4CB1}</author>
    <author>tc={D66BE99E-6FD8-44AF-B49A-A921BFC643AA}</author>
    <author>tc={2B61CC13-54F7-4E20-9CC9-326CB9686CA6}</author>
    <author>tc={7508658F-C020-4D0F-8D70-C74642865B70}</author>
    <author>tc={98AF59E1-64B1-478C-A673-6CC6FCAFAA3F}</author>
    <author>tc={960D7226-FEFE-4B5B-AA03-019D980755B1}</author>
    <author>tc={4736E579-5FD6-4CD2-8046-FFDF94122FEA}</author>
    <author>tc={177D27C5-321B-42AD-A01C-E33887B6227A}</author>
    <author>tc={381B48C8-FB1A-46E1-9797-93B6A1F72150}</author>
    <author>tc={F35BDA69-581E-4BEC-AF26-5ACA7C3A55CA}</author>
    <author>tc={4C1A4C72-9DCB-4E74-9369-FB560E6C86CC}</author>
    <author>tc={D7FF1287-A2EC-42E3-B040-D536C1D6E3A5}</author>
    <author>tc={0E07ECF5-4277-4617-AC66-1FF3DA5FB7B9}</author>
    <author>tc={D44D07C7-5A59-4510-BCEB-032F62987B74}</author>
    <author>tc={67883B96-A987-4C9E-A18E-9A7D3212823C}</author>
    <author>tc={EC6BA96D-A8E2-4403-B1BD-3C9475CAE160}</author>
    <author>tc={9CEC6D88-8648-4B8E-986C-3CC94CC6DCB3}</author>
    <author>tc={F08D0748-C9BC-4D71-BAFF-1195DD8C0554}</author>
    <author>tc={32D3C162-63C7-49F4-B1C8-292517A7236A}</author>
    <author>tc={C5058F93-2D10-462C-AC54-79502816013A}</author>
    <author>tc={88721A50-4AAF-4ABF-9C01-73532F9A0174}</author>
    <author>tc={51003D87-8476-4817-AA35-8A56A53312D1}</author>
    <author>tc={FDD47EFC-76AD-4CD0-AF47-1A0B1B2F082E}</author>
    <author>tc={8B1EFA25-5959-42EB-985B-DA12FD29C192}</author>
    <author>tc={0450112A-5402-4F6C-ADB5-827D2B8270F7}</author>
    <author>tc={F15E8AF2-9C0D-4383-934D-8FD444B8A425}</author>
    <author>tc={8A9F3468-9538-4A27-9C88-08EBCE69C251}</author>
    <author>tc={630F791C-A47E-4B1E-B3D4-D00570A098FD}</author>
    <author>tc={29D68328-EBF5-45B2-BDB2-4ADBE163821C}</author>
    <author>tc={7134DAC2-6B26-485E-BEB7-445CA03F7FE2}</author>
    <author>tc={C395D603-3926-42C5-9249-14DC78AB269A}</author>
    <author>tc={2F005270-B589-442A-8F73-20359DC29149}</author>
    <author>tc={3AB17BCF-0715-43C9-9584-3E6AEB4BED48}</author>
    <author>tc={4EE4DB80-C175-4E6C-B54B-B5C23EBB7C0A}</author>
    <author>tc={B983BBDB-DF6F-4B85-87FE-0533F4D053C2}</author>
    <author>tc={A4B0235B-12B8-43C3-8C01-699EFEA35D7F}</author>
    <author>tc={46BEC9AF-EF8E-4661-9298-BAA6D830B3E9}</author>
    <author>tc={864F8BE6-0FA1-48E0-ADDC-16EAF17C0D00}</author>
    <author>tc={5B6A5B99-8C94-49CD-B7B8-82FDB98B8479}</author>
    <author>tc={02E02054-3DA2-4205-A600-E280746F9993}</author>
    <author>tc={1E7D277E-9E2A-45E8-9535-DF73BE6C8421}</author>
    <author>tc={B23B54B5-37A6-423E-AEF5-DA8034DDC13E}</author>
    <author>tc={ADE620DF-86CE-4861-B7B1-C7A8F47BCBA3}</author>
    <author>tc={995FF70A-01C9-409D-91C9-EA53D3D6FFF0}</author>
    <author>tc={E390A346-AC7D-4044-BDA9-8B8E4DD983DC}</author>
    <author>tc={018F96ED-DC3B-40EB-A722-02228333B84A}</author>
    <author>tc={DAFA7F70-3855-441E-9033-D5EDA48B3E97}</author>
    <author>tc={0E1F8095-E5BB-475E-8534-140C91D8E2E2}</author>
    <author>tc={D8B2167E-10DF-497E-8FB1-65A6FD457830}</author>
    <author>tc={AE928094-8C93-4B46-9B90-30EC5A7150BC}</author>
    <author>tc={703A55FD-CFC2-46D9-A308-27984D254C0A}</author>
    <author>tc={A2044400-29A9-4550-B97E-07F48AD99A74}</author>
    <author>tc={33E1859E-289F-4FE6-ACB1-5AD22FFFFE3B}</author>
    <author>tc={24523B3E-2735-4A7A-A35B-9B8BE8161E96}</author>
    <author>tc={5B588F7B-7CE4-4BF3-B9EA-D33B8C4BA91F}</author>
    <author>tc={DDB96C55-9E3B-4228-B2C0-38AFB89D7C28}</author>
    <author>tc={1DA4A74E-A2B8-49B2-A273-822553004A2D}</author>
    <author>tc={63B3E84E-DCD5-4E42-B149-514BB4966131}</author>
    <author>tc={BCD6E5B7-BA0A-4FC8-B142-653CEB96E924}</author>
    <author>tc={D490E300-269E-4BF4-9490-7E902F5455B1}</author>
    <author>tc={88963CA9-6A26-4198-B4A1-D7980655342A}</author>
    <author>tc={F7B95FF1-C98B-46F7-ACC7-FB1DCF2911C4}</author>
    <author>tc={E8EC1670-3317-4F18-8B73-2B4D5F633594}</author>
    <author>tc={44AD64AE-37EC-4F57-81ED-3026A9AF7D69}</author>
    <author>tc={457E8C8F-4ED5-4DAB-A67D-B88C83A023C3}</author>
    <author>tc={53C23065-09CA-49A1-9145-32E7508967C4}</author>
    <author>tc={0C62189D-ADFA-4C66-8922-334A733867F9}</author>
    <author>tc={DC5F550B-B208-4024-BE47-C6A42897F911}</author>
    <author>tc={9265E4CE-F2FC-4AD3-944B-FEC1D4F88F57}</author>
    <author>tc={9EEBD80A-A56B-410F-A77D-21C47C459010}</author>
    <author>tc={E3A25E42-544B-48AF-ACC0-8717463A0323}</author>
    <author>tc={A19EEA89-7C80-4B4E-AC4A-1E0EFC32D5AC}</author>
    <author>tc={450199E8-5006-4A3B-9938-F93BFF212CC7}</author>
    <author>tc={B363D8EA-2C4F-43A2-8810-5334F2EAE6F7}</author>
    <author>tc={D6617088-B616-4CBB-B7B2-C446C3FFA9DA}</author>
    <author>tc={4DEFB4A7-A02D-4188-B369-3EEE28986369}</author>
    <author>tc={05D74401-BABF-4E21-821D-1716FEC2480A}</author>
    <author>tc={7AAEFFDC-2E52-4607-98AA-038A3CFCC893}</author>
    <author>tc={7AC161EC-501F-46BC-92D8-EE497E817D05}</author>
    <author>tc={3C57EF65-7EF0-4948-95B1-9EAD73835EDB}</author>
    <author>tc={EC1A6AD9-0411-4CD2-B614-0897D34E1F2E}</author>
    <author>tc={6BD1AFF5-B6D2-4EA7-B9C8-CCCDF35FA992}</author>
    <author>tc={81172C73-FA6A-4FC9-A5F2-5B878E748A4F}</author>
    <author>tc={1704762F-1274-4577-82AF-E91D7AF94AF6}</author>
    <author>tc={B954310A-2DAF-4AA3-AA6F-4F2DC865D0F5}</author>
    <author>tc={29ADBD3E-79AC-432F-8861-72CE3F6B75F2}</author>
    <author>tc={D7A71A2B-FCB6-4A33-BBD0-4715D7BA889C}</author>
    <author>tc={332F20AA-457D-4E5F-B1B3-D57F53975100}</author>
    <author>tc={158A4AFC-001B-432E-B882-1CCC8E00E610}</author>
    <author>tc={647ED1C4-D0EA-4E87-9D9E-B1E86B8359F7}</author>
    <author>tc={56ACE073-ED43-48CE-A07D-58C20E7F5A70}</author>
    <author>tc={487D18C3-E3B1-4A0A-910B-27FCC80DFB4F}</author>
    <author>tc={441D3700-BF18-464F-892A-72345714C3C7}</author>
    <author>tc={3B66DE18-138A-4ADE-845F-197E7302EB57}</author>
    <author>tc={6CAFA3B4-D2A9-4890-88E0-902C3D125194}</author>
    <author>tc={E78A79EA-E729-499C-8056-FD795BA3E06F}</author>
    <author>tc={C130BEE4-A5C9-4412-A95F-FDC758B7E9CD}</author>
    <author>tc={91515EF3-C79A-4C52-AE9A-9A9DAD18985C}</author>
    <author>tc={374C3BE9-E386-46C4-85B1-56017EFAF2E8}</author>
    <author>tc={B988E6EB-71EF-4392-B2BE-1DC0F3815546}</author>
    <author>tc={3CC24FB2-2F79-478F-B803-1A5B2035D235}</author>
    <author>tc={91071F05-CB29-4BB4-A1D5-AF4F3B639627}</author>
    <author>tc={CA3A34BA-6744-4D86-A890-9F41754E603E}</author>
    <author>tc={38659CDC-8594-4241-A033-6D17B0BD4339}</author>
    <author>tc={325016F0-BF89-418A-AF44-2A7E9E9226C5}</author>
    <author>tc={C91C270B-24F4-4635-8E91-8040EAADE684}</author>
    <author>tc={E1ECE757-EFF1-4009-9658-85E8C280CC96}</author>
    <author>tc={F385F994-0197-418F-961E-D60CDE69EF62}</author>
    <author>tc={98685A5E-6228-4037-80AF-4FDEDF73F536}</author>
    <author>tc={49977230-27BA-44E4-A89B-2349FD3072E6}</author>
    <author>tc={B8C5AD4A-1C20-4BEC-BFC3-D10423499F20}</author>
    <author>tc={F3530F6E-A9E9-44B7-BDCD-4BAA85532BA0}</author>
    <author>tc={E7C74997-1EDA-4371-B357-E606CF680A78}</author>
    <author>tc={F09960EF-44BF-42B9-99C9-C3B39E78DDE9}</author>
    <author>tc={32E1FB84-6F9E-40CC-8AD3-5447C211D059}</author>
    <author>tc={BD6358CD-1ABE-406F-A5CD-EAE425D3DE61}</author>
    <author>tc={C75FB95E-66FC-4991-A924-7013ADC61A3A}</author>
    <author>tc={65180673-D5BD-4DA6-AF87-C4DAE5D0A4DD}</author>
    <author>tc={BEFEF925-0943-4F92-B8D1-DC28E4FD0446}</author>
    <author>tc={AD19F1AD-FA73-463F-9796-783533086480}</author>
    <author>tc={E219C225-5418-46C1-B4B0-638E6018C2D5}</author>
    <author>tc={929E7DD6-D258-484F-B284-A62F7EE334E8}</author>
    <author>tc={1C589B71-391B-4EB8-9AEC-811880B6DBBA}</author>
    <author>tc={89BA383A-D29D-44C9-BAFA-D16338D7342F}</author>
    <author>tc={813D406A-6180-4381-B3C0-BEEB64882864}</author>
    <author>tc={D4C76B2E-970E-4FA1-BBD1-D64CCE05EB0A}</author>
    <author>tc={9644617D-966D-4606-B356-0989E2E05ADD}</author>
    <author>tc={26A20203-7F33-4889-97EC-377470103084}</author>
    <author>tc={687B14FF-35DD-4041-9B0A-4C91F10CB417}</author>
    <author>tc={218137F2-10FF-4320-980B-B7CA6E4682FE}</author>
    <author>tc={C886226B-9050-4465-AC57-7A666FE573AD}</author>
    <author>tc={98EAED34-9C43-44CF-884E-F72E778F2ACD}</author>
    <author>tc={D7CA3056-7BAD-43D8-BF0C-835CA9888A1D}</author>
    <author>tc={A6FF0B27-339D-4423-99F6-278CAC3B12C1}</author>
    <author>tc={A4DFC2EF-0130-4688-B9C4-5D8B015D675E}</author>
    <author>tc={2F0D8B1B-052B-4193-A5ED-1912EB3401DF}</author>
    <author>tc={922ABC0D-5DC6-4CAC-8809-F955573748AA}</author>
    <author>tc={F7718459-55E7-4B55-A5BA-389B9CC34B3B}</author>
    <author>tc={8773A09E-DB9C-41D6-8F34-0C525E8C5B29}</author>
    <author>tc={6E5F875E-E80C-46CD-8600-6477F4D15FED}</author>
    <author>tc={EDE9ABBD-BA06-4BAF-8F86-A7F5CE524F9E}</author>
    <author>tc={F196F58B-A962-4499-A19F-6B52FA1874C4}</author>
    <author>tc={71A6F482-61C6-4BB8-AA7D-D6505DBA601E}</author>
    <author>tc={6C55D74F-3C98-49AA-B3BE-95D449D013C8}</author>
    <author>tc={44891A00-D6E9-400E-B8C8-8FB56C3906FE}</author>
    <author>tc={AB990FF7-4789-491D-B981-C44FC7BFABC0}</author>
    <author>tc={C0F81BD3-B00F-4219-A55B-663B3FE02F69}</author>
    <author>tc={71B14C56-16EA-46BA-A3C7-0182B418632E}</author>
    <author>tc={0C533F46-8B0B-4FFB-98F3-173408C2614B}</author>
    <author>tc={6F908790-4C9F-4E0B-A610-298FCC41A8D9}</author>
    <author>tc={14534754-F678-4BD5-8CC9-58ED3556711F}</author>
    <author>tc={C38B8468-312B-4E2F-B9EB-FEAA7D2E8204}</author>
    <author>tc={FF116827-D51B-435E-9C8E-8A0A0DBB1C7B}</author>
    <author>tc={FD162709-5EF7-4522-B475-473FB9126C67}</author>
    <author>tc={50EDDC98-8484-4140-87D5-EC4F8FC0FD7C}</author>
    <author>tc={9501377D-F5BA-4712-9B05-932B8DCAE39C}</author>
    <author>tc={77BA2659-7DD5-4D2C-B0DD-8AE151675794}</author>
    <author>tc={E4CB0038-CE27-4664-96FB-40B47EF3ACAA}</author>
    <author>tc={05C3C24E-6C8D-41FC-834E-9F13CC082E57}</author>
    <author>tc={DEC54AB2-37E0-446C-9E27-ADF542D6385F}</author>
    <author>tc={E9E2B052-B332-4F52-A707-484E2295A9D9}</author>
    <author>tc={16F98C17-2CEB-4022-BC56-2B60C854F5B6}</author>
    <author>tc={5DB53D3B-0A83-4C2D-8D18-57A6F2CDA78B}</author>
    <author>tc={F1804422-F4F6-4A75-92D9-1ED852D298CA}</author>
    <author>tc={C789C4D6-59D0-4074-9EEB-768987B7EBFD}</author>
    <author>tc={99A3BD6B-0E23-4996-86EA-FB9FF4244D50}</author>
    <author>tc={D7F77573-226F-4DA4-93FB-654D0240455D}</author>
    <author>tc={498CCA90-3D4C-4784-B400-F6ECEC1EA8BA}</author>
    <author>tc={8A623D5F-C48B-41B3-BECA-C3B9DDC963A3}</author>
    <author>tc={140389EE-BF2D-4AD3-AF6B-C8AC9A1944CF}</author>
    <author>tc={5A1866B2-A76D-4E2D-AD50-A32D8A8F6064}</author>
    <author>tc={09964EB9-74B6-4DE0-AFBC-D2FAD085F2DB}</author>
    <author>tc={53096124-1F9C-4447-9A05-F74C15B0FBC6}</author>
    <author>tc={6C46D2B2-6F1F-4817-BCD6-D0863C93945A}</author>
    <author>tc={61C22C94-C2B1-4039-8CAB-899B7F6083AF}</author>
    <author>tc={49D861A3-1163-4B77-B0EB-203620B2EE32}</author>
    <author>tc={47CF28E1-C78A-4633-A8FA-D56BA68D220D}</author>
    <author>tc={8E59BEA2-A20C-49BC-8DB5-CC1F9CF9FDB3}</author>
    <author>tc={84C4039A-745C-484D-826B-488A840A9D36}</author>
    <author>tc={1BB339C3-A79D-45BE-A096-0BD0F91A9166}</author>
    <author>tc={AE0B60A9-459F-49DC-B3E5-46CEE9D432E8}</author>
    <author>tc={830DFDC2-4976-4328-87E5-96CFEAACF1F3}</author>
    <author>tc={CB9BE9D0-9716-44CE-9524-5927B70408BE}</author>
    <author>tc={CF2DA009-A22F-4925-A4DA-FC1A4020B6A8}</author>
    <author>tc={0AB8D0B6-284B-4573-B8A3-6E865EDC234E}</author>
    <author>tc={FBF6226E-F0F6-4361-B615-F2A0D65C56DF}</author>
    <author>tc={8FAF83D2-60CB-477E-A4FC-0AE951C2DCB4}</author>
    <author>tc={84D0670A-3D17-48AC-92B0-9F8EBB6DF68B}</author>
    <author>tc={10FF338B-9379-48DF-BE95-EB1DC633708D}</author>
    <author>tc={A9D118EA-872F-4A1D-B6E0-D62E70B56858}</author>
    <author>tc={F5B89231-1B42-47FA-932B-FD351888ADC3}</author>
    <author>tc={A8CC580E-C068-449F-BBD4-F88BD7D81EBA}</author>
    <author>tc={20727048-1771-4880-9D02-A86E2DE5E935}</author>
    <author>tc={1CFA91FC-2F43-45ED-B69B-8DE1DEC63A4F}</author>
    <author>tc={ADCE4F11-CB7A-4C1E-BFF8-4CF84A8A11E0}</author>
    <author>tc={F5F2AD52-C389-49F9-A0CB-0750D8F07DD7}</author>
    <author>tc={FAD6744C-7035-4D53-AEDB-1A804F0A2F57}</author>
    <author>tc={22E3E53E-9E74-42CF-8F97-DA91BD3570D6}</author>
    <author>tc={017C0234-9AD4-4AEA-8AB8-2488CC3388FC}</author>
    <author>tc={CDAE782D-8BFD-4EAF-8C41-A7F84F5A1CCB}</author>
    <author>tc={4812C279-CA35-4387-BE95-9B869928DE05}</author>
    <author>tc={C4DBB2D3-1532-4CB6-B324-AECEDD463BD0}</author>
    <author>tc={28E48B21-CFDE-456F-A8D8-9C5A1A327E04}</author>
    <author>tc={30DA0C9E-EE91-4EC2-9B3D-601D77E743EA}</author>
    <author>tc={2A859187-8601-43BA-B8FE-22445A555CA1}</author>
    <author>tc={725B292F-761C-47DC-AB8C-FA83B22E8267}</author>
    <author>tc={8111D80F-36A9-428A-B3A8-466F0C11EF10}</author>
    <author>tc={25B2E539-3661-4B3F-A71D-17222A8AA669}</author>
    <author>tc={8207376D-D31D-410A-ACD7-22E0FBF96DCE}</author>
    <author>tc={10C93BF0-BA76-4DCC-BA8A-E1FC85444801}</author>
    <author>tc={D6E88B4F-D85D-4290-9D77-B95BD2FB5D37}</author>
    <author>tc={FEBC49BE-D600-4192-86D9-14A0DFD440F2}</author>
    <author>tc={248F9015-8F17-4DCF-9494-F5AD6669ED83}</author>
    <author>tc={90B7DF29-D936-48F8-8317-069F795B27D2}</author>
    <author>tc={B84AE2A9-BFEC-462F-95B4-CBBA13D33F9D}</author>
    <author>tc={0FBF4220-0EB0-4720-B466-FF050DE942FF}</author>
    <author>tc={69E9C0F2-E91A-473D-BD3E-C6647A36C22F}</author>
    <author>tc={C6BF1050-6604-4EF7-AC66-A17D616C5C9D}</author>
    <author>tc={455513B1-1C72-44F3-8C1D-3902B74D9E86}</author>
    <author>tc={D5AB0229-8715-4902-89F8-E6C3349069CB}</author>
    <author>tc={EDA995DF-98E0-49E5-AF57-A75FC12A9B78}</author>
    <author>tc={366D2161-9308-46E1-8380-410F1E5CC3C5}</author>
    <author>tc={C5B913FC-6738-4B90-8FE9-17DEA089C2F5}</author>
    <author>tc={F6B9A027-60AB-4F2B-AE6F-753776D55397}</author>
    <author>tc={6CDC217E-3159-4875-9454-FC7562581D8E}</author>
    <author>tc={B47F6D2E-AD1A-43D6-813C-CD1D11C79F6E}</author>
  </authors>
  <commentList>
    <comment ref="V2" authorId="0">
      <text>
        <r>
          <rPr>
            <sz val="10"/>
            <rFont val="宋体"/>
            <charset val="134"/>
          </rPr>
          <t>======
ID#AAABZpqNdfQ
tc={40FCCE3F-22C9-41F8-8C42-0C9E49E08F1B}    (2024-12-02 06:29:00)
2024.1.25</t>
        </r>
      </text>
    </comment>
    <comment ref="V3" authorId="1">
      <text>
        <r>
          <rPr>
            <sz val="10"/>
            <rFont val="宋体"/>
            <charset val="134"/>
          </rPr>
          <t>======
ID#AAABZpqNdXw
tc={588DE6BA-42FC-47A0-82CE-6F4D4FDEB466}    (2024-12-02 06:29:00)
2024.1.26 with notified Maersk 1/24</t>
        </r>
      </text>
    </comment>
    <comment ref="V4" authorId="2">
      <text>
        <r>
          <rPr>
            <sz val="10"/>
            <rFont val="宋体"/>
            <charset val="134"/>
          </rPr>
          <t>======
ID#AAABZpqNdzU
tc={0ACB3763-7E82-41D1-B373-1E8AC757C618}    (2024-12-02 06:29:00)
2024.2.3 with notified Maersk 1/31</t>
        </r>
      </text>
    </comment>
    <comment ref="V5" authorId="3">
      <text>
        <r>
          <rPr>
            <sz val="10"/>
            <rFont val="宋体"/>
            <charset val="134"/>
          </rPr>
          <t>======
ID#AAABZpqNdiE
tc={EEB74D88-F808-4155-9011-0142DAF8AA73}    (2024-12-02 06:29:00)
2024.2.6 with notification to Maersk 1/31</t>
        </r>
      </text>
    </comment>
    <comment ref="V6" authorId="4">
      <text>
        <r>
          <rPr>
            <sz val="10"/>
            <rFont val="宋体"/>
            <charset val="134"/>
          </rPr>
          <t>======
ID#AAABZplvq5s
tc={4F5BD3FE-6E49-4008-A3B4-18C1AC731BF5}    (2024-12-02 06:29:00)
2024.2.6 with notification to Maersk 1/31</t>
        </r>
      </text>
    </comment>
    <comment ref="V7" authorId="5">
      <text>
        <r>
          <rPr>
            <sz val="10"/>
            <rFont val="宋体"/>
            <charset val="134"/>
          </rPr>
          <t>======
ID#AAABZpqNdSg
tc={6BA602FC-D15F-421E-AD94-792C60D522C0}    (2024-12-02 06:29:00)
2024.2.6 with notification to Maersk 1/31</t>
        </r>
      </text>
    </comment>
    <comment ref="V8" authorId="6">
      <text>
        <r>
          <rPr>
            <sz val="10"/>
            <rFont val="宋体"/>
            <charset val="134"/>
          </rPr>
          <t>======
ID#AAABZpqNdsc
tc={FF80F419-7B5F-4D80-B341-02E8377D890A}    (2024-12-02 06:29:00)
2024.2.2 with notification to Maersk 1/31</t>
        </r>
      </text>
    </comment>
    <comment ref="V9" authorId="7">
      <text>
        <r>
          <rPr>
            <sz val="10"/>
            <rFont val="宋体"/>
            <charset val="134"/>
          </rPr>
          <t>======
ID#AAABZpqNdyY
tc={1909DA5A-7F27-409E-978B-9419EAAFCF5A}    (2024-12-02 06:29:00)
2024.2.7 with notified Maersk 2/4</t>
        </r>
      </text>
    </comment>
    <comment ref="W9" authorId="8">
      <text>
        <r>
          <rPr>
            <sz val="10"/>
            <rFont val="宋体"/>
            <charset val="134"/>
          </rPr>
          <t>======
ID#AAABZpqNdpk
tc={9579F3D4-321C-4AAD-9F54-149E630870F3}    (2024-12-02 06:29:00)
Released: 2024.1.23</t>
        </r>
      </text>
    </comment>
    <comment ref="V10" authorId="9">
      <text>
        <r>
          <rPr>
            <sz val="10"/>
            <rFont val="宋体"/>
            <charset val="134"/>
          </rPr>
          <t>======
ID#AAABZpqNdnE
tc={AD69F903-AA50-40E2-A53A-FE117BD1440E}    (2024-12-02 06:29:00)
2024.1.29</t>
        </r>
      </text>
    </comment>
    <comment ref="V11" authorId="10">
      <text>
        <r>
          <rPr>
            <sz val="10"/>
            <rFont val="宋体"/>
            <charset val="134"/>
          </rPr>
          <t>======
ID#AAABZpqNdcE
tc={37BE5A82-7FEC-4FFC-8FEF-2F49A9D649AF}    (2024-12-02 06:29:00)
2024.2.6</t>
        </r>
      </text>
    </comment>
    <comment ref="V12" authorId="11">
      <text>
        <r>
          <rPr>
            <sz val="10"/>
            <rFont val="宋体"/>
            <charset val="134"/>
          </rPr>
          <t>======
ID#AAABZpqNdgE
tc={625948D7-7E72-4446-8DFB-C937924E2976}    (2024-12-02 06:29:00)
2024.2.29</t>
        </r>
      </text>
    </comment>
    <comment ref="V13" authorId="12">
      <text>
        <r>
          <rPr>
            <sz val="10"/>
            <rFont val="宋体"/>
            <charset val="134"/>
          </rPr>
          <t>======
ID#AAABZplvq5M
tc={00EB4802-A9CB-4B1B-9D0E-218EFF58AB24}    (2024-12-02 06:29:00)
2024.2.28</t>
        </r>
      </text>
    </comment>
    <comment ref="V14" authorId="13">
      <text>
        <r>
          <rPr>
            <sz val="10"/>
            <rFont val="宋体"/>
            <charset val="134"/>
          </rPr>
          <t>======
ID#AAABZpkvQbE
tc={96E460D3-94C2-4E9C-9244-5B788129725C}    (2024-12-02 06:29:00)
2024.3.14 with notified Merask 3/11</t>
        </r>
      </text>
    </comment>
    <comment ref="Q15" authorId="14">
      <text>
        <r>
          <rPr>
            <sz val="10"/>
            <rFont val="宋体"/>
            <charset val="134"/>
          </rPr>
          <t>======
ID#AAABZpqNdPM
tc={87ECFDFC-3155-4A1E-91CC-F4E5540B9382}    (2024-12-02 06:29:00)
Arrival Notice wrongly sent to Maersk, 3/4 finnaly received the resent to Maersk and Mandy.</t>
        </r>
      </text>
    </comment>
    <comment ref="V15" authorId="15">
      <text>
        <r>
          <rPr>
            <sz val="10"/>
            <rFont val="宋体"/>
            <charset val="134"/>
          </rPr>
          <t>======
ID#AAABZpqNdgo
tc={C5CD9BEC-8D08-41E7-B377-6CA3B1F8C87A}    (2024-12-02 06:29:00)
2024.3.15 with notified Merask 3/11</t>
        </r>
      </text>
    </comment>
    <comment ref="Q16" authorId="16">
      <text>
        <r>
          <rPr>
            <sz val="10"/>
            <rFont val="宋体"/>
            <charset val="134"/>
          </rPr>
          <t>======
ID#AAABZpqNdnM
tc={FA64F972-9561-411E-B526-664B7706A895}    (2024-12-02 06:29:00)
Arrival Notice wrongly sent to Maersk, 3/4 finnaly received the resent to Maersk and Mandy.</t>
        </r>
      </text>
    </comment>
    <comment ref="V16" authorId="17">
      <text>
        <r>
          <rPr>
            <sz val="10"/>
            <rFont val="宋体"/>
            <charset val="134"/>
          </rPr>
          <t>======
ID#AAABZpqNdhg
tc={8CCABDF1-B43A-4890-ABB0-FF27218FE44F}    (2024-12-02 06:29:00)
2024.3.15 with notified Merask 3/11
Pick-up 3/12</t>
        </r>
      </text>
    </comment>
    <comment ref="V17" authorId="18">
      <text>
        <r>
          <rPr>
            <sz val="10"/>
            <rFont val="宋体"/>
            <charset val="134"/>
          </rPr>
          <t>======
ID#AAABZpqNdrs
tc={9453EAF1-4B5E-4405-B5C0-4CF9BFFEB2EB}    (2024-12-02 06:29:00)
2024.3.26</t>
        </r>
      </text>
    </comment>
    <comment ref="W17" authorId="19">
      <text>
        <r>
          <rPr>
            <sz val="10"/>
            <rFont val="宋体"/>
            <charset val="134"/>
          </rPr>
          <t>======
ID#AAABZpqNdmM
Administrator    (2024-12-02 06:29:00)
21天免柜</t>
        </r>
      </text>
    </comment>
    <comment ref="V18" authorId="20">
      <text>
        <r>
          <rPr>
            <sz val="10"/>
            <rFont val="宋体"/>
            <charset val="134"/>
          </rPr>
          <t>======
ID#AAABZpqNdn4
tc={E694227E-FC3E-4231-9660-D0F7CCF0BB45}    (2024-12-02 06:29:00)
2024.3.27</t>
        </r>
      </text>
    </comment>
    <comment ref="W18" authorId="21">
      <text>
        <r>
          <rPr>
            <sz val="10"/>
            <rFont val="宋体"/>
            <charset val="134"/>
          </rPr>
          <t>======
ID#AAABZpqNdvk
Administrator    (2024-12-02 06:29:00)
21天免柜</t>
        </r>
      </text>
    </comment>
    <comment ref="V19" authorId="22">
      <text>
        <r>
          <rPr>
            <sz val="10"/>
            <rFont val="宋体"/>
            <charset val="134"/>
          </rPr>
          <t>======
ID#AAABZpqNdMg
tc={595E31C4-9F41-43CB-A113-9C3143596F59}    (2024-12-02 06:29:00)
2024.3.27</t>
        </r>
      </text>
    </comment>
    <comment ref="W19" authorId="23">
      <text>
        <r>
          <rPr>
            <sz val="10"/>
            <rFont val="宋体"/>
            <charset val="134"/>
          </rPr>
          <t>======
ID#AAABZpqNdlA
Administrator    (2024-12-02 06:29:00)
21天免柜</t>
        </r>
      </text>
    </comment>
    <comment ref="V20" authorId="24">
      <text>
        <r>
          <rPr>
            <sz val="10"/>
            <rFont val="宋体"/>
            <charset val="134"/>
          </rPr>
          <t>======
ID#AAABZpqNdiw
tc={56CB9FC5-DF3D-4D8D-AEDF-62E9FFD6F6BE}    (2024-12-02 06:29:00)
2024.3.27</t>
        </r>
      </text>
    </comment>
    <comment ref="W20" authorId="25">
      <text>
        <r>
          <rPr>
            <sz val="10"/>
            <rFont val="宋体"/>
            <charset val="134"/>
          </rPr>
          <t>======
ID#AAABZpqNduY
Administrator    (2024-12-02 06:29:00)
21天免柜</t>
        </r>
      </text>
    </comment>
    <comment ref="V21" authorId="26">
      <text>
        <r>
          <rPr>
            <sz val="10"/>
            <rFont val="宋体"/>
            <charset val="134"/>
          </rPr>
          <t>======
ID#AAABZpqNdko
tc={571FBD19-D724-44C4-A550-24282BC7954B}    (2024-12-02 06:29:00)
2024.3.30</t>
        </r>
      </text>
    </comment>
    <comment ref="W21" authorId="27">
      <text>
        <r>
          <rPr>
            <sz val="10"/>
            <rFont val="宋体"/>
            <charset val="134"/>
          </rPr>
          <t>======
ID#AAABZpqNdyc
Administrator    (2024-12-02 06:29:00)
21天免柜</t>
        </r>
      </text>
    </comment>
    <comment ref="V22" authorId="28">
      <text>
        <r>
          <rPr>
            <sz val="10"/>
            <rFont val="宋体"/>
            <charset val="134"/>
          </rPr>
          <t>======
ID#AAABZpqNdOo
tc={7BE07DF7-6137-489C-9D84-3206DF4575C6}    (2024-12-02 06:29:00)
2024.3.28</t>
        </r>
      </text>
    </comment>
    <comment ref="W22" authorId="29">
      <text>
        <r>
          <rPr>
            <sz val="10"/>
            <rFont val="宋体"/>
            <charset val="134"/>
          </rPr>
          <t>======
ID#AAABZpqNdQE
Administrator    (2024-12-02 06:29:00)
21天免柜</t>
        </r>
      </text>
    </comment>
    <comment ref="V23" authorId="30">
      <text>
        <r>
          <rPr>
            <sz val="10"/>
            <rFont val="宋体"/>
            <charset val="134"/>
          </rPr>
          <t>======
ID#AAABZpqNddU
tc={4C14B64B-B1B1-4432-9EA9-BCE124194146}    (2024-12-02 06:29:00)
2024.4.3</t>
        </r>
      </text>
    </comment>
    <comment ref="W23" authorId="31">
      <text>
        <r>
          <rPr>
            <sz val="10"/>
            <rFont val="宋体"/>
            <charset val="134"/>
          </rPr>
          <t>======
ID#AAABZpqNdv0
Administrator    (2024-12-02 06:29:00)
21天免柜</t>
        </r>
      </text>
    </comment>
    <comment ref="V24" authorId="32">
      <text>
        <r>
          <rPr>
            <sz val="10"/>
            <rFont val="宋体"/>
            <charset val="134"/>
          </rPr>
          <t>======
ID#AAABZpqNdS8
tc={2EBE7AB8-0284-414B-82BA-2830CF5E2C90}    (2024-12-02 06:29:00)
2024.4.3</t>
        </r>
      </text>
    </comment>
    <comment ref="W24" authorId="33">
      <text>
        <r>
          <rPr>
            <sz val="10"/>
            <rFont val="宋体"/>
            <charset val="134"/>
          </rPr>
          <t>======
ID#AAABZpqNdOQ
Administrator    (2024-12-02 06:29:00)
21天免柜</t>
        </r>
      </text>
    </comment>
    <comment ref="V25" authorId="34">
      <text>
        <r>
          <rPr>
            <sz val="10"/>
            <rFont val="宋体"/>
            <charset val="134"/>
          </rPr>
          <t>======
ID#AAABZpqNdqo
Administrator    (2024-12-02 06:29:00)
4/4</t>
        </r>
      </text>
    </comment>
    <comment ref="W25" authorId="35">
      <text>
        <r>
          <rPr>
            <sz val="10"/>
            <rFont val="宋体"/>
            <charset val="134"/>
          </rPr>
          <t>======
ID#AAABZpqNdO8
Administrator    (2024-12-02 06:29:00)
21天免柜</t>
        </r>
      </text>
    </comment>
    <comment ref="V26" authorId="36">
      <text>
        <r>
          <rPr>
            <sz val="10"/>
            <rFont val="宋体"/>
            <charset val="134"/>
          </rPr>
          <t>======
ID#AAABZplvq60
tc={8956F98A-25CC-4D3B-B3CC-7F1E82A29056}    (2024-12-02 06:29:00)
2024.4.3</t>
        </r>
      </text>
    </comment>
    <comment ref="W26" authorId="37">
      <text>
        <r>
          <rPr>
            <sz val="10"/>
            <rFont val="宋体"/>
            <charset val="134"/>
          </rPr>
          <t>======
ID#AAABZpqNdZk
Administrator    (2024-12-02 06:29:00)
21天免柜</t>
        </r>
      </text>
    </comment>
    <comment ref="V27" authorId="38">
      <text>
        <r>
          <rPr>
            <sz val="10"/>
            <rFont val="宋体"/>
            <charset val="134"/>
          </rPr>
          <t>======
ID#AAABZpqNdYk
tc={A503F61C-ABC6-4CF6-96D8-7D2D49CB7CE0}    (2024-12-02 06:29:00)
2024.4.3</t>
        </r>
      </text>
    </comment>
    <comment ref="W27" authorId="39">
      <text>
        <r>
          <rPr>
            <sz val="10"/>
            <rFont val="宋体"/>
            <charset val="134"/>
          </rPr>
          <t>======
ID#AAABZpqNdys
Administrator    (2024-12-02 06:29:00)
21天免柜</t>
        </r>
      </text>
    </comment>
    <comment ref="V28" authorId="40">
      <text>
        <r>
          <rPr>
            <sz val="10"/>
            <rFont val="宋体"/>
            <charset val="134"/>
          </rPr>
          <t>======
ID#AAABZpqNdPY
Administrator    (2024-12-02 06:29:00)
4/4</t>
        </r>
      </text>
    </comment>
    <comment ref="W28" authorId="41">
      <text>
        <r>
          <rPr>
            <sz val="10"/>
            <rFont val="宋体"/>
            <charset val="134"/>
          </rPr>
          <t>======
ID#AAABZpqNdRA
Administrator    (2024-12-02 06:29:00)
21天免柜</t>
        </r>
      </text>
    </comment>
    <comment ref="V29" authorId="42">
      <text>
        <r>
          <rPr>
            <sz val="10"/>
            <rFont val="宋体"/>
            <charset val="134"/>
          </rPr>
          <t>======
ID#AAABZpqNdbI
Administrator    (2024-12-02 06:29:00)
4/5</t>
        </r>
      </text>
    </comment>
    <comment ref="W29" authorId="43">
      <text>
        <r>
          <rPr>
            <sz val="10"/>
            <rFont val="宋体"/>
            <charset val="134"/>
          </rPr>
          <t>======
ID#AAABZpqNdVk
Administrator    (2024-12-02 06:29:00)
21天免柜</t>
        </r>
      </text>
    </comment>
    <comment ref="V30" authorId="44">
      <text>
        <r>
          <rPr>
            <sz val="10"/>
            <rFont val="宋体"/>
            <charset val="134"/>
          </rPr>
          <t>======
ID#AAABZpqNdm0
Administrator    (2024-12-02 06:29:00)
4/5</t>
        </r>
      </text>
    </comment>
    <comment ref="W30" authorId="45">
      <text>
        <r>
          <rPr>
            <sz val="10"/>
            <rFont val="宋体"/>
            <charset val="134"/>
          </rPr>
          <t>======
ID#AAABZpqNdj8
Administrator    (2024-12-02 06:29:00)
21天免柜</t>
        </r>
      </text>
    </comment>
    <comment ref="V31" authorId="46">
      <text>
        <r>
          <rPr>
            <sz val="10"/>
            <rFont val="宋体"/>
            <charset val="134"/>
          </rPr>
          <t>======
ID#AAABZpqNdQ0
Administrator    (2024-12-02 06:29:00)
4/10</t>
        </r>
      </text>
    </comment>
    <comment ref="W31" authorId="47">
      <text>
        <r>
          <rPr>
            <sz val="10"/>
            <rFont val="宋体"/>
            <charset val="134"/>
          </rPr>
          <t>======
ID#AAABZpqNdLk
Administrator    (2024-12-02 06:29:00)
21天免柜</t>
        </r>
      </text>
    </comment>
    <comment ref="V32" authorId="48">
      <text>
        <r>
          <rPr>
            <sz val="10"/>
            <rFont val="宋体"/>
            <charset val="134"/>
          </rPr>
          <t>======
ID#AAABZpqNdvs
Administrator    (2024-12-02 06:29:00)
4/9</t>
        </r>
      </text>
    </comment>
    <comment ref="W32" authorId="49">
      <text>
        <r>
          <rPr>
            <sz val="10"/>
            <rFont val="宋体"/>
            <charset val="134"/>
          </rPr>
          <t>======
ID#AAABZpqNdoo
Administrator    (2024-12-02 06:29:00)
21天免柜</t>
        </r>
      </text>
    </comment>
    <comment ref="V33" authorId="50">
      <text>
        <r>
          <rPr>
            <sz val="10"/>
            <rFont val="宋体"/>
            <charset val="134"/>
          </rPr>
          <t>======
ID#AAABZpqNdsM
Administrator    (2024-12-02 06:29:00)
4/8</t>
        </r>
      </text>
    </comment>
    <comment ref="W33" authorId="51">
      <text>
        <r>
          <rPr>
            <sz val="10"/>
            <rFont val="宋体"/>
            <charset val="134"/>
          </rPr>
          <t>======
ID#AAABZpqNdnU
Administrator    (2024-12-02 06:29:00)
21天免柜</t>
        </r>
      </text>
    </comment>
    <comment ref="V34" authorId="52">
      <text>
        <r>
          <rPr>
            <sz val="10"/>
            <rFont val="宋体"/>
            <charset val="134"/>
          </rPr>
          <t>======
ID#AAABZpqNd08
Administrator    (2024-12-02 06:29:00)
4/9</t>
        </r>
      </text>
    </comment>
    <comment ref="W34" authorId="53">
      <text>
        <r>
          <rPr>
            <sz val="10"/>
            <rFont val="宋体"/>
            <charset val="134"/>
          </rPr>
          <t>======
ID#AAABZpqNd3I
Administrator    (2024-12-02 06:29:00)
21天免柜</t>
        </r>
      </text>
    </comment>
    <comment ref="V35" authorId="54">
      <text>
        <r>
          <rPr>
            <sz val="10"/>
            <rFont val="宋体"/>
            <charset val="134"/>
          </rPr>
          <t>======
ID#AAABZpqNd3Y
Administrator    (2024-12-02 06:29:00)
4/10</t>
        </r>
      </text>
    </comment>
    <comment ref="W35" authorId="55">
      <text>
        <r>
          <rPr>
            <sz val="10"/>
            <rFont val="宋体"/>
            <charset val="134"/>
          </rPr>
          <t>======
ID#AAABZpqNdTY
Administrator    (2024-12-02 06:29:00)
21天免柜</t>
        </r>
      </text>
    </comment>
    <comment ref="V36" authorId="56">
      <text>
        <r>
          <rPr>
            <sz val="10"/>
            <rFont val="宋体"/>
            <charset val="134"/>
          </rPr>
          <t>======
ID#AAABZpqNdqE
Administrator    (2024-12-02 06:29:00)
4/10</t>
        </r>
      </text>
    </comment>
    <comment ref="W36" authorId="57">
      <text>
        <r>
          <rPr>
            <sz val="10"/>
            <rFont val="宋体"/>
            <charset val="134"/>
          </rPr>
          <t>======
ID#AAABZpqNdmo
Administrator    (2024-12-02 06:29:00)
21天免柜</t>
        </r>
      </text>
    </comment>
    <comment ref="V37" authorId="58">
      <text>
        <r>
          <rPr>
            <sz val="10"/>
            <rFont val="宋体"/>
            <charset val="134"/>
          </rPr>
          <t>======
ID#AAABZpqNdq0
Administrator    (2024-12-02 06:29:00)
4/9</t>
        </r>
      </text>
    </comment>
    <comment ref="W37" authorId="59">
      <text>
        <r>
          <rPr>
            <sz val="10"/>
            <rFont val="宋体"/>
            <charset val="134"/>
          </rPr>
          <t>======
ID#AAABZpqNd1g
Administrator    (2024-12-02 06:29:00)
21天免柜</t>
        </r>
      </text>
    </comment>
    <comment ref="V38" authorId="60">
      <text>
        <r>
          <rPr>
            <sz val="10"/>
            <rFont val="宋体"/>
            <charset val="134"/>
          </rPr>
          <t>======
ID#AAABZpqNduI
Administrator    (2024-12-02 06:29:00)
4/10</t>
        </r>
      </text>
    </comment>
    <comment ref="W38" authorId="61">
      <text>
        <r>
          <rPr>
            <sz val="10"/>
            <rFont val="宋体"/>
            <charset val="134"/>
          </rPr>
          <t>======
ID#AAABZpqNdkU
Administrator    (2024-12-02 06:29:00)
21天免柜</t>
        </r>
      </text>
    </comment>
    <comment ref="V39" authorId="62">
      <text>
        <r>
          <rPr>
            <sz val="10"/>
            <rFont val="宋体"/>
            <charset val="134"/>
          </rPr>
          <t>======
ID#AAABZpqNdUM
Administrator    (2024-12-02 06:29:00)
4/10</t>
        </r>
      </text>
    </comment>
    <comment ref="W39" authorId="63">
      <text>
        <r>
          <rPr>
            <sz val="10"/>
            <rFont val="宋体"/>
            <charset val="134"/>
          </rPr>
          <t>======
ID#AAABZpqNdsQ
Administrator    (2024-12-02 06:29:00)
21天免柜</t>
        </r>
      </text>
    </comment>
    <comment ref="V40" authorId="64">
      <text>
        <r>
          <rPr>
            <sz val="10"/>
            <rFont val="宋体"/>
            <charset val="134"/>
          </rPr>
          <t>======
ID#AAABZpqNdMw
Administrator    (2024-12-02 06:29:00)
4/17</t>
        </r>
      </text>
    </comment>
    <comment ref="W40" authorId="65">
      <text>
        <r>
          <rPr>
            <sz val="10"/>
            <rFont val="宋体"/>
            <charset val="134"/>
          </rPr>
          <t>======
ID#AAABZpqNdP8
Administrator    (2024-12-02 06:29:00)
21天免柜</t>
        </r>
      </text>
    </comment>
    <comment ref="V41" authorId="66">
      <text>
        <r>
          <rPr>
            <sz val="10"/>
            <rFont val="宋体"/>
            <charset val="134"/>
          </rPr>
          <t>======
ID#AAABZpqNdLs
Administrator    (2024-12-02 06:29:00)
4/16</t>
        </r>
      </text>
    </comment>
    <comment ref="W41" authorId="67">
      <text>
        <r>
          <rPr>
            <sz val="10"/>
            <rFont val="宋体"/>
            <charset val="134"/>
          </rPr>
          <t>======
ID#AAABZpqNdK8
Administrator    (2024-12-02 06:29:00)
21天免柜</t>
        </r>
      </text>
    </comment>
    <comment ref="V42" authorId="68">
      <text>
        <r>
          <rPr>
            <sz val="10"/>
            <rFont val="宋体"/>
            <charset val="134"/>
          </rPr>
          <t>======
ID#AAABZplvq3U
Administrator    (2024-12-02 06:29:00)
4/18</t>
        </r>
      </text>
    </comment>
    <comment ref="W42" authorId="69">
      <text>
        <r>
          <rPr>
            <sz val="10"/>
            <rFont val="宋体"/>
            <charset val="134"/>
          </rPr>
          <t>======
ID#AAABZpqNdc0
Administrator    (2024-12-02 06:29:00)
21天免柜</t>
        </r>
      </text>
    </comment>
    <comment ref="V43" authorId="70">
      <text>
        <r>
          <rPr>
            <sz val="10"/>
            <rFont val="宋体"/>
            <charset val="134"/>
          </rPr>
          <t>======
ID#AAABZpqNdao
Administrator    (2024-12-02 06:29:00)
4/19</t>
        </r>
      </text>
    </comment>
    <comment ref="W43" authorId="71">
      <text>
        <r>
          <rPr>
            <sz val="10"/>
            <rFont val="宋体"/>
            <charset val="134"/>
          </rPr>
          <t>======
ID#AAABZpqNdLg
Administrator    (2024-12-02 06:29:00)
21天免柜</t>
        </r>
      </text>
    </comment>
    <comment ref="V44" authorId="72">
      <text>
        <r>
          <rPr>
            <sz val="10"/>
            <rFont val="宋体"/>
            <charset val="134"/>
          </rPr>
          <t>======
ID#AAABZpqNdwA
Administrator    (2024-12-02 06:29:00)
4/18</t>
        </r>
      </text>
    </comment>
    <comment ref="W44" authorId="73">
      <text>
        <r>
          <rPr>
            <sz val="10"/>
            <rFont val="宋体"/>
            <charset val="134"/>
          </rPr>
          <t>======
ID#AAABZpqNdjQ
Administrator    (2024-12-02 06:29:00)
21天免柜</t>
        </r>
      </text>
    </comment>
    <comment ref="V45" authorId="74">
      <text>
        <r>
          <rPr>
            <sz val="10"/>
            <rFont val="宋体"/>
            <charset val="134"/>
          </rPr>
          <t>======
ID#AAABZpqNdcA
Administrator    (2024-12-02 06:29:00)
4/26</t>
        </r>
      </text>
    </comment>
    <comment ref="W45" authorId="75">
      <text>
        <r>
          <rPr>
            <sz val="10"/>
            <rFont val="宋体"/>
            <charset val="134"/>
          </rPr>
          <t>======
ID#AAABZpqNd3o
Administrator    (2024-12-02 06:29:00)
21天免柜</t>
        </r>
      </text>
    </comment>
    <comment ref="V46" authorId="76">
      <text>
        <r>
          <rPr>
            <sz val="10"/>
            <rFont val="宋体"/>
            <charset val="134"/>
          </rPr>
          <t>======
ID#AAABZpqNdwU
Administrator    (2024-12-02 06:29:00)
4/26</t>
        </r>
      </text>
    </comment>
    <comment ref="W46" authorId="77">
      <text>
        <r>
          <rPr>
            <sz val="10"/>
            <rFont val="宋体"/>
            <charset val="134"/>
          </rPr>
          <t>======
ID#AAABZpqNdLw
Administrator    (2024-12-02 06:29:00)
21天免柜</t>
        </r>
      </text>
    </comment>
    <comment ref="V47" authorId="78">
      <text>
        <r>
          <rPr>
            <sz val="10"/>
            <rFont val="宋体"/>
            <charset val="134"/>
          </rPr>
          <t>======
ID#AAABZpqNd1Y
Administrator    (2024-12-02 06:29:00)
4/24</t>
        </r>
      </text>
    </comment>
    <comment ref="W47" authorId="79">
      <text>
        <r>
          <rPr>
            <sz val="10"/>
            <rFont val="宋体"/>
            <charset val="134"/>
          </rPr>
          <t>======
ID#AAABZplvq6g
Administrator    (2024-12-02 06:29:00)
21天免柜</t>
        </r>
      </text>
    </comment>
    <comment ref="V48" authorId="80">
      <text>
        <r>
          <rPr>
            <sz val="10"/>
            <rFont val="宋体"/>
            <charset val="134"/>
          </rPr>
          <t>======
ID#AAABZpqNd10
Administrator    (2024-12-02 06:29:00)
4/26</t>
        </r>
      </text>
    </comment>
    <comment ref="W48" authorId="81">
      <text>
        <r>
          <rPr>
            <sz val="10"/>
            <rFont val="宋体"/>
            <charset val="134"/>
          </rPr>
          <t>======
ID#AAABZpqNdXQ
Administrator    (2024-12-02 06:29:00)
21天免柜</t>
        </r>
      </text>
    </comment>
    <comment ref="V49" authorId="82">
      <text>
        <r>
          <rPr>
            <sz val="10"/>
            <rFont val="宋体"/>
            <charset val="134"/>
          </rPr>
          <t>======
ID#AAABZpqNdtE
Administrator    (2024-12-02 06:29:00)
4/30</t>
        </r>
      </text>
    </comment>
    <comment ref="V50" authorId="83">
      <text>
        <r>
          <rPr>
            <sz val="10"/>
            <rFont val="宋体"/>
            <charset val="134"/>
          </rPr>
          <t>======
ID#AAABZpqNdZw
Administrator    (2024-12-02 06:29:00)
5/3</t>
        </r>
      </text>
    </comment>
    <comment ref="W50" authorId="84">
      <text>
        <r>
          <rPr>
            <sz val="10"/>
            <rFont val="宋体"/>
            <charset val="134"/>
          </rPr>
          <t>======
ID#AAABZpqNdwo
Administrator    (2024-12-02 06:29:00)
21天免柜</t>
        </r>
      </text>
    </comment>
    <comment ref="V51" authorId="85">
      <text>
        <r>
          <rPr>
            <sz val="10"/>
            <rFont val="宋体"/>
            <charset val="134"/>
          </rPr>
          <t>======
ID#AAABZpqNdbc
Administrator    (2024-12-02 06:29:00)
5/3</t>
        </r>
      </text>
    </comment>
    <comment ref="W51" authorId="86">
      <text>
        <r>
          <rPr>
            <sz val="10"/>
            <rFont val="宋体"/>
            <charset val="134"/>
          </rPr>
          <t>======
ID#AAABZpqNdcY
Administrator    (2024-12-02 06:29:00)
21天免柜</t>
        </r>
      </text>
    </comment>
    <comment ref="V52" authorId="87">
      <text>
        <r>
          <rPr>
            <sz val="10"/>
            <rFont val="宋体"/>
            <charset val="134"/>
          </rPr>
          <t>======
ID#AAABZpqNdyM
Administrator    (2024-12-02 06:29:00)
5/3</t>
        </r>
      </text>
    </comment>
    <comment ref="V53" authorId="88">
      <text>
        <r>
          <rPr>
            <sz val="10"/>
            <rFont val="宋体"/>
            <charset val="134"/>
          </rPr>
          <t>======
ID#AAABZpqNdpo
Administrator    (2024-12-02 06:29:00)
5/7</t>
        </r>
      </text>
    </comment>
    <comment ref="V54" authorId="89">
      <text>
        <r>
          <rPr>
            <sz val="10"/>
            <rFont val="宋体"/>
            <charset val="134"/>
          </rPr>
          <t>======
ID#AAABZpqNd0U
Administrator    (2024-12-02 06:29:00)
5/10</t>
        </r>
      </text>
    </comment>
    <comment ref="V55" authorId="90">
      <text>
        <r>
          <rPr>
            <sz val="10"/>
            <rFont val="宋体"/>
            <charset val="134"/>
          </rPr>
          <t>======
ID#AAABZpqNdJc
Administrator    (2024-12-02 06:29:00)
5/6</t>
        </r>
      </text>
    </comment>
    <comment ref="W55" authorId="91">
      <text>
        <r>
          <rPr>
            <sz val="10"/>
            <rFont val="宋体"/>
            <charset val="134"/>
          </rPr>
          <t>======
ID#AAABZplvq44
Administrator    (2024-12-02 06:29:00)
21天免柜</t>
        </r>
      </text>
    </comment>
    <comment ref="V56" authorId="92">
      <text>
        <r>
          <rPr>
            <sz val="10"/>
            <rFont val="宋体"/>
            <charset val="134"/>
          </rPr>
          <t>======
ID#AAABZpqNdKw
Administrator    (2024-12-02 06:29:00)
5/6</t>
        </r>
      </text>
    </comment>
    <comment ref="W56" authorId="93">
      <text>
        <r>
          <rPr>
            <sz val="10"/>
            <rFont val="宋体"/>
            <charset val="134"/>
          </rPr>
          <t>======
ID#AAABZpqNdvY
Administrator    (2024-12-02 06:29:00)
21天免柜</t>
        </r>
      </text>
    </comment>
    <comment ref="V57" authorId="94">
      <text>
        <r>
          <rPr>
            <sz val="10"/>
            <rFont val="宋体"/>
            <charset val="134"/>
          </rPr>
          <t>======
ID#AAABZpqNdM8
Administrator    (2024-12-02 06:29:00)
5/6</t>
        </r>
      </text>
    </comment>
    <comment ref="W57" authorId="95">
      <text>
        <r>
          <rPr>
            <sz val="10"/>
            <rFont val="宋体"/>
            <charset val="134"/>
          </rPr>
          <t>======
ID#AAABZpqNdQ4
Administrator    (2024-12-02 06:29:00)
21天免柜</t>
        </r>
      </text>
    </comment>
    <comment ref="V58" authorId="96">
      <text>
        <r>
          <rPr>
            <sz val="10"/>
            <rFont val="宋体"/>
            <charset val="134"/>
          </rPr>
          <t>======
ID#AAABZpqNdVo
Administrator    (2024-12-02 06:29:00)
5/6</t>
        </r>
      </text>
    </comment>
    <comment ref="W58" authorId="97">
      <text>
        <r>
          <rPr>
            <sz val="10"/>
            <rFont val="宋体"/>
            <charset val="134"/>
          </rPr>
          <t>======
ID#AAABZpqNdnw
Administrator    (2024-12-02 06:29:00)
21天免柜</t>
        </r>
      </text>
    </comment>
    <comment ref="V59" authorId="98">
      <text>
        <r>
          <rPr>
            <sz val="10"/>
            <rFont val="宋体"/>
            <charset val="134"/>
          </rPr>
          <t>======
ID#AAABZpqNdJI
Administrator    (2024-12-02 06:29:00)
5/7</t>
        </r>
      </text>
    </comment>
    <comment ref="V60" authorId="99">
      <text>
        <r>
          <rPr>
            <sz val="10"/>
            <rFont val="宋体"/>
            <charset val="134"/>
          </rPr>
          <t>======
ID#AAABZpqNdS4
Administrator    (2024-12-02 06:29:00)
5/9</t>
        </r>
      </text>
    </comment>
    <comment ref="V61" authorId="100">
      <text>
        <r>
          <rPr>
            <sz val="10"/>
            <rFont val="宋体"/>
            <charset val="134"/>
          </rPr>
          <t>======
ID#AAABZplvq4M
Administrator    (2024-12-02 06:29:00)
5/9</t>
        </r>
      </text>
    </comment>
    <comment ref="W61" authorId="101">
      <text>
        <r>
          <rPr>
            <sz val="10"/>
            <rFont val="宋体"/>
            <charset val="134"/>
          </rPr>
          <t>======
ID#AAABZpqNdYA
Administrator    (2024-12-02 06:29:00)
21天免柜</t>
        </r>
      </text>
    </comment>
    <comment ref="V62" authorId="102">
      <text>
        <r>
          <rPr>
            <sz val="10"/>
            <rFont val="宋体"/>
            <charset val="134"/>
          </rPr>
          <t>======
ID#AAABZpqNdRY
Administrator    (2024-12-02 06:29:00)
5/9</t>
        </r>
      </text>
    </comment>
    <comment ref="W62" authorId="103">
      <text>
        <r>
          <rPr>
            <sz val="10"/>
            <rFont val="宋体"/>
            <charset val="134"/>
          </rPr>
          <t>======
ID#AAABZpqNdYc
Administrator    (2024-12-02 06:29:00)
21天免柜</t>
        </r>
      </text>
    </comment>
    <comment ref="V63" authorId="104">
      <text>
        <r>
          <rPr>
            <sz val="10"/>
            <rFont val="宋体"/>
            <charset val="134"/>
          </rPr>
          <t>======
ID#AAABZpqNdWI
Administrator    (2024-12-02 06:29:00)
5/20</t>
        </r>
      </text>
    </comment>
    <comment ref="W63" authorId="105">
      <text>
        <r>
          <rPr>
            <sz val="10"/>
            <rFont val="宋体"/>
            <charset val="134"/>
          </rPr>
          <t>======
ID#AAABZpqNdik
Administrator    (2024-12-02 06:29:00)
21天免柜</t>
        </r>
      </text>
    </comment>
    <comment ref="V64" authorId="106">
      <text>
        <r>
          <rPr>
            <sz val="10"/>
            <rFont val="宋体"/>
            <charset val="134"/>
          </rPr>
          <t>======
ID#AAABZpqNdLY
Administrator    (2024-12-02 06:29:00)
5/15</t>
        </r>
      </text>
    </comment>
    <comment ref="W64" authorId="107">
      <text>
        <r>
          <rPr>
            <sz val="10"/>
            <rFont val="宋体"/>
            <charset val="134"/>
          </rPr>
          <t>======
ID#AAABZplvq3I
Administrator    (2024-12-02 06:29:00)
21天免柜</t>
        </r>
      </text>
    </comment>
    <comment ref="V65" authorId="108">
      <text>
        <r>
          <rPr>
            <sz val="10"/>
            <rFont val="宋体"/>
            <charset val="134"/>
          </rPr>
          <t>======
ID#AAABZpqNduM
Administrator    (2024-12-02 06:29:00)
5/23</t>
        </r>
      </text>
    </comment>
    <comment ref="V66" authorId="109">
      <text>
        <r>
          <rPr>
            <sz val="10"/>
            <rFont val="宋体"/>
            <charset val="134"/>
          </rPr>
          <t>======
ID#AAABZpqNdZ0
Administrator    (2024-12-02 06:29:00)
5/21</t>
        </r>
      </text>
    </comment>
    <comment ref="V67" authorId="110">
      <text>
        <r>
          <rPr>
            <sz val="10"/>
            <rFont val="宋体"/>
            <charset val="134"/>
          </rPr>
          <t>======
ID#AAABZpqNdyg
Administrator    (2024-12-02 06:29:00)
5/28</t>
        </r>
      </text>
    </comment>
    <comment ref="V68" authorId="111">
      <text>
        <r>
          <rPr>
            <sz val="10"/>
            <rFont val="宋体"/>
            <charset val="134"/>
          </rPr>
          <t>======
ID#AAABZpqNdis
Administrator    (2024-12-02 06:29:00)
5/22</t>
        </r>
      </text>
    </comment>
    <comment ref="W68" authorId="112">
      <text>
        <r>
          <rPr>
            <sz val="10"/>
            <rFont val="宋体"/>
            <charset val="134"/>
          </rPr>
          <t>======
ID#AAABZpqNdMo
Administrator    (2024-12-02 06:29:00)
21天免柜</t>
        </r>
      </text>
    </comment>
    <comment ref="V69" authorId="113">
      <text>
        <r>
          <rPr>
            <sz val="10"/>
            <rFont val="宋体"/>
            <charset val="134"/>
          </rPr>
          <t>======
ID#AAABZpqNdSQ
Administrator    (2024-12-02 06:29:00)
5/28</t>
        </r>
      </text>
    </comment>
    <comment ref="V70" authorId="114">
      <text>
        <r>
          <rPr>
            <sz val="10"/>
            <rFont val="宋体"/>
            <charset val="134"/>
          </rPr>
          <t>======
ID#AAABZpqNd0c
Administrator    (2024-12-02 06:29:00)
5/21</t>
        </r>
      </text>
    </comment>
    <comment ref="V71" authorId="115">
      <text>
        <r>
          <rPr>
            <sz val="10"/>
            <rFont val="宋体"/>
            <charset val="134"/>
          </rPr>
          <t>======
ID#AAABZpqNdWo
Administrator    (2024-12-02 06:29:00)
5/28</t>
        </r>
      </text>
    </comment>
    <comment ref="V72" authorId="116">
      <text>
        <r>
          <rPr>
            <sz val="10"/>
            <rFont val="宋体"/>
            <charset val="134"/>
          </rPr>
          <t>======
ID#AAABZpqNdwQ
Administrator    (2024-12-02 06:29:00)
5/28</t>
        </r>
      </text>
    </comment>
    <comment ref="V73" authorId="117">
      <text>
        <r>
          <rPr>
            <sz val="10"/>
            <rFont val="宋体"/>
            <charset val="134"/>
          </rPr>
          <t>======
ID#AAABZpqNdLo
Administrator    (2024-12-02 06:29:00)
6/4</t>
        </r>
      </text>
    </comment>
    <comment ref="W73" authorId="118">
      <text>
        <r>
          <rPr>
            <sz val="10"/>
            <rFont val="宋体"/>
            <charset val="134"/>
          </rPr>
          <t>======
ID#AAABZpqNdg4
Administrator    (2024-12-02 06:29:00)
21天免柜</t>
        </r>
      </text>
    </comment>
    <comment ref="V74" authorId="119">
      <text>
        <r>
          <rPr>
            <sz val="10"/>
            <rFont val="宋体"/>
            <charset val="134"/>
          </rPr>
          <t>======
ID#AAABZpkvQbQ
Administrator    (2024-12-02 06:29:00)
6/4</t>
        </r>
      </text>
    </comment>
    <comment ref="W74" authorId="120">
      <text>
        <r>
          <rPr>
            <sz val="10"/>
            <rFont val="宋体"/>
            <charset val="134"/>
          </rPr>
          <t>======
ID#AAABZpqNdNA
Administrator    (2024-12-02 06:29:00)
21天免柜</t>
        </r>
      </text>
    </comment>
    <comment ref="V75" authorId="121">
      <text>
        <r>
          <rPr>
            <sz val="10"/>
            <rFont val="宋体"/>
            <charset val="134"/>
          </rPr>
          <t>======
ID#AAABZpqNdW4
Administrator    (2024-12-02 06:29:00)
6/7</t>
        </r>
      </text>
    </comment>
    <comment ref="W75" authorId="122">
      <text>
        <r>
          <rPr>
            <sz val="10"/>
            <rFont val="宋体"/>
            <charset val="134"/>
          </rPr>
          <t>======
ID#AAABZpqNdog
Administrator    (2024-12-02 06:29:00)
21天免柜</t>
        </r>
      </text>
    </comment>
    <comment ref="V76" authorId="123">
      <text>
        <r>
          <rPr>
            <sz val="10"/>
            <rFont val="宋体"/>
            <charset val="134"/>
          </rPr>
          <t>======
ID#AAABZpqNdg8
Administrator    (2024-12-02 06:29:00)
6/11</t>
        </r>
      </text>
    </comment>
    <comment ref="W76" authorId="124">
      <text>
        <r>
          <rPr>
            <sz val="10"/>
            <rFont val="宋体"/>
            <charset val="134"/>
          </rPr>
          <t>======
ID#AAABZpqNdUE
Administrator    (2024-12-02 06:29:00)
21天免柜</t>
        </r>
      </text>
    </comment>
    <comment ref="V77" authorId="125">
      <text>
        <r>
          <rPr>
            <sz val="10"/>
            <rFont val="宋体"/>
            <charset val="134"/>
          </rPr>
          <t>======
ID#AAABZpqNdk0
Administrator    (2024-12-02 06:29:00)
6/10</t>
        </r>
      </text>
    </comment>
    <comment ref="W77" authorId="126">
      <text>
        <r>
          <rPr>
            <sz val="10"/>
            <rFont val="宋体"/>
            <charset val="134"/>
          </rPr>
          <t>======
ID#AAABZpqNdRc
Administrator    (2024-12-02 06:29:00)
21天免柜</t>
        </r>
      </text>
    </comment>
    <comment ref="V78" authorId="127">
      <text>
        <r>
          <rPr>
            <sz val="10"/>
            <rFont val="宋体"/>
            <charset val="134"/>
          </rPr>
          <t>======
ID#AAABZpqNdMk
Administrator    (2024-12-02 06:29:00)
6/11</t>
        </r>
      </text>
    </comment>
    <comment ref="V79" authorId="128">
      <text>
        <r>
          <rPr>
            <sz val="10"/>
            <rFont val="宋体"/>
            <charset val="134"/>
          </rPr>
          <t>======
ID#AAABZplvq4w
Administrator    (2024-12-02 06:29:00)
6/6</t>
        </r>
      </text>
    </comment>
    <comment ref="W79" authorId="129">
      <text>
        <r>
          <rPr>
            <sz val="10"/>
            <rFont val="宋体"/>
            <charset val="134"/>
          </rPr>
          <t>======
ID#AAABZpqNdok
Administrator    (2024-12-02 06:29:00)
21天免柜</t>
        </r>
      </text>
    </comment>
    <comment ref="V80" authorId="130">
      <text>
        <r>
          <rPr>
            <sz val="10"/>
            <rFont val="宋体"/>
            <charset val="134"/>
          </rPr>
          <t>======
ID#AAABZpqNdLQ
Administrator    (2024-12-02 06:29:00)
6/6</t>
        </r>
      </text>
    </comment>
    <comment ref="W80" authorId="131">
      <text>
        <r>
          <rPr>
            <sz val="10"/>
            <rFont val="宋体"/>
            <charset val="134"/>
          </rPr>
          <t>======
ID#AAABZpqNdKI
Administrator    (2024-12-02 06:29:00)
21天免柜</t>
        </r>
      </text>
    </comment>
    <comment ref="V81" authorId="132">
      <text>
        <r>
          <rPr>
            <sz val="10"/>
            <rFont val="宋体"/>
            <charset val="134"/>
          </rPr>
          <t>======
ID#AAABZpkh7V8
Administrator    (2024-12-02 06:29:00)
6/11</t>
        </r>
      </text>
    </comment>
    <comment ref="W81" authorId="133">
      <text>
        <r>
          <rPr>
            <sz val="10"/>
            <rFont val="宋体"/>
            <charset val="134"/>
          </rPr>
          <t>======
ID#AAABZplvq6w
Administrator    (2024-12-02 06:29:00)
21天免柜</t>
        </r>
      </text>
    </comment>
    <comment ref="V82" authorId="134">
      <text>
        <r>
          <rPr>
            <sz val="10"/>
            <rFont val="宋体"/>
            <charset val="134"/>
          </rPr>
          <t>======
ID#AAABZpqNdUo
Administrator    (2024-12-02 06:29:00)
6/6</t>
        </r>
      </text>
    </comment>
    <comment ref="W82" authorId="135">
      <text>
        <r>
          <rPr>
            <sz val="10"/>
            <rFont val="宋体"/>
            <charset val="134"/>
          </rPr>
          <t>======
ID#AAABZpqNdKM
Administrator    (2024-12-02 06:29:00)
21天免柜</t>
        </r>
      </text>
    </comment>
    <comment ref="V83" authorId="136">
      <text>
        <r>
          <rPr>
            <sz val="10"/>
            <rFont val="宋体"/>
            <charset val="134"/>
          </rPr>
          <t>======
ID#AAABZpqNdY8
Administrator    (2024-12-02 06:29:00)
6/6</t>
        </r>
      </text>
    </comment>
    <comment ref="W83" authorId="137">
      <text>
        <r>
          <rPr>
            <sz val="10"/>
            <rFont val="宋体"/>
            <charset val="134"/>
          </rPr>
          <t>======
ID#AAABZpqNd4A
Administrator    (2024-12-02 06:29:00)
21天免柜</t>
        </r>
      </text>
    </comment>
    <comment ref="V84" authorId="138">
      <text>
        <r>
          <rPr>
            <sz val="10"/>
            <rFont val="宋体"/>
            <charset val="134"/>
          </rPr>
          <t>======
ID#AAABZplvq68
Administrator    (2024-12-02 06:29:00)
6/19</t>
        </r>
      </text>
    </comment>
    <comment ref="V85" authorId="139">
      <text>
        <r>
          <rPr>
            <sz val="10"/>
            <rFont val="宋体"/>
            <charset val="134"/>
          </rPr>
          <t>======
ID#AAABZpqNdvc
Administrator    (2024-12-02 06:29:00)
6/17</t>
        </r>
      </text>
    </comment>
    <comment ref="V86" authorId="140">
      <text>
        <r>
          <rPr>
            <sz val="10"/>
            <rFont val="宋体"/>
            <charset val="134"/>
          </rPr>
          <t>======
ID#AAABZpqNdug
Administrator    (2024-12-02 06:29:00)
6/24</t>
        </r>
      </text>
    </comment>
    <comment ref="V87" authorId="141">
      <text>
        <r>
          <rPr>
            <sz val="10"/>
            <rFont val="宋体"/>
            <charset val="134"/>
          </rPr>
          <t>======
ID#AAABZpqNdYY
Administrator    (2024-12-02 06:29:00)
6/19</t>
        </r>
      </text>
    </comment>
    <comment ref="V88" authorId="142">
      <text>
        <r>
          <rPr>
            <sz val="10"/>
            <rFont val="宋体"/>
            <charset val="134"/>
          </rPr>
          <t>======
ID#AAABZplvq4k
Administrator    (2024-12-02 06:29:00)
6/19</t>
        </r>
      </text>
    </comment>
    <comment ref="V89" authorId="143">
      <text>
        <r>
          <rPr>
            <sz val="10"/>
            <rFont val="宋体"/>
            <charset val="134"/>
          </rPr>
          <t>======
ID#AAABZpqNdOs
Administrator    (2024-12-02 06:29:00)
6/19</t>
        </r>
      </text>
    </comment>
    <comment ref="V90" authorId="144">
      <text>
        <r>
          <rPr>
            <sz val="10"/>
            <rFont val="宋体"/>
            <charset val="134"/>
          </rPr>
          <t>======
ID#AAABZpqNdN0
Administrator    (2024-12-02 06:29:00)
6/19</t>
        </r>
      </text>
    </comment>
    <comment ref="W90" authorId="145">
      <text>
        <r>
          <rPr>
            <sz val="10"/>
            <rFont val="宋体"/>
            <charset val="134"/>
          </rPr>
          <t>======
ID#AAABZpqNdw8
Administrator    (2024-12-02 06:29:00)
21天免柜</t>
        </r>
      </text>
    </comment>
    <comment ref="V91" authorId="146">
      <text>
        <r>
          <rPr>
            <sz val="10"/>
            <rFont val="宋体"/>
            <charset val="134"/>
          </rPr>
          <t>======
ID#AAABZpqNdrY
Administrator    (2024-12-02 06:29:00)
6/24</t>
        </r>
      </text>
    </comment>
    <comment ref="V92" authorId="147">
      <text>
        <r>
          <rPr>
            <sz val="10"/>
            <rFont val="宋体"/>
            <charset val="134"/>
          </rPr>
          <t>======
ID#AAABZpkvQbM
Administrator    (2024-12-02 06:29:00)
6/24</t>
        </r>
      </text>
    </comment>
    <comment ref="V93" authorId="148">
      <text>
        <r>
          <rPr>
            <sz val="10"/>
            <rFont val="宋体"/>
            <charset val="134"/>
          </rPr>
          <t>======
ID#AAABZpqNdpc
Administrator    (2024-12-02 06:29:00)
6/26</t>
        </r>
      </text>
    </comment>
    <comment ref="V94" authorId="149">
      <text>
        <r>
          <rPr>
            <sz val="10"/>
            <rFont val="宋体"/>
            <charset val="134"/>
          </rPr>
          <t>======
ID#AAABZpqNdk4
Administrator    (2024-12-02 06:29:00)
7/1</t>
        </r>
      </text>
    </comment>
    <comment ref="V95" authorId="150">
      <text>
        <r>
          <rPr>
            <sz val="10"/>
            <rFont val="宋体"/>
            <charset val="134"/>
          </rPr>
          <t>======
ID#AAABZpqNdxw
Administrator    (2024-12-02 06:29:00)
6/26</t>
        </r>
      </text>
    </comment>
    <comment ref="W95" authorId="151">
      <text>
        <r>
          <rPr>
            <sz val="10"/>
            <rFont val="宋体"/>
            <charset val="134"/>
          </rPr>
          <t>======
ID#AAABZpqNdbM
Administrator    (2024-12-02 06:29:00)
21天免柜</t>
        </r>
      </text>
    </comment>
    <comment ref="V96" authorId="152">
      <text>
        <r>
          <rPr>
            <sz val="10"/>
            <rFont val="宋体"/>
            <charset val="134"/>
          </rPr>
          <t>======
ID#AAABZpqNdLE
Administrator    (2024-12-02 06:29:00)
6/27</t>
        </r>
      </text>
    </comment>
    <comment ref="W96" authorId="153">
      <text>
        <r>
          <rPr>
            <sz val="10"/>
            <rFont val="宋体"/>
            <charset val="134"/>
          </rPr>
          <t>======
ID#AAABZpqNdOw
Administrator    (2024-12-02 06:29:00)
21天免柜</t>
        </r>
      </text>
    </comment>
    <comment ref="V97" authorId="154">
      <text>
        <r>
          <rPr>
            <sz val="10"/>
            <rFont val="宋体"/>
            <charset val="134"/>
          </rPr>
          <t>======
ID#AAABZpqNdY0
Administrator    (2024-12-02 06:29:00)
6/27</t>
        </r>
      </text>
    </comment>
    <comment ref="W97" authorId="155">
      <text>
        <r>
          <rPr>
            <sz val="10"/>
            <rFont val="宋体"/>
            <charset val="134"/>
          </rPr>
          <t>======
ID#AAABZpqNdew
Administrator    (2024-12-02 06:29:00)
21天免柜</t>
        </r>
      </text>
    </comment>
    <comment ref="V98" authorId="156">
      <text>
        <r>
          <rPr>
            <sz val="10"/>
            <rFont val="宋体"/>
            <charset val="134"/>
          </rPr>
          <t>======
ID#AAABZplvq50
Administrator    (2024-12-02 06:29:00)
6/27</t>
        </r>
      </text>
    </comment>
    <comment ref="W98" authorId="157">
      <text>
        <r>
          <rPr>
            <sz val="10"/>
            <rFont val="宋体"/>
            <charset val="134"/>
          </rPr>
          <t>======
ID#AAABZpqNdSI
Administrator    (2024-12-02 06:29:00)
21天免柜</t>
        </r>
      </text>
    </comment>
    <comment ref="V99" authorId="158">
      <text>
        <r>
          <rPr>
            <sz val="10"/>
            <rFont val="宋体"/>
            <charset val="134"/>
          </rPr>
          <t>======
ID#AAABZplvq7U
Administrator    (2024-12-02 06:29:00)
6/28</t>
        </r>
      </text>
    </comment>
    <comment ref="W99" authorId="159">
      <text>
        <r>
          <rPr>
            <sz val="10"/>
            <rFont val="宋体"/>
            <charset val="134"/>
          </rPr>
          <t>======
ID#AAABZpqNdy4
Administrator    (2024-12-02 06:29:00)
21天免柜</t>
        </r>
      </text>
    </comment>
    <comment ref="V100" authorId="160">
      <text>
        <r>
          <rPr>
            <sz val="10"/>
            <rFont val="宋体"/>
            <charset val="134"/>
          </rPr>
          <t>======
ID#AAABZpqNdl8
Administrator    (2024-12-02 06:29:00)
6/27</t>
        </r>
      </text>
    </comment>
    <comment ref="W100" authorId="161">
      <text>
        <r>
          <rPr>
            <sz val="10"/>
            <rFont val="宋体"/>
            <charset val="134"/>
          </rPr>
          <t>======
ID#AAABZpqNdUw
Administrator    (2024-12-02 06:29:00)
21天免柜</t>
        </r>
      </text>
    </comment>
    <comment ref="V101" authorId="162">
      <text>
        <r>
          <rPr>
            <sz val="10"/>
            <rFont val="宋体"/>
            <charset val="134"/>
          </rPr>
          <t>======
ID#AAABZpqNdt8
Administrator    (2024-12-02 06:29:00)
7/1</t>
        </r>
      </text>
    </comment>
    <comment ref="W101" authorId="163">
      <text>
        <r>
          <rPr>
            <sz val="10"/>
            <rFont val="宋体"/>
            <charset val="134"/>
          </rPr>
          <t>======
ID#AAABZpqNdVI
Administrator    (2024-12-02 06:29:00)
21天免柜</t>
        </r>
      </text>
    </comment>
    <comment ref="V102" authorId="164">
      <text>
        <r>
          <rPr>
            <sz val="10"/>
            <rFont val="宋体"/>
            <charset val="134"/>
          </rPr>
          <t>======
ID#AAABZpqNdzk
Administrator    (2024-12-02 06:29:00)
6/27</t>
        </r>
      </text>
    </comment>
    <comment ref="W102" authorId="165">
      <text>
        <r>
          <rPr>
            <sz val="10"/>
            <rFont val="宋体"/>
            <charset val="134"/>
          </rPr>
          <t>======
ID#AAABZpqNdV8
Administrator    (2024-12-02 06:29:00)
21天免柜</t>
        </r>
      </text>
    </comment>
    <comment ref="V103" authorId="166">
      <text>
        <r>
          <rPr>
            <sz val="10"/>
            <rFont val="宋体"/>
            <charset val="134"/>
          </rPr>
          <t>======
ID#AAABZpqNdP0
Administrator    (2024-12-02 06:29:00)
7/1</t>
        </r>
      </text>
    </comment>
    <comment ref="V104" authorId="167">
      <text>
        <r>
          <rPr>
            <sz val="10"/>
            <rFont val="宋体"/>
            <charset val="134"/>
          </rPr>
          <t>======
ID#AAABZpqNdSs
Administrator    (2024-12-02 06:29:00)
7/5</t>
        </r>
      </text>
    </comment>
    <comment ref="W104" authorId="168">
      <text>
        <r>
          <rPr>
            <sz val="10"/>
            <rFont val="宋体"/>
            <charset val="134"/>
          </rPr>
          <t>======
ID#AAABZpqNdl0
Administrator    (2024-12-02 06:29:00)
21天免柜</t>
        </r>
      </text>
    </comment>
    <comment ref="V105" authorId="169">
      <text>
        <r>
          <rPr>
            <sz val="10"/>
            <rFont val="宋体"/>
            <charset val="134"/>
          </rPr>
          <t>======
ID#AAABZpkvQbg
Administrator    (2024-12-02 06:29:00)
7/3</t>
        </r>
      </text>
    </comment>
    <comment ref="V106" authorId="170">
      <text>
        <r>
          <rPr>
            <sz val="10"/>
            <rFont val="宋体"/>
            <charset val="134"/>
          </rPr>
          <t>======
ID#AAABZpqNdpA
Administrator    (2024-12-02 06:29:00)
7/2</t>
        </r>
      </text>
    </comment>
    <comment ref="V107" authorId="171">
      <text>
        <r>
          <rPr>
            <sz val="10"/>
            <rFont val="宋体"/>
            <charset val="134"/>
          </rPr>
          <t>======
ID#AAABZpqNdb4
Administrator    (2024-12-02 06:29:00)
7/8</t>
        </r>
      </text>
    </comment>
    <comment ref="W107" authorId="172">
      <text>
        <r>
          <rPr>
            <sz val="10"/>
            <rFont val="宋体"/>
            <charset val="134"/>
          </rPr>
          <t>======
ID#AAABZpqNdxk
Administrator    (2024-12-02 06:29:00)
21天免柜</t>
        </r>
      </text>
    </comment>
    <comment ref="V108" authorId="173">
      <text>
        <r>
          <rPr>
            <sz val="10"/>
            <rFont val="宋体"/>
            <charset val="134"/>
          </rPr>
          <t>======
ID#AAABZpqNdnc
Administrator    (2024-12-02 06:29:00)
7/8</t>
        </r>
      </text>
    </comment>
    <comment ref="W108" authorId="174">
      <text>
        <r>
          <rPr>
            <sz val="10"/>
            <rFont val="宋体"/>
            <charset val="134"/>
          </rPr>
          <t>======
ID#AAABZplvq6A
Administrator    (2024-12-02 06:29:00)
21天免柜</t>
        </r>
      </text>
    </comment>
    <comment ref="V109" authorId="175">
      <text>
        <r>
          <rPr>
            <sz val="10"/>
            <rFont val="宋体"/>
            <charset val="134"/>
          </rPr>
          <t>======
ID#AAABZplvq6I
Administrator    (2024-12-02 06:29:00)
7/5</t>
        </r>
      </text>
    </comment>
    <comment ref="V110" authorId="176">
      <text>
        <r>
          <rPr>
            <sz val="10"/>
            <rFont val="宋体"/>
            <charset val="134"/>
          </rPr>
          <t>======
ID#AAABZpqNda8
Administrator    (2024-12-02 06:29:00)
7/4</t>
        </r>
      </text>
    </comment>
    <comment ref="V111" authorId="177">
      <text>
        <r>
          <rPr>
            <sz val="10"/>
            <rFont val="宋体"/>
            <charset val="134"/>
          </rPr>
          <t>======
ID#AAABZpqNdhM
Administrator    (2024-12-02 06:29:00)
7/4</t>
        </r>
      </text>
    </comment>
    <comment ref="V112" authorId="178">
      <text>
        <r>
          <rPr>
            <sz val="10"/>
            <rFont val="宋体"/>
            <charset val="134"/>
          </rPr>
          <t>======
ID#AAABZpqNdqU
Administrator    (2024-12-02 06:29:00)
7/3</t>
        </r>
      </text>
    </comment>
    <comment ref="V113" authorId="179">
      <text>
        <r>
          <rPr>
            <sz val="10"/>
            <rFont val="宋体"/>
            <charset val="134"/>
          </rPr>
          <t>======
ID#AAABZpkvQbk
Administrator    (2024-12-02 06:29:00)
7/10</t>
        </r>
      </text>
    </comment>
    <comment ref="W113" authorId="180">
      <text>
        <r>
          <rPr>
            <sz val="10"/>
            <rFont val="宋体"/>
            <charset val="134"/>
          </rPr>
          <t>======
ID#AAABZpqNdTQ
Administrator    (2024-12-02 06:29:00)
21天免柜</t>
        </r>
      </text>
    </comment>
    <comment ref="V114" authorId="181">
      <text>
        <r>
          <rPr>
            <sz val="10"/>
            <rFont val="宋体"/>
            <charset val="134"/>
          </rPr>
          <t>======
ID#AAABZplvq3w
Administrator    (2024-12-02 06:29:00)
7/3</t>
        </r>
      </text>
    </comment>
    <comment ref="W114" authorId="182">
      <text>
        <r>
          <rPr>
            <sz val="10"/>
            <rFont val="宋体"/>
            <charset val="134"/>
          </rPr>
          <t>======
ID#AAABZpqNdeY
Administrator    (2024-12-02 06:29:00)
21天免柜</t>
        </r>
      </text>
    </comment>
    <comment ref="V115" authorId="183">
      <text>
        <r>
          <rPr>
            <sz val="10"/>
            <rFont val="宋体"/>
            <charset val="134"/>
          </rPr>
          <t>======
ID#AAABZpkvQbY
Administrator    (2024-12-02 06:29:00)
7/5</t>
        </r>
      </text>
    </comment>
    <comment ref="W115" authorId="184">
      <text>
        <r>
          <rPr>
            <sz val="10"/>
            <rFont val="宋体"/>
            <charset val="134"/>
          </rPr>
          <t>======
ID#AAABZplvq7I
Administrator    (2024-12-02 06:29:00)
21天免柜</t>
        </r>
      </text>
    </comment>
    <comment ref="V116" authorId="185">
      <text>
        <r>
          <rPr>
            <sz val="10"/>
            <rFont val="宋体"/>
            <charset val="134"/>
          </rPr>
          <t>======
ID#AAABZpqNdzc
Administrator    (2024-12-02 06:29:00)
7/4</t>
        </r>
      </text>
    </comment>
    <comment ref="W116" authorId="186">
      <text>
        <r>
          <rPr>
            <sz val="10"/>
            <rFont val="宋体"/>
            <charset val="134"/>
          </rPr>
          <t>======
ID#AAABZpqNdVA
Administrator    (2024-12-02 06:29:00)
21天免柜</t>
        </r>
      </text>
    </comment>
    <comment ref="V117" authorId="187">
      <text>
        <r>
          <rPr>
            <sz val="10"/>
            <rFont val="宋体"/>
            <charset val="134"/>
          </rPr>
          <t>======
ID#AAABZpqNdgg
Administrator    (2024-12-02 06:29:00)
7/5</t>
        </r>
      </text>
    </comment>
    <comment ref="W117" authorId="188">
      <text>
        <r>
          <rPr>
            <sz val="10"/>
            <rFont val="宋体"/>
            <charset val="134"/>
          </rPr>
          <t>======
ID#AAABZpqNdZU
Administrator    (2024-12-02 06:29:00)
21天免柜</t>
        </r>
      </text>
    </comment>
    <comment ref="V118" authorId="189">
      <text>
        <r>
          <rPr>
            <sz val="10"/>
            <rFont val="宋体"/>
            <charset val="134"/>
          </rPr>
          <t>======
ID#AAABZpqNdcI
Administrator    (2024-12-02 06:29:00)
7/12</t>
        </r>
      </text>
    </comment>
    <comment ref="V119" authorId="190">
      <text>
        <r>
          <rPr>
            <sz val="10"/>
            <rFont val="宋体"/>
            <charset val="134"/>
          </rPr>
          <t>======
ID#AAABZpqNdtc
Administrator    (2024-12-02 06:29:00)
7/12</t>
        </r>
      </text>
    </comment>
    <comment ref="V120" authorId="191">
      <text>
        <r>
          <rPr>
            <sz val="10"/>
            <rFont val="宋体"/>
            <charset val="134"/>
          </rPr>
          <t>======
ID#AAABZpqNdvo
Administrator    (2024-12-02 06:29:00)
7/10</t>
        </r>
      </text>
    </comment>
    <comment ref="V121" authorId="192">
      <text>
        <r>
          <rPr>
            <sz val="10"/>
            <rFont val="宋体"/>
            <charset val="134"/>
          </rPr>
          <t>======
ID#AAABZpqNdkY
Administrator    (2024-12-02 06:29:00)
7/9</t>
        </r>
      </text>
    </comment>
    <comment ref="W121" authorId="193">
      <text>
        <r>
          <rPr>
            <sz val="10"/>
            <rFont val="宋体"/>
            <charset val="134"/>
          </rPr>
          <t>======
ID#AAABZpqNdto
Administrator    (2024-12-02 06:29:00)
21天免柜</t>
        </r>
      </text>
    </comment>
    <comment ref="V122" authorId="194">
      <text>
        <r>
          <rPr>
            <sz val="10"/>
            <rFont val="宋体"/>
            <charset val="134"/>
          </rPr>
          <t>======
ID#AAABZpqNdKs
Administrator    (2024-12-02 06:29:00)
7/5</t>
        </r>
      </text>
    </comment>
    <comment ref="W122" authorId="195">
      <text>
        <r>
          <rPr>
            <sz val="10"/>
            <rFont val="宋体"/>
            <charset val="134"/>
          </rPr>
          <t>======
ID#AAABZpqNdWc
Administrator    (2024-12-02 06:29:00)
21天免柜</t>
        </r>
      </text>
    </comment>
    <comment ref="V123" authorId="196">
      <text>
        <r>
          <rPr>
            <sz val="10"/>
            <rFont val="宋体"/>
            <charset val="134"/>
          </rPr>
          <t>======
ID#AAABZpqNdqY
Administrator    (2024-12-02 06:29:00)
7/8</t>
        </r>
      </text>
    </comment>
    <comment ref="W123" authorId="197">
      <text>
        <r>
          <rPr>
            <sz val="10"/>
            <rFont val="宋体"/>
            <charset val="134"/>
          </rPr>
          <t>======
ID#AAABZpqNdZE
Administrator    (2024-12-02 06:29:00)
21天免柜</t>
        </r>
      </text>
    </comment>
    <comment ref="V124" authorId="198">
      <text>
        <r>
          <rPr>
            <sz val="10"/>
            <rFont val="宋体"/>
            <charset val="134"/>
          </rPr>
          <t>======
ID#AAABZpqNdjg
Administrator    (2024-12-02 06:29:00)
7/8</t>
        </r>
      </text>
    </comment>
    <comment ref="W124" authorId="199">
      <text>
        <r>
          <rPr>
            <sz val="10"/>
            <rFont val="宋体"/>
            <charset val="134"/>
          </rPr>
          <t>======
ID#AAABZpqNdKk
Administrator    (2024-12-02 06:29:00)
21天免柜</t>
        </r>
      </text>
    </comment>
    <comment ref="V125" authorId="200">
      <text>
        <r>
          <rPr>
            <sz val="10"/>
            <rFont val="宋体"/>
            <charset val="134"/>
          </rPr>
          <t>======
ID#AAABZpqNdK0
Administrator    (2024-12-02 06:29:00)
7/9</t>
        </r>
      </text>
    </comment>
    <comment ref="W125" authorId="201">
      <text>
        <r>
          <rPr>
            <sz val="10"/>
            <rFont val="宋体"/>
            <charset val="134"/>
          </rPr>
          <t>======
ID#AAABZpqNddY
Administrator    (2024-12-02 06:29:00)
21天免柜</t>
        </r>
      </text>
    </comment>
    <comment ref="V126" authorId="202">
      <text>
        <r>
          <rPr>
            <sz val="10"/>
            <rFont val="宋体"/>
            <charset val="134"/>
          </rPr>
          <t>======
ID#AAABZpqNdqk
Administrator    (2024-12-02 06:29:00)
7/9</t>
        </r>
      </text>
    </comment>
    <comment ref="W126" authorId="203">
      <text>
        <r>
          <rPr>
            <sz val="10"/>
            <rFont val="宋体"/>
            <charset val="134"/>
          </rPr>
          <t>======
ID#AAABZpqNdlc
Administrator    (2024-12-02 06:29:00)
21天免柜</t>
        </r>
      </text>
    </comment>
    <comment ref="V127" authorId="204">
      <text>
        <r>
          <rPr>
            <sz val="10"/>
            <rFont val="宋体"/>
            <charset val="134"/>
          </rPr>
          <t>======
ID#AAABZpqNdcs
Administrator    (2024-12-02 06:29:00)
7/9</t>
        </r>
      </text>
    </comment>
    <comment ref="W127" authorId="205">
      <text>
        <r>
          <rPr>
            <sz val="10"/>
            <rFont val="宋体"/>
            <charset val="134"/>
          </rPr>
          <t>======
ID#AAABZpqNdNI
Administrator    (2024-12-02 06:29:00)
21天免柜</t>
        </r>
      </text>
    </comment>
    <comment ref="V128" authorId="206">
      <text>
        <r>
          <rPr>
            <sz val="10"/>
            <rFont val="宋体"/>
            <charset val="134"/>
          </rPr>
          <t>======
ID#AAABZpqNduE
Administrator    (2024-12-02 06:29:00)
7/10</t>
        </r>
      </text>
    </comment>
    <comment ref="W128" authorId="207">
      <text>
        <r>
          <rPr>
            <sz val="10"/>
            <rFont val="宋体"/>
            <charset val="134"/>
          </rPr>
          <t>======
ID#AAABZpqNdec
Administrator    (2024-12-02 06:29:00)
21天免柜</t>
        </r>
      </text>
    </comment>
    <comment ref="V129" authorId="208">
      <text>
        <r>
          <rPr>
            <sz val="10"/>
            <rFont val="宋体"/>
            <charset val="134"/>
          </rPr>
          <t>======
ID#AAABZpqNdlg
Administrator    (2024-12-02 06:29:00)
7/10</t>
        </r>
      </text>
    </comment>
    <comment ref="W129" authorId="209">
      <text>
        <r>
          <rPr>
            <sz val="10"/>
            <rFont val="宋体"/>
            <charset val="134"/>
          </rPr>
          <t>======
ID#AAABZpqNdWs
Administrator    (2024-12-02 06:29:00)
21天免柜</t>
        </r>
      </text>
    </comment>
    <comment ref="V130" authorId="210">
      <text>
        <r>
          <rPr>
            <sz val="10"/>
            <rFont val="宋体"/>
            <charset val="134"/>
          </rPr>
          <t>======
ID#AAABZpqNdL0
Administrator    (2024-12-02 06:29:00)
7/11</t>
        </r>
      </text>
    </comment>
    <comment ref="W130" authorId="211">
      <text>
        <r>
          <rPr>
            <sz val="10"/>
            <rFont val="宋体"/>
            <charset val="134"/>
          </rPr>
          <t>======
ID#AAABZpqNdPQ
Administrator    (2024-12-02 06:29:00)
21天免柜</t>
        </r>
      </text>
    </comment>
    <comment ref="V131" authorId="212">
      <text>
        <r>
          <rPr>
            <sz val="10"/>
            <rFont val="宋体"/>
            <charset val="134"/>
          </rPr>
          <t>======
ID#AAABZpqNdeE
Administrator    (2024-12-02 06:29:00)
7/16</t>
        </r>
      </text>
    </comment>
    <comment ref="W131" authorId="213">
      <text>
        <r>
          <rPr>
            <sz val="10"/>
            <rFont val="宋体"/>
            <charset val="134"/>
          </rPr>
          <t>======
ID#AAABZpqNdU4
Administrator    (2024-12-02 06:29:00)
21天免柜</t>
        </r>
      </text>
    </comment>
    <comment ref="V132" authorId="214">
      <text>
        <r>
          <rPr>
            <sz val="10"/>
            <rFont val="宋体"/>
            <charset val="134"/>
          </rPr>
          <t>======
ID#AAABZpqNdOc
Administrator    (2024-12-02 06:29:00)
7/15</t>
        </r>
      </text>
    </comment>
    <comment ref="W132" authorId="215">
      <text>
        <r>
          <rPr>
            <sz val="10"/>
            <rFont val="宋体"/>
            <charset val="134"/>
          </rPr>
          <t>======
ID#AAABZpqNdVM
Administrator    (2024-12-02 06:29:00)
21天免柜</t>
        </r>
      </text>
    </comment>
    <comment ref="V133" authorId="216">
      <text>
        <r>
          <rPr>
            <sz val="10"/>
            <rFont val="宋体"/>
            <charset val="134"/>
          </rPr>
          <t>======
ID#AAABZpqNdnk
Administrator    (2024-12-02 06:29:00)
7/11</t>
        </r>
      </text>
    </comment>
    <comment ref="W133" authorId="217">
      <text>
        <r>
          <rPr>
            <sz val="10"/>
            <rFont val="宋体"/>
            <charset val="134"/>
          </rPr>
          <t>======
ID#AAABZpqNdyQ
Administrator    (2024-12-02 06:29:00)
21天免柜</t>
        </r>
      </text>
    </comment>
    <comment ref="V134" authorId="218">
      <text>
        <r>
          <rPr>
            <sz val="10"/>
            <rFont val="宋体"/>
            <charset val="134"/>
          </rPr>
          <t>======
ID#AAABZpqNdwM
Administrator    (2024-12-02 06:29:00)
7/15</t>
        </r>
      </text>
    </comment>
    <comment ref="W134" authorId="219">
      <text>
        <r>
          <rPr>
            <sz val="10"/>
            <rFont val="宋体"/>
            <charset val="134"/>
          </rPr>
          <t>======
ID#AAABZpqNdUs
Administrator    (2024-12-02 06:29:00)
21天免柜</t>
        </r>
      </text>
    </comment>
    <comment ref="V135" authorId="220">
      <text>
        <r>
          <rPr>
            <sz val="10"/>
            <rFont val="宋体"/>
            <charset val="134"/>
          </rPr>
          <t>======
ID#AAABZpqNd2E
Administrator    (2024-12-02 06:29:00)
7/11</t>
        </r>
      </text>
    </comment>
    <comment ref="W135" authorId="221">
      <text>
        <r>
          <rPr>
            <sz val="10"/>
            <rFont val="宋体"/>
            <charset val="134"/>
          </rPr>
          <t>======
ID#AAABZpqNdsw
Administrator    (2024-12-02 06:29:00)
21天免柜</t>
        </r>
      </text>
    </comment>
    <comment ref="V136" authorId="222">
      <text>
        <r>
          <rPr>
            <sz val="10"/>
            <rFont val="宋体"/>
            <charset val="134"/>
          </rPr>
          <t>======
ID#AAABZplvq7A
Administrator    (2024-12-02 06:29:00)
7/15</t>
        </r>
      </text>
    </comment>
    <comment ref="W136" authorId="223">
      <text>
        <r>
          <rPr>
            <sz val="10"/>
            <rFont val="宋体"/>
            <charset val="134"/>
          </rPr>
          <t>======
ID#AAABZpqNdPA
Administrator    (2024-12-02 06:29:00)
21天免柜</t>
        </r>
      </text>
    </comment>
    <comment ref="V137" authorId="224">
      <text>
        <r>
          <rPr>
            <sz val="10"/>
            <rFont val="宋体"/>
            <charset val="134"/>
          </rPr>
          <t>======
ID#AAABZpqNdTE
Administrator    (2024-12-02 06:29:00)
7/18</t>
        </r>
      </text>
    </comment>
    <comment ref="W137" authorId="225">
      <text>
        <r>
          <rPr>
            <sz val="10"/>
            <rFont val="宋体"/>
            <charset val="134"/>
          </rPr>
          <t>======
ID#AAABZpqNdbw
Administrator    (2024-12-02 06:29:00)
21天免柜</t>
        </r>
      </text>
    </comment>
    <comment ref="V138" authorId="226">
      <text>
        <r>
          <rPr>
            <sz val="10"/>
            <rFont val="宋体"/>
            <charset val="134"/>
          </rPr>
          <t>======
ID#AAABZplvq30
Administrator    (2024-12-02 06:29:00)
7/16</t>
        </r>
      </text>
    </comment>
    <comment ref="V139" authorId="227">
      <text>
        <r>
          <rPr>
            <sz val="10"/>
            <rFont val="宋体"/>
            <charset val="134"/>
          </rPr>
          <t>======
ID#AAABZpqNdZg
Administrator    (2024-12-02 06:29:00)
7/16</t>
        </r>
      </text>
    </comment>
    <comment ref="V140" authorId="228">
      <text>
        <r>
          <rPr>
            <sz val="10"/>
            <rFont val="宋体"/>
            <charset val="134"/>
          </rPr>
          <t>======
ID#AAABZpqNdgU
Administrator    (2024-12-02 06:29:00)
7/25</t>
        </r>
      </text>
    </comment>
    <comment ref="W140" authorId="229">
      <text>
        <r>
          <rPr>
            <sz val="10"/>
            <rFont val="宋体"/>
            <charset val="134"/>
          </rPr>
          <t>======
ID#AAABZpqNdVc
Administrator    (2024-12-02 06:29:00)
21天免柜</t>
        </r>
      </text>
    </comment>
    <comment ref="V141" authorId="230">
      <text>
        <r>
          <rPr>
            <sz val="10"/>
            <rFont val="宋体"/>
            <charset val="134"/>
          </rPr>
          <t>======
ID#AAABZpqNdrI
Administrator    (2024-12-02 06:29:00)
7/30</t>
        </r>
      </text>
    </comment>
    <comment ref="W141" authorId="231">
      <text>
        <r>
          <rPr>
            <sz val="10"/>
            <rFont val="宋体"/>
            <charset val="134"/>
          </rPr>
          <t>======
ID#AAABZpqNdjY
Administrator    (2024-12-02 06:29:00)
21天免柜</t>
        </r>
      </text>
    </comment>
    <comment ref="V142" authorId="232">
      <text>
        <r>
          <rPr>
            <sz val="10"/>
            <rFont val="宋体"/>
            <charset val="134"/>
          </rPr>
          <t>======
ID#AAABZpqNdoQ
Administrator    (2024-12-02 06:29:00)
7/23</t>
        </r>
      </text>
    </comment>
    <comment ref="W142" authorId="233">
      <text>
        <r>
          <rPr>
            <sz val="10"/>
            <rFont val="宋体"/>
            <charset val="134"/>
          </rPr>
          <t>======
ID#AAABZpqNddM
Administrator    (2024-12-02 06:29:00)
21天免柜</t>
        </r>
      </text>
    </comment>
    <comment ref="V143" authorId="234">
      <text>
        <r>
          <rPr>
            <sz val="10"/>
            <rFont val="宋体"/>
            <charset val="134"/>
          </rPr>
          <t>======
ID#AAABZpqNdpI
Administrator    (2024-12-02 06:29:00)
7/24</t>
        </r>
      </text>
    </comment>
    <comment ref="W143" authorId="235">
      <text>
        <r>
          <rPr>
            <sz val="10"/>
            <rFont val="宋体"/>
            <charset val="134"/>
          </rPr>
          <t>======
ID#AAABZpqNdS0
Administrator    (2024-12-02 06:29:00)
21天免柜</t>
        </r>
      </text>
    </comment>
    <comment ref="V144" authorId="236">
      <text>
        <r>
          <rPr>
            <sz val="10"/>
            <rFont val="宋体"/>
            <charset val="134"/>
          </rPr>
          <t>======
ID#AAABZpqNddE
Administrator    (2024-12-02 06:29:00)
7/22</t>
        </r>
      </text>
    </comment>
    <comment ref="W144" authorId="237">
      <text>
        <r>
          <rPr>
            <sz val="10"/>
            <rFont val="宋体"/>
            <charset val="134"/>
          </rPr>
          <t>======
ID#AAABZpqNdzw
Administrator    (2024-12-02 06:29:00)
21天免柜</t>
        </r>
      </text>
    </comment>
    <comment ref="V145" authorId="238">
      <text>
        <r>
          <rPr>
            <sz val="10"/>
            <rFont val="宋体"/>
            <charset val="134"/>
          </rPr>
          <t>======
ID#AAABZpqNdp4
Administrator    (2024-12-02 06:29:00)
7/22</t>
        </r>
      </text>
    </comment>
    <comment ref="W145" authorId="239">
      <text>
        <r>
          <rPr>
            <sz val="10"/>
            <rFont val="宋体"/>
            <charset val="134"/>
          </rPr>
          <t>======
ID#AAABZpqNdhs
Administrator    (2024-12-02 06:29:00)
21天免柜</t>
        </r>
      </text>
    </comment>
    <comment ref="V146" authorId="240">
      <text>
        <r>
          <rPr>
            <sz val="10"/>
            <rFont val="宋体"/>
            <charset val="134"/>
          </rPr>
          <t>======
ID#AAABZpqNdr0
Administrator    (2024-12-02 06:29:00)
7/24</t>
        </r>
      </text>
    </comment>
    <comment ref="W146" authorId="241">
      <text>
        <r>
          <rPr>
            <sz val="10"/>
            <rFont val="宋体"/>
            <charset val="134"/>
          </rPr>
          <t>======
ID#AAABZpqNd0A
Administrator    (2024-12-02 06:29:00)
21天免柜</t>
        </r>
      </text>
    </comment>
    <comment ref="V147" authorId="242">
      <text>
        <r>
          <rPr>
            <sz val="10"/>
            <rFont val="宋体"/>
            <charset val="134"/>
          </rPr>
          <t>======
ID#AAABZpqNdJs
Administrator    (2024-12-02 06:29:00)
7/25</t>
        </r>
      </text>
    </comment>
    <comment ref="W147" authorId="243">
      <text>
        <r>
          <rPr>
            <sz val="10"/>
            <rFont val="宋体"/>
            <charset val="134"/>
          </rPr>
          <t>======
ID#AAABZpqNdwg
Administrator    (2024-12-02 06:29:00)
21天免柜</t>
        </r>
      </text>
    </comment>
    <comment ref="V148" authorId="244">
      <text>
        <r>
          <rPr>
            <sz val="10"/>
            <rFont val="宋体"/>
            <charset val="134"/>
          </rPr>
          <t>======
ID#AAABZpqNdpg
Administrator    (2024-12-02 06:29:00)
7/26</t>
        </r>
      </text>
    </comment>
    <comment ref="W148" authorId="245">
      <text>
        <r>
          <rPr>
            <sz val="10"/>
            <rFont val="宋体"/>
            <charset val="134"/>
          </rPr>
          <t>======
ID#AAABZpqNdSA
Administrator    (2024-12-02 06:29:00)
21天免柜</t>
        </r>
      </text>
    </comment>
    <comment ref="V149" authorId="246">
      <text>
        <r>
          <rPr>
            <sz val="10"/>
            <rFont val="宋体"/>
            <charset val="134"/>
          </rPr>
          <t>======
ID#AAABZpqNdpM
Administrator    (2024-12-02 06:29:00)
7/29</t>
        </r>
      </text>
    </comment>
    <comment ref="W149" authorId="247">
      <text>
        <r>
          <rPr>
            <sz val="10"/>
            <rFont val="宋体"/>
            <charset val="134"/>
          </rPr>
          <t>======
ID#AAABZpqNdPk
Administrator    (2024-12-02 06:29:00)
21天免柜</t>
        </r>
      </text>
    </comment>
    <comment ref="V150" authorId="248">
      <text>
        <r>
          <rPr>
            <sz val="10"/>
            <rFont val="宋体"/>
            <charset val="134"/>
          </rPr>
          <t>======
ID#AAABZpqNdfY
Administrator    (2024-12-02 06:29:00)
7/30</t>
        </r>
      </text>
    </comment>
    <comment ref="W150" authorId="249">
      <text>
        <r>
          <rPr>
            <sz val="10"/>
            <rFont val="宋体"/>
            <charset val="134"/>
          </rPr>
          <t>======
ID#AAABZpqNdjk
Administrator    (2024-12-02 06:29:00)
21天免柜</t>
        </r>
      </text>
    </comment>
    <comment ref="V151" authorId="250">
      <text>
        <r>
          <rPr>
            <sz val="10"/>
            <rFont val="宋体"/>
            <charset val="134"/>
          </rPr>
          <t>======
ID#AAABZpqNdMM
Administrator    (2024-12-02 06:29:00)
8/1</t>
        </r>
      </text>
    </comment>
    <comment ref="W151" authorId="251">
      <text>
        <r>
          <rPr>
            <sz val="10"/>
            <rFont val="宋体"/>
            <charset val="134"/>
          </rPr>
          <t>======
ID#AAABZpqNdpQ
Administrator    (2024-12-02 06:29:00)
21天免柜</t>
        </r>
      </text>
    </comment>
    <comment ref="V152" authorId="252">
      <text>
        <r>
          <rPr>
            <sz val="10"/>
            <rFont val="宋体"/>
            <charset val="134"/>
          </rPr>
          <t>======
ID#AAABZplvq5A
Administrator    (2024-12-02 06:29:00)
8/2</t>
        </r>
      </text>
    </comment>
    <comment ref="W152" authorId="253">
      <text>
        <r>
          <rPr>
            <sz val="10"/>
            <rFont val="宋体"/>
            <charset val="134"/>
          </rPr>
          <t>======
ID#AAABZpqNdnI
Administrator    (2024-12-02 06:29:00)
21天免柜</t>
        </r>
      </text>
    </comment>
    <comment ref="V153" authorId="254">
      <text>
        <r>
          <rPr>
            <sz val="10"/>
            <rFont val="宋体"/>
            <charset val="134"/>
          </rPr>
          <t>======
ID#AAABZpqNdrQ
Administrator    (2024-12-02 06:29:00)
7/31</t>
        </r>
      </text>
    </comment>
    <comment ref="W153" authorId="255">
      <text>
        <r>
          <rPr>
            <sz val="10"/>
            <rFont val="宋体"/>
            <charset val="134"/>
          </rPr>
          <t>======
ID#AAABZpqNdP4
Administrator    (2024-12-02 06:29:00)
21天免柜</t>
        </r>
      </text>
    </comment>
    <comment ref="V154" authorId="256">
      <text>
        <r>
          <rPr>
            <sz val="10"/>
            <rFont val="宋体"/>
            <charset val="134"/>
          </rPr>
          <t>======
ID#AAABZpqNdzM
Administrator    (2024-12-02 06:29:00)
8/1</t>
        </r>
      </text>
    </comment>
    <comment ref="W154" authorId="257">
      <text>
        <r>
          <rPr>
            <sz val="10"/>
            <rFont val="宋体"/>
            <charset val="134"/>
          </rPr>
          <t>======
ID#AAABZpqNdYQ
Administrator    (2024-12-02 06:29:00)
21天免柜</t>
        </r>
      </text>
    </comment>
    <comment ref="V155" authorId="258">
      <text>
        <r>
          <rPr>
            <sz val="10"/>
            <rFont val="宋体"/>
            <charset val="134"/>
          </rPr>
          <t>======
ID#AAABZplvq40
Administrator    (2024-12-02 06:29:00)
7/31</t>
        </r>
      </text>
    </comment>
    <comment ref="W155" authorId="259">
      <text>
        <r>
          <rPr>
            <sz val="10"/>
            <rFont val="宋体"/>
            <charset val="134"/>
          </rPr>
          <t>======
ID#AAABZpqNdrg
Administrator    (2024-12-02 06:29:00)
21天免柜</t>
        </r>
      </text>
    </comment>
    <comment ref="V156" authorId="260">
      <text>
        <r>
          <rPr>
            <sz val="10"/>
            <rFont val="宋体"/>
            <charset val="134"/>
          </rPr>
          <t>======
ID#AAABZpqNdLM
Administrator    (2024-12-02 06:29:00)
8/2</t>
        </r>
      </text>
    </comment>
    <comment ref="W156" authorId="261">
      <text>
        <r>
          <rPr>
            <sz val="10"/>
            <rFont val="宋体"/>
            <charset val="134"/>
          </rPr>
          <t>======
ID#AAABZpqNdaQ
Administrator    (2024-12-02 06:29:00)
21天免柜</t>
        </r>
      </text>
    </comment>
    <comment ref="V157" authorId="262">
      <text>
        <r>
          <rPr>
            <sz val="10"/>
            <rFont val="宋体"/>
            <charset val="134"/>
          </rPr>
          <t>======
ID#AAABZpqNdYo
Administrator    (2024-12-02 06:29:00)
7/30</t>
        </r>
      </text>
    </comment>
    <comment ref="V158" authorId="263">
      <text>
        <r>
          <rPr>
            <sz val="10"/>
            <rFont val="宋体"/>
            <charset val="134"/>
          </rPr>
          <t>======
ID#AAABZpqNdWM
Administrator    (2024-12-02 06:29:00)
8/1</t>
        </r>
      </text>
    </comment>
    <comment ref="V159" authorId="264">
      <text>
        <r>
          <rPr>
            <sz val="10"/>
            <rFont val="宋体"/>
            <charset val="134"/>
          </rPr>
          <t>======
ID#AAABZpqNdmI
Administrator    (2024-12-02 06:29:00)
8/5</t>
        </r>
      </text>
    </comment>
    <comment ref="W159" authorId="265">
      <text>
        <r>
          <rPr>
            <sz val="10"/>
            <rFont val="宋体"/>
            <charset val="134"/>
          </rPr>
          <t>======
ID#AAABZpqNd1o
Administrator    (2024-12-02 06:29:00)
21天免柜</t>
        </r>
      </text>
    </comment>
    <comment ref="V160" authorId="266">
      <text>
        <r>
          <rPr>
            <sz val="10"/>
            <rFont val="宋体"/>
            <charset val="134"/>
          </rPr>
          <t>======
ID#AAABZpqNd38
Administrator    (2024-12-02 06:29:00)
8/7</t>
        </r>
      </text>
    </comment>
    <comment ref="W160" authorId="267">
      <text>
        <r>
          <rPr>
            <sz val="10"/>
            <rFont val="宋体"/>
            <charset val="134"/>
          </rPr>
          <t>======
ID#AAABZpqNdf4
Administrator    (2024-12-02 06:29:00)
21天免柜</t>
        </r>
      </text>
    </comment>
    <comment ref="V161" authorId="268">
      <text>
        <r>
          <rPr>
            <sz val="10"/>
            <rFont val="宋体"/>
            <charset val="134"/>
          </rPr>
          <t>======
ID#AAABZpkvQb0
Administrator    (2024-12-02 06:29:00)
8/5</t>
        </r>
      </text>
    </comment>
    <comment ref="W161" authorId="269">
      <text>
        <r>
          <rPr>
            <sz val="10"/>
            <rFont val="宋体"/>
            <charset val="134"/>
          </rPr>
          <t>======
ID#AAABZpqNdOE
Administrator    (2024-12-02 06:29:00)
21天免柜</t>
        </r>
      </text>
    </comment>
    <comment ref="V162" authorId="270">
      <text>
        <r>
          <rPr>
            <sz val="10"/>
            <rFont val="宋体"/>
            <charset val="134"/>
          </rPr>
          <t>======
ID#AAABZpqNdIs
Administrator    (2024-12-02 06:29:00)
8/6</t>
        </r>
      </text>
    </comment>
    <comment ref="W162" authorId="271">
      <text>
        <r>
          <rPr>
            <sz val="10"/>
            <rFont val="宋体"/>
            <charset val="134"/>
          </rPr>
          <t>======
ID#AAABZplvq4A
Administrator    (2024-12-02 06:29:00)
21天免柜</t>
        </r>
      </text>
    </comment>
    <comment ref="V163" authorId="272">
      <text>
        <r>
          <rPr>
            <sz val="10"/>
            <rFont val="宋体"/>
            <charset val="134"/>
          </rPr>
          <t>======
ID#AAABZpkvQbI
Administrator    (2024-12-02 06:29:00)
8/5</t>
        </r>
      </text>
    </comment>
    <comment ref="W163" authorId="273">
      <text>
        <r>
          <rPr>
            <sz val="10"/>
            <rFont val="宋体"/>
            <charset val="134"/>
          </rPr>
          <t>======
ID#AAABZpqNdh4
Administrator    (2024-12-02 06:29:00)
21天免柜</t>
        </r>
      </text>
    </comment>
    <comment ref="V164" authorId="274">
      <text>
        <r>
          <rPr>
            <sz val="10"/>
            <rFont val="宋体"/>
            <charset val="134"/>
          </rPr>
          <t>======
ID#AAABZpqNddQ
Administrator    (2024-12-02 06:29:00)
8/7</t>
        </r>
      </text>
    </comment>
    <comment ref="W164" authorId="275">
      <text>
        <r>
          <rPr>
            <sz val="10"/>
            <rFont val="宋体"/>
            <charset val="134"/>
          </rPr>
          <t>======
ID#AAABZpqNdtM
Administrator    (2024-12-02 06:29:00)
21天免柜</t>
        </r>
      </text>
    </comment>
    <comment ref="V165" authorId="276">
      <text>
        <r>
          <rPr>
            <sz val="10"/>
            <rFont val="宋体"/>
            <charset val="134"/>
          </rPr>
          <t>======
ID#AAABZpqNdkA
Administrator    (2024-12-02 06:29:00)
8/9</t>
        </r>
      </text>
    </comment>
    <comment ref="W165" authorId="277">
      <text>
        <r>
          <rPr>
            <sz val="10"/>
            <rFont val="宋体"/>
            <charset val="134"/>
          </rPr>
          <t>======
ID#AAABZpqNdQw
Administrator    (2024-12-02 06:29:00)
21天免柜</t>
        </r>
      </text>
    </comment>
    <comment ref="V166" authorId="278">
      <text>
        <r>
          <rPr>
            <sz val="10"/>
            <rFont val="宋体"/>
            <charset val="134"/>
          </rPr>
          <t>======
ID#AAABZpqNdng
Administrator    (2024-12-02 06:29:00)
8/9</t>
        </r>
      </text>
    </comment>
    <comment ref="W166" authorId="279">
      <text>
        <r>
          <rPr>
            <sz val="10"/>
            <rFont val="宋体"/>
            <charset val="134"/>
          </rPr>
          <t>======
ID#AAABZpqNdOI
Administrator    (2024-12-02 06:29:00)
21天免柜</t>
        </r>
      </text>
    </comment>
    <comment ref="V167" authorId="280">
      <text>
        <r>
          <rPr>
            <sz val="10"/>
            <rFont val="宋体"/>
            <charset val="134"/>
          </rPr>
          <t>======
ID#AAABZpqNdXA
Administrator    (2024-12-02 06:29:00)
8/8</t>
        </r>
      </text>
    </comment>
    <comment ref="W167" authorId="281">
      <text>
        <r>
          <rPr>
            <sz val="10"/>
            <rFont val="宋体"/>
            <charset val="134"/>
          </rPr>
          <t>======
ID#AAABZpqNdmw
Administrator    (2024-12-02 06:29:00)
21天免柜</t>
        </r>
      </text>
    </comment>
    <comment ref="V168" authorId="282">
      <text>
        <r>
          <rPr>
            <sz val="10"/>
            <rFont val="宋体"/>
            <charset val="134"/>
          </rPr>
          <t>======
ID#AAABZpqNdgs
Administrator    (2024-12-02 06:29:00)
8/7</t>
        </r>
      </text>
    </comment>
    <comment ref="V169" authorId="283">
      <text>
        <r>
          <rPr>
            <sz val="10"/>
            <rFont val="宋体"/>
            <charset val="134"/>
          </rPr>
          <t>======
ID#AAABZpqNdzQ
Administrator    (2024-12-02 06:29:00)
8/7</t>
        </r>
      </text>
    </comment>
    <comment ref="V170" authorId="284">
      <text>
        <r>
          <rPr>
            <sz val="10"/>
            <rFont val="宋体"/>
            <charset val="134"/>
          </rPr>
          <t>======
ID#AAABZpqNdJw
Administrator    (2024-12-02 06:29:00)
8/9</t>
        </r>
      </text>
    </comment>
    <comment ref="V171" authorId="285">
      <text>
        <r>
          <rPr>
            <sz val="10"/>
            <rFont val="宋体"/>
            <charset val="134"/>
          </rPr>
          <t>======
ID#AAABZpqNddg
Administrator    (2024-12-02 06:29:00)
8/9</t>
        </r>
      </text>
    </comment>
    <comment ref="V172" authorId="286">
      <text>
        <r>
          <rPr>
            <sz val="10"/>
            <rFont val="宋体"/>
            <charset val="134"/>
          </rPr>
          <t>======
ID#AAABZpqNdrw
Administrator    (2024-12-02 06:29:00)
8/9</t>
        </r>
      </text>
    </comment>
    <comment ref="W172" authorId="287">
      <text>
        <r>
          <rPr>
            <sz val="10"/>
            <rFont val="宋体"/>
            <charset val="134"/>
          </rPr>
          <t>======
ID#AAABZpqNdaA
Administrator    (2024-12-02 06:29:00)
21天免柜</t>
        </r>
      </text>
    </comment>
    <comment ref="V173" authorId="288">
      <text>
        <r>
          <rPr>
            <sz val="10"/>
            <rFont val="宋体"/>
            <charset val="134"/>
          </rPr>
          <t>======
ID#AAABZpqNdl4
Administrator    (2024-12-02 06:29:00)
8/13</t>
        </r>
      </text>
    </comment>
    <comment ref="W173" authorId="289">
      <text>
        <r>
          <rPr>
            <sz val="10"/>
            <rFont val="宋体"/>
            <charset val="134"/>
          </rPr>
          <t>======
ID#AAABZpqNdi8
Administrator    (2024-12-02 06:29:00)
21天免柜</t>
        </r>
      </text>
    </comment>
    <comment ref="V174" authorId="290">
      <text>
        <r>
          <rPr>
            <sz val="10"/>
            <rFont val="宋体"/>
            <charset val="134"/>
          </rPr>
          <t>======
ID#AAABZpqNdy0
Administrator    (2024-12-02 06:29:00)
8/19</t>
        </r>
      </text>
    </comment>
    <comment ref="W174" authorId="291">
      <text>
        <r>
          <rPr>
            <sz val="10"/>
            <rFont val="宋体"/>
            <charset val="134"/>
          </rPr>
          <t>======
ID#AAABZpkh7WA
Administrator    (2024-12-02 06:29:00)
21天免柜</t>
        </r>
      </text>
    </comment>
    <comment ref="V175" authorId="292">
      <text>
        <r>
          <rPr>
            <sz val="10"/>
            <rFont val="宋体"/>
            <charset val="134"/>
          </rPr>
          <t>======
ID#AAABZpqNde0
Administrator    (2024-12-02 06:29:00)
8/8</t>
        </r>
      </text>
    </comment>
    <comment ref="W175" authorId="293">
      <text>
        <r>
          <rPr>
            <sz val="10"/>
            <rFont val="宋体"/>
            <charset val="134"/>
          </rPr>
          <t>======
ID#AAABZpqNdZM
Administrator    (2024-12-02 06:29:00)
21天免柜</t>
        </r>
      </text>
    </comment>
    <comment ref="V176" authorId="294">
      <text>
        <r>
          <rPr>
            <sz val="10"/>
            <rFont val="宋体"/>
            <charset val="134"/>
          </rPr>
          <t>======
ID#AAABZpqNdz4
Administrator    (2024-12-02 06:29:00)
8/15</t>
        </r>
      </text>
    </comment>
    <comment ref="W176" authorId="295">
      <text>
        <r>
          <rPr>
            <sz val="10"/>
            <rFont val="宋体"/>
            <charset val="134"/>
          </rPr>
          <t>======
ID#AAABZpqNdYI
Administrator    (2024-12-02 06:29:00)
21天免柜</t>
        </r>
      </text>
    </comment>
    <comment ref="V177" authorId="296">
      <text>
        <r>
          <rPr>
            <sz val="10"/>
            <rFont val="宋体"/>
            <charset val="134"/>
          </rPr>
          <t>======
ID#AAABZpqNdU8
Administrator    (2024-12-02 06:29:00)
8/12</t>
        </r>
      </text>
    </comment>
    <comment ref="W177" authorId="297">
      <text>
        <r>
          <rPr>
            <sz val="10"/>
            <rFont val="宋体"/>
            <charset val="134"/>
          </rPr>
          <t>======
ID#AAABZpkvQb4
Administrator    (2024-12-02 06:29:00)
21天免柜</t>
        </r>
      </text>
    </comment>
    <comment ref="D178" authorId="298">
      <text>
        <r>
          <rPr>
            <sz val="10"/>
            <rFont val="宋体"/>
            <charset val="134"/>
          </rPr>
          <t>======
ID#AAABZpqNdx0
Administrator    (2024-12-02 06:29:00)
mainfreight清关</t>
        </r>
      </text>
    </comment>
    <comment ref="V178" authorId="299">
      <text>
        <r>
          <rPr>
            <sz val="10"/>
            <rFont val="宋体"/>
            <charset val="134"/>
          </rPr>
          <t>======
ID#AAABZpqNdv4
Administrator    (2024-12-02 06:29:00)
8/13</t>
        </r>
      </text>
    </comment>
    <comment ref="W178" authorId="300">
      <text>
        <r>
          <rPr>
            <sz val="10"/>
            <rFont val="宋体"/>
            <charset val="134"/>
          </rPr>
          <t>======
ID#AAABZplvq4Y
Administrator    (2024-12-02 06:29:00)
21天免柜</t>
        </r>
      </text>
    </comment>
    <comment ref="V179" authorId="301">
      <text>
        <r>
          <rPr>
            <sz val="10"/>
            <rFont val="宋体"/>
            <charset val="134"/>
          </rPr>
          <t>======
ID#AAABZpqNdW0
Administrator    (2024-12-02 06:29:00)
8/21</t>
        </r>
      </text>
    </comment>
    <comment ref="W179" authorId="302">
      <text>
        <r>
          <rPr>
            <sz val="10"/>
            <rFont val="宋体"/>
            <charset val="134"/>
          </rPr>
          <t>======
ID#AAABZpqNd3A
Administrator    (2024-12-02 06:29:00)
21天免柜</t>
        </r>
      </text>
    </comment>
    <comment ref="V180" authorId="303">
      <text>
        <r>
          <rPr>
            <sz val="10"/>
            <rFont val="宋体"/>
            <charset val="134"/>
          </rPr>
          <t>======
ID#AAABZpqNdVY
Administrator    (2024-12-02 06:29:00)
8/16</t>
        </r>
      </text>
    </comment>
    <comment ref="D181" authorId="304">
      <text>
        <r>
          <rPr>
            <sz val="10"/>
            <rFont val="宋体"/>
            <charset val="134"/>
          </rPr>
          <t>======
ID#AAABZpqNdQI
Administrator    (2024-12-02 06:29:00)
mainfreight清关</t>
        </r>
      </text>
    </comment>
    <comment ref="N181" authorId="305">
      <text>
        <r>
          <rPr>
            <sz val="10"/>
            <rFont val="宋体"/>
            <charset val="134"/>
          </rPr>
          <t>其中228.8未支付，12.2已通知David付款
======</t>
        </r>
      </text>
    </comment>
    <comment ref="V181" authorId="306">
      <text>
        <r>
          <rPr>
            <sz val="10"/>
            <rFont val="宋体"/>
            <charset val="134"/>
          </rPr>
          <t>======
ID#AAABZpqNdfM
Administrator    (2024-12-02 06:29:00)
8/28</t>
        </r>
      </text>
    </comment>
    <comment ref="W181" authorId="307">
      <text>
        <r>
          <rPr>
            <sz val="10"/>
            <rFont val="宋体"/>
            <charset val="134"/>
          </rPr>
          <t>======
ID#AAABZpqNdLc
Administrator    (2024-12-02 06:29:00)
21天免柜</t>
        </r>
      </text>
    </comment>
    <comment ref="D182" authorId="308">
      <text>
        <r>
          <rPr>
            <sz val="10"/>
            <rFont val="宋体"/>
            <charset val="134"/>
          </rPr>
          <t>======
ID#AAABZpqNdpY
Administrator    (2024-12-02 06:29:00)
mainfreight清关</t>
        </r>
      </text>
    </comment>
    <comment ref="V182" authorId="309">
      <text>
        <r>
          <rPr>
            <sz val="10"/>
            <rFont val="宋体"/>
            <charset val="134"/>
          </rPr>
          <t>======
ID#AAABZpqNd1A
Administrator    (2024-12-02 06:29:00)
8/26</t>
        </r>
      </text>
    </comment>
    <comment ref="W182" authorId="310">
      <text>
        <r>
          <rPr>
            <sz val="10"/>
            <rFont val="宋体"/>
            <charset val="134"/>
          </rPr>
          <t>======
ID#AAABZpqNdVw
Administrator    (2024-12-02 06:29:00)
21天免柜</t>
        </r>
      </text>
    </comment>
    <comment ref="D183" authorId="311">
      <text>
        <r>
          <rPr>
            <sz val="10"/>
            <rFont val="宋体"/>
            <charset val="134"/>
          </rPr>
          <t>======
ID#AAABZpqNdlo
Administrator    (2024-12-02 06:29:00)
mainfreight清关</t>
        </r>
      </text>
    </comment>
    <comment ref="V183" authorId="312">
      <text>
        <r>
          <rPr>
            <sz val="10"/>
            <rFont val="宋体"/>
            <charset val="134"/>
          </rPr>
          <t>======
ID#AAABZpqNda0
Administrator    (2024-12-02 06:29:00)
8/26</t>
        </r>
      </text>
    </comment>
    <comment ref="W183" authorId="313">
      <text>
        <r>
          <rPr>
            <sz val="10"/>
            <rFont val="宋体"/>
            <charset val="134"/>
          </rPr>
          <t>======
ID#AAABZpqNdwY
Administrator    (2024-12-02 06:29:00)
21天免柜</t>
        </r>
      </text>
    </comment>
    <comment ref="D184" authorId="314">
      <text>
        <r>
          <rPr>
            <sz val="10"/>
            <rFont val="宋体"/>
            <charset val="134"/>
          </rPr>
          <t>======
ID#AAABZpqNdNo
Administrator    (2024-12-02 06:29:00)
mainfreight清关</t>
        </r>
      </text>
    </comment>
    <comment ref="V184" authorId="315">
      <text>
        <r>
          <rPr>
            <sz val="10"/>
            <rFont val="宋体"/>
            <charset val="134"/>
          </rPr>
          <t>======
ID#AAABZpqNd2k
Administrator    (2024-12-02 06:29:00)
8/26</t>
        </r>
      </text>
    </comment>
    <comment ref="W184" authorId="316">
      <text>
        <r>
          <rPr>
            <sz val="10"/>
            <rFont val="宋体"/>
            <charset val="134"/>
          </rPr>
          <t>======
ID#AAABZpqNd2w
Administrator    (2024-12-02 06:29:00)
21天免柜</t>
        </r>
      </text>
    </comment>
    <comment ref="D185" authorId="317">
      <text>
        <r>
          <rPr>
            <sz val="10"/>
            <rFont val="宋体"/>
            <charset val="134"/>
          </rPr>
          <t>======
ID#AAABZpqNdmk
Administrator    (2024-12-02 06:29:00)
mainfreight清关</t>
        </r>
      </text>
    </comment>
    <comment ref="V185" authorId="318">
      <text>
        <r>
          <rPr>
            <sz val="10"/>
            <rFont val="宋体"/>
            <charset val="134"/>
          </rPr>
          <t>======
ID#AAABZpqNdsk
Administrator    (2024-12-02 06:29:00)
8/22</t>
        </r>
      </text>
    </comment>
    <comment ref="W185" authorId="319">
      <text>
        <r>
          <rPr>
            <sz val="10"/>
            <rFont val="宋体"/>
            <charset val="134"/>
          </rPr>
          <t>======
ID#AAABZpqNdek
Administrator    (2024-12-02 06:29:00)
21天免柜</t>
        </r>
      </text>
    </comment>
    <comment ref="D186" authorId="320">
      <text>
        <r>
          <rPr>
            <sz val="10"/>
            <rFont val="宋体"/>
            <charset val="134"/>
          </rPr>
          <t>======
ID#AAABZpqNdSw
Administrator    (2024-12-02 06:29:00)
mainfreight清关</t>
        </r>
      </text>
    </comment>
    <comment ref="V186" authorId="321">
      <text>
        <r>
          <rPr>
            <sz val="10"/>
            <rFont val="宋体"/>
            <charset val="134"/>
          </rPr>
          <t>======
ID#AAABZpqNd2Q
Administrator    (2024-12-02 06:29:00)
8/22</t>
        </r>
      </text>
    </comment>
    <comment ref="W186" authorId="322">
      <text>
        <r>
          <rPr>
            <sz val="10"/>
            <rFont val="宋体"/>
            <charset val="134"/>
          </rPr>
          <t>======
ID#AAABZpqNdck
Administrator    (2024-12-02 06:29:00)
21天免柜</t>
        </r>
      </text>
    </comment>
    <comment ref="D187" authorId="323">
      <text>
        <r>
          <rPr>
            <sz val="10"/>
            <rFont val="宋体"/>
            <charset val="134"/>
          </rPr>
          <t>======
ID#AAABZpqNdvM
Administrator    (2024-12-02 06:29:00)
mainfreight清关</t>
        </r>
      </text>
    </comment>
    <comment ref="V187" authorId="324">
      <text>
        <r>
          <rPr>
            <sz val="10"/>
            <rFont val="宋体"/>
            <charset val="134"/>
          </rPr>
          <t>======
ID#AAABZpqNd20
Administrator    (2024-12-02 06:29:00)
8/29</t>
        </r>
      </text>
    </comment>
    <comment ref="W187" authorId="325">
      <text>
        <r>
          <rPr>
            <sz val="10"/>
            <rFont val="宋体"/>
            <charset val="134"/>
          </rPr>
          <t>======
ID#AAABZpqNdhY
Administrator    (2024-12-02 06:29:00)
21天免柜</t>
        </r>
      </text>
    </comment>
    <comment ref="V188" authorId="326">
      <text>
        <r>
          <rPr>
            <sz val="10"/>
            <rFont val="宋体"/>
            <charset val="134"/>
          </rPr>
          <t>======
ID#AAABZpqNdno
Administrator    (2024-12-02 06:29:00)
8/22</t>
        </r>
      </text>
    </comment>
    <comment ref="W188" authorId="327">
      <text>
        <r>
          <rPr>
            <sz val="10"/>
            <rFont val="宋体"/>
            <charset val="134"/>
          </rPr>
          <t>======
ID#AAABZplvq6Y
Administrator    (2024-12-02 06:29:00)
21天免柜</t>
        </r>
      </text>
    </comment>
    <comment ref="D189" authorId="328">
      <text>
        <r>
          <rPr>
            <sz val="10"/>
            <rFont val="宋体"/>
            <charset val="134"/>
          </rPr>
          <t>======
ID#AAABZpqNdT4
Administrator    (2024-12-02 06:29:00)
mainfreight清关</t>
        </r>
      </text>
    </comment>
    <comment ref="V189" authorId="329">
      <text>
        <r>
          <rPr>
            <sz val="10"/>
            <rFont val="宋体"/>
            <charset val="134"/>
          </rPr>
          <t>======
ID#AAABZpqNdr8
Administrator    (2024-12-02 06:29:00)
8/27</t>
        </r>
      </text>
    </comment>
    <comment ref="D190" authorId="330">
      <text>
        <r>
          <rPr>
            <sz val="10"/>
            <rFont val="宋体"/>
            <charset val="134"/>
          </rPr>
          <t>======
ID#AAABZplvq7E
Administrator    (2024-12-02 06:29:00)
mainfreight清关</t>
        </r>
      </text>
    </comment>
    <comment ref="V190" authorId="331">
      <text>
        <r>
          <rPr>
            <sz val="10"/>
            <rFont val="宋体"/>
            <charset val="134"/>
          </rPr>
          <t>======
ID#AAABZpqNdVU
Administrator    (2024-12-02 06:29:00)
8/29</t>
        </r>
      </text>
    </comment>
    <comment ref="D191" authorId="332">
      <text>
        <r>
          <rPr>
            <sz val="10"/>
            <rFont val="宋体"/>
            <charset val="134"/>
          </rPr>
          <t>======
ID#AAABZpqNdz0
Administrator    (2024-12-02 06:29:00)
mainfreight清关</t>
        </r>
      </text>
    </comment>
    <comment ref="V191" authorId="333">
      <text>
        <r>
          <rPr>
            <sz val="10"/>
            <rFont val="宋体"/>
            <charset val="134"/>
          </rPr>
          <t>======
ID#AAABZpqNdJk
Administrator    (2024-12-02 06:29:00)
8/28</t>
        </r>
      </text>
    </comment>
    <comment ref="D192" authorId="334">
      <text>
        <r>
          <rPr>
            <sz val="10"/>
            <rFont val="宋体"/>
            <charset val="134"/>
          </rPr>
          <t>======
ID#AAABZpqNdtQ
Administrator    (2024-12-02 06:29:00)
mainfreight清关</t>
        </r>
      </text>
    </comment>
    <comment ref="V192" authorId="335">
      <text>
        <r>
          <rPr>
            <sz val="10"/>
            <rFont val="宋体"/>
            <charset val="134"/>
          </rPr>
          <t>======
ID#AAABZpqNdjE
Administrator    (2024-12-02 06:29:00)
8/30</t>
        </r>
      </text>
    </comment>
    <comment ref="D193" authorId="336">
      <text>
        <r>
          <rPr>
            <sz val="10"/>
            <rFont val="宋体"/>
            <charset val="134"/>
          </rPr>
          <t>======
ID#AAABZpqNdmE
Administrator    (2024-12-02 06:29:00)
mainfreight清关</t>
        </r>
      </text>
    </comment>
    <comment ref="V193" authorId="337">
      <text>
        <r>
          <rPr>
            <sz val="10"/>
            <rFont val="宋体"/>
            <charset val="134"/>
          </rPr>
          <t>======
ID#AAABZpqNdiQ
Administrator    (2024-12-02 06:29:00)
9/3</t>
        </r>
      </text>
    </comment>
    <comment ref="D194" authorId="338">
      <text>
        <r>
          <rPr>
            <sz val="10"/>
            <rFont val="宋体"/>
            <charset val="134"/>
          </rPr>
          <t>======
ID#AAABZpqNdZo
Administrator    (2024-12-02 06:29:00)
mainfreight</t>
        </r>
      </text>
    </comment>
    <comment ref="V194" authorId="339">
      <text>
        <r>
          <rPr>
            <sz val="10"/>
            <rFont val="宋体"/>
            <charset val="134"/>
          </rPr>
          <t>======
ID#AAABZpqNdkg
Administrator    (2024-12-02 06:29:00)
8/31</t>
        </r>
      </text>
    </comment>
    <comment ref="D195" authorId="340">
      <text>
        <r>
          <rPr>
            <sz val="10"/>
            <rFont val="宋体"/>
            <charset val="134"/>
          </rPr>
          <t>======
ID#AAABZpqNd0g
Administrator    (2024-12-02 06:29:00)
mainfreight</t>
        </r>
      </text>
    </comment>
    <comment ref="V195" authorId="341">
      <text>
        <r>
          <rPr>
            <sz val="10"/>
            <rFont val="宋体"/>
            <charset val="134"/>
          </rPr>
          <t>======
ID#AAABZpqNdQU
Administrator    (2024-12-02 06:29:00)
8/31</t>
        </r>
      </text>
    </comment>
    <comment ref="D196" authorId="342">
      <text>
        <r>
          <rPr>
            <sz val="10"/>
            <rFont val="宋体"/>
            <charset val="134"/>
          </rPr>
          <t>======
ID#AAABZpqNdro
Administrator    (2024-12-02 06:29:00)
mainfreight</t>
        </r>
      </text>
    </comment>
    <comment ref="V196" authorId="343">
      <text>
        <r>
          <rPr>
            <sz val="10"/>
            <rFont val="宋体"/>
            <charset val="134"/>
          </rPr>
          <t>======
ID#AAABZpqNdtg
Administrator    (2024-12-02 06:29:00)
9/4</t>
        </r>
      </text>
    </comment>
    <comment ref="D197" authorId="344">
      <text>
        <r>
          <rPr>
            <sz val="10"/>
            <rFont val="宋体"/>
            <charset val="134"/>
          </rPr>
          <t>======
ID#AAABZpkvQbU
Administrator    (2024-12-02 06:29:00)
mainfreight</t>
        </r>
      </text>
    </comment>
    <comment ref="N197" authorId="345">
      <text>
        <r>
          <rPr>
            <sz val="10"/>
            <rFont val="宋体"/>
            <charset val="134"/>
          </rPr>
          <t>CREDIT NOTE 00401731
$102.3
======</t>
        </r>
      </text>
    </comment>
    <comment ref="V197" authorId="346">
      <text>
        <r>
          <rPr>
            <sz val="10"/>
            <rFont val="宋体"/>
            <charset val="134"/>
          </rPr>
          <t>======
ID#AAABZpqNdL4
Administrator    (2024-12-02 06:29:00)
8/31</t>
        </r>
      </text>
    </comment>
    <comment ref="D198" authorId="347">
      <text>
        <r>
          <rPr>
            <sz val="10"/>
            <rFont val="宋体"/>
            <charset val="134"/>
          </rPr>
          <t>======
ID#AAABZpqNdRU
Administrator    (2024-12-02 06:29:00)
mainfreight</t>
        </r>
      </text>
    </comment>
    <comment ref="V198" authorId="348">
      <text>
        <r>
          <rPr>
            <sz val="10"/>
            <rFont val="宋体"/>
            <charset val="134"/>
          </rPr>
          <t>======
ID#AAABZpqNdgI
Administrator    (2024-12-02 06:29:00)
8/31</t>
        </r>
      </text>
    </comment>
    <comment ref="W198" authorId="349">
      <text>
        <r>
          <rPr>
            <sz val="10"/>
            <rFont val="宋体"/>
            <charset val="134"/>
          </rPr>
          <t>======
ID#AAABZpqNd2I
Administrator    (2024-12-02 06:29:00)
21天免柜</t>
        </r>
      </text>
    </comment>
    <comment ref="D199" authorId="350">
      <text>
        <r>
          <rPr>
            <sz val="10"/>
            <rFont val="宋体"/>
            <charset val="134"/>
          </rPr>
          <t>======
ID#AAABZpqNd2A
Administrator    (2024-12-02 06:29:00)
mainfreight</t>
        </r>
      </text>
    </comment>
    <comment ref="V199" authorId="351">
      <text>
        <r>
          <rPr>
            <sz val="10"/>
            <rFont val="宋体"/>
            <charset val="134"/>
          </rPr>
          <t>======
ID#AAABZpqNdyk
Administrator    (2024-12-02 06:29:00)
8/31</t>
        </r>
      </text>
    </comment>
    <comment ref="W199" authorId="352">
      <text>
        <r>
          <rPr>
            <sz val="10"/>
            <rFont val="宋体"/>
            <charset val="134"/>
          </rPr>
          <t>======
ID#AAABZpqNdXY
Administrator    (2024-12-02 06:29:00)
21天免柜</t>
        </r>
      </text>
    </comment>
    <comment ref="D200" authorId="353">
      <text>
        <r>
          <rPr>
            <sz val="10"/>
            <rFont val="宋体"/>
            <charset val="134"/>
          </rPr>
          <t>======
ID#AAABZpqNd0w
Administrator    (2024-12-02 06:29:00)
mainfreight</t>
        </r>
      </text>
    </comment>
    <comment ref="L200" authorId="354">
      <text>
        <r>
          <rPr>
            <sz val="10"/>
            <rFont val="宋体"/>
            <charset val="134"/>
          </rPr>
          <t>======
ID#AAABZpqNdjc
Administrator    (2024-12-02 06:29:00)
Walter Chen &lt;walter.chen@chromagen.com.au&gt;</t>
        </r>
      </text>
    </comment>
    <comment ref="V200" authorId="355">
      <text>
        <r>
          <rPr>
            <sz val="10"/>
            <rFont val="宋体"/>
            <charset val="134"/>
          </rPr>
          <t>======
ID#AAABZpqNdXU
Administrator    (2024-12-02 06:29:00)
8/31</t>
        </r>
      </text>
    </comment>
    <comment ref="W200" authorId="356">
      <text>
        <r>
          <rPr>
            <sz val="10"/>
            <rFont val="宋体"/>
            <charset val="134"/>
          </rPr>
          <t>======
ID#AAABZpqNdbg
Administrator    (2024-12-02 06:29:00)
21天免柜</t>
        </r>
      </text>
    </comment>
    <comment ref="D201" authorId="357">
      <text>
        <r>
          <rPr>
            <sz val="10"/>
            <rFont val="宋体"/>
            <charset val="134"/>
          </rPr>
          <t>======
ID#AAABZpqNdn0
Administrator    (2024-12-02 06:29:00)
mainfreight</t>
        </r>
      </text>
    </comment>
    <comment ref="N201" authorId="358">
      <text>
        <r>
          <rPr>
            <sz val="10"/>
            <rFont val="宋体"/>
            <charset val="134"/>
          </rPr>
          <t>278.3未支付，Why is it charged  WEIGH IN MOTION TERMINAL FEE？
======</t>
        </r>
      </text>
    </comment>
    <comment ref="V201" authorId="359">
      <text>
        <r>
          <rPr>
            <sz val="10"/>
            <rFont val="宋体"/>
            <charset val="134"/>
          </rPr>
          <t>======
ID#AAABZpqNdPo
Administrator    (2024-12-02 06:29:00)
8/30</t>
        </r>
      </text>
    </comment>
    <comment ref="W201" authorId="360">
      <text>
        <r>
          <rPr>
            <sz val="10"/>
            <rFont val="宋体"/>
            <charset val="134"/>
          </rPr>
          <t>======
ID#AAABZpqNde8
Administrator    (2024-12-02 06:29:00)
21天免柜</t>
        </r>
      </text>
    </comment>
    <comment ref="D202" authorId="361">
      <text>
        <r>
          <rPr>
            <sz val="10"/>
            <rFont val="宋体"/>
            <charset val="134"/>
          </rPr>
          <t>======
ID#AAABZpqNdo4
Administrator    (2024-12-02 06:29:00)
mainfreight</t>
        </r>
      </text>
    </comment>
    <comment ref="V202" authorId="362">
      <text>
        <r>
          <rPr>
            <sz val="10"/>
            <rFont val="宋体"/>
            <charset val="134"/>
          </rPr>
          <t>======
ID#AAABZpqNdO0
Administrator    (2024-12-02 06:29:00)
9/4</t>
        </r>
      </text>
    </comment>
    <comment ref="W202" authorId="363">
      <text>
        <r>
          <rPr>
            <sz val="10"/>
            <rFont val="宋体"/>
            <charset val="134"/>
          </rPr>
          <t>======
ID#AAABZpqNdss
Administrator    (2024-12-02 06:29:00)
21天免柜</t>
        </r>
      </text>
    </comment>
    <comment ref="D203" authorId="364">
      <text>
        <r>
          <rPr>
            <sz val="10"/>
            <rFont val="宋体"/>
            <charset val="134"/>
          </rPr>
          <t>======
ID#AAABZpqNdq4
Administrator    (2024-12-02 06:29:00)
mainfreight</t>
        </r>
      </text>
    </comment>
    <comment ref="V203" authorId="365">
      <text>
        <r>
          <rPr>
            <sz val="10"/>
            <rFont val="宋体"/>
            <charset val="134"/>
          </rPr>
          <t>======
ID#AAABZpqNdnQ
Administrator    (2024-12-02 06:29:00)
9/3</t>
        </r>
      </text>
    </comment>
    <comment ref="W203" authorId="366">
      <text>
        <r>
          <rPr>
            <sz val="10"/>
            <rFont val="宋体"/>
            <charset val="134"/>
          </rPr>
          <t>======
ID#AAABZpqNdts
Administrator    (2024-12-02 06:29:00)
21天免柜</t>
        </r>
      </text>
    </comment>
    <comment ref="N204" authorId="367">
      <text>
        <r>
          <rPr>
            <sz val="10"/>
            <rFont val="宋体"/>
            <charset val="134"/>
          </rPr>
          <t>和CAAU6942046合并
======</t>
        </r>
      </text>
    </comment>
    <comment ref="O204" authorId="368">
      <text>
        <r>
          <rPr>
            <sz val="10"/>
            <rFont val="宋体"/>
            <charset val="134"/>
          </rPr>
          <t>和CAAU6942046合并
======</t>
        </r>
      </text>
    </comment>
    <comment ref="V204" authorId="369">
      <text>
        <r>
          <rPr>
            <sz val="10"/>
            <rFont val="宋体"/>
            <charset val="134"/>
          </rPr>
          <t>======
ID#AAABZpqNdnA
Administrator    (2024-12-02 06:29:00)
9/3</t>
        </r>
      </text>
    </comment>
    <comment ref="D205" authorId="370">
      <text>
        <r>
          <rPr>
            <sz val="10"/>
            <rFont val="宋体"/>
            <charset val="134"/>
          </rPr>
          <t>======
ID#AAABZpqNd1E
Administrator    (2024-12-02 06:29:00)
mainfreight清关</t>
        </r>
      </text>
    </comment>
    <comment ref="V205" authorId="371">
      <text>
        <r>
          <rPr>
            <sz val="10"/>
            <rFont val="宋体"/>
            <charset val="134"/>
          </rPr>
          <t>======
ID#AAABZpqNdf8
Administrator    (2024-12-02 06:29:00)
9/6</t>
        </r>
      </text>
    </comment>
    <comment ref="W205" authorId="372">
      <text>
        <r>
          <rPr>
            <sz val="10"/>
            <rFont val="宋体"/>
            <charset val="134"/>
          </rPr>
          <t>======
ID#AAABZpqNdiA
Administrator    (2024-12-02 06:29:00)
21天免柜</t>
        </r>
      </text>
    </comment>
    <comment ref="D206" authorId="373">
      <text>
        <r>
          <rPr>
            <sz val="10"/>
            <rFont val="宋体"/>
            <charset val="134"/>
          </rPr>
          <t>======
ID#AAABZpqNdJo
Administrator    (2024-12-02 06:29:00)
mainfreight</t>
        </r>
      </text>
    </comment>
    <comment ref="V206" authorId="374">
      <text>
        <r>
          <rPr>
            <sz val="10"/>
            <rFont val="宋体"/>
            <charset val="134"/>
          </rPr>
          <t>======
ID#AAABZpqNdqQ
Administrator    (2024-12-02 06:29:00)
9/6</t>
        </r>
      </text>
    </comment>
    <comment ref="D207" authorId="375">
      <text>
        <r>
          <rPr>
            <sz val="10"/>
            <rFont val="宋体"/>
            <charset val="134"/>
          </rPr>
          <t>======
ID#AAABZpqNdL8
Administrator    (2024-12-02 06:29:00)
mainfreight</t>
        </r>
      </text>
    </comment>
    <comment ref="V207" authorId="376">
      <text>
        <r>
          <rPr>
            <sz val="10"/>
            <rFont val="宋体"/>
            <charset val="134"/>
          </rPr>
          <t>======
ID#AAABZplvq3Y
Administrator    (2024-12-02 06:29:00)
9/11</t>
        </r>
      </text>
    </comment>
    <comment ref="W207" authorId="377">
      <text>
        <r>
          <rPr>
            <sz val="10"/>
            <rFont val="宋体"/>
            <charset val="134"/>
          </rPr>
          <t>======
ID#AAABZpqNdrU
Administrator    (2024-12-02 06:29:00)
21天免柜</t>
        </r>
      </text>
    </comment>
    <comment ref="L208" authorId="378">
      <text>
        <r>
          <rPr>
            <sz val="10"/>
            <rFont val="宋体"/>
            <charset val="134"/>
          </rPr>
          <t>======
ID#AAABZpqNdiU
Administrator    (2024-12-02 06:29:00)
Jay Sun&lt;jsun@Polyaire.com.au&gt;</t>
        </r>
      </text>
    </comment>
    <comment ref="V208" authorId="379">
      <text>
        <r>
          <rPr>
            <sz val="10"/>
            <rFont val="宋体"/>
            <charset val="134"/>
          </rPr>
          <t>======
ID#AAABZpqNdZQ
Administrator    (2024-12-02 06:29:00)
9/6</t>
        </r>
      </text>
    </comment>
    <comment ref="D209" authorId="380">
      <text>
        <r>
          <rPr>
            <sz val="10"/>
            <rFont val="宋体"/>
            <charset val="134"/>
          </rPr>
          <t>======
ID#AAABZpqNdi0
Administrator    (2024-12-02 06:29:00)
mainfreight</t>
        </r>
      </text>
    </comment>
    <comment ref="V209" authorId="381">
      <text>
        <r>
          <rPr>
            <sz val="10"/>
            <rFont val="宋体"/>
            <charset val="134"/>
          </rPr>
          <t>======
ID#AAABZpqNdeg
Administrator    (2024-12-02 06:29:00)
9/4</t>
        </r>
      </text>
    </comment>
    <comment ref="D210" authorId="382">
      <text>
        <r>
          <rPr>
            <sz val="10"/>
            <rFont val="宋体"/>
            <charset val="134"/>
          </rPr>
          <t>======
ID#AAABZpqNduw
Administrator    (2024-12-02 06:29:00)
mainfreight</t>
        </r>
      </text>
    </comment>
    <comment ref="V210" authorId="383">
      <text>
        <r>
          <rPr>
            <sz val="10"/>
            <rFont val="宋体"/>
            <charset val="134"/>
          </rPr>
          <t>======
ID#AAABZpqNdjw
Administrator    (2024-12-02 06:29:00)
9/4</t>
        </r>
      </text>
    </comment>
    <comment ref="W210" authorId="384">
      <text>
        <r>
          <rPr>
            <sz val="10"/>
            <rFont val="宋体"/>
            <charset val="134"/>
          </rPr>
          <t>======
ID#AAABZpkh7WE
Administrator    (2024-12-02 06:29:00)
21天免柜</t>
        </r>
      </text>
    </comment>
    <comment ref="D211" authorId="385">
      <text>
        <r>
          <rPr>
            <sz val="10"/>
            <rFont val="宋体"/>
            <charset val="134"/>
          </rPr>
          <t>======
ID#AAABZpqNdNc
Administrator    (2024-12-02 06:29:00)
mainfreight</t>
        </r>
      </text>
    </comment>
    <comment ref="V211" authorId="386">
      <text>
        <r>
          <rPr>
            <sz val="10"/>
            <rFont val="宋体"/>
            <charset val="134"/>
          </rPr>
          <t>======
ID#AAABZpkvQcA
Administrator    (2024-12-02 06:29:00)
9/6</t>
        </r>
      </text>
    </comment>
    <comment ref="D212" authorId="387">
      <text>
        <r>
          <rPr>
            <sz val="10"/>
            <rFont val="宋体"/>
            <charset val="134"/>
          </rPr>
          <t>======
ID#AAABZpqNdQM
Administrator    (2024-12-02 06:29:00)
mainfreight清关</t>
        </r>
      </text>
    </comment>
    <comment ref="V212" authorId="388">
      <text>
        <r>
          <rPr>
            <sz val="10"/>
            <rFont val="宋体"/>
            <charset val="134"/>
          </rPr>
          <t>======
ID#AAABZpqNdsA
Administrator    (2024-12-02 06:29:00)
9/9</t>
        </r>
      </text>
    </comment>
    <comment ref="D213" authorId="389">
      <text>
        <r>
          <rPr>
            <sz val="10"/>
            <rFont val="宋体"/>
            <charset val="134"/>
          </rPr>
          <t>======
ID#AAABZpqNdXI
Administrator    (2024-12-02 06:29:00)
mainfreight</t>
        </r>
      </text>
    </comment>
    <comment ref="V213" authorId="390">
      <text>
        <r>
          <rPr>
            <sz val="10"/>
            <rFont val="宋体"/>
            <charset val="134"/>
          </rPr>
          <t>======
ID#AAABZpqNdx8
Administrator    (2024-12-02 06:29:00)
9/12</t>
        </r>
      </text>
    </comment>
    <comment ref="V214" authorId="391">
      <text>
        <r>
          <rPr>
            <sz val="10"/>
            <rFont val="宋体"/>
            <charset val="134"/>
          </rPr>
          <t>======
ID#AAABZpqNdYg
Administrator    (2024-12-02 06:29:00)
9/10</t>
        </r>
      </text>
    </comment>
    <comment ref="D215" authorId="392">
      <text>
        <r>
          <rPr>
            <sz val="10"/>
            <rFont val="宋体"/>
            <charset val="134"/>
          </rPr>
          <t>======
ID#AAABZpqNdsY
Administrator    (2024-12-02 06:29:00)
mainfreight</t>
        </r>
      </text>
    </comment>
    <comment ref="V215" authorId="393">
      <text>
        <r>
          <rPr>
            <sz val="10"/>
            <rFont val="宋体"/>
            <charset val="134"/>
          </rPr>
          <t>======
ID#AAABZpqNdmg
Administrator    (2024-12-02 06:29:00)
9/16</t>
        </r>
      </text>
    </comment>
    <comment ref="D216" authorId="394">
      <text>
        <r>
          <rPr>
            <sz val="10"/>
            <rFont val="宋体"/>
            <charset val="134"/>
          </rPr>
          <t>======
ID#AAABZpqNdtA
Administrator    (2024-12-02 06:29:00)
mainfreight</t>
        </r>
      </text>
    </comment>
    <comment ref="L216" authorId="395">
      <text>
        <r>
          <rPr>
            <sz val="10"/>
            <rFont val="宋体"/>
            <charset val="134"/>
          </rPr>
          <t>======
ID#AAABZpqNdho
Administrator    (2024-12-02 06:29:00)
puneet@wegreen.com.au</t>
        </r>
      </text>
    </comment>
    <comment ref="V216" authorId="396">
      <text>
        <r>
          <rPr>
            <sz val="10"/>
            <rFont val="宋体"/>
            <charset val="134"/>
          </rPr>
          <t>======
ID#AAABZpqNd0M
Administrator    (2024-12-02 06:29:00)
9/17</t>
        </r>
      </text>
    </comment>
    <comment ref="D217" authorId="397">
      <text>
        <r>
          <rPr>
            <sz val="10"/>
            <rFont val="宋体"/>
            <charset val="134"/>
          </rPr>
          <t>======
ID#AAABZpqNdos
Administrator    (2024-12-02 06:29:00)
mainfreight</t>
        </r>
      </text>
    </comment>
    <comment ref="V217" authorId="398">
      <text>
        <r>
          <rPr>
            <sz val="10"/>
            <rFont val="宋体"/>
            <charset val="134"/>
          </rPr>
          <t>======
ID#AAABZpqNdQg
Administrator    (2024-12-02 06:29:00)
9/16</t>
        </r>
      </text>
    </comment>
    <comment ref="W217" authorId="399">
      <text>
        <r>
          <rPr>
            <sz val="10"/>
            <rFont val="宋体"/>
            <charset val="134"/>
          </rPr>
          <t>======
ID#AAABZpqNdoA
Administrator    (2024-12-02 06:29:00)
21天免柜</t>
        </r>
      </text>
    </comment>
    <comment ref="D218" authorId="400">
      <text>
        <r>
          <rPr>
            <sz val="10"/>
            <rFont val="宋体"/>
            <charset val="134"/>
          </rPr>
          <t>======
ID#AAABZplvq4o
Administrator    (2024-12-02 06:29:00)
mainfreight</t>
        </r>
      </text>
    </comment>
    <comment ref="N218" authorId="401">
      <text>
        <r>
          <rPr>
            <sz val="10"/>
            <rFont val="宋体"/>
            <charset val="134"/>
          </rPr>
          <t>1551.52在11.14通知sharon付款，137.5--We arranged another two containers came to QLD warehouse on Sep 12th. But mainfreight team delivered container:TSSU5188195 on Sep 11th without our confirmation, caused our warehouse to reluctantly accept 3 containers. And when the driver came to pick up the empty container, container:TSSU5188195 was at the innermost, then caused handling charges for movement. 
﻿
We don't think we should be charged this fee because this issue was not caused by us.- please find email chain attached, Daisy advised this charge
======</t>
        </r>
      </text>
    </comment>
    <comment ref="V218" authorId="402">
      <text>
        <r>
          <rPr>
            <sz val="10"/>
            <rFont val="宋体"/>
            <charset val="134"/>
          </rPr>
          <t>======
ID#AAABZpqNdNM
Administrator    (2024-12-02 06:29:00)
9/18</t>
        </r>
      </text>
    </comment>
    <comment ref="V219" authorId="403">
      <text>
        <r>
          <rPr>
            <sz val="10"/>
            <rFont val="宋体"/>
            <charset val="134"/>
          </rPr>
          <t>======
ID#AAABZpqNdqw
Administrator    (2024-12-02 06:29:00)
9/18</t>
        </r>
      </text>
    </comment>
    <comment ref="V220" authorId="404">
      <text>
        <r>
          <rPr>
            <sz val="10"/>
            <rFont val="宋体"/>
            <charset val="134"/>
          </rPr>
          <t>======
ID#AAABZpqNdgc
Administrator    (2024-12-02 06:29:00)
9/18</t>
        </r>
      </text>
    </comment>
    <comment ref="D221" authorId="405">
      <text>
        <r>
          <rPr>
            <sz val="10"/>
            <rFont val="宋体"/>
            <charset val="134"/>
          </rPr>
          <t>======
ID#AAABZpqNdX4
Administrator    (2024-12-02 06:29:00)
mainfreight</t>
        </r>
      </text>
    </comment>
    <comment ref="V221" authorId="406">
      <text>
        <r>
          <rPr>
            <sz val="10"/>
            <rFont val="宋体"/>
            <charset val="134"/>
          </rPr>
          <t>======
ID#AAABZpqNdgk
Administrator    (2024-12-02 06:29:00)
9/20</t>
        </r>
      </text>
    </comment>
    <comment ref="W221" authorId="407">
      <text>
        <r>
          <rPr>
            <sz val="10"/>
            <rFont val="宋体"/>
            <charset val="134"/>
          </rPr>
          <t>======
ID#AAABZpqNdRI
Administrator    (2024-12-02 06:29:00)
21天免柜</t>
        </r>
      </text>
    </comment>
    <comment ref="D222" authorId="408">
      <text>
        <r>
          <rPr>
            <sz val="10"/>
            <rFont val="宋体"/>
            <charset val="134"/>
          </rPr>
          <t>======
ID#AAABZpqNdn8
Administrator    (2024-12-02 06:29:00)
mainfreight</t>
        </r>
      </text>
    </comment>
    <comment ref="V222" authorId="409">
      <text>
        <r>
          <rPr>
            <sz val="10"/>
            <rFont val="宋体"/>
            <charset val="134"/>
          </rPr>
          <t>======
ID#AAABZpqNdhc
Administrator    (2024-12-02 06:29:00)
9/20</t>
        </r>
      </text>
    </comment>
    <comment ref="W222" authorId="410">
      <text>
        <r>
          <rPr>
            <sz val="10"/>
            <rFont val="宋体"/>
            <charset val="134"/>
          </rPr>
          <t>======
ID#AAABZpqNdrA
Administrator    (2024-12-02 06:29:00)
21天免柜</t>
        </r>
      </text>
    </comment>
    <comment ref="D223" authorId="411">
      <text>
        <r>
          <rPr>
            <sz val="10"/>
            <rFont val="宋体"/>
            <charset val="134"/>
          </rPr>
          <t>======
ID#AAABZpqNdPw
Administrator    (2024-12-02 06:29:00)
mainfreight</t>
        </r>
      </text>
    </comment>
    <comment ref="V223" authorId="412">
      <text>
        <r>
          <rPr>
            <sz val="10"/>
            <rFont val="宋体"/>
            <charset val="134"/>
          </rPr>
          <t>======
ID#AAABZpkvQcE
Administrator    (2024-12-02 06:29:00)
9/20</t>
        </r>
      </text>
    </comment>
    <comment ref="W223" authorId="413">
      <text>
        <r>
          <rPr>
            <sz val="10"/>
            <rFont val="宋体"/>
            <charset val="134"/>
          </rPr>
          <t>======
ID#AAABZpqNdJM
Administrator    (2024-12-02 06:29:00)
21天免柜</t>
        </r>
      </text>
    </comment>
    <comment ref="D224" authorId="414">
      <text>
        <r>
          <rPr>
            <sz val="10"/>
            <rFont val="宋体"/>
            <charset val="134"/>
          </rPr>
          <t>======
ID#AAABZplvq5E
Administrator    (2024-12-02 06:29:00)
mainfreight</t>
        </r>
      </text>
    </comment>
    <comment ref="N224" authorId="415">
      <text>
        <r>
          <rPr>
            <sz val="10"/>
            <rFont val="宋体"/>
            <charset val="134"/>
          </rPr>
          <t>1819.16已支付，
185.85对应credit note 00401220,
AUD10, 11.18通知sharon支付
======</t>
        </r>
      </text>
    </comment>
    <comment ref="V224" authorId="416">
      <text>
        <r>
          <rPr>
            <sz val="10"/>
            <rFont val="宋体"/>
            <charset val="134"/>
          </rPr>
          <t>======
ID#AAABZpqNdXk
Administrator    (2024-12-02 06:29:00)
9/23</t>
        </r>
      </text>
    </comment>
    <comment ref="W224" authorId="417">
      <text>
        <r>
          <rPr>
            <sz val="10"/>
            <rFont val="宋体"/>
            <charset val="134"/>
          </rPr>
          <t>======
ID#AAABZpqNdc4
Administrator    (2024-12-02 06:29:00)
21天免柜</t>
        </r>
      </text>
    </comment>
    <comment ref="D225" authorId="418">
      <text>
        <r>
          <rPr>
            <sz val="10"/>
            <rFont val="宋体"/>
            <charset val="134"/>
          </rPr>
          <t>======
ID#AAABZpqNdWk
Administrator    (2024-12-02 06:29:00)
mainfreight</t>
        </r>
      </text>
    </comment>
    <comment ref="V225" authorId="419">
      <text>
        <r>
          <rPr>
            <sz val="10"/>
            <rFont val="宋体"/>
            <charset val="134"/>
          </rPr>
          <t>======
ID#AAABZpqNdj4
Administrator    (2024-12-02 06:29:00)
9/24</t>
        </r>
      </text>
    </comment>
    <comment ref="W225" authorId="420">
      <text>
        <r>
          <rPr>
            <sz val="10"/>
            <rFont val="宋体"/>
            <charset val="134"/>
          </rPr>
          <t>======
ID#AAABZpqNdPs
Administrator    (2024-12-02 06:29:00)
21天免柜</t>
        </r>
      </text>
    </comment>
    <comment ref="D226" authorId="421">
      <text>
        <r>
          <rPr>
            <sz val="10"/>
            <rFont val="宋体"/>
            <charset val="134"/>
          </rPr>
          <t>======
ID#AAABZpqNd1k
Administrator    (2024-12-02 06:29:00)
mainfreight</t>
        </r>
      </text>
    </comment>
    <comment ref="V226" authorId="422">
      <text>
        <r>
          <rPr>
            <sz val="10"/>
            <rFont val="宋体"/>
            <charset val="134"/>
          </rPr>
          <t>======
ID#AAABZpqNdOg
Administrator    (2024-12-02 06:29:00)
9/26</t>
        </r>
      </text>
    </comment>
    <comment ref="W226" authorId="423">
      <text>
        <r>
          <rPr>
            <sz val="10"/>
            <rFont val="宋体"/>
            <charset val="134"/>
          </rPr>
          <t>======
ID#AAABZpqNd0I
Administrator    (2024-12-02 06:29:00)
21天免柜</t>
        </r>
      </text>
    </comment>
    <comment ref="D227" authorId="424">
      <text>
        <r>
          <rPr>
            <sz val="10"/>
            <rFont val="宋体"/>
            <charset val="134"/>
          </rPr>
          <t>======
ID#AAABZpqNdzg
Administrator    (2024-12-02 06:29:00)
mainfreight</t>
        </r>
      </text>
    </comment>
    <comment ref="N227" authorId="425">
      <text>
        <r>
          <rPr>
            <sz val="10"/>
            <rFont val="宋体"/>
            <charset val="134"/>
          </rPr>
          <t>1813.71于10.14已支付。
185.85对应CREDIT NOTE 00401219 
10 2024.11.18 通知sharon可支付
======</t>
        </r>
      </text>
    </comment>
    <comment ref="V227" authorId="426">
      <text>
        <r>
          <rPr>
            <sz val="10"/>
            <rFont val="宋体"/>
            <charset val="134"/>
          </rPr>
          <t>======
ID#AAABZpqNd2c
Administrator    (2024-12-02 06:29:00)
9/27</t>
        </r>
      </text>
    </comment>
    <comment ref="W227" authorId="427">
      <text>
        <r>
          <rPr>
            <sz val="10"/>
            <rFont val="宋体"/>
            <charset val="134"/>
          </rPr>
          <t>======
ID#AAABZpqNdww
Administrator    (2024-12-02 06:29:00)
21天免柜</t>
        </r>
      </text>
    </comment>
    <comment ref="D228" authorId="428">
      <text>
        <r>
          <rPr>
            <sz val="10"/>
            <rFont val="宋体"/>
            <charset val="134"/>
          </rPr>
          <t>======
ID#AAABZpkvQbw
Administrator    (2024-12-02 06:29:00)
mainfreight</t>
        </r>
      </text>
    </comment>
    <comment ref="N228" authorId="429">
      <text>
        <r>
          <rPr>
            <sz val="10"/>
            <rFont val="宋体"/>
            <charset val="134"/>
          </rPr>
          <t>======
ID#AAABZpqNd14
Sharon Zhao    (2024-12-03 05:26:58)
credit $34.1</t>
        </r>
      </text>
    </comment>
    <comment ref="V228" authorId="430">
      <text>
        <r>
          <rPr>
            <sz val="10"/>
            <rFont val="宋体"/>
            <charset val="134"/>
          </rPr>
          <t>======
ID#AAABZpqNdOM
Administrator    (2024-12-02 06:29:00)
10/1</t>
        </r>
      </text>
    </comment>
    <comment ref="W228" authorId="431">
      <text>
        <r>
          <rPr>
            <sz val="10"/>
            <rFont val="宋体"/>
            <charset val="134"/>
          </rPr>
          <t>======
ID#AAABZpqNdQ8
Administrator    (2024-12-02 06:29:00)
21天免柜</t>
        </r>
      </text>
    </comment>
    <comment ref="D229" authorId="432">
      <text>
        <r>
          <rPr>
            <sz val="10"/>
            <rFont val="宋体"/>
            <charset val="134"/>
          </rPr>
          <t>======
ID#AAABZpqNd0Y
Administrator    (2024-12-02 06:29:00)
mainfreight</t>
        </r>
      </text>
    </comment>
    <comment ref="N229" authorId="433">
      <text>
        <r>
          <rPr>
            <sz val="10"/>
            <rFont val="宋体"/>
            <charset val="134"/>
          </rPr>
          <t>======
ID#AAABZplvq5w
Sharon Zhao    (2024-12-03 05:33:04)
credit $44</t>
        </r>
      </text>
    </comment>
    <comment ref="V229" authorId="434">
      <text>
        <r>
          <rPr>
            <sz val="10"/>
            <rFont val="宋体"/>
            <charset val="134"/>
          </rPr>
          <t>======
ID#AAABZpqNdqg
Administrator    (2024-12-02 06:29:00)
10/2</t>
        </r>
      </text>
    </comment>
    <comment ref="W229" authorId="435">
      <text>
        <r>
          <rPr>
            <sz val="10"/>
            <rFont val="宋体"/>
            <charset val="134"/>
          </rPr>
          <t>======
ID#AAABZpqNdoU
Administrator    (2024-12-02 06:29:00)
21天免柜</t>
        </r>
      </text>
    </comment>
    <comment ref="D230" authorId="436">
      <text>
        <r>
          <rPr>
            <sz val="10"/>
            <rFont val="宋体"/>
            <charset val="134"/>
          </rPr>
          <t>======
ID#AAABZpqNd00
Administrator    (2024-12-02 06:29:00)
mainfreight</t>
        </r>
      </text>
    </comment>
    <comment ref="N230" authorId="437">
      <text>
        <r>
          <rPr>
            <sz val="10"/>
            <rFont val="宋体"/>
            <charset val="134"/>
          </rPr>
          <t>======
ID#AAABZpqNdfo
Sharon Zhao    (2024-12-03 05:41:18)
credit $44</t>
        </r>
      </text>
    </comment>
    <comment ref="V230" authorId="438">
      <text>
        <r>
          <rPr>
            <sz val="10"/>
            <rFont val="宋体"/>
            <charset val="134"/>
          </rPr>
          <t>======
ID#AAABZpqNdmU
Administrator    (2024-12-02 06:29:00)
10/1</t>
        </r>
      </text>
    </comment>
    <comment ref="W230" authorId="439">
      <text>
        <r>
          <rPr>
            <sz val="10"/>
            <rFont val="宋体"/>
            <charset val="134"/>
          </rPr>
          <t>======
ID#AAABZpqNdMs
Administrator    (2024-12-02 06:29:00)
21天免柜</t>
        </r>
      </text>
    </comment>
    <comment ref="D231" authorId="440">
      <text>
        <r>
          <rPr>
            <sz val="10"/>
            <rFont val="宋体"/>
            <charset val="134"/>
          </rPr>
          <t>======
ID#AAABZpqNdgY
Administrator    (2024-12-02 06:29:00)
mainfreight</t>
        </r>
      </text>
    </comment>
    <comment ref="N231" authorId="441">
      <text>
        <r>
          <rPr>
            <sz val="10"/>
            <rFont val="宋体"/>
            <charset val="134"/>
          </rPr>
          <t>======
ID#AAABZpqNdU0
Sharon Zhao    (2024-12-03 05:35:46)
credit $414.45</t>
        </r>
      </text>
    </comment>
    <comment ref="V231" authorId="442">
      <text>
        <r>
          <rPr>
            <sz val="10"/>
            <rFont val="宋体"/>
            <charset val="134"/>
          </rPr>
          <t>======
ID#AAABZpqNdqs
Administrator    (2024-12-02 06:29:00)
10/1</t>
        </r>
      </text>
    </comment>
    <comment ref="W231" authorId="443">
      <text>
        <r>
          <rPr>
            <sz val="10"/>
            <rFont val="宋体"/>
            <charset val="134"/>
          </rPr>
          <t>======
ID#AAABZpqNdcc
Administrator    (2024-12-02 06:29:00)
21天免柜</t>
        </r>
      </text>
    </comment>
    <comment ref="D232" authorId="444">
      <text>
        <r>
          <rPr>
            <sz val="10"/>
            <rFont val="宋体"/>
            <charset val="134"/>
          </rPr>
          <t>======
ID#AAABZpqNdo8
Administrator    (2024-12-02 06:29:00)
mainfreight</t>
        </r>
      </text>
    </comment>
    <comment ref="L232" authorId="445">
      <text>
        <r>
          <rPr>
            <sz val="10"/>
            <rFont val="宋体"/>
            <charset val="134"/>
          </rPr>
          <t>======
ID#AAABZpqNdc8
Administrator    (2024-12-02 06:29:00)
0618B</t>
        </r>
      </text>
    </comment>
    <comment ref="N232" authorId="446">
      <text>
        <r>
          <rPr>
            <sz val="10"/>
            <rFont val="宋体"/>
            <charset val="134"/>
          </rPr>
          <t>======
ID#AAABZpqNdKc
Sharon Zhao    (2024-12-03 05:29:47)
credit $234.54</t>
        </r>
      </text>
    </comment>
    <comment ref="V232" authorId="447">
      <text>
        <r>
          <rPr>
            <sz val="10"/>
            <rFont val="宋体"/>
            <charset val="134"/>
          </rPr>
          <t>======
ID#AAABZpqNdfs
Administrator    (2024-12-02 06:29:00)
10/2</t>
        </r>
      </text>
    </comment>
    <comment ref="W232" authorId="448">
      <text>
        <r>
          <rPr>
            <sz val="10"/>
            <rFont val="宋体"/>
            <charset val="134"/>
          </rPr>
          <t>======
ID#AAABZpqNdtU
Administrator    (2024-12-02 06:29:00)
21天免柜</t>
        </r>
      </text>
    </comment>
    <comment ref="D233" authorId="449">
      <text>
        <r>
          <rPr>
            <sz val="10"/>
            <rFont val="宋体"/>
            <charset val="134"/>
          </rPr>
          <t>======
ID#AAABZpqNdh8
Administrator    (2024-12-02 06:29:00)
mainfreight</t>
        </r>
      </text>
    </comment>
    <comment ref="L233" authorId="450">
      <text>
        <r>
          <rPr>
            <sz val="10"/>
            <rFont val="宋体"/>
            <charset val="134"/>
          </rPr>
          <t>======
ID#AAABZpqNdMA
Administrator    (2024-12-02 06:29:00)
0618B</t>
        </r>
      </text>
    </comment>
    <comment ref="N233" authorId="451">
      <text>
        <r>
          <rPr>
            <sz val="10"/>
            <rFont val="宋体"/>
            <charset val="134"/>
          </rPr>
          <t>1263.49已支付
316.62 11.14通知sharon付款
======</t>
        </r>
      </text>
    </comment>
    <comment ref="V233" authorId="452">
      <text>
        <r>
          <rPr>
            <sz val="10"/>
            <rFont val="宋体"/>
            <charset val="134"/>
          </rPr>
          <t>======
ID#AAABZpqNdKo
Administrator    (2024-12-02 06:29:00)
10/2</t>
        </r>
      </text>
    </comment>
    <comment ref="W233" authorId="453">
      <text>
        <r>
          <rPr>
            <sz val="10"/>
            <rFont val="宋体"/>
            <charset val="134"/>
          </rPr>
          <t>======
ID#AAABZpqNd1w
Administrator    (2024-12-02 06:29:00)
21天免柜</t>
        </r>
      </text>
    </comment>
    <comment ref="D234" authorId="454">
      <text>
        <r>
          <rPr>
            <sz val="10"/>
            <rFont val="宋体"/>
            <charset val="134"/>
          </rPr>
          <t>======
ID#AAABZpqNdxU
Administrator    (2024-12-02 06:29:00)
mainfreight</t>
        </r>
      </text>
    </comment>
    <comment ref="L234" authorId="455">
      <text>
        <r>
          <rPr>
            <sz val="10"/>
            <rFont val="宋体"/>
            <charset val="134"/>
          </rPr>
          <t>======
ID#AAABZpqNdTI
Administrator    (2024-12-02 06:29:00)
0618B</t>
        </r>
      </text>
    </comment>
    <comment ref="V234" authorId="456">
      <text>
        <r>
          <rPr>
            <sz val="10"/>
            <rFont val="宋体"/>
            <charset val="134"/>
          </rPr>
          <t>======
ID#AAABZpqNd30
Administrator    (2024-12-02 06:29:00)
10/7</t>
        </r>
      </text>
    </comment>
    <comment ref="W234" authorId="457">
      <text>
        <r>
          <rPr>
            <sz val="10"/>
            <rFont val="宋体"/>
            <charset val="134"/>
          </rPr>
          <t>======
ID#AAABZpqNdZ8
Administrator    (2024-12-02 06:29:00)
21天免柜</t>
        </r>
      </text>
    </comment>
    <comment ref="D235" authorId="458">
      <text>
        <r>
          <rPr>
            <sz val="10"/>
            <rFont val="宋体"/>
            <charset val="134"/>
          </rPr>
          <t>======
ID#AAABZpqNdRE
Administrator    (2024-12-02 06:29:00)
mainfreight</t>
        </r>
      </text>
    </comment>
    <comment ref="L235" authorId="459">
      <text>
        <r>
          <rPr>
            <sz val="10"/>
            <rFont val="宋体"/>
            <charset val="134"/>
          </rPr>
          <t>======
ID#AAABZpqNdNg
Administrator    (2024-12-02 06:29:00)
0618B</t>
        </r>
      </text>
    </comment>
    <comment ref="V235" authorId="460">
      <text>
        <r>
          <rPr>
            <sz val="10"/>
            <rFont val="宋体"/>
            <charset val="134"/>
          </rPr>
          <t>======
ID#AAABZpqNdmY
Administrator    (2024-12-02 06:29:00)
10/9</t>
        </r>
      </text>
    </comment>
    <comment ref="W235" authorId="461">
      <text>
        <r>
          <rPr>
            <sz val="10"/>
            <rFont val="宋体"/>
            <charset val="134"/>
          </rPr>
          <t>======
ID#AAABZpqNdbA
Administrator    (2024-12-02 06:29:00)
21天免柜</t>
        </r>
      </text>
    </comment>
    <comment ref="D236" authorId="462">
      <text>
        <r>
          <rPr>
            <sz val="10"/>
            <rFont val="宋体"/>
            <charset val="134"/>
          </rPr>
          <t>======
ID#AAABZpqNdqM
Administrator    (2024-12-02 06:29:00)
mainfreight</t>
        </r>
      </text>
    </comment>
    <comment ref="N236" authorId="463">
      <text>
        <r>
          <rPr>
            <sz val="10"/>
            <rFont val="宋体"/>
            <charset val="134"/>
          </rPr>
          <t>======
ID#AAABZplvq5g
Sharon Zhao    (2024-12-03 05:34:57)
credit $191.2</t>
        </r>
      </text>
    </comment>
    <comment ref="V236" authorId="464">
      <text>
        <r>
          <rPr>
            <sz val="10"/>
            <rFont val="宋体"/>
            <charset val="134"/>
          </rPr>
          <t>======
ID#AAABZpqNdJE
Administrator    (2024-12-02 06:29:00)
10/4</t>
        </r>
      </text>
    </comment>
    <comment ref="W236" authorId="465">
      <text>
        <r>
          <rPr>
            <sz val="10"/>
            <rFont val="宋体"/>
            <charset val="134"/>
          </rPr>
          <t>======
ID#AAABZpqNdMI
Administrator    (2024-12-02 06:29:00)
21天免柜</t>
        </r>
      </text>
    </comment>
    <comment ref="D237" authorId="466">
      <text>
        <r>
          <rPr>
            <sz val="10"/>
            <rFont val="宋体"/>
            <charset val="134"/>
          </rPr>
          <t>======
ID#AAABZpqNdzs
Administrator    (2024-12-02 06:29:00)
mainfreight</t>
        </r>
      </text>
    </comment>
    <comment ref="N237" authorId="467">
      <text>
        <r>
          <rPr>
            <sz val="10"/>
            <rFont val="宋体"/>
            <charset val="134"/>
          </rPr>
          <t>1392.62对应CREDIT NOTE 00398497
303.6 WEIGH IN MOTION TERMINAL FEE,TIMESLOT BOOKING FEE-Why need thoes fee？
======</t>
        </r>
      </text>
    </comment>
    <comment ref="V237" authorId="468">
      <text>
        <r>
          <rPr>
            <sz val="10"/>
            <rFont val="宋体"/>
            <charset val="134"/>
          </rPr>
          <t>======
ID#AAABZpqNde4
Administrator    (2024-12-02 06:29:00)
10/2</t>
        </r>
      </text>
    </comment>
    <comment ref="W237" authorId="469">
      <text>
        <r>
          <rPr>
            <sz val="10"/>
            <rFont val="宋体"/>
            <charset val="134"/>
          </rPr>
          <t>======
ID#AAABZpqNdxE
Administrator    (2024-12-02 06:29:00)
21天免柜</t>
        </r>
      </text>
    </comment>
    <comment ref="D238" authorId="470">
      <text>
        <r>
          <rPr>
            <sz val="10"/>
            <rFont val="宋体"/>
            <charset val="134"/>
          </rPr>
          <t>======
ID#AAABZpqNd2o
Administrator    (2024-12-02 06:29:00)
mainfreight</t>
        </r>
      </text>
    </comment>
    <comment ref="N238" authorId="471">
      <text>
        <r>
          <rPr>
            <sz val="10"/>
            <rFont val="宋体"/>
            <charset val="134"/>
          </rPr>
          <t>======
ID#AAABZpqNdRk
Sharon Zhao    (2024-12-03 05:34:01)
credit $160.05</t>
        </r>
      </text>
    </comment>
    <comment ref="V238" authorId="472">
      <text>
        <r>
          <rPr>
            <sz val="10"/>
            <rFont val="宋体"/>
            <charset val="134"/>
          </rPr>
          <t>======
ID#AAABZpqNdW8
Administrator    (2024-12-02 06:29:00)
10/2</t>
        </r>
      </text>
    </comment>
    <comment ref="W238" authorId="473">
      <text>
        <r>
          <rPr>
            <sz val="10"/>
            <rFont val="宋体"/>
            <charset val="134"/>
          </rPr>
          <t>======
ID#AAABZpqNdLU
Administrator    (2024-12-02 06:29:00)
21天免柜</t>
        </r>
      </text>
    </comment>
    <comment ref="D239" authorId="474">
      <text>
        <r>
          <rPr>
            <sz val="10"/>
            <rFont val="宋体"/>
            <charset val="134"/>
          </rPr>
          <t>======
ID#AAABZpqNdxg
Administrator    (2024-12-02 06:29:00)
mainfreight</t>
        </r>
      </text>
    </comment>
    <comment ref="N239" authorId="475">
      <text>
        <r>
          <rPr>
            <sz val="10"/>
            <rFont val="宋体"/>
            <charset val="134"/>
          </rPr>
          <t>======
ID#AAABZpqNd0s
Sharon Zhao    (2024-12-03 05:28:49)
credit $194.8
------
ID#AAABaCrJA64
Sharon Zhao    (2024-12-11 05:56:25)
paid $1508.67
unpaid $957.59</t>
        </r>
      </text>
    </comment>
    <comment ref="V239" authorId="476">
      <text>
        <r>
          <rPr>
            <sz val="10"/>
            <rFont val="宋体"/>
            <charset val="134"/>
          </rPr>
          <t>======
ID#AAABZpqNd3U
Administrator    (2024-12-02 06:29:00)
10/14</t>
        </r>
      </text>
    </comment>
    <comment ref="W239" authorId="477">
      <text>
        <r>
          <rPr>
            <sz val="10"/>
            <rFont val="宋体"/>
            <charset val="134"/>
          </rPr>
          <t>======
ID#AAABZpqNdNY
Administrator    (2024-12-02 06:29:00)
21天免柜</t>
        </r>
      </text>
    </comment>
    <comment ref="D240" authorId="478">
      <text>
        <r>
          <rPr>
            <sz val="10"/>
            <rFont val="宋体"/>
            <charset val="134"/>
          </rPr>
          <t>======
ID#AAABZpqNd2M
Administrator    (2024-12-02 06:29:00)
mainfreight</t>
        </r>
      </text>
    </comment>
    <comment ref="N240" authorId="479">
      <text>
        <r>
          <rPr>
            <sz val="10"/>
            <rFont val="宋体"/>
            <charset val="134"/>
          </rPr>
          <t>======
ID#AAABZpqNdXs
Sharon Zhao    (2024-12-03 05:28:01)
credit $160.05</t>
        </r>
      </text>
    </comment>
    <comment ref="V240" authorId="480">
      <text>
        <r>
          <rPr>
            <sz val="10"/>
            <rFont val="宋体"/>
            <charset val="134"/>
          </rPr>
          <t>======
ID#AAABZpkvQbc
Administrator    (2024-12-02 06:29:00)
10/15</t>
        </r>
      </text>
    </comment>
    <comment ref="W240" authorId="481">
      <text>
        <r>
          <rPr>
            <sz val="10"/>
            <rFont val="宋体"/>
            <charset val="134"/>
          </rPr>
          <t>======
ID#AAABZpqNdVQ
Administrator    (2024-12-02 06:29:00)
21天免柜</t>
        </r>
      </text>
    </comment>
    <comment ref="D241" authorId="482">
      <text>
        <r>
          <rPr>
            <sz val="10"/>
            <rFont val="宋体"/>
            <charset val="134"/>
          </rPr>
          <t>======
ID#AAABZpqNdMQ
Administrator    (2024-12-02 06:29:00)
mainfreight</t>
        </r>
      </text>
    </comment>
    <comment ref="V241" authorId="483">
      <text>
        <r>
          <rPr>
            <sz val="10"/>
            <rFont val="宋体"/>
            <charset val="134"/>
          </rPr>
          <t>======
ID#AAABZpqNdSo
Administrator    (2024-12-02 06:29:00)
10/15</t>
        </r>
      </text>
    </comment>
    <comment ref="W241" authorId="484">
      <text>
        <r>
          <rPr>
            <sz val="10"/>
            <rFont val="宋体"/>
            <charset val="134"/>
          </rPr>
          <t>======
ID#AAABZpqNdR4
Administrator    (2024-12-02 06:29:00)
21天免柜</t>
        </r>
      </text>
    </comment>
    <comment ref="D242" authorId="485">
      <text>
        <r>
          <rPr>
            <sz val="10"/>
            <rFont val="宋体"/>
            <charset val="134"/>
          </rPr>
          <t>======
ID#AAABZpqNdcg
Administrator    (2024-12-02 06:29:00)
mainfreight</t>
        </r>
      </text>
    </comment>
    <comment ref="N242" authorId="486">
      <text>
        <r>
          <rPr>
            <sz val="10"/>
            <rFont val="宋体"/>
            <charset val="134"/>
          </rPr>
          <t>CREDIT NOTE 00400838 $2,227.39
======</t>
        </r>
      </text>
    </comment>
    <comment ref="V242" authorId="487">
      <text>
        <r>
          <rPr>
            <sz val="10"/>
            <rFont val="宋体"/>
            <charset val="134"/>
          </rPr>
          <t>======
ID#AAABZpqNd3Q
Administrator    (2024-12-02 06:29:00)
10/11</t>
        </r>
      </text>
    </comment>
    <comment ref="W242" authorId="488">
      <text>
        <r>
          <rPr>
            <sz val="10"/>
            <rFont val="宋体"/>
            <charset val="134"/>
          </rPr>
          <t>======
ID#AAABZpqNdzo
Administrator    (2024-12-02 06:29:00)
21天免柜</t>
        </r>
      </text>
    </comment>
    <comment ref="D243" authorId="489">
      <text>
        <r>
          <rPr>
            <sz val="10"/>
            <rFont val="宋体"/>
            <charset val="134"/>
          </rPr>
          <t>======
ID#AAABZpqNd04
Administrator    (2024-12-02 06:29:00)
mainfreight</t>
        </r>
      </text>
    </comment>
    <comment ref="N243" authorId="490">
      <text>
        <r>
          <rPr>
            <sz val="10"/>
            <rFont val="宋体"/>
            <charset val="134"/>
          </rPr>
          <t>115.5未支付
======</t>
        </r>
      </text>
    </comment>
    <comment ref="V243" authorId="491">
      <text>
        <r>
          <rPr>
            <sz val="10"/>
            <rFont val="宋体"/>
            <charset val="134"/>
          </rPr>
          <t>======
ID#AAABZpqNd2s
Administrator    (2024-12-02 06:29:00)
10/12</t>
        </r>
      </text>
    </comment>
    <comment ref="W243" authorId="492">
      <text>
        <r>
          <rPr>
            <sz val="10"/>
            <rFont val="宋体"/>
            <charset val="134"/>
          </rPr>
          <t>======
ID#AAABZpqNds4
Administrator    (2024-12-02 06:29:00)
21天免柜</t>
        </r>
      </text>
    </comment>
    <comment ref="D244" authorId="493">
      <text>
        <r>
          <rPr>
            <sz val="10"/>
            <rFont val="宋体"/>
            <charset val="134"/>
          </rPr>
          <t>======
ID#AAABZpqNdt4
Administrator    (2024-12-02 06:29:00)
mainfreight</t>
        </r>
      </text>
    </comment>
    <comment ref="L244" authorId="494">
      <text>
        <r>
          <rPr>
            <sz val="10"/>
            <rFont val="宋体"/>
            <charset val="134"/>
          </rPr>
          <t>======
ID#AAABZpqNdSY
Administrator    (2024-12-02 06:29:00)
0618b</t>
        </r>
      </text>
    </comment>
    <comment ref="N244" authorId="495">
      <text>
        <r>
          <rPr>
            <sz val="10"/>
            <rFont val="宋体"/>
            <charset val="134"/>
          </rPr>
          <t>FUEL SURCHARGE-double charge
Last free-day in yard is 08/10.delivery date is 09/10.Why charged us 3days storage fee?
======</t>
        </r>
      </text>
    </comment>
    <comment ref="V244" authorId="496">
      <text>
        <r>
          <rPr>
            <sz val="10"/>
            <rFont val="宋体"/>
            <charset val="134"/>
          </rPr>
          <t>======
ID#AAABZpqNdUg
Administrator    (2024-12-02 06:29:00)
10/14</t>
        </r>
      </text>
    </comment>
    <comment ref="W244" authorId="497">
      <text>
        <r>
          <rPr>
            <sz val="10"/>
            <rFont val="宋体"/>
            <charset val="134"/>
          </rPr>
          <t>======
ID#AAABZpqNdm4
Administrator    (2024-12-02 06:29:00)
21天免柜</t>
        </r>
      </text>
    </comment>
    <comment ref="D245" authorId="498">
      <text>
        <r>
          <rPr>
            <sz val="10"/>
            <rFont val="宋体"/>
            <charset val="134"/>
          </rPr>
          <t>======
ID#AAABZpqNdZ4
Administrator    (2024-12-02 06:29:00)
mainfreight</t>
        </r>
      </text>
    </comment>
    <comment ref="L245" authorId="499">
      <text>
        <r>
          <rPr>
            <sz val="10"/>
            <rFont val="宋体"/>
            <charset val="134"/>
          </rPr>
          <t>======
ID#AAABZpqNdtw
Administrator    (2024-12-02 06:29:00)
0618b</t>
        </r>
      </text>
    </comment>
    <comment ref="V245" authorId="500">
      <text>
        <r>
          <rPr>
            <sz val="10"/>
            <rFont val="宋体"/>
            <charset val="134"/>
          </rPr>
          <t>======
ID#AAABZplvq6E
Administrator    (2024-12-02 06:29:00)
10/9</t>
        </r>
      </text>
    </comment>
    <comment ref="W245" authorId="501">
      <text>
        <r>
          <rPr>
            <sz val="10"/>
            <rFont val="宋体"/>
            <charset val="134"/>
          </rPr>
          <t>======
ID#AAABZpqNdWg
Administrator    (2024-12-02 06:29:00)
21天免柜</t>
        </r>
      </text>
    </comment>
    <comment ref="D246" authorId="502">
      <text>
        <r>
          <rPr>
            <sz val="10"/>
            <rFont val="宋体"/>
            <charset val="134"/>
          </rPr>
          <t>======
ID#AAABZpqNdUY
Administrator    (2024-12-02 06:29:00)
mainfreight</t>
        </r>
      </text>
    </comment>
    <comment ref="N246" authorId="503">
      <text>
        <r>
          <rPr>
            <sz val="10"/>
            <rFont val="宋体"/>
            <charset val="134"/>
          </rPr>
          <t>======
ID#AAABZpqNdaY
Sharon Zhao    (2024-12-03 05:32:13)
credit $405.9</t>
        </r>
      </text>
    </comment>
    <comment ref="V246" authorId="504">
      <text>
        <r>
          <rPr>
            <sz val="10"/>
            <rFont val="宋体"/>
            <charset val="134"/>
          </rPr>
          <t>======
ID#AAABZpqNdds
Administrator    (2024-12-02 06:29:00)
10/16</t>
        </r>
      </text>
    </comment>
    <comment ref="D247" authorId="505">
      <text>
        <r>
          <rPr>
            <sz val="10"/>
            <rFont val="宋体"/>
            <charset val="134"/>
          </rPr>
          <t>======
ID#AAABZpqNdks
Administrator    (2024-12-02 06:29:00)
mainfreight</t>
        </r>
      </text>
    </comment>
    <comment ref="V247" authorId="506">
      <text>
        <r>
          <rPr>
            <sz val="10"/>
            <rFont val="宋体"/>
            <charset val="134"/>
          </rPr>
          <t>======
ID#AAABZpqNdUU
Administrator    (2024-12-02 06:29:00)
10/17</t>
        </r>
      </text>
    </comment>
    <comment ref="D248" authorId="507">
      <text>
        <r>
          <rPr>
            <sz val="10"/>
            <rFont val="宋体"/>
            <charset val="134"/>
          </rPr>
          <t>======
ID#AAABZpqNdfc
Administrator    (2024-12-02 06:29:00)
mainfreight</t>
        </r>
      </text>
    </comment>
    <comment ref="N248" authorId="508">
      <text>
        <r>
          <rPr>
            <sz val="10"/>
            <rFont val="宋体"/>
            <charset val="134"/>
          </rPr>
          <t>======
ID#AAABZplvq54
Sharon Zhao    (2024-12-03 05:44:36)
CAIU8814366合单</t>
        </r>
      </text>
    </comment>
    <comment ref="O248" authorId="509">
      <text>
        <r>
          <rPr>
            <sz val="10"/>
            <rFont val="宋体"/>
            <charset val="134"/>
          </rPr>
          <t>CAIU8814366合单
======</t>
        </r>
      </text>
    </comment>
    <comment ref="V248" authorId="510">
      <text>
        <r>
          <rPr>
            <sz val="10"/>
            <rFont val="宋体"/>
            <charset val="134"/>
          </rPr>
          <t>======
ID#AAABZplvq5c
Administrator    (2024-12-02 06:29:00)
10/16</t>
        </r>
      </text>
    </comment>
    <comment ref="W248" authorId="511">
      <text>
        <r>
          <rPr>
            <sz val="10"/>
            <rFont val="宋体"/>
            <charset val="134"/>
          </rPr>
          <t>======
ID#AAABZpqNdK4
Administrator    (2024-12-02 06:29:00)
21天免柜</t>
        </r>
      </text>
    </comment>
    <comment ref="D249" authorId="512">
      <text>
        <r>
          <rPr>
            <sz val="10"/>
            <rFont val="宋体"/>
            <charset val="134"/>
          </rPr>
          <t>======
ID#AAABZpqNdt0
Administrator    (2024-12-02 06:29:00)
mainfreight</t>
        </r>
      </text>
    </comment>
    <comment ref="N249" authorId="513">
      <text>
        <r>
          <rPr>
            <sz val="10"/>
            <rFont val="宋体"/>
            <charset val="134"/>
          </rPr>
          <t>======
ID#AAABZpqNdhE
Sharon Zhao    (2024-12-03 05:39:01)
credit $54.26</t>
        </r>
      </text>
    </comment>
    <comment ref="V249" authorId="514">
      <text>
        <r>
          <rPr>
            <sz val="10"/>
            <rFont val="宋体"/>
            <charset val="134"/>
          </rPr>
          <t>======
ID#AAABZpqNdhQ
Administrator    (2024-12-02 06:29:00)
10/18</t>
        </r>
      </text>
    </comment>
    <comment ref="W249" authorId="515">
      <text>
        <r>
          <rPr>
            <sz val="10"/>
            <rFont val="宋体"/>
            <charset val="134"/>
          </rPr>
          <t>======
ID#AAABZpqNdZY
Administrator    (2024-12-02 06:29:00)
21天免柜</t>
        </r>
      </text>
    </comment>
    <comment ref="D250" authorId="516">
      <text>
        <r>
          <rPr>
            <sz val="10"/>
            <rFont val="宋体"/>
            <charset val="134"/>
          </rPr>
          <t>======
ID#AAABZpqNdJ4
Administrator    (2024-12-02 06:29:00)
mainfreight</t>
        </r>
      </text>
    </comment>
    <comment ref="N250" authorId="517">
      <text>
        <r>
          <rPr>
            <sz val="10"/>
            <rFont val="宋体"/>
            <charset val="134"/>
          </rPr>
          <t>======
ID#AAABZpqNdMc
Sharon Zhao    (2024-12-03 05:22:19)
txgu8042715合单</t>
        </r>
      </text>
    </comment>
    <comment ref="O250" authorId="518">
      <text>
        <r>
          <rPr>
            <sz val="10"/>
            <rFont val="宋体"/>
            <charset val="134"/>
          </rPr>
          <t>TXGU8042715合单
======</t>
        </r>
      </text>
    </comment>
    <comment ref="V250" authorId="519">
      <text>
        <r>
          <rPr>
            <sz val="10"/>
            <rFont val="宋体"/>
            <charset val="134"/>
          </rPr>
          <t>======
ID#AAABZpqNduo
Administrator    (2024-12-02 06:29:00)
10/18</t>
        </r>
      </text>
    </comment>
    <comment ref="W250" authorId="520">
      <text>
        <r>
          <rPr>
            <sz val="10"/>
            <rFont val="宋体"/>
            <charset val="134"/>
          </rPr>
          <t>======
ID#AAABZpqNdUA
Administrator    (2024-12-02 06:29:00)
21天免柜</t>
        </r>
      </text>
    </comment>
    <comment ref="D251" authorId="521">
      <text>
        <r>
          <rPr>
            <sz val="10"/>
            <rFont val="宋体"/>
            <charset val="134"/>
          </rPr>
          <t>======
ID#AAABZpqNdjs
Administrator    (2024-12-02 06:29:00)
mainfreight</t>
        </r>
      </text>
    </comment>
    <comment ref="N251" authorId="522">
      <text>
        <r>
          <rPr>
            <sz val="10"/>
            <rFont val="宋体"/>
            <charset val="134"/>
          </rPr>
          <t>======
ID#AAABZpqNdcM
Sharon Zhao    (2024-12-03 05:42:32)
CAIU8814366合单</t>
        </r>
      </text>
    </comment>
    <comment ref="O251" authorId="523">
      <text>
        <r>
          <rPr>
            <sz val="10"/>
            <rFont val="宋体"/>
            <charset val="134"/>
          </rPr>
          <t>CAIU8814366合单
======</t>
        </r>
      </text>
    </comment>
    <comment ref="V251" authorId="524">
      <text>
        <r>
          <rPr>
            <sz val="10"/>
            <rFont val="宋体"/>
            <charset val="134"/>
          </rPr>
          <t>======
ID#AAABZplvq4Q
Administrator    (2024-12-02 06:29:00)
10/15</t>
        </r>
      </text>
    </comment>
    <comment ref="W251" authorId="525">
      <text>
        <r>
          <rPr>
            <sz val="10"/>
            <rFont val="宋体"/>
            <charset val="134"/>
          </rPr>
          <t>======
ID#AAABZpqNdjA
Administrator    (2024-12-02 06:29:00)
21天免柜</t>
        </r>
      </text>
    </comment>
    <comment ref="D252" authorId="526">
      <text>
        <r>
          <rPr>
            <sz val="10"/>
            <rFont val="宋体"/>
            <charset val="134"/>
          </rPr>
          <t>======
ID#AAABZpqNdeA
Administrator    (2024-12-02 06:29:00)
mainfreight</t>
        </r>
      </text>
    </comment>
    <comment ref="N252" authorId="527">
      <text>
        <r>
          <rPr>
            <sz val="10"/>
            <rFont val="宋体"/>
            <charset val="134"/>
          </rPr>
          <t>======
ID#AAABZpqNdpE
Sharon Zhao    (2024-12-03 05:43:35)
CAIU8814366合单</t>
        </r>
      </text>
    </comment>
    <comment ref="O252" authorId="528">
      <text>
        <r>
          <rPr>
            <sz val="10"/>
            <rFont val="宋体"/>
            <charset val="134"/>
          </rPr>
          <t>CAIU8814366合单
======</t>
        </r>
      </text>
    </comment>
    <comment ref="V252" authorId="529">
      <text>
        <r>
          <rPr>
            <sz val="10"/>
            <rFont val="宋体"/>
            <charset val="134"/>
          </rPr>
          <t>======
ID#AAABZpqNdyE
Administrator    (2024-12-02 06:29:00)
10/14</t>
        </r>
      </text>
    </comment>
    <comment ref="W252" authorId="530">
      <text>
        <r>
          <rPr>
            <sz val="10"/>
            <rFont val="宋体"/>
            <charset val="134"/>
          </rPr>
          <t>======
ID#AAABZpqNdhk
Administrator    (2024-12-02 06:29:00)
21天免柜</t>
        </r>
      </text>
    </comment>
    <comment ref="D253" authorId="531">
      <text>
        <r>
          <rPr>
            <sz val="10"/>
            <rFont val="宋体"/>
            <charset val="134"/>
          </rPr>
          <t>======
ID#AAABZpqNdfE
Administrator    (2024-12-02 06:29:00)
mainfreight</t>
        </r>
      </text>
    </comment>
    <comment ref="N253" authorId="532">
      <text>
        <r>
          <rPr>
            <sz val="10"/>
            <rFont val="宋体"/>
            <charset val="134"/>
          </rPr>
          <t>======
ID#AAABZpqNdWw
Sharon Zhao    (2024-12-03 05:40:00)
credit $54.38</t>
        </r>
      </text>
    </comment>
    <comment ref="V253" authorId="533">
      <text>
        <r>
          <rPr>
            <sz val="10"/>
            <rFont val="宋体"/>
            <charset val="134"/>
          </rPr>
          <t>======
ID#AAABZpqNdvw
Administrator    (2024-12-02 06:29:00)
10/15</t>
        </r>
      </text>
    </comment>
    <comment ref="W253" authorId="534">
      <text>
        <r>
          <rPr>
            <sz val="10"/>
            <rFont val="宋体"/>
            <charset val="134"/>
          </rPr>
          <t>======
ID#AAABZpqNduc
Administrator    (2024-12-02 06:29:00)
21天免柜</t>
        </r>
      </text>
    </comment>
    <comment ref="D254" authorId="535">
      <text>
        <r>
          <rPr>
            <sz val="10"/>
            <rFont val="宋体"/>
            <charset val="134"/>
          </rPr>
          <t>======
ID#AAABZpqNdSM
Administrator    (2024-12-02 06:29:00)
mainfreight</t>
        </r>
      </text>
    </comment>
    <comment ref="N254" authorId="536">
      <text>
        <r>
          <rPr>
            <sz val="10"/>
            <rFont val="宋体"/>
            <charset val="134"/>
          </rPr>
          <t>======
ID#AAABZpqNdxo
Sharon Zhao    (2024-12-03 05:44:02)
CAIU8814366合单</t>
        </r>
      </text>
    </comment>
    <comment ref="O254" authorId="537">
      <text>
        <r>
          <rPr>
            <sz val="10"/>
            <rFont val="宋体"/>
            <charset val="134"/>
          </rPr>
          <t>CAIU8814366合单
======</t>
        </r>
      </text>
    </comment>
    <comment ref="V254" authorId="538">
      <text>
        <r>
          <rPr>
            <sz val="10"/>
            <rFont val="宋体"/>
            <charset val="134"/>
          </rPr>
          <t>======
ID#AAABZpqNdzA
Administrator    (2024-12-02 06:29:00)
10/16</t>
        </r>
      </text>
    </comment>
    <comment ref="W254" authorId="539">
      <text>
        <r>
          <rPr>
            <sz val="10"/>
            <rFont val="宋体"/>
            <charset val="134"/>
          </rPr>
          <t>======
ID#AAABZpqNdWY
Administrator    (2024-12-02 06:29:00)
21天免柜</t>
        </r>
      </text>
    </comment>
    <comment ref="D255" authorId="540">
      <text>
        <r>
          <rPr>
            <sz val="10"/>
            <rFont val="宋体"/>
            <charset val="134"/>
          </rPr>
          <t>======
ID#AAABZpqNdQQ
Administrator    (2024-12-02 06:29:00)
mainfreight</t>
        </r>
      </text>
    </comment>
    <comment ref="J255" authorId="541">
      <text>
        <r>
          <rPr>
            <sz val="10"/>
            <rFont val="宋体"/>
            <charset val="134"/>
          </rPr>
          <t>======
ID#AAABZpqNdjI
Administrator    (2024-12-02 06:29:00)
delay</t>
        </r>
      </text>
    </comment>
    <comment ref="N255" authorId="542">
      <text>
        <r>
          <rPr>
            <sz val="10"/>
            <rFont val="宋体"/>
            <charset val="134"/>
          </rPr>
          <t>======
ID#AAABZpqNdv8
Sharon Zhao    (2024-12-03 05:31:29)
credit $110</t>
        </r>
      </text>
    </comment>
    <comment ref="V255" authorId="543">
      <text>
        <r>
          <rPr>
            <sz val="10"/>
            <rFont val="宋体"/>
            <charset val="134"/>
          </rPr>
          <t>======
ID#AAABZpqNd1I
Administrator    (2024-12-02 06:29:00)
10/24</t>
        </r>
      </text>
    </comment>
    <comment ref="W255" authorId="544">
      <text>
        <r>
          <rPr>
            <sz val="10"/>
            <rFont val="宋体"/>
            <charset val="134"/>
          </rPr>
          <t>======
ID#AAABZpqNdZc
Administrator    (2024-12-02 06:29:00)
21天免柜</t>
        </r>
      </text>
    </comment>
    <comment ref="D256" authorId="545">
      <text>
        <r>
          <rPr>
            <sz val="10"/>
            <rFont val="宋体"/>
            <charset val="134"/>
          </rPr>
          <t>======
ID#AAABZpqNdfg
Administrator    (2024-12-02 06:29:00)
mainfreight</t>
        </r>
      </text>
    </comment>
    <comment ref="J256" authorId="546">
      <text>
        <r>
          <rPr>
            <sz val="10"/>
            <rFont val="宋体"/>
            <charset val="134"/>
          </rPr>
          <t>======
ID#AAABZpqNdzY
Administrator    (2024-12-02 06:29:00)
delay</t>
        </r>
      </text>
    </comment>
    <comment ref="N256" authorId="547">
      <text>
        <r>
          <rPr>
            <sz val="10"/>
            <rFont val="宋体"/>
            <charset val="134"/>
          </rPr>
          <t>======
ID#AAABZpqNdXg
Sharon Zhao    (2024-12-03 05:30:34)
credit $110</t>
        </r>
      </text>
    </comment>
    <comment ref="V256" authorId="548">
      <text>
        <r>
          <rPr>
            <sz val="10"/>
            <rFont val="宋体"/>
            <charset val="134"/>
          </rPr>
          <t>======
ID#AAABZpqNdKE
Administrator    (2024-12-02 06:29:00)
10/24</t>
        </r>
      </text>
    </comment>
    <comment ref="W256" authorId="549">
      <text>
        <r>
          <rPr>
            <sz val="10"/>
            <rFont val="宋体"/>
            <charset val="134"/>
          </rPr>
          <t>======
ID#AAABZpqNdJU
Administrator    (2024-12-02 06:29:00)
21天免柜</t>
        </r>
      </text>
    </comment>
    <comment ref="D257" authorId="550">
      <text>
        <r>
          <rPr>
            <sz val="10"/>
            <rFont val="宋体"/>
            <charset val="134"/>
          </rPr>
          <t>======
ID#AAABZpqNdbs
Administrator    (2024-12-02 06:29:00)
mainfreight</t>
        </r>
      </text>
    </comment>
    <comment ref="J257" authorId="551">
      <text>
        <r>
          <rPr>
            <sz val="10"/>
            <rFont val="宋体"/>
            <charset val="134"/>
          </rPr>
          <t>======
ID#AAABZpqNddk
Administrator    (2024-12-02 06:29:00)
delay</t>
        </r>
      </text>
    </comment>
    <comment ref="N257" authorId="552">
      <text>
        <r>
          <rPr>
            <sz val="10"/>
            <rFont val="宋体"/>
            <charset val="134"/>
          </rPr>
          <t>======
ID#AAABZplvq38
Sharon Zhao    (2024-12-03 05:38:14)
credit $410.3</t>
        </r>
      </text>
    </comment>
    <comment ref="V257" authorId="553">
      <text>
        <r>
          <rPr>
            <sz val="10"/>
            <rFont val="宋体"/>
            <charset val="134"/>
          </rPr>
          <t>======
ID#AAABZpqNdRg
Administrator    (2024-12-02 06:29:00)
11/4</t>
        </r>
      </text>
    </comment>
    <comment ref="W257" authorId="554">
      <text>
        <r>
          <rPr>
            <sz val="10"/>
            <rFont val="宋体"/>
            <charset val="134"/>
          </rPr>
          <t>======
ID#AAABZplvq58
Administrator    (2024-12-02 06:29:00)
21天免柜</t>
        </r>
      </text>
    </comment>
    <comment ref="D258" authorId="555">
      <text>
        <r>
          <rPr>
            <sz val="10"/>
            <rFont val="宋体"/>
            <charset val="134"/>
          </rPr>
          <t>======
ID#AAABZpqNd1Q
Administrator    (2024-12-02 06:29:00)
mainfreight</t>
        </r>
      </text>
    </comment>
    <comment ref="L258" authorId="556">
      <text>
        <r>
          <rPr>
            <sz val="10"/>
            <rFont val="宋体"/>
            <charset val="134"/>
          </rPr>
          <t>======
ID#AAABZpqNdXc
Administrator    (2024-12-02 06:29:00)
0618b</t>
        </r>
      </text>
    </comment>
    <comment ref="V258" authorId="557">
      <text>
        <r>
          <rPr>
            <sz val="10"/>
            <rFont val="宋体"/>
            <charset val="134"/>
          </rPr>
          <t>======
ID#AAABZpqNdPg
Administrator    (2024-12-02 06:29:00)
10/17</t>
        </r>
      </text>
    </comment>
    <comment ref="W258" authorId="558">
      <text>
        <r>
          <rPr>
            <sz val="10"/>
            <rFont val="宋体"/>
            <charset val="134"/>
          </rPr>
          <t>======
ID#AAABZpqNdUQ
Administrator    (2024-12-02 06:29:00)
21天免柜</t>
        </r>
      </text>
    </comment>
    <comment ref="D259" authorId="559">
      <text>
        <r>
          <rPr>
            <sz val="10"/>
            <rFont val="宋体"/>
            <charset val="134"/>
          </rPr>
          <t>======
ID#AAABZpqNd24
Administrator    (2024-12-02 06:29:00)
mainfreight</t>
        </r>
      </text>
    </comment>
    <comment ref="L259" authorId="560">
      <text>
        <r>
          <rPr>
            <sz val="10"/>
            <rFont val="宋体"/>
            <charset val="134"/>
          </rPr>
          <t>======
ID#AAABZpqNdtI
Administrator    (2024-12-02 06:29:00)
0618b</t>
        </r>
      </text>
    </comment>
    <comment ref="V259" authorId="561">
      <text>
        <r>
          <rPr>
            <sz val="10"/>
            <rFont val="宋体"/>
            <charset val="134"/>
          </rPr>
          <t>======
ID#AAABZpqNds8
Administrator    (2024-12-02 06:29:00)
10/17</t>
        </r>
      </text>
    </comment>
    <comment ref="W259" authorId="562">
      <text>
        <r>
          <rPr>
            <sz val="10"/>
            <rFont val="宋体"/>
            <charset val="134"/>
          </rPr>
          <t>======
ID#AAABZpqNdlk
Administrator    (2024-12-02 06:29:00)
21天免柜</t>
        </r>
      </text>
    </comment>
    <comment ref="D260" authorId="563">
      <text>
        <r>
          <rPr>
            <sz val="10"/>
            <rFont val="宋体"/>
            <charset val="134"/>
          </rPr>
          <t>======
ID#AAABZplvq3k
Administrator    (2024-12-02 06:29:00)
mainfreight</t>
        </r>
      </text>
    </comment>
    <comment ref="V260" authorId="564">
      <text>
        <r>
          <rPr>
            <sz val="10"/>
            <rFont val="宋体"/>
            <charset val="134"/>
          </rPr>
          <t>======
ID#AAABZplvq34
Administrator    (2024-12-02 06:29:00)
10/25</t>
        </r>
      </text>
    </comment>
    <comment ref="D261" authorId="565">
      <text>
        <r>
          <rPr>
            <sz val="10"/>
            <rFont val="宋体"/>
            <charset val="134"/>
          </rPr>
          <t>======
ID#AAABZpqNdKQ
Administrator    (2024-12-02 06:29:00)
mainfreight</t>
        </r>
      </text>
    </comment>
    <comment ref="I261" authorId="566">
      <text>
        <r>
          <rPr>
            <sz val="10"/>
            <rFont val="宋体"/>
            <charset val="134"/>
          </rPr>
          <t>======
ID#AAABZpqNdQA
Administrator    (2024-12-02 06:29:00)
延一水船+台风原因大船迟开</t>
        </r>
      </text>
    </comment>
    <comment ref="V261" authorId="567">
      <text>
        <r>
          <rPr>
            <sz val="10"/>
            <rFont val="宋体"/>
            <charset val="134"/>
          </rPr>
          <t>======
ID#AAABZpqNdMU
Administrator    (2024-12-02 06:29:00)
10/29</t>
        </r>
      </text>
    </comment>
    <comment ref="W261" authorId="568">
      <text>
        <r>
          <rPr>
            <sz val="10"/>
            <rFont val="宋体"/>
            <charset val="134"/>
          </rPr>
          <t>======
ID#AAABZpqNdR8
Administrator    (2024-12-02 06:29:00)
21天免柜</t>
        </r>
      </text>
    </comment>
    <comment ref="D262" authorId="569">
      <text>
        <r>
          <rPr>
            <sz val="10"/>
            <rFont val="宋体"/>
            <charset val="134"/>
          </rPr>
          <t>======
ID#AAABZpqNdy8
Administrator    (2024-12-02 06:29:00)
mainfreight</t>
        </r>
      </text>
    </comment>
    <comment ref="I262" authorId="570">
      <text>
        <r>
          <rPr>
            <sz val="10"/>
            <rFont val="宋体"/>
            <charset val="134"/>
          </rPr>
          <t>======
ID#AAABZpqNdbU
Administrator    (2024-12-02 06:29:00)
原ETD:9/24</t>
        </r>
      </text>
    </comment>
    <comment ref="L262" authorId="571">
      <text>
        <r>
          <rPr>
            <sz val="10"/>
            <rFont val="宋体"/>
            <charset val="134"/>
          </rPr>
          <t>======
ID#AAABZpqNd18
Administrator    (2024-12-02 06:29:00)
0618b</t>
        </r>
      </text>
    </comment>
    <comment ref="V262" authorId="572">
      <text>
        <r>
          <rPr>
            <sz val="10"/>
            <rFont val="宋体"/>
            <charset val="134"/>
          </rPr>
          <t>======
ID#AAABZpqNdJY
Administrator    (2024-12-02 06:29:00)
10/29</t>
        </r>
      </text>
    </comment>
    <comment ref="W262" authorId="573">
      <text>
        <r>
          <rPr>
            <sz val="10"/>
            <rFont val="宋体"/>
            <charset val="134"/>
          </rPr>
          <t>======
ID#AAABZpqNdyI
Administrator    (2024-12-02 06:29:00)
21天免柜</t>
        </r>
      </text>
    </comment>
    <comment ref="D263" authorId="574">
      <text>
        <r>
          <rPr>
            <sz val="10"/>
            <rFont val="宋体"/>
            <charset val="134"/>
          </rPr>
          <t>======
ID#AAABZpqNdm8
Administrator    (2024-12-02 06:29:00)
mainfreight</t>
        </r>
      </text>
    </comment>
    <comment ref="I263" authorId="575">
      <text>
        <r>
          <rPr>
            <sz val="10"/>
            <rFont val="宋体"/>
            <charset val="134"/>
          </rPr>
          <t>======
ID#AAABZpqNdPI
Administrator    (2024-12-02 06:29:00)
原ETD:9/24</t>
        </r>
      </text>
    </comment>
    <comment ref="L263" authorId="576">
      <text>
        <r>
          <rPr>
            <sz val="10"/>
            <rFont val="宋体"/>
            <charset val="134"/>
          </rPr>
          <t>======
ID#AAABZplvq6M
Administrator    (2024-12-02 06:29:00)
0618b</t>
        </r>
      </text>
    </comment>
    <comment ref="V263" authorId="577">
      <text>
        <r>
          <rPr>
            <sz val="10"/>
            <rFont val="宋体"/>
            <charset val="134"/>
          </rPr>
          <t>======
ID#AAABZpqNdI4
Administrator    (2024-12-02 06:29:00)
10/29</t>
        </r>
      </text>
    </comment>
    <comment ref="W263" authorId="578">
      <text>
        <r>
          <rPr>
            <sz val="10"/>
            <rFont val="宋体"/>
            <charset val="134"/>
          </rPr>
          <t>======
ID#AAABZpqNdhU
Administrator    (2024-12-02 06:29:00)
21天免柜</t>
        </r>
      </text>
    </comment>
    <comment ref="D264" authorId="579">
      <text>
        <r>
          <rPr>
            <sz val="10"/>
            <rFont val="宋体"/>
            <charset val="134"/>
          </rPr>
          <t>======
ID#AAABZpqNdVg
Administrator    (2024-12-02 06:29:00)
mainfreight</t>
        </r>
      </text>
    </comment>
    <comment ref="V264" authorId="580">
      <text>
        <r>
          <rPr>
            <sz val="10"/>
            <rFont val="宋体"/>
            <charset val="134"/>
          </rPr>
          <t>======
ID#AAABZpqNd1U
Administrator    (2024-12-02 06:29:00)
10/31</t>
        </r>
      </text>
    </comment>
    <comment ref="D265" authorId="581">
      <text>
        <r>
          <rPr>
            <sz val="10"/>
            <rFont val="宋体"/>
            <charset val="134"/>
          </rPr>
          <t>======
ID#AAABZpqNdmc
Administrator    (2024-12-02 06:29:00)
mainfreight</t>
        </r>
      </text>
    </comment>
    <comment ref="I265" authorId="582">
      <text>
        <r>
          <rPr>
            <sz val="10"/>
            <rFont val="宋体"/>
            <charset val="134"/>
          </rPr>
          <t>======
ID#AAABZplvq5I
Administrator    (2024-12-02 06:29:00)
原ETD:9/24</t>
        </r>
      </text>
    </comment>
    <comment ref="L265" authorId="583">
      <text>
        <r>
          <rPr>
            <sz val="10"/>
            <rFont val="宋体"/>
            <charset val="134"/>
          </rPr>
          <t>======
ID#AAABZplvq6U
Administrator    (2024-12-02 06:29:00)
0618b</t>
        </r>
      </text>
    </comment>
    <comment ref="V265" authorId="584">
      <text>
        <r>
          <rPr>
            <sz val="10"/>
            <rFont val="宋体"/>
            <charset val="134"/>
          </rPr>
          <t>======
ID#AAABZpqNdIw
Administrator    (2024-12-02 06:29:00)
11/1</t>
        </r>
      </text>
    </comment>
    <comment ref="W265" authorId="585">
      <text>
        <r>
          <rPr>
            <sz val="10"/>
            <rFont val="宋体"/>
            <charset val="134"/>
          </rPr>
          <t>======
ID#AAABZpqNdeQ
Administrator    (2024-12-02 06:29:00)
21天免柜</t>
        </r>
      </text>
    </comment>
    <comment ref="D266" authorId="586">
      <text>
        <r>
          <rPr>
            <sz val="10"/>
            <rFont val="宋体"/>
            <charset val="134"/>
          </rPr>
          <t>======
ID#AAABZpqNd2U
Administrator    (2024-12-02 06:29:00)
mainfreight</t>
        </r>
      </text>
    </comment>
    <comment ref="I266" authorId="587">
      <text>
        <r>
          <rPr>
            <sz val="10"/>
            <rFont val="宋体"/>
            <charset val="134"/>
          </rPr>
          <t>======
ID#AAABZpqNdfU
Administrator    (2024-12-02 06:29:00)
原ETD:9/24</t>
        </r>
      </text>
    </comment>
    <comment ref="L266" authorId="588">
      <text>
        <r>
          <rPr>
            <sz val="10"/>
            <rFont val="宋体"/>
            <charset val="134"/>
          </rPr>
          <t>======
ID#AAABZplvq4s
Administrator    (2024-12-02 06:29:00)
0618b</t>
        </r>
      </text>
    </comment>
    <comment ref="V266" authorId="589">
      <text>
        <r>
          <rPr>
            <sz val="10"/>
            <rFont val="宋体"/>
            <charset val="134"/>
          </rPr>
          <t>======
ID#AAABZpqNdzE
Administrator    (2024-12-02 06:29:00)
11/1</t>
        </r>
      </text>
    </comment>
    <comment ref="W266" authorId="590">
      <text>
        <r>
          <rPr>
            <sz val="10"/>
            <rFont val="宋体"/>
            <charset val="134"/>
          </rPr>
          <t>======
ID#AAABZpqNdco
Administrator    (2024-12-02 06:29:00)
21天免柜</t>
        </r>
      </text>
    </comment>
    <comment ref="D267" authorId="591">
      <text>
        <r>
          <rPr>
            <sz val="10"/>
            <rFont val="宋体"/>
            <charset val="134"/>
          </rPr>
          <t>======
ID#AAABZpqNdhI
Administrator    (2024-12-02 06:29:00)
mainfreight</t>
        </r>
      </text>
    </comment>
    <comment ref="V267" authorId="592">
      <text>
        <r>
          <rPr>
            <sz val="10"/>
            <rFont val="宋体"/>
            <charset val="134"/>
          </rPr>
          <t>======
ID#AAABZpqNdi4
Administrator    (2024-12-02 06:29:00)
11/1</t>
        </r>
      </text>
    </comment>
    <comment ref="W267" authorId="593">
      <text>
        <r>
          <rPr>
            <sz val="10"/>
            <rFont val="宋体"/>
            <charset val="134"/>
          </rPr>
          <t>======
ID#AAABZpqNdcU
Administrator    (2024-12-02 06:29:00)
21天免柜</t>
        </r>
      </text>
    </comment>
    <comment ref="D268" authorId="594">
      <text>
        <r>
          <rPr>
            <sz val="10"/>
            <rFont val="宋体"/>
            <charset val="134"/>
          </rPr>
          <t>======
ID#AAABZpqNd1M
Administrator    (2024-12-02 06:29:00)
mainfreight</t>
        </r>
      </text>
    </comment>
    <comment ref="V268" authorId="595">
      <text>
        <r>
          <rPr>
            <sz val="10"/>
            <rFont val="宋体"/>
            <charset val="134"/>
          </rPr>
          <t>======
ID#AAABZpqNdNw
Administrator    (2024-12-02 06:29:00)
11/1</t>
        </r>
      </text>
    </comment>
    <comment ref="W268" authorId="596">
      <text>
        <r>
          <rPr>
            <sz val="10"/>
            <rFont val="宋体"/>
            <charset val="134"/>
          </rPr>
          <t>======
ID#AAABZpqNdN8
Administrator    (2024-12-02 06:29:00)
21天免柜</t>
        </r>
      </text>
    </comment>
    <comment ref="D269" authorId="597">
      <text>
        <r>
          <rPr>
            <sz val="10"/>
            <rFont val="宋体"/>
            <charset val="134"/>
          </rPr>
          <t>======
ID#AAABZpqNdxM
Administrator    (2024-12-02 06:29:00)
mainfreight</t>
        </r>
      </text>
    </comment>
    <comment ref="N269" authorId="598">
      <text>
        <r>
          <rPr>
            <sz val="10"/>
            <rFont val="宋体"/>
            <charset val="134"/>
          </rPr>
          <t>cried note 00399475 $54.38
======</t>
        </r>
      </text>
    </comment>
    <comment ref="V269" authorId="599">
      <text>
        <r>
          <rPr>
            <sz val="10"/>
            <rFont val="宋体"/>
            <charset val="134"/>
          </rPr>
          <t>======
ID#AAABZpqNdRs
Administrator    (2024-12-02 06:29:00)
11/5</t>
        </r>
      </text>
    </comment>
    <comment ref="W269" authorId="600">
      <text>
        <r>
          <rPr>
            <sz val="10"/>
            <rFont val="宋体"/>
            <charset val="134"/>
          </rPr>
          <t>======
ID#AAABZpqNdYM
Administrator    (2024-12-02 06:29:00)
21天免柜</t>
        </r>
      </text>
    </comment>
    <comment ref="D270" authorId="601">
      <text>
        <r>
          <rPr>
            <sz val="10"/>
            <rFont val="宋体"/>
            <charset val="134"/>
          </rPr>
          <t>======
ID#AAABZpqNdac
Administrator    (2024-12-02 06:29:00)
mainfreight</t>
        </r>
      </text>
    </comment>
    <comment ref="V270" authorId="602">
      <text>
        <r>
          <rPr>
            <sz val="10"/>
            <rFont val="宋体"/>
            <charset val="134"/>
          </rPr>
          <t>======
ID#AAABZpqNdUk
Administrator    (2024-12-02 06:29:00)
11/4</t>
        </r>
      </text>
    </comment>
    <comment ref="W270" authorId="603">
      <text>
        <r>
          <rPr>
            <sz val="10"/>
            <rFont val="宋体"/>
            <charset val="134"/>
          </rPr>
          <t>======
ID#AAABZpqNdxs
Administrator    (2024-12-02 06:29:00)
21天免柜</t>
        </r>
      </text>
    </comment>
    <comment ref="D271" authorId="604">
      <text>
        <r>
          <rPr>
            <sz val="10"/>
            <rFont val="宋体"/>
            <charset val="134"/>
          </rPr>
          <t>======
ID#AAABZplvq64
Administrator    (2024-12-02 06:29:00)
mainfreight</t>
        </r>
      </text>
    </comment>
    <comment ref="V271" authorId="605">
      <text>
        <r>
          <rPr>
            <sz val="10"/>
            <rFont val="宋体"/>
            <charset val="134"/>
          </rPr>
          <t>======
ID#AAABZplvq6k
Administrator    (2024-12-02 06:29:00)
11/4</t>
        </r>
      </text>
    </comment>
    <comment ref="W271" authorId="606">
      <text>
        <r>
          <rPr>
            <sz val="10"/>
            <rFont val="宋体"/>
            <charset val="134"/>
          </rPr>
          <t>======
ID#AAABZpqNdTo
Administrator    (2024-12-02 06:29:00)
21天免柜</t>
        </r>
      </text>
    </comment>
    <comment ref="D272" authorId="607">
      <text>
        <r>
          <rPr>
            <sz val="10"/>
            <rFont val="宋体"/>
            <charset val="134"/>
          </rPr>
          <t>======
ID#AAABZpqNdsE
Administrator    (2024-12-02 06:29:00)
mainfreight</t>
        </r>
      </text>
    </comment>
    <comment ref="V272" authorId="608">
      <text>
        <r>
          <rPr>
            <sz val="10"/>
            <rFont val="宋体"/>
            <charset val="134"/>
          </rPr>
          <t>======
ID#AAABZpqNdM0
Administrator    (2024-12-02 06:29:00)
11/4</t>
        </r>
      </text>
    </comment>
    <comment ref="W272" authorId="609">
      <text>
        <r>
          <rPr>
            <sz val="10"/>
            <rFont val="宋体"/>
            <charset val="134"/>
          </rPr>
          <t>======
ID#AAABZplvq3g
Administrator    (2024-12-02 06:29:00)
21天免柜</t>
        </r>
      </text>
    </comment>
    <comment ref="D273" authorId="610">
      <text>
        <r>
          <rPr>
            <sz val="10"/>
            <rFont val="宋体"/>
            <charset val="134"/>
          </rPr>
          <t>======
ID#AAABZpqNdYE
Administrator    (2024-12-02 06:29:00)
mainfreight</t>
        </r>
      </text>
    </comment>
    <comment ref="V273" authorId="611">
      <text>
        <r>
          <rPr>
            <sz val="10"/>
            <rFont val="宋体"/>
            <charset val="134"/>
          </rPr>
          <t>======
ID#AAABZpqNdrk
Administrator    (2024-12-02 06:29:00)
11/4</t>
        </r>
      </text>
    </comment>
    <comment ref="W273" authorId="612">
      <text>
        <r>
          <rPr>
            <sz val="10"/>
            <rFont val="宋体"/>
            <charset val="134"/>
          </rPr>
          <t>======
ID#AAABZpqNduk
Administrator    (2024-12-02 06:29:00)
21天免柜</t>
        </r>
      </text>
    </comment>
    <comment ref="D274" authorId="613">
      <text>
        <r>
          <rPr>
            <sz val="10"/>
            <rFont val="宋体"/>
            <charset val="134"/>
          </rPr>
          <t>======
ID#AAABZpqNdJ8
Administrator    (2024-12-02 06:29:00)
mainfreight</t>
        </r>
      </text>
    </comment>
    <comment ref="V274" authorId="614">
      <text>
        <r>
          <rPr>
            <sz val="10"/>
            <rFont val="宋体"/>
            <charset val="134"/>
          </rPr>
          <t>======
ID#AAABZplvq5U
Administrator    (2024-12-02 06:29:00)
11/4</t>
        </r>
      </text>
    </comment>
    <comment ref="W274" authorId="615">
      <text>
        <r>
          <rPr>
            <sz val="10"/>
            <rFont val="宋体"/>
            <charset val="134"/>
          </rPr>
          <t>======
ID#AAABZpqNdmA
Administrator    (2024-12-02 06:29:00)
21天免柜</t>
        </r>
      </text>
    </comment>
    <comment ref="D275" authorId="616">
      <text>
        <r>
          <rPr>
            <sz val="10"/>
            <rFont val="宋体"/>
            <charset val="134"/>
          </rPr>
          <t>======
ID#AAABZpqNdx4
Administrator    (2024-12-02 06:29:00)
mainfreight</t>
        </r>
      </text>
    </comment>
    <comment ref="V275" authorId="617">
      <text>
        <r>
          <rPr>
            <sz val="10"/>
            <rFont val="宋体"/>
            <charset val="134"/>
          </rPr>
          <t>======
ID#AAABZpqNdQo
Administrator    (2024-12-02 06:29:00)
2024/11/4 通知还柜，11/7还柜</t>
        </r>
      </text>
    </comment>
    <comment ref="W275" authorId="618">
      <text>
        <r>
          <rPr>
            <sz val="10"/>
            <rFont val="宋体"/>
            <charset val="134"/>
          </rPr>
          <t>======
ID#AAABZplvq5Y
Administrator    (2024-12-02 06:29:00)
21天免柜</t>
        </r>
      </text>
    </comment>
    <comment ref="D276" authorId="619">
      <text>
        <r>
          <rPr>
            <sz val="10"/>
            <rFont val="宋体"/>
            <charset val="134"/>
          </rPr>
          <t>======
ID#AAABZpqNdTg
Administrator    (2024-12-02 06:29:00)
mainfreight</t>
        </r>
      </text>
    </comment>
    <comment ref="V276" authorId="620">
      <text>
        <r>
          <rPr>
            <sz val="10"/>
            <rFont val="宋体"/>
            <charset val="134"/>
          </rPr>
          <t>======
ID#AAABZpqNdNk
Administrator    (2024-12-02 06:29:00)
11/2</t>
        </r>
      </text>
    </comment>
    <comment ref="W276" authorId="621">
      <text>
        <r>
          <rPr>
            <sz val="10"/>
            <rFont val="宋体"/>
            <charset val="134"/>
          </rPr>
          <t>======
ID#AAABZpqNdas
Administrator    (2024-12-02 06:29:00)
21天免柜</t>
        </r>
      </text>
    </comment>
    <comment ref="D277" authorId="622">
      <text>
        <r>
          <rPr>
            <sz val="10"/>
            <rFont val="宋体"/>
            <charset val="134"/>
          </rPr>
          <t>======
ID#AAABZpqNdgw
Administrator    (2024-12-02 06:29:00)
mainfreight</t>
        </r>
      </text>
    </comment>
    <comment ref="V277" authorId="623">
      <text>
        <r>
          <rPr>
            <sz val="10"/>
            <rFont val="宋体"/>
            <charset val="134"/>
          </rPr>
          <t>======
ID#AAABZpqNdaE
Administrator    (2024-12-02 06:29:00)
10/29</t>
        </r>
      </text>
    </comment>
    <comment ref="W277" authorId="624">
      <text>
        <r>
          <rPr>
            <sz val="10"/>
            <rFont val="宋体"/>
            <charset val="134"/>
          </rPr>
          <t>======
ID#AAABZpqNddw
Administrator    (2024-12-02 06:29:00)
21天免柜</t>
        </r>
      </text>
    </comment>
    <comment ref="D278" authorId="625">
      <text>
        <r>
          <rPr>
            <sz val="10"/>
            <rFont val="宋体"/>
            <charset val="134"/>
          </rPr>
          <t>======
ID#AAABZpqNdaI
Administrator    (2024-12-02 06:29:00)
mainfreight</t>
        </r>
      </text>
    </comment>
    <comment ref="V278" authorId="626">
      <text>
        <r>
          <rPr>
            <sz val="10"/>
            <rFont val="宋体"/>
            <charset val="134"/>
          </rPr>
          <t>======
ID#AAABZpqNdwI
Administrator    (2024-12-02 06:29:00)
10/30</t>
        </r>
      </text>
    </comment>
    <comment ref="D279" authorId="627">
      <text>
        <r>
          <rPr>
            <sz val="10"/>
            <rFont val="宋体"/>
            <charset val="134"/>
          </rPr>
          <t>======
ID#AAABZpqNdu0
Administrator    (2024-12-02 06:29:00)
mainfreight</t>
        </r>
      </text>
    </comment>
    <comment ref="V279" authorId="628">
      <text>
        <r>
          <rPr>
            <sz val="10"/>
            <rFont val="宋体"/>
            <charset val="134"/>
          </rPr>
          <t>======
ID#AAABZpqNdyo
Administrator    (2024-12-02 06:29:00)
10/30</t>
        </r>
      </text>
    </comment>
    <comment ref="D280" authorId="629">
      <text>
        <r>
          <rPr>
            <sz val="10"/>
            <rFont val="宋体"/>
            <charset val="134"/>
          </rPr>
          <t>======
ID#AAABZpqNdfI
Administrator    (2024-12-02 06:29:00)
mainfreight
mainfreight</t>
        </r>
      </text>
    </comment>
    <comment ref="V280" authorId="630">
      <text>
        <r>
          <rPr>
            <sz val="10"/>
            <rFont val="宋体"/>
            <charset val="134"/>
          </rPr>
          <t>======
ID#AAABZpqNdX8
Administrator    (2024-12-02 06:29:00)
10/31</t>
        </r>
      </text>
    </comment>
    <comment ref="D281" authorId="631">
      <text>
        <r>
          <rPr>
            <sz val="10"/>
            <rFont val="宋体"/>
            <charset val="134"/>
          </rPr>
          <t>======
ID#AAABZpqNdg0
Administrator    (2024-12-02 06:29:00)
mainfreight</t>
        </r>
      </text>
    </comment>
    <comment ref="J281" authorId="632">
      <text>
        <r>
          <rPr>
            <sz val="10"/>
            <rFont val="宋体"/>
            <charset val="134"/>
          </rPr>
          <t>======
ID#AAABZpqNdd4
Administrator    (2024-12-02 06:29:00)
delay</t>
        </r>
      </text>
    </comment>
    <comment ref="V281" authorId="633">
      <text>
        <r>
          <rPr>
            <sz val="10"/>
            <rFont val="宋体"/>
            <charset val="134"/>
          </rPr>
          <t>======
ID#AAABZpqNdpU
Administrator    (2024-12-02 06:29:00)
2024/11/7 通知还柜，11/8还柜</t>
        </r>
      </text>
    </comment>
    <comment ref="W281" authorId="634">
      <text>
        <r>
          <rPr>
            <sz val="10"/>
            <rFont val="宋体"/>
            <charset val="134"/>
          </rPr>
          <t>======
ID#AAABZpqNdgQ
Administrator    (2024-12-02 06:29:00)
21天免柜</t>
        </r>
      </text>
    </comment>
    <comment ref="D282" authorId="635">
      <text>
        <r>
          <rPr>
            <sz val="10"/>
            <rFont val="宋体"/>
            <charset val="134"/>
          </rPr>
          <t>======
ID#AAABZpqNdu4
Administrator    (2024-12-02 06:29:00)
mainfreight</t>
        </r>
      </text>
    </comment>
    <comment ref="V282" authorId="636">
      <text>
        <r>
          <rPr>
            <sz val="10"/>
            <rFont val="宋体"/>
            <charset val="134"/>
          </rPr>
          <t>======
ID#AAABZpqNdiM
Administrator    (2024-12-02 06:29:00)
2024/11/4 通知还柜，11/7还柜</t>
        </r>
      </text>
    </comment>
    <comment ref="W282" authorId="637">
      <text>
        <r>
          <rPr>
            <sz val="10"/>
            <rFont val="宋体"/>
            <charset val="134"/>
          </rPr>
          <t>======
ID#AAABZpqNdOY
Administrator    (2024-12-02 06:29:00)
21天免柜</t>
        </r>
      </text>
    </comment>
    <comment ref="D283" authorId="638">
      <text>
        <r>
          <rPr>
            <sz val="10"/>
            <rFont val="宋体"/>
            <charset val="134"/>
          </rPr>
          <t>======
ID#AAABZpqNdag
Administrator    (2024-12-02 06:29:00)
mainfreight</t>
        </r>
      </text>
    </comment>
    <comment ref="L283" authorId="639">
      <text>
        <r>
          <rPr>
            <sz val="10"/>
            <rFont val="宋体"/>
            <charset val="134"/>
          </rPr>
          <t>======
ID#AAABZpqNdjo
Administrator    (2024-12-02 06:29:00)
0618b</t>
        </r>
      </text>
    </comment>
    <comment ref="V283" authorId="640">
      <text>
        <r>
          <rPr>
            <sz val="10"/>
            <rFont val="宋体"/>
            <charset val="134"/>
          </rPr>
          <t>======
ID#AAABZpqNdlE
Administrator    (2024-12-02 06:29:00)
2024/11/4 通知还柜，11/7还柜</t>
        </r>
      </text>
    </comment>
    <comment ref="W283" authorId="641">
      <text>
        <r>
          <rPr>
            <sz val="10"/>
            <rFont val="宋体"/>
            <charset val="134"/>
          </rPr>
          <t>======
ID#AAABZpqNdTM
Administrator    (2024-12-02 06:29:00)
21天免柜</t>
        </r>
      </text>
    </comment>
    <comment ref="D284" authorId="642">
      <text>
        <r>
          <rPr>
            <sz val="10"/>
            <rFont val="宋体"/>
            <charset val="134"/>
          </rPr>
          <t>======
ID#AAABZpqNdeo
tc={7EB9002B-4209-418C-85DC-7117BF036FD2}    (2024-12-02 06:29:00)
Administrator:</t>
        </r>
      </text>
    </comment>
    <comment ref="L284" authorId="643">
      <text>
        <r>
          <rPr>
            <sz val="10"/>
            <rFont val="宋体"/>
            <charset val="134"/>
          </rPr>
          <t>======
ID#AAABZpqNd3w
Administrator    (2024-12-02 06:29:00)
0618b</t>
        </r>
      </text>
    </comment>
    <comment ref="V284" authorId="644">
      <text>
        <r>
          <rPr>
            <sz val="10"/>
            <rFont val="宋体"/>
            <charset val="134"/>
          </rPr>
          <t>======
ID#AAABZpqNdxA
Administrator    (2024-12-02 06:29:00)
2024/11/4 通知还柜，11/7还柜</t>
        </r>
      </text>
    </comment>
    <comment ref="W284" authorId="645">
      <text>
        <r>
          <rPr>
            <sz val="10"/>
            <rFont val="宋体"/>
            <charset val="134"/>
          </rPr>
          <t>======
ID#AAABZpqNd0k
Administrator    (2024-12-02 06:29:00)
21天免柜</t>
        </r>
      </text>
    </comment>
    <comment ref="D285" authorId="646">
      <text>
        <r>
          <rPr>
            <sz val="10"/>
            <rFont val="宋体"/>
            <charset val="134"/>
          </rPr>
          <t>======
ID#AAABZpqNdow
Administrator    (2024-12-02 06:29:00)
mainfreight</t>
        </r>
      </text>
    </comment>
    <comment ref="V285" authorId="647">
      <text>
        <r>
          <rPr>
            <sz val="10"/>
            <rFont val="宋体"/>
            <charset val="134"/>
          </rPr>
          <t>======
ID#AAABZpqNdcw
Administrator    (2024-12-02 06:29:00)
2024/11/11 通知还柜，11/12还柜</t>
        </r>
      </text>
    </comment>
    <comment ref="W285" authorId="648">
      <text>
        <r>
          <rPr>
            <sz val="10"/>
            <rFont val="宋体"/>
            <charset val="134"/>
          </rPr>
          <t>======
ID#AAABZpqNdNQ
Administrator    (2024-12-02 06:29:00)
21天免柜</t>
        </r>
      </text>
    </comment>
    <comment ref="D286" authorId="649">
      <text>
        <r>
          <rPr>
            <sz val="10"/>
            <rFont val="宋体"/>
            <charset val="134"/>
          </rPr>
          <t>======
ID#AAABZpqNdXE
Administrator    (2024-12-02 06:29:00)
mainfreight</t>
        </r>
      </text>
    </comment>
    <comment ref="L286" authorId="650">
      <text>
        <r>
          <rPr>
            <sz val="10"/>
            <rFont val="宋体"/>
            <charset val="134"/>
          </rPr>
          <t>======
ID#AAABZpqNd3c
Administrator    (2024-12-02 06:29:00)
0618b</t>
        </r>
      </text>
    </comment>
    <comment ref="W286" authorId="651">
      <text>
        <r>
          <rPr>
            <sz val="10"/>
            <rFont val="宋体"/>
            <charset val="134"/>
          </rPr>
          <t>======
ID#AAABZpqNdpw
Administrator    (2024-12-02 06:29:00)
21天免柜</t>
        </r>
      </text>
    </comment>
    <comment ref="D287" authorId="652">
      <text>
        <r>
          <rPr>
            <sz val="10"/>
            <rFont val="宋体"/>
            <charset val="134"/>
          </rPr>
          <t>======
ID#AAABZpqNdu8
Administrator    (2024-12-02 06:29:00)
mainfreight</t>
        </r>
      </text>
    </comment>
    <comment ref="L287" authorId="653">
      <text>
        <r>
          <rPr>
            <sz val="10"/>
            <rFont val="宋体"/>
            <charset val="134"/>
          </rPr>
          <t>======
ID#AAABZpqNdO4
Administrator    (2024-12-02 06:29:00)
0618b</t>
        </r>
      </text>
    </comment>
    <comment ref="V287" authorId="654">
      <text>
        <r>
          <rPr>
            <sz val="10"/>
            <rFont val="宋体"/>
            <charset val="134"/>
          </rPr>
          <t>======
ID#AAABZpqNdWA
Administrator    (2024-12-02 06:29:00)
2024//11/12 notify，11/14完成还柜</t>
        </r>
      </text>
    </comment>
    <comment ref="W287" authorId="655">
      <text>
        <r>
          <rPr>
            <sz val="10"/>
            <rFont val="宋体"/>
            <charset val="134"/>
          </rPr>
          <t>======
ID#AAABZpqNdVs
Administrator    (2024-12-02 06:29:00)
21天免柜</t>
        </r>
      </text>
    </comment>
    <comment ref="D288" authorId="656">
      <text>
        <r>
          <rPr>
            <sz val="10"/>
            <rFont val="宋体"/>
            <charset val="134"/>
          </rPr>
          <t>======
ID#AAABZplvq3c
Administrator    (2024-12-02 06:29:00)
mainfreight</t>
        </r>
      </text>
    </comment>
    <comment ref="L288" authorId="657">
      <text>
        <r>
          <rPr>
            <sz val="10"/>
            <rFont val="宋体"/>
            <charset val="134"/>
          </rPr>
          <t>======
ID#AAABZpqNdkM
Administrator    (2024-12-02 06:29:00)
给odisee</t>
        </r>
      </text>
    </comment>
    <comment ref="V288" authorId="658">
      <text>
        <r>
          <rPr>
            <sz val="10"/>
            <rFont val="宋体"/>
            <charset val="134"/>
          </rPr>
          <t>======
ID#AAABZpqNddc
Administrator    (2024-12-02 06:29:00)
2024/11/11 通知还柜，11/13还柜</t>
        </r>
      </text>
    </comment>
    <comment ref="W288" authorId="659">
      <text>
        <r>
          <rPr>
            <sz val="10"/>
            <rFont val="宋体"/>
            <charset val="134"/>
          </rPr>
          <t>======
ID#AAABZpqNdWQ
Administrator    (2024-12-02 06:29:00)
21天免柜</t>
        </r>
      </text>
    </comment>
    <comment ref="D289" authorId="660">
      <text>
        <r>
          <rPr>
            <sz val="10"/>
            <rFont val="宋体"/>
            <charset val="134"/>
          </rPr>
          <t>======
ID#AAABZpqNdQY
Administrator    (2024-12-02 06:29:00)
mainfreight</t>
        </r>
      </text>
    </comment>
    <comment ref="V289" authorId="661">
      <text>
        <r>
          <rPr>
            <sz val="10"/>
            <rFont val="宋体"/>
            <charset val="134"/>
          </rPr>
          <t>======
ID#AAABZpqNdkw
Administrator    (2024-12-02 06:29:00)
2024//11/14 notify，11/19完成还柜</t>
        </r>
      </text>
    </comment>
    <comment ref="W289" authorId="662">
      <text>
        <r>
          <rPr>
            <sz val="10"/>
            <rFont val="宋体"/>
            <charset val="134"/>
          </rPr>
          <t>======
ID#AAABZpqNddI
Administrator    (2024-12-02 06:29:00)
21天免柜</t>
        </r>
      </text>
    </comment>
    <comment ref="D290" authorId="663">
      <text>
        <r>
          <rPr>
            <sz val="10"/>
            <rFont val="宋体"/>
            <charset val="134"/>
          </rPr>
          <t>======
ID#AAABZpqNdkk
Administrator    (2024-12-02 06:29:00)
mainfreight</t>
        </r>
      </text>
    </comment>
    <comment ref="L290" authorId="664">
      <text>
        <r>
          <rPr>
            <sz val="10"/>
            <rFont val="宋体"/>
            <charset val="134"/>
          </rPr>
          <t>======
ID#AAABZpqNdbk
Administrator    (2024-12-02 06:29:00)
0618b</t>
        </r>
      </text>
    </comment>
    <comment ref="V290" authorId="665">
      <text>
        <r>
          <rPr>
            <sz val="10"/>
            <rFont val="宋体"/>
            <charset val="134"/>
          </rPr>
          <t>======
ID#AAABZpqNdes
Administrator    (2024-12-02 06:29:00)
2024//11/15 notify，11/19完成还柜</t>
        </r>
      </text>
    </comment>
    <comment ref="W290" authorId="666">
      <text>
        <r>
          <rPr>
            <sz val="10"/>
            <rFont val="宋体"/>
            <charset val="134"/>
          </rPr>
          <t>======
ID#AAABZpkvQbo
Administrator    (2024-12-02 06:29:00)
21天免柜</t>
        </r>
      </text>
    </comment>
    <comment ref="D291" authorId="667">
      <text>
        <r>
          <rPr>
            <sz val="10"/>
            <rFont val="宋体"/>
            <charset val="134"/>
          </rPr>
          <t>======
ID#AAABZpqNdYw
Administrator    (2024-12-02 06:29:00)
mainfreight</t>
        </r>
      </text>
    </comment>
    <comment ref="V291" authorId="668">
      <text>
        <r>
          <rPr>
            <sz val="10"/>
            <rFont val="宋体"/>
            <charset val="134"/>
          </rPr>
          <t>======
ID#AAABZpqNdkc
Administrator    (2024-12-02 06:29:00)
2024//11/12 notify，11/15完成还柜</t>
        </r>
      </text>
    </comment>
    <comment ref="D292" authorId="669">
      <text>
        <r>
          <rPr>
            <sz val="10"/>
            <rFont val="宋体"/>
            <charset val="134"/>
          </rPr>
          <t>======
ID#AAABZpqNdfw
Administrator    (2024-12-02 06:29:00)
mainfreight</t>
        </r>
      </text>
    </comment>
    <comment ref="V292" authorId="670">
      <text>
        <r>
          <rPr>
            <sz val="10"/>
            <rFont val="宋体"/>
            <charset val="134"/>
          </rPr>
          <t>======
ID#AAABZpqNdh0
Administrator    (2024-12-02 06:29:00)
2024//11/13 notify，11/16完成还柜</t>
        </r>
      </text>
    </comment>
    <comment ref="W292" authorId="671">
      <text>
        <r>
          <rPr>
            <sz val="10"/>
            <rFont val="宋体"/>
            <charset val="134"/>
          </rPr>
          <t>======
ID#AAABZpqNdmQ
Administrator    (2024-12-02 06:29:00)
21天免柜</t>
        </r>
      </text>
    </comment>
    <comment ref="D293" authorId="672">
      <text>
        <r>
          <rPr>
            <sz val="10"/>
            <rFont val="宋体"/>
            <charset val="134"/>
          </rPr>
          <t>======
ID#AAABZpqNdJA
Administrator    (2024-12-02 06:29:00)
mainfreight</t>
        </r>
      </text>
    </comment>
    <comment ref="V293" authorId="673">
      <text>
        <r>
          <rPr>
            <sz val="10"/>
            <rFont val="宋体"/>
            <charset val="134"/>
          </rPr>
          <t>======
ID#AAABZpqNdT8
Administrator    (2024-12-02 06:29:00)
2024//11/13 notify，11/14完成还柜</t>
        </r>
      </text>
    </comment>
    <comment ref="D294" authorId="674">
      <text>
        <r>
          <rPr>
            <sz val="10"/>
            <rFont val="宋体"/>
            <charset val="134"/>
          </rPr>
          <t>======
ID#AAABZpqNd3k
Administrator    (2024-12-02 06:29:00)
mainfreight</t>
        </r>
      </text>
    </comment>
    <comment ref="J294" authorId="675">
      <text>
        <r>
          <rPr>
            <sz val="10"/>
            <rFont val="宋体"/>
            <charset val="134"/>
          </rPr>
          <t>======
ID#AAABZpqNdus
Administrator    (2024-12-02 06:29:00)
2024/10/18 通知delay到11/2
2024/10/22 通知delay 到11/5</t>
        </r>
      </text>
    </comment>
    <comment ref="T294" authorId="676">
      <text>
        <r>
          <rPr>
            <sz val="10"/>
            <rFont val="宋体"/>
            <charset val="134"/>
          </rPr>
          <t>======
ID#AAABZplvq3Q
Administrator    (2024-12-02 06:29:00)
11/5发过。11/6更新一次</t>
        </r>
      </text>
    </comment>
    <comment ref="V294" authorId="677">
      <text>
        <r>
          <rPr>
            <sz val="10"/>
            <rFont val="宋体"/>
            <charset val="134"/>
          </rPr>
          <t>======
ID#AAABZpqNdeM
Administrator    (2024-12-02 06:29:00)
2024//11/15 notify，11/19完成还柜</t>
        </r>
      </text>
    </comment>
    <comment ref="W294" authorId="678">
      <text>
        <r>
          <rPr>
            <sz val="10"/>
            <rFont val="宋体"/>
            <charset val="134"/>
          </rPr>
          <t>======
ID#AAABZpqNdnY
Administrator    (2024-12-02 06:29:00)
21天免柜</t>
        </r>
      </text>
    </comment>
    <comment ref="D295" authorId="679">
      <text>
        <r>
          <rPr>
            <sz val="10"/>
            <rFont val="宋体"/>
            <charset val="134"/>
          </rPr>
          <t>======
ID#AAABZpqNdTw
Administrator    (2024-12-02 06:29:00)
mainfreight</t>
        </r>
      </text>
    </comment>
    <comment ref="J295" authorId="680">
      <text>
        <r>
          <rPr>
            <sz val="10"/>
            <rFont val="宋体"/>
            <charset val="134"/>
          </rPr>
          <t>======
ID#AAABZpqNdOA
Administrator    (2024-12-02 06:29:00)
11/6收到SINO delay通知</t>
        </r>
      </text>
    </comment>
    <comment ref="L295" authorId="681">
      <text>
        <r>
          <rPr>
            <sz val="10"/>
            <rFont val="宋体"/>
            <charset val="134"/>
          </rPr>
          <t>======
ID#AAABZpqNdQk
Administrator    (2024-12-02 06:29:00)
0618b</t>
        </r>
      </text>
    </comment>
    <comment ref="V295" authorId="682">
      <text>
        <r>
          <rPr>
            <sz val="10"/>
            <rFont val="宋体"/>
            <charset val="134"/>
          </rPr>
          <t>======
ID#AAABZpqNd3s
Administrator    (2024-12-02 06:29:00)
2024//11/18 notify，11/20完成还柜</t>
        </r>
      </text>
    </comment>
    <comment ref="W295" authorId="683">
      <text>
        <r>
          <rPr>
            <sz val="10"/>
            <rFont val="宋体"/>
            <charset val="134"/>
          </rPr>
          <t>======
ID#AAABZpqNdPc
Administrator    (2024-12-02 06:29:00)
21天免柜</t>
        </r>
      </text>
    </comment>
    <comment ref="D296" authorId="684">
      <text>
        <r>
          <rPr>
            <sz val="10"/>
            <rFont val="宋体"/>
            <charset val="134"/>
          </rPr>
          <t>======
ID#AAABZpqNdoE
Administrator    (2024-12-02 06:29:00)
mainfreight</t>
        </r>
      </text>
    </comment>
    <comment ref="J296" authorId="685">
      <text>
        <r>
          <rPr>
            <sz val="10"/>
            <rFont val="宋体"/>
            <charset val="134"/>
          </rPr>
          <t>======
ID#AAABZpqNdSE
Administrator    (2024-12-02 06:29:00)
11/6收到SINO delay通知</t>
        </r>
      </text>
    </comment>
    <comment ref="L296" authorId="686">
      <text>
        <r>
          <rPr>
            <sz val="10"/>
            <rFont val="宋体"/>
            <charset val="134"/>
          </rPr>
          <t>======
ID#AAABZpqNdjM
Administrator    (2024-12-02 06:29:00)
0618b</t>
        </r>
      </text>
    </comment>
    <comment ref="V296" authorId="687">
      <text>
        <r>
          <rPr>
            <sz val="10"/>
            <rFont val="宋体"/>
            <charset val="134"/>
          </rPr>
          <t>======
ID#AAABZpqNdvU
Administrator    (2024-12-02 06:29:00)
2024//11/18 notify，11/20完成还柜</t>
        </r>
      </text>
    </comment>
    <comment ref="W296" authorId="688">
      <text>
        <r>
          <rPr>
            <sz val="10"/>
            <rFont val="宋体"/>
            <charset val="134"/>
          </rPr>
          <t>======
ID#AAABZplvq5k
Administrator    (2024-12-02 06:29:00)
21天免柜</t>
        </r>
      </text>
    </comment>
    <comment ref="D297" authorId="689">
      <text>
        <r>
          <rPr>
            <sz val="10"/>
            <rFont val="宋体"/>
            <charset val="134"/>
          </rPr>
          <t>======
ID#AAABZpqNdkE
Administrator    (2024-12-02 06:29:00)
mainfreight</t>
        </r>
      </text>
    </comment>
    <comment ref="V297" authorId="690">
      <text>
        <r>
          <rPr>
            <sz val="10"/>
            <rFont val="宋体"/>
            <charset val="134"/>
          </rPr>
          <t>======
ID#AAABZpqNdkI
Administrator    (2024-12-02 06:29:00)
2024/11/15通知收柜，11/18mainfreight登记11/21收空柜</t>
        </r>
      </text>
    </comment>
    <comment ref="W297" authorId="691">
      <text>
        <r>
          <rPr>
            <sz val="10"/>
            <rFont val="宋体"/>
            <charset val="134"/>
          </rPr>
          <t>======
ID#AAABZpqNdoI
Administrator    (2024-12-02 06:29:00)
21天免柜</t>
        </r>
      </text>
    </comment>
    <comment ref="D298" authorId="692">
      <text>
        <r>
          <rPr>
            <sz val="10"/>
            <rFont val="宋体"/>
            <charset val="134"/>
          </rPr>
          <t>======
ID#AAABZpqNdM4
Administrator    (2024-12-02 06:29:00)
mainfreight</t>
        </r>
      </text>
    </comment>
    <comment ref="V298" authorId="693">
      <text>
        <r>
          <rPr>
            <sz val="10"/>
            <rFont val="宋体"/>
            <charset val="134"/>
          </rPr>
          <t>======
ID#AAABZpqNd3M
Administrator    (2024-12-02 06:29:00)
2024/11/15通知收柜，11/18mainfreight登记11/21收空柜</t>
        </r>
      </text>
    </comment>
    <comment ref="W298" authorId="694">
      <text>
        <r>
          <rPr>
            <sz val="10"/>
            <rFont val="宋体"/>
            <charset val="134"/>
          </rPr>
          <t>======
ID#AAABZpqNdxY
Administrator    (2024-12-02 06:29:00)
21天免柜</t>
        </r>
      </text>
    </comment>
    <comment ref="D299" authorId="695">
      <text>
        <r>
          <rPr>
            <sz val="10"/>
            <rFont val="宋体"/>
            <charset val="134"/>
          </rPr>
          <t>======
ID#AAABZpqNdUc
Administrator    (2024-12-02 06:29:00)
mainfreight</t>
        </r>
      </text>
    </comment>
    <comment ref="J299" authorId="696">
      <text>
        <r>
          <rPr>
            <sz val="10"/>
            <rFont val="宋体"/>
            <charset val="134"/>
          </rPr>
          <t>======
ID#AAABZpqNdYU
Administrator    (2024-12-02 06:29:00)
11/6收到SINO delay通知</t>
        </r>
      </text>
    </comment>
    <comment ref="V299" authorId="697">
      <text>
        <r>
          <rPr>
            <sz val="10"/>
            <rFont val="宋体"/>
            <charset val="134"/>
          </rPr>
          <t>======
ID#AAABZpqNdrE
Administrator    (2024-12-02 06:29:00)
2024/11/19 notify，11/21还柜</t>
        </r>
      </text>
    </comment>
    <comment ref="W299" authorId="698">
      <text>
        <r>
          <rPr>
            <sz val="10"/>
            <rFont val="宋体"/>
            <charset val="134"/>
          </rPr>
          <t>======
ID#AAABZpqNdf0
Administrator    (2024-12-02 06:29:00)
21天免柜</t>
        </r>
      </text>
    </comment>
    <comment ref="D300" authorId="699">
      <text>
        <r>
          <rPr>
            <sz val="10"/>
            <rFont val="宋体"/>
            <charset val="134"/>
          </rPr>
          <t>======
ID#AAABZplvq6Q
Administrator    (2024-12-02 06:29:00)
mainfreight</t>
        </r>
      </text>
    </comment>
    <comment ref="J300" authorId="700">
      <text>
        <r>
          <rPr>
            <sz val="10"/>
            <rFont val="宋体"/>
            <charset val="134"/>
          </rPr>
          <t>======
ID#AAABZpqNdKY
Administrator    (2024-12-02 06:29:00)
11/6收到SINO delay通知</t>
        </r>
      </text>
    </comment>
    <comment ref="L300" authorId="701">
      <text>
        <r>
          <rPr>
            <sz val="10"/>
            <rFont val="宋体"/>
            <charset val="134"/>
          </rPr>
          <t>======
ID#AAABZplvq3o
Administrator    (2024-12-02 06:29:00)
0618b</t>
        </r>
      </text>
    </comment>
    <comment ref="V300" authorId="702">
      <text>
        <r>
          <rPr>
            <sz val="10"/>
            <rFont val="宋体"/>
            <charset val="134"/>
          </rPr>
          <t>======
ID#AAABZpqNdKU
Administrator    (2024-12-02 06:29:00)
2024/11/19 notify，11/22还柜</t>
        </r>
      </text>
    </comment>
    <comment ref="W300" authorId="703">
      <text>
        <r>
          <rPr>
            <sz val="10"/>
            <rFont val="宋体"/>
            <charset val="134"/>
          </rPr>
          <t>======
ID#AAABZpqNdZA
Administrator    (2024-12-02 06:29:00)
21天免柜</t>
        </r>
      </text>
    </comment>
    <comment ref="D301" authorId="704">
      <text>
        <r>
          <rPr>
            <sz val="10"/>
            <rFont val="宋体"/>
            <charset val="134"/>
          </rPr>
          <t>======
ID#AAABZpqNdYs
Administrator    (2024-12-02 06:29:00)
mainfreight</t>
        </r>
      </text>
    </comment>
    <comment ref="J301" authorId="705">
      <text>
        <r>
          <rPr>
            <sz val="10"/>
            <rFont val="宋体"/>
            <charset val="134"/>
          </rPr>
          <t>======
ID#AAABZpqNddA
Administrator    (2024-12-02 06:29:00)
11/6收到SINO delay通知</t>
        </r>
      </text>
    </comment>
    <comment ref="L301" authorId="706">
      <text>
        <r>
          <rPr>
            <sz val="10"/>
            <rFont val="宋体"/>
            <charset val="134"/>
          </rPr>
          <t>======
ID#AAABZpqNdY4
Administrator    (2024-12-02 06:29:00)
0618b</t>
        </r>
      </text>
    </comment>
    <comment ref="V301" authorId="707">
      <text>
        <r>
          <rPr>
            <sz val="10"/>
            <rFont val="宋体"/>
            <charset val="134"/>
          </rPr>
          <t>======
ID#AAABZpqNdxc
Administrator    (2024-12-02 06:29:00)
2024/11/18 notify，11/22还柜</t>
        </r>
      </text>
    </comment>
    <comment ref="W301" authorId="708">
      <text>
        <r>
          <rPr>
            <sz val="10"/>
            <rFont val="宋体"/>
            <charset val="134"/>
          </rPr>
          <t>======
ID#AAABZplvq4c
Administrator    (2024-12-02 06:29:00)
21天免柜</t>
        </r>
      </text>
    </comment>
    <comment ref="D302" authorId="709">
      <text>
        <r>
          <rPr>
            <sz val="10"/>
            <rFont val="宋体"/>
            <charset val="134"/>
          </rPr>
          <t>======
ID#AAABZpqNdq8
Administrator    (2024-12-02 06:29:00)
mainfreight</t>
        </r>
      </text>
    </comment>
    <comment ref="J302" authorId="710">
      <text>
        <r>
          <rPr>
            <sz val="10"/>
            <rFont val="宋体"/>
            <charset val="134"/>
          </rPr>
          <t>======
ID#AAABZpqNdwk
Administrator    (2024-12-02 06:29:00)
11/6收到SINO delay通知</t>
        </r>
      </text>
    </comment>
    <comment ref="V302" authorId="711">
      <text>
        <r>
          <rPr>
            <sz val="10"/>
            <rFont val="宋体"/>
            <charset val="134"/>
          </rPr>
          <t>======
ID#AAABZpqNdlQ
Administrator    (2024-12-02 06:29:00)
2024/11/20 notify，11/22还柜</t>
        </r>
      </text>
    </comment>
    <comment ref="W302" authorId="712">
      <text>
        <r>
          <rPr>
            <sz val="10"/>
            <rFont val="宋体"/>
            <charset val="134"/>
          </rPr>
          <t>======
ID#AAABZpqNdT0
Administrator    (2024-12-02 06:29:00)
21天免柜</t>
        </r>
      </text>
    </comment>
    <comment ref="D303" authorId="713">
      <text>
        <r>
          <rPr>
            <sz val="10"/>
            <rFont val="宋体"/>
            <charset val="134"/>
          </rPr>
          <t>======
ID#AAABZpqNdTc
Administrator    (2024-12-02 06:29:00)
mainfreight</t>
        </r>
      </text>
    </comment>
    <comment ref="J303" authorId="714">
      <text>
        <r>
          <rPr>
            <sz val="10"/>
            <rFont val="宋体"/>
            <charset val="134"/>
          </rPr>
          <t>======
ID#AAABZplvq3M
Administrator    (2024-12-02 06:29:00)
11/6收到SINO delay通知</t>
        </r>
      </text>
    </comment>
    <comment ref="V303" authorId="715">
      <text>
        <r>
          <rPr>
            <sz val="10"/>
            <rFont val="宋体"/>
            <charset val="134"/>
          </rPr>
          <t>======
ID#AAABZpqNdak
Administrator    (2024-12-02 06:29:00)
2024/11/20 notify，11/22还柜</t>
        </r>
      </text>
    </comment>
    <comment ref="W303" authorId="716">
      <text>
        <r>
          <rPr>
            <sz val="10"/>
            <rFont val="宋体"/>
            <charset val="134"/>
          </rPr>
          <t>======
ID#AAABZpqNdoY
Administrator    (2024-12-02 06:29:00)
21天免柜</t>
        </r>
      </text>
    </comment>
    <comment ref="D304" authorId="717">
      <text>
        <r>
          <rPr>
            <sz val="10"/>
            <rFont val="宋体"/>
            <charset val="134"/>
          </rPr>
          <t>======
ID#AAABZpqNdqI
Administrator    (2024-12-02 06:29:00)
mainfreight</t>
        </r>
      </text>
    </comment>
    <comment ref="U304" authorId="718">
      <text>
        <r>
          <rPr>
            <sz val="10"/>
            <rFont val="宋体"/>
            <charset val="134"/>
          </rPr>
          <t>======
ID#AAABZpqNdQs
Administrator    (2024-12-02 06:29:00)
2024/11/19最后一天免仓储日</t>
        </r>
      </text>
    </comment>
    <comment ref="V304" authorId="719">
      <text>
        <r>
          <rPr>
            <sz val="10"/>
            <rFont val="宋体"/>
            <charset val="134"/>
          </rPr>
          <t>======
ID#AAABZpqNds0
Administrator    (2024-12-02 06:29:00)
2024/11/20 notify，11/22还柜</t>
        </r>
      </text>
    </comment>
    <comment ref="W304" authorId="720">
      <text>
        <r>
          <rPr>
            <sz val="10"/>
            <rFont val="宋体"/>
            <charset val="134"/>
          </rPr>
          <t>======
ID#AAABZpqNdSc
Administrator    (2024-12-02 06:29:00)
21天免柜</t>
        </r>
      </text>
    </comment>
    <comment ref="D305" authorId="721">
      <text>
        <r>
          <rPr>
            <sz val="10"/>
            <rFont val="宋体"/>
            <charset val="134"/>
          </rPr>
          <t>======
ID#AAABZpqNdqc
Administrator    (2024-12-02 06:29:00)
mainfreight</t>
        </r>
      </text>
    </comment>
    <comment ref="V305" authorId="722">
      <text>
        <r>
          <rPr>
            <sz val="10"/>
            <rFont val="宋体"/>
            <charset val="134"/>
          </rPr>
          <t>======
ID#AAABZpqNduQ
Administrator    (2024-12-02 06:29:00)
2024/11/26 notify
11/29还柜（待官网更新）</t>
        </r>
      </text>
    </comment>
    <comment ref="W305" authorId="723">
      <text>
        <r>
          <rPr>
            <sz val="10"/>
            <rFont val="宋体"/>
            <charset val="134"/>
          </rPr>
          <t>======
ID#AAABZpqNdyw
Administrator    (2024-12-02 06:29:00)
21天免柜</t>
        </r>
      </text>
    </comment>
    <comment ref="D306" authorId="724">
      <text>
        <r>
          <rPr>
            <sz val="10"/>
            <rFont val="宋体"/>
            <charset val="134"/>
          </rPr>
          <t>======
ID#AAABZpqNdX0
Administrator    (2024-12-02 06:29:00)
mainfreight</t>
        </r>
      </text>
    </comment>
    <comment ref="V306" authorId="725">
      <text>
        <r>
          <rPr>
            <sz val="10"/>
            <rFont val="宋体"/>
            <charset val="134"/>
          </rPr>
          <t>======
ID#AAABZpqNdI8
Administrator    (2024-12-02 06:29:00)
2024/11/25 notify，11/26还柜</t>
        </r>
      </text>
    </comment>
    <comment ref="W306" authorId="726">
      <text>
        <r>
          <rPr>
            <sz val="10"/>
            <rFont val="宋体"/>
            <charset val="134"/>
          </rPr>
          <t>======
ID#AAABZpqNdJg
Administrator    (2024-12-02 06:29:00)
21天免柜</t>
        </r>
      </text>
    </comment>
    <comment ref="D307" authorId="727">
      <text>
        <r>
          <rPr>
            <sz val="10"/>
            <rFont val="宋体"/>
            <charset val="134"/>
          </rPr>
          <t>======
ID#AAABZpqNdRo
Administrator    (2024-12-02 06:29:00)
mainfreight</t>
        </r>
      </text>
    </comment>
    <comment ref="V307" authorId="728">
      <text>
        <r>
          <rPr>
            <sz val="10"/>
            <rFont val="宋体"/>
            <charset val="134"/>
          </rPr>
          <t>======
ID#AAABZpqNdsg
Administrator    (2024-12-02 06:29:00)
2024/11/26 notify，11/27还柜</t>
        </r>
      </text>
    </comment>
    <comment ref="W307" authorId="729">
      <text>
        <r>
          <rPr>
            <sz val="10"/>
            <rFont val="宋体"/>
            <charset val="134"/>
          </rPr>
          <t>======
ID#AAABZpqNdLI
Administrator    (2024-12-02 06:29:00)
21天免柜</t>
        </r>
      </text>
    </comment>
    <comment ref="D308" authorId="730">
      <text>
        <r>
          <rPr>
            <sz val="10"/>
            <rFont val="宋体"/>
            <charset val="134"/>
          </rPr>
          <t>======
ID#AAABZpqNdd8
Administrator    (2024-12-02 06:29:00)
mainfreight</t>
        </r>
      </text>
    </comment>
    <comment ref="V308" authorId="731">
      <text>
        <r>
          <rPr>
            <sz val="10"/>
            <rFont val="宋体"/>
            <charset val="134"/>
          </rPr>
          <t>======
ID#AAABZpqNdIo
Administrator    (2024-12-02 06:29:00)
2024/11/26 notify，11/27还柜</t>
        </r>
      </text>
    </comment>
    <comment ref="W308" authorId="732">
      <text>
        <r>
          <rPr>
            <sz val="10"/>
            <rFont val="宋体"/>
            <charset val="134"/>
          </rPr>
          <t>======
ID#AAABZpqNdQc
Administrator    (2024-12-02 06:29:00)
21天免柜</t>
        </r>
      </text>
    </comment>
    <comment ref="D309" authorId="733">
      <text>
        <r>
          <rPr>
            <sz val="10"/>
            <rFont val="宋体"/>
            <charset val="134"/>
          </rPr>
          <t>======
ID#AAABZpqNdws
Administrator    (2024-12-02 06:29:00)
mainfreight</t>
        </r>
      </text>
    </comment>
    <comment ref="V309" authorId="734">
      <text>
        <r>
          <rPr>
            <sz val="10"/>
            <rFont val="宋体"/>
            <charset val="134"/>
          </rPr>
          <t>======
ID#AAABZpqNdxI
Administrator    (2024-12-02 06:29:00)
2024//11/19 notify，11/20完成还柜</t>
        </r>
      </text>
    </comment>
    <comment ref="D310" authorId="735">
      <text>
        <r>
          <rPr>
            <sz val="10"/>
            <rFont val="宋体"/>
            <charset val="134"/>
          </rPr>
          <t>======
ID#AAABZpqNduU
Administrator    (2024-12-02 06:29:00)
mainfreight</t>
        </r>
      </text>
    </comment>
    <comment ref="V310" authorId="736">
      <text>
        <r>
          <rPr>
            <sz val="10"/>
            <rFont val="宋体"/>
            <charset val="134"/>
          </rPr>
          <t>======
ID#AAABZpqNdyA
Administrator    (2024-12-02 06:29:00)
2024/11/20 notify，11/21还柜</t>
        </r>
      </text>
    </comment>
    <comment ref="W310" authorId="737">
      <text>
        <r>
          <rPr>
            <sz val="10"/>
            <rFont val="宋体"/>
            <charset val="134"/>
          </rPr>
          <t>======
ID#AAABZpqNdZs
Administrator    (2024-12-02 06:29:00)
21天免柜</t>
        </r>
      </text>
    </comment>
    <comment ref="D311" authorId="738">
      <text>
        <r>
          <rPr>
            <sz val="10"/>
            <rFont val="宋体"/>
            <charset val="134"/>
          </rPr>
          <t>======
ID#AAABZpqNdlI
Administrator    (2024-12-02 06:29:00)
mainfreight</t>
        </r>
      </text>
    </comment>
    <comment ref="V311" authorId="739">
      <text>
        <r>
          <rPr>
            <sz val="10"/>
            <rFont val="宋体"/>
            <charset val="134"/>
          </rPr>
          <t>======
ID#AAABZplvq4I
Administrator    (2024-12-02 06:29:00)
2024/11/21 notify，11/25还柜</t>
        </r>
      </text>
    </comment>
    <comment ref="W311" authorId="740">
      <text>
        <r>
          <rPr>
            <sz val="10"/>
            <rFont val="宋体"/>
            <charset val="134"/>
          </rPr>
          <t>======
ID#AAABZpqNdzI
Administrator    (2024-12-02 06:29:00)
21天免柜</t>
        </r>
      </text>
    </comment>
    <comment ref="D312" authorId="741">
      <text>
        <r>
          <rPr>
            <sz val="10"/>
            <rFont val="宋体"/>
            <charset val="134"/>
          </rPr>
          <t>======
ID#AAABZpqNdUI
Administrator    (2024-12-02 06:29:00)
mainfreight</t>
        </r>
      </text>
    </comment>
    <comment ref="V312" authorId="742">
      <text>
        <r>
          <rPr>
            <sz val="10"/>
            <rFont val="宋体"/>
            <charset val="134"/>
          </rPr>
          <t>======
ID#AAABZpqNdfA
Administrator    (2024-12-02 06:29:00)
2024/11/21 notify，11/26还柜</t>
        </r>
      </text>
    </comment>
    <comment ref="W312" authorId="743">
      <text>
        <r>
          <rPr>
            <sz val="10"/>
            <rFont val="宋体"/>
            <charset val="134"/>
          </rPr>
          <t>======
ID#AAABZpqNdp0
Administrator    (2024-12-02 06:29:00)
21天免柜</t>
        </r>
      </text>
    </comment>
    <comment ref="D313" authorId="744">
      <text>
        <r>
          <rPr>
            <sz val="10"/>
            <rFont val="宋体"/>
            <charset val="134"/>
          </rPr>
          <t>======
ID#AAABZpqNdXo
Administrator    (2024-12-02 06:29:00)
mainfreight</t>
        </r>
      </text>
    </comment>
    <comment ref="L313" authorId="745">
      <text>
        <r>
          <rPr>
            <sz val="10"/>
            <rFont val="宋体"/>
            <charset val="134"/>
          </rPr>
          <t>======
ID#AAABZpqNdsU
Administrator    (2024-12-02 06:29:00)
0618b</t>
        </r>
      </text>
    </comment>
    <comment ref="V313" authorId="746">
      <text>
        <r>
          <rPr>
            <sz val="10"/>
            <rFont val="宋体"/>
            <charset val="134"/>
          </rPr>
          <t>======
ID#AAABZpqNdw0
Administrator    (2024-12-02 06:29:00)
2024/11/25 notify，11/26还柜</t>
        </r>
      </text>
    </comment>
    <comment ref="W313" authorId="747">
      <text>
        <r>
          <rPr>
            <sz val="10"/>
            <rFont val="宋体"/>
            <charset val="134"/>
          </rPr>
          <t>======
ID#AAABZpqNdz8
Administrator    (2024-12-02 06:29:00)
21天免柜</t>
        </r>
      </text>
    </comment>
    <comment ref="D314" authorId="748">
      <text>
        <r>
          <rPr>
            <sz val="10"/>
            <rFont val="宋体"/>
            <charset val="134"/>
          </rPr>
          <t>======
ID#AAABZpqNd3E
Administrator    (2024-12-02 06:29:00)
mainfreight</t>
        </r>
      </text>
    </comment>
    <comment ref="L314" authorId="749">
      <text>
        <r>
          <rPr>
            <sz val="10"/>
            <rFont val="宋体"/>
            <charset val="134"/>
          </rPr>
          <t>======
ID#AAABZpqNd28
Administrator    (2024-12-02 06:29:00)
0618b</t>
        </r>
      </text>
    </comment>
    <comment ref="V314" authorId="750">
      <text>
        <r>
          <rPr>
            <sz val="10"/>
            <rFont val="宋体"/>
            <charset val="134"/>
          </rPr>
          <t>======
ID#AAABZpqNd0o
Administrator    (2024-12-02 06:29:00)
2024/11/25 notify，11/27还柜</t>
        </r>
      </text>
    </comment>
    <comment ref="W314" authorId="751">
      <text>
        <r>
          <rPr>
            <sz val="10"/>
            <rFont val="宋体"/>
            <charset val="134"/>
          </rPr>
          <t>======
ID#AAABZpqNdSU
Administrator    (2024-12-02 06:29:00)
21天免柜</t>
        </r>
      </text>
    </comment>
    <comment ref="D315" authorId="752">
      <text>
        <r>
          <rPr>
            <sz val="10"/>
            <rFont val="宋体"/>
            <charset val="134"/>
          </rPr>
          <t>======
ID#AAABZpqNdio
Administrator    (2024-12-02 06:29:00)
mainfreight</t>
        </r>
      </text>
    </comment>
    <comment ref="L315" authorId="753">
      <text>
        <r>
          <rPr>
            <sz val="10"/>
            <rFont val="宋体"/>
            <charset val="134"/>
          </rPr>
          <t>======
ID#AAABZplvq5Q
Administrator    (2024-12-02 06:29:00)
0618b</t>
        </r>
      </text>
    </comment>
    <comment ref="V315" authorId="754">
      <text>
        <r>
          <rPr>
            <sz val="10"/>
            <rFont val="宋体"/>
            <charset val="134"/>
          </rPr>
          <t>======
ID#AAABZpqNdOU
Administrator    (2024-12-02 06:29:00)
2024/11/25 notify，11/27还柜</t>
        </r>
      </text>
    </comment>
    <comment ref="W315" authorId="755">
      <text>
        <r>
          <rPr>
            <sz val="10"/>
            <rFont val="宋体"/>
            <charset val="134"/>
          </rPr>
          <t>======
ID#AAABZpqNdTk
Administrator    (2024-12-02 06:29:00)
21天免柜</t>
        </r>
      </text>
    </comment>
    <comment ref="D316" authorId="756">
      <text>
        <r>
          <rPr>
            <sz val="10"/>
            <rFont val="宋体"/>
            <charset val="134"/>
          </rPr>
          <t>======
ID#AAABZpqNdvE
Administrator    (2024-12-02 06:29:00)
mainfreight</t>
        </r>
      </text>
    </comment>
    <comment ref="L316" authorId="757">
      <text>
        <r>
          <rPr>
            <sz val="10"/>
            <rFont val="宋体"/>
            <charset val="134"/>
          </rPr>
          <t>======
ID#AAABZpqNdfk
Administrator    (2024-12-02 06:29:00)
0618b</t>
        </r>
      </text>
    </comment>
    <comment ref="V316" authorId="758">
      <text>
        <r>
          <rPr>
            <sz val="10"/>
            <rFont val="宋体"/>
            <charset val="134"/>
          </rPr>
          <t>======
ID#AAABZpqNdMY
Administrator    (2024-12-02 06:29:00)
2024/11/25 notify，11/27还柜</t>
        </r>
      </text>
    </comment>
    <comment ref="W316" authorId="759">
      <text>
        <r>
          <rPr>
            <sz val="10"/>
            <rFont val="宋体"/>
            <charset val="134"/>
          </rPr>
          <t>======
ID#AAABZpqNdbY
Administrator    (2024-12-02 06:29:00)
21天免柜</t>
        </r>
      </text>
    </comment>
    <comment ref="D317" authorId="760">
      <text>
        <r>
          <rPr>
            <sz val="10"/>
            <rFont val="宋体"/>
            <charset val="134"/>
          </rPr>
          <t>======
ID#AAABZpqNdJQ
Administrator    (2024-12-02 06:29:00)
mainfreight</t>
        </r>
      </text>
    </comment>
    <comment ref="L317" authorId="761">
      <text>
        <r>
          <rPr>
            <sz val="10"/>
            <rFont val="宋体"/>
            <charset val="134"/>
          </rPr>
          <t>======
ID#AAABZpqNdRM
Administrator    (2024-12-02 06:29:00)
0618b</t>
        </r>
      </text>
    </comment>
    <comment ref="V317" authorId="762">
      <text>
        <r>
          <rPr>
            <sz val="10"/>
            <rFont val="宋体"/>
            <charset val="134"/>
          </rPr>
          <t>======
ID#AAABZpqNd1s
Administrator    (2024-12-02 06:29:00)
2024/11/25 notify，11/27还柜</t>
        </r>
      </text>
    </comment>
    <comment ref="W317" authorId="763">
      <text>
        <r>
          <rPr>
            <sz val="10"/>
            <rFont val="宋体"/>
            <charset val="134"/>
          </rPr>
          <t>======
ID#AAABZplvq6c
Administrator    (2024-12-02 06:29:00)
21天免柜</t>
        </r>
      </text>
    </comment>
    <comment ref="D318" authorId="764">
      <text>
        <r>
          <rPr>
            <sz val="10"/>
            <rFont val="宋体"/>
            <charset val="134"/>
          </rPr>
          <t>======
ID#AAABZpqNdvg
Administrator    (2024-12-02 06:29:00)
mainfreight</t>
        </r>
      </text>
    </comment>
    <comment ref="L318" authorId="765">
      <text>
        <r>
          <rPr>
            <sz val="10"/>
            <rFont val="宋体"/>
            <charset val="134"/>
          </rPr>
          <t>======
ID#AAABZpkvQbs
Administrator    (2024-12-02 06:29:00)
0618b，odisee</t>
        </r>
      </text>
    </comment>
    <comment ref="N318" authorId="766">
      <text>
        <r>
          <rPr>
            <sz val="10"/>
            <rFont val="宋体"/>
            <charset val="134"/>
          </rPr>
          <t>WEIGH IN MOTION TERMINAL FEE-Why need this fee？
======</t>
        </r>
      </text>
    </comment>
    <comment ref="U318" authorId="767">
      <text>
        <r>
          <rPr>
            <sz val="10"/>
            <rFont val="宋体"/>
            <charset val="134"/>
          </rPr>
          <t>======
ID#AAABZpqNd2g
Administrator    (2024-12-02 06:29:00)
last free storage date:11/21</t>
        </r>
      </text>
    </comment>
    <comment ref="V318" authorId="768">
      <text>
        <r>
          <rPr>
            <sz val="10"/>
            <rFont val="宋体"/>
            <charset val="134"/>
          </rPr>
          <t>======
ID#AAABZpqNdwc
Administrator    (2024-12-02 06:29:00)
2024/11/25 notify，11/27还柜</t>
        </r>
      </text>
    </comment>
    <comment ref="W318" authorId="769">
      <text>
        <r>
          <rPr>
            <sz val="10"/>
            <rFont val="宋体"/>
            <charset val="134"/>
          </rPr>
          <t>======
ID#AAABZplvq4U
Administrator    (2024-12-02 06:29:00)
21天免柜</t>
        </r>
      </text>
    </comment>
    <comment ref="D319" authorId="770">
      <text>
        <r>
          <rPr>
            <sz val="10"/>
            <rFont val="宋体"/>
            <charset val="134"/>
          </rPr>
          <t>======
ID#AAABZplvq5o
Administrator    (2024-12-02 06:29:00)
mainfreight</t>
        </r>
      </text>
    </comment>
    <comment ref="L319" authorId="771">
      <text>
        <r>
          <rPr>
            <sz val="10"/>
            <rFont val="宋体"/>
            <charset val="134"/>
          </rPr>
          <t>======
ID#AAABZpqNdtY
Administrator    (2024-12-02 06:29:00)
0618b，odisee</t>
        </r>
      </text>
    </comment>
    <comment ref="U319" authorId="772">
      <text>
        <r>
          <rPr>
            <sz val="10"/>
            <rFont val="宋体"/>
            <charset val="134"/>
          </rPr>
          <t>======
ID#AAABZpqNdbE
Administrator    (2024-12-02 06:29:00)
last free storage dats:11/21</t>
        </r>
      </text>
    </comment>
    <comment ref="V319" authorId="773">
      <text>
        <r>
          <rPr>
            <sz val="10"/>
            <rFont val="宋体"/>
            <charset val="134"/>
          </rPr>
          <t>======
ID#AAABZpqNdaM
Administrator    (2024-12-02 06:29:00)
2024/11/25 notify，11/28还柜</t>
        </r>
      </text>
    </comment>
    <comment ref="W319" authorId="774">
      <text>
        <r>
          <rPr>
            <sz val="10"/>
            <rFont val="宋体"/>
            <charset val="134"/>
          </rPr>
          <t>======
ID#AAABZplvq6o
Administrator    (2024-12-02 06:29:00)
21天免柜</t>
        </r>
      </text>
    </comment>
    <comment ref="D320" authorId="775">
      <text>
        <r>
          <rPr>
            <sz val="10"/>
            <rFont val="宋体"/>
            <charset val="134"/>
          </rPr>
          <t>======
ID#AAABZpqNdb8
Administrator    (2024-12-02 06:29:00)
mainfreight</t>
        </r>
      </text>
    </comment>
    <comment ref="L320" authorId="776">
      <text>
        <r>
          <rPr>
            <sz val="10"/>
            <rFont val="宋体"/>
            <charset val="134"/>
          </rPr>
          <t>======
ID#AAABZpqNdhw
Administrator    (2024-12-02 06:29:00)
0618b，odisee</t>
        </r>
      </text>
    </comment>
    <comment ref="U320" authorId="777">
      <text>
        <r>
          <rPr>
            <sz val="10"/>
            <rFont val="宋体"/>
            <charset val="134"/>
          </rPr>
          <t>======
ID#AAABZpqNda4
Administrator    (2024-12-02 06:29:00)
last free storage date:11/22</t>
        </r>
      </text>
    </comment>
    <comment ref="V320" authorId="778">
      <text>
        <r>
          <rPr>
            <sz val="10"/>
            <rFont val="宋体"/>
            <charset val="134"/>
          </rPr>
          <t>======
ID#AAABZplvq6s
Administrator    (2024-12-02 06:29:00)
2024/11/26 notify，11/28还柜</t>
        </r>
      </text>
    </comment>
    <comment ref="W320" authorId="779">
      <text>
        <r>
          <rPr>
            <sz val="10"/>
            <rFont val="宋体"/>
            <charset val="134"/>
          </rPr>
          <t>======
ID#AAABZpqNdoM
Administrator    (2024-12-02 06:29:00)
21天免柜</t>
        </r>
      </text>
    </comment>
    <comment ref="D321" authorId="780">
      <text>
        <r>
          <rPr>
            <sz val="10"/>
            <rFont val="宋体"/>
            <charset val="134"/>
          </rPr>
          <t>======
ID#AAABZpqNdrM
Administrator    (2024-12-02 06:29:00)
mainfreight</t>
        </r>
      </text>
    </comment>
    <comment ref="V321" authorId="781">
      <text>
        <r>
          <rPr>
            <sz val="10"/>
            <rFont val="宋体"/>
            <charset val="134"/>
          </rPr>
          <t>======
ID#AAABZpqNdVE
Administrator    (2024-12-02 06:29:00)
2024/11/22 notify，11/25还柜</t>
        </r>
      </text>
    </comment>
    <comment ref="W321" authorId="782">
      <text>
        <r>
          <rPr>
            <sz val="10"/>
            <rFont val="宋体"/>
            <charset val="134"/>
          </rPr>
          <t>======
ID#AAABZpqNd1c
Administrator    (2024-12-02 06:29:00)
21天免柜</t>
        </r>
      </text>
    </comment>
    <comment ref="D322" authorId="783">
      <text>
        <r>
          <rPr>
            <sz val="10"/>
            <rFont val="宋体"/>
            <charset val="134"/>
          </rPr>
          <t>======
ID#AAABZpqNdd0
Administrator    (2024-12-02 06:29:00)
mainfreight</t>
        </r>
      </text>
    </comment>
    <comment ref="W322" authorId="784">
      <text>
        <r>
          <rPr>
            <sz val="10"/>
            <rFont val="宋体"/>
            <charset val="134"/>
          </rPr>
          <t>======
ID#AAABZpqNdSk
Administrator    (2024-12-02 06:29:00)
21天免柜</t>
        </r>
      </text>
    </comment>
    <comment ref="D323" authorId="785">
      <text>
        <r>
          <rPr>
            <sz val="10"/>
            <rFont val="宋体"/>
            <charset val="134"/>
          </rPr>
          <t>======
ID#AAABZpqNdeI
Administrator    (2024-12-02 06:29:00)
mainfreight</t>
        </r>
      </text>
    </comment>
    <comment ref="N323" authorId="786">
      <text>
        <r>
          <rPr>
            <sz val="10"/>
            <rFont val="宋体"/>
            <charset val="134"/>
          </rPr>
          <t>WEIGH IN MOTION TERMINAL FEE-Why need this fee？
======</t>
        </r>
      </text>
    </comment>
    <comment ref="W323" authorId="787">
      <text>
        <r>
          <rPr>
            <sz val="10"/>
            <rFont val="宋体"/>
            <charset val="134"/>
          </rPr>
          <t>======
ID#AAABZpqNdig
Administrator    (2024-12-02 06:29:00)
21天免柜</t>
        </r>
      </text>
    </comment>
    <comment ref="D324" authorId="788">
      <text>
        <r>
          <rPr>
            <sz val="10"/>
            <rFont val="宋体"/>
            <charset val="134"/>
          </rPr>
          <t>======
ID#AAABZplvq7M
Administrator    (2024-12-02 06:29:00)
mainfreight</t>
        </r>
      </text>
    </comment>
    <comment ref="N324" authorId="789">
      <text>
        <r>
          <rPr>
            <sz val="10"/>
            <rFont val="宋体"/>
            <charset val="134"/>
          </rPr>
          <t>WEIGH IN MOTION TERMINAL FEE-Why need this fee？
======</t>
        </r>
      </text>
    </comment>
    <comment ref="U324" authorId="790">
      <text>
        <r>
          <rPr>
            <sz val="10"/>
            <rFont val="宋体"/>
            <charset val="134"/>
          </rPr>
          <t>======
ID#AAABZpqNduA
Administrator    (2024-12-02 06:29:00)
11/27 1pm要确定是否能11/28接。
11/26说11/29号中午能接</t>
        </r>
      </text>
    </comment>
    <comment ref="W324" authorId="791">
      <text>
        <r>
          <rPr>
            <sz val="10"/>
            <rFont val="宋体"/>
            <charset val="134"/>
          </rPr>
          <t>======
ID#AAABZpqNddo
Administrator    (2024-12-02 06:29:00)
21天免柜</t>
        </r>
      </text>
    </comment>
    <comment ref="D325" authorId="792">
      <text>
        <r>
          <rPr>
            <sz val="10"/>
            <rFont val="宋体"/>
            <charset val="134"/>
          </rPr>
          <t>======
ID#AAABZplvq48
Administrator    (2024-12-02 06:29:00)
mainfreight</t>
        </r>
      </text>
    </comment>
    <comment ref="N325" authorId="793">
      <text>
        <r>
          <rPr>
            <sz val="10"/>
            <rFont val="宋体"/>
            <charset val="134"/>
          </rPr>
          <t>WEIGH IN MOTION TERMINAL FEE-Why need this fee？
======</t>
        </r>
      </text>
    </comment>
    <comment ref="W325" authorId="794">
      <text>
        <r>
          <rPr>
            <sz val="10"/>
            <rFont val="宋体"/>
            <charset val="134"/>
          </rPr>
          <t>======
ID#AAABZpqNdWE
Administrator    (2024-12-02 06:29:00)
21天免柜</t>
        </r>
      </text>
    </comment>
    <comment ref="D326" authorId="795">
      <text>
        <r>
          <rPr>
            <sz val="10"/>
            <rFont val="宋体"/>
            <charset val="134"/>
          </rPr>
          <t>======
ID#AAABZpqNdvI
Administrator    (2024-12-02 06:29:00)
mainfreight</t>
        </r>
      </text>
    </comment>
    <comment ref="D327" authorId="796">
      <text>
        <r>
          <rPr>
            <sz val="10"/>
            <rFont val="宋体"/>
            <charset val="134"/>
          </rPr>
          <t>======
ID#AAABZpqNd2Y
Administrator    (2024-12-02 06:29:00)
mainfreight</t>
        </r>
      </text>
    </comment>
    <comment ref="D328" authorId="797">
      <text>
        <r>
          <rPr>
            <sz val="10"/>
            <rFont val="宋体"/>
            <charset val="134"/>
          </rPr>
          <t>======
ID#AAABZpqNdps
Administrator    (2024-12-02 06:29:00)
mainfreight</t>
        </r>
      </text>
    </comment>
    <comment ref="D329" authorId="798">
      <text>
        <r>
          <rPr>
            <sz val="10"/>
            <rFont val="宋体"/>
            <charset val="134"/>
          </rPr>
          <t>======
ID#AAABZpqNdV0
Administrator    (2024-12-02 06:29:00)
mainfreight</t>
        </r>
      </text>
    </comment>
    <comment ref="D330" authorId="799">
      <text>
        <r>
          <rPr>
            <sz val="10"/>
            <rFont val="宋体"/>
            <charset val="134"/>
          </rPr>
          <t>======
ID#AAABZplvq4E
Administrator    (2024-12-02 06:29:00)
mainfreight</t>
        </r>
      </text>
    </comment>
    <comment ref="W330" authorId="800">
      <text>
        <r>
          <rPr>
            <sz val="10"/>
            <rFont val="宋体"/>
            <charset val="134"/>
          </rPr>
          <t>======
ID#AAABZpqNdRQ
Administrator    (2024-12-02 06:29:00)
21天免柜</t>
        </r>
      </text>
    </comment>
    <comment ref="D331" authorId="801">
      <text>
        <r>
          <rPr>
            <sz val="10"/>
            <rFont val="宋体"/>
            <charset val="134"/>
          </rPr>
          <t>======
ID#AAABZpqNdaw
Administrator    (2024-12-02 06:29:00)
mainfreight</t>
        </r>
      </text>
    </comment>
    <comment ref="J331" authorId="802">
      <text>
        <r>
          <rPr>
            <sz val="10"/>
            <rFont val="宋体"/>
            <charset val="134"/>
          </rPr>
          <t>======
ID#AAABZpqNdlM
Administrator    (2024-12-06 09:44:15)
ETA:11/29
11/26查变成12/7
12/5查变成12/10</t>
        </r>
      </text>
    </comment>
    <comment ref="W331" authorId="803">
      <text>
        <r>
          <rPr>
            <sz val="10"/>
            <rFont val="宋体"/>
            <charset val="134"/>
          </rPr>
          <t>======
ID#AAABZpqNdvQ
Administrator    (2024-12-02 06:29:00)
21天免柜</t>
        </r>
      </text>
    </comment>
    <comment ref="D332" authorId="804">
      <text>
        <r>
          <rPr>
            <sz val="10"/>
            <rFont val="宋体"/>
            <charset val="134"/>
          </rPr>
          <t>======
ID#AAABZpqNdiY
Administrator    (2024-12-02 06:29:00)
mainfreight</t>
        </r>
      </text>
    </comment>
    <comment ref="W332" authorId="805">
      <text>
        <r>
          <rPr>
            <sz val="10"/>
            <rFont val="宋体"/>
            <charset val="134"/>
          </rPr>
          <t>======
ID#AAABZpqNdTA
Administrator    (2024-12-02 06:29:00)
21天免柜</t>
        </r>
      </text>
    </comment>
    <comment ref="D333" authorId="806">
      <text>
        <r>
          <rPr>
            <sz val="10"/>
            <rFont val="宋体"/>
            <charset val="134"/>
          </rPr>
          <t>======
ID#AAABZpqNdkQ
Administrator    (2024-12-02 06:29:00)
mainfreight</t>
        </r>
      </text>
    </comment>
    <comment ref="W333" authorId="807">
      <text>
        <r>
          <rPr>
            <sz val="10"/>
            <rFont val="宋体"/>
            <charset val="134"/>
          </rPr>
          <t>======
ID#AAABZpqNdV4
Administrator    (2024-12-02 06:29:00)
21天免柜</t>
        </r>
      </text>
    </comment>
    <comment ref="D334" authorId="808">
      <text>
        <r>
          <rPr>
            <sz val="10"/>
            <rFont val="宋体"/>
            <charset val="134"/>
          </rPr>
          <t>======
ID#AAABZpqNdR0
Administrator    (2024-12-02 06:29:00)
mainfreight</t>
        </r>
      </text>
    </comment>
    <comment ref="W334" authorId="809">
      <text>
        <r>
          <rPr>
            <sz val="10"/>
            <rFont val="宋体"/>
            <charset val="134"/>
          </rPr>
          <t>======
ID#AAABZpqNdKA
Administrator    (2024-12-02 06:29:00)
21天免柜</t>
        </r>
      </text>
    </comment>
    <comment ref="D335" authorId="810">
      <text>
        <r>
          <rPr>
            <sz val="10"/>
            <rFont val="宋体"/>
            <charset val="134"/>
          </rPr>
          <t>======
ID#AAABZpqNdms
Administrator    (2024-12-02 06:29:00)
mainfreight</t>
        </r>
      </text>
    </comment>
    <comment ref="J335" authorId="811">
      <text>
        <r>
          <rPr>
            <sz val="10"/>
            <rFont val="宋体"/>
            <charset val="134"/>
          </rPr>
          <t>======
ID#AAABZpqNdw4
Administrator    (2024-12-06 09:44:15)
ETA：11/27
11/26查变成12/11
12/5查变成12/14</t>
        </r>
      </text>
    </comment>
    <comment ref="W335" authorId="812">
      <text>
        <r>
          <rPr>
            <sz val="10"/>
            <rFont val="宋体"/>
            <charset val="134"/>
          </rPr>
          <t>======
ID#AAABZpqNdls
Administrator    (2024-12-02 06:29:00)
21天免柜</t>
        </r>
      </text>
    </comment>
    <comment ref="D336" authorId="813">
      <text>
        <r>
          <rPr>
            <sz val="10"/>
            <rFont val="宋体"/>
            <charset val="134"/>
          </rPr>
          <t>======
ID#AAABZpqNdbo
Administrator    (2024-12-02 06:29:00)
mainfreight</t>
        </r>
      </text>
    </comment>
    <comment ref="J336" authorId="814">
      <text>
        <r>
          <rPr>
            <sz val="10"/>
            <rFont val="宋体"/>
            <charset val="134"/>
          </rPr>
          <t>======
ID#AAABZplvq7Q
Administrator    (2024-12-06 09:44:15)
塞港导致的1.因为澳洲塞港, 回程的船也有所延误, 然后上海也是塞港的.2.连锁反应
12月5 ETA变成12/16</t>
        </r>
      </text>
    </comment>
    <comment ref="W336" authorId="815">
      <text>
        <r>
          <rPr>
            <sz val="10"/>
            <rFont val="宋体"/>
            <charset val="134"/>
          </rPr>
          <t>======
ID#AAABZpqNdr4
Administrator    (2024-12-02 06:29:00)
21天免柜</t>
        </r>
      </text>
    </comment>
    <comment ref="D337" authorId="816">
      <text>
        <r>
          <rPr>
            <sz val="10"/>
            <rFont val="宋体"/>
            <charset val="134"/>
          </rPr>
          <t>======
ID#AAABZpqNdPU
Administrator    (2024-12-02 06:29:00)
mainfreight</t>
        </r>
      </text>
    </comment>
    <comment ref="J337" authorId="817">
      <text>
        <r>
          <rPr>
            <sz val="10"/>
            <rFont val="宋体"/>
            <charset val="134"/>
          </rPr>
          <t>======
ID#AAABZpkvQb8
Administrator    (2024-12-06 09:44:15)
塞港导致的1.因为澳洲塞港, 回程的船也有所延误, 然后上海也是塞港的.2.连锁反应
12月5 ETA变成12/16</t>
        </r>
      </text>
    </comment>
    <comment ref="W337" authorId="818">
      <text>
        <r>
          <rPr>
            <sz val="10"/>
            <rFont val="宋体"/>
            <charset val="134"/>
          </rPr>
          <t>======
ID#AAABZpqNdOk
Administrator    (2024-12-02 06:29:00)
21天免柜</t>
        </r>
      </text>
    </comment>
    <comment ref="D338" authorId="819">
      <text>
        <r>
          <rPr>
            <sz val="10"/>
            <rFont val="宋体"/>
            <charset val="134"/>
          </rPr>
          <t>======
ID#AAABZpqNdeU
Administrator    (2024-12-02 06:29:00)
mainfreight</t>
        </r>
      </text>
    </comment>
    <comment ref="J338" authorId="820">
      <text>
        <r>
          <rPr>
            <sz val="10"/>
            <rFont val="宋体"/>
            <charset val="134"/>
          </rPr>
          <t>======
ID#AAABZpqNdcQ
Administrator    (2024-12-02 06:29:00)
ETA:11/30
11/26查变成12/14
11/28查变成12/15
12/2收到延迟通知到12/18</t>
        </r>
      </text>
    </comment>
    <comment ref="W338" authorId="821">
      <text>
        <r>
          <rPr>
            <sz val="10"/>
            <rFont val="宋体"/>
            <charset val="134"/>
          </rPr>
          <t>======
ID#AAABZpqNdo0
Administrator    (2024-12-02 06:29:00)
21天免柜</t>
        </r>
      </text>
    </comment>
    <comment ref="D339" authorId="822">
      <text>
        <r>
          <rPr>
            <sz val="10"/>
            <rFont val="宋体"/>
            <charset val="134"/>
          </rPr>
          <t>======
ID#AAABZpqNdqA
Administrator    (2024-12-02 06:29:00)
mainfreight</t>
        </r>
      </text>
    </comment>
    <comment ref="J339" authorId="823">
      <text>
        <r>
          <rPr>
            <sz val="10"/>
            <rFont val="宋体"/>
            <charset val="134"/>
          </rPr>
          <t>======
ID#AAABZplvq4g
Administrator    (2024-12-02 06:29:00)
ETA:11/30
11/26查变成12/14</t>
        </r>
      </text>
    </comment>
    <comment ref="W339" authorId="824">
      <text>
        <r>
          <rPr>
            <sz val="10"/>
            <rFont val="宋体"/>
            <charset val="134"/>
          </rPr>
          <t>======
ID#AAABZpqNdk8
Administrator    (2024-12-02 06:29:00)
21天免柜</t>
        </r>
      </text>
    </comment>
    <comment ref="D340" authorId="825">
      <text>
        <r>
          <rPr>
            <sz val="10"/>
            <rFont val="宋体"/>
            <charset val="134"/>
          </rPr>
          <t>mainfreight
======</t>
        </r>
      </text>
    </comment>
    <comment ref="D341" authorId="826">
      <text>
        <r>
          <rPr>
            <sz val="10"/>
            <rFont val="宋体"/>
            <charset val="134"/>
          </rPr>
          <t>mainfreight
======</t>
        </r>
      </text>
    </comment>
    <comment ref="V351" authorId="827">
      <text>
        <r>
          <rPr>
            <sz val="10"/>
            <rFont val="宋体"/>
            <charset val="134"/>
          </rPr>
          <t>2025/1/28 notify
1/31 还空柜
======</t>
        </r>
      </text>
    </comment>
    <comment ref="V359" authorId="828">
      <text>
        <r>
          <rPr>
            <sz val="10"/>
            <rFont val="宋体"/>
            <charset val="134"/>
          </rPr>
          <t>======
ID#AAABZpqNdJ0
tc={47D794F8-0A54-4EA9-8FD4-65415C1F4778}    (2024-12-02 06:29:00)
2024.2.7 with notification to Maersk 1/31</t>
        </r>
      </text>
    </comment>
    <comment ref="V360" authorId="829">
      <text>
        <r>
          <rPr>
            <sz val="10"/>
            <rFont val="宋体"/>
            <charset val="134"/>
          </rPr>
          <t>======
ID#AAABZpqNd0E
tc={55357993-F998-4F73-BE95-BAD2A7DACD91}    (2024-12-02 06:29:00)
2024.2.1 with notification to Maersk 1/31</t>
        </r>
      </text>
    </comment>
    <comment ref="V361" authorId="830">
      <text>
        <r>
          <rPr>
            <sz val="10"/>
            <rFont val="宋体"/>
            <charset val="134"/>
          </rPr>
          <t>======
ID#AAABZpqNdlU
tc={4E5F44B0-33A7-4162-AFCD-1E87C795E4F1}    (2024-12-02 06:29:00)
2024.2.3 with notified Maersk 1/30</t>
        </r>
      </text>
    </comment>
    <comment ref="V362" authorId="831">
      <text>
        <r>
          <rPr>
            <sz val="10"/>
            <rFont val="宋体"/>
            <charset val="134"/>
          </rPr>
          <t>======
ID#AAABZpqNdjU
tc={565FEA53-8602-4A95-94D4-26AC6ABFE883}    (2024-12-02 06:29:00)
2024.2.3 with notification to Maersk 1/31</t>
        </r>
      </text>
    </comment>
    <comment ref="V363" authorId="832">
      <text>
        <r>
          <rPr>
            <sz val="10"/>
            <rFont val="宋体"/>
            <charset val="134"/>
          </rPr>
          <t>======
ID#AAABZpqNdhA
tc={0FDE496E-FFF5-4DED-A090-26D0628648AD}    (2024-12-02 06:29:00)
2024.2.6 with notified Maersk 2/4</t>
        </r>
      </text>
    </comment>
    <comment ref="N378" authorId="833">
      <text>
        <r>
          <rPr>
            <sz val="10"/>
            <rFont val="宋体"/>
            <charset val="134"/>
          </rPr>
          <t>FFAU4399308合单</t>
        </r>
      </text>
    </comment>
    <comment ref="O378" authorId="834">
      <text>
        <r>
          <rPr>
            <sz val="10"/>
            <rFont val="宋体"/>
            <charset val="134"/>
          </rPr>
          <t>FFAU4399308合单</t>
        </r>
      </text>
    </comment>
    <comment ref="N379" authorId="835">
      <text>
        <r>
          <rPr>
            <sz val="10"/>
            <rFont val="宋体"/>
            <charset val="134"/>
          </rPr>
          <t>FFAU4399308合单</t>
        </r>
      </text>
    </comment>
    <comment ref="O379" authorId="836">
      <text>
        <r>
          <rPr>
            <sz val="10"/>
            <rFont val="宋体"/>
            <charset val="134"/>
          </rPr>
          <t>FFAU4399308合单</t>
        </r>
      </text>
    </comment>
    <comment ref="N383" authorId="837">
      <text>
        <r>
          <rPr>
            <sz val="10"/>
            <rFont val="宋体"/>
            <charset val="134"/>
          </rPr>
          <t>FFAU4399308合单</t>
        </r>
      </text>
    </comment>
    <comment ref="O383" authorId="838">
      <text>
        <r>
          <rPr>
            <sz val="10"/>
            <rFont val="宋体"/>
            <charset val="134"/>
          </rPr>
          <t>FFAU4399308合单</t>
        </r>
      </text>
    </comment>
    <comment ref="N384" authorId="839">
      <text>
        <r>
          <rPr>
            <sz val="10"/>
            <rFont val="宋体"/>
            <charset val="134"/>
          </rPr>
          <t>FFAU4399308合单</t>
        </r>
      </text>
    </comment>
    <comment ref="O384" authorId="840">
      <text>
        <r>
          <rPr>
            <sz val="10"/>
            <rFont val="宋体"/>
            <charset val="134"/>
          </rPr>
          <t>FFAU4399308合单</t>
        </r>
      </text>
    </comment>
    <comment ref="N389" authorId="841">
      <text>
        <r>
          <rPr>
            <sz val="10"/>
            <rFont val="宋体"/>
            <charset val="134"/>
          </rPr>
          <t>BHCU4975791合单</t>
        </r>
      </text>
    </comment>
    <comment ref="O389" authorId="842">
      <text>
        <r>
          <rPr>
            <sz val="10"/>
            <rFont val="宋体"/>
            <charset val="134"/>
          </rPr>
          <t>BHCU4975791合单</t>
        </r>
      </text>
    </comment>
    <comment ref="N390" authorId="843">
      <text>
        <r>
          <rPr>
            <sz val="10"/>
            <rFont val="宋体"/>
            <charset val="134"/>
          </rPr>
          <t>BHCU4975791合单</t>
        </r>
      </text>
    </comment>
    <comment ref="O390" authorId="844">
      <text>
        <r>
          <rPr>
            <sz val="10"/>
            <rFont val="宋体"/>
            <charset val="134"/>
          </rPr>
          <t>BHCU4975791合单</t>
        </r>
      </text>
    </comment>
    <comment ref="N392" authorId="845">
      <text>
        <r>
          <rPr>
            <sz val="10"/>
            <rFont val="宋体"/>
            <charset val="134"/>
          </rPr>
          <t>BHCU4975791合单</t>
        </r>
      </text>
    </comment>
    <comment ref="O392" authorId="846">
      <text>
        <r>
          <rPr>
            <sz val="10"/>
            <rFont val="宋体"/>
            <charset val="134"/>
          </rPr>
          <t>BHCU4975791合单</t>
        </r>
      </text>
    </comment>
    <comment ref="N393" authorId="847">
      <text>
        <r>
          <rPr>
            <sz val="10"/>
            <rFont val="宋体"/>
            <charset val="134"/>
          </rPr>
          <t>BHCU4975791合单</t>
        </r>
      </text>
    </comment>
    <comment ref="O393" authorId="848">
      <text>
        <r>
          <rPr>
            <sz val="10"/>
            <rFont val="宋体"/>
            <charset val="134"/>
          </rPr>
          <t>BHCU4975791合单</t>
        </r>
      </text>
    </comment>
    <comment ref="V405" authorId="849">
      <text>
        <r>
          <rPr>
            <sz val="10"/>
            <rFont val="宋体"/>
            <charset val="134"/>
          </rPr>
          <t>2025/2/18 notify
2/21 还空柜
======</t>
        </r>
      </text>
    </comment>
    <comment ref="V406" authorId="850">
      <text>
        <r>
          <rPr>
            <sz val="10"/>
            <rFont val="宋体"/>
            <charset val="134"/>
          </rPr>
          <t>2025/2/24 notify
2/27 还空柜
======</t>
        </r>
      </text>
    </comment>
    <comment ref="V407" authorId="851">
      <text>
        <r>
          <rPr>
            <sz val="10"/>
            <rFont val="宋体"/>
            <charset val="134"/>
          </rPr>
          <t>2025/2/20 notify
2/24 还空柜
======</t>
        </r>
      </text>
    </comment>
    <comment ref="V408" authorId="852">
      <text>
        <r>
          <rPr>
            <sz val="10"/>
            <rFont val="宋体"/>
            <charset val="134"/>
          </rPr>
          <t>2025/2/20 notify
2/24 还空柜
======</t>
        </r>
      </text>
    </comment>
    <comment ref="V409" authorId="853">
      <text>
        <r>
          <rPr>
            <sz val="10"/>
            <rFont val="宋体"/>
            <charset val="134"/>
          </rPr>
          <t>2025/2/20 notify
2/25 还空柜
======</t>
        </r>
      </text>
    </comment>
    <comment ref="V410" authorId="854">
      <text>
        <r>
          <rPr>
            <sz val="10"/>
            <rFont val="宋体"/>
            <charset val="134"/>
          </rPr>
          <t>2/21 还空柜
======</t>
        </r>
      </text>
    </comment>
    <comment ref="V411" authorId="855">
      <text>
        <r>
          <rPr>
            <sz val="10"/>
            <rFont val="宋体"/>
            <charset val="134"/>
          </rPr>
          <t>2/24 还空柜
======</t>
        </r>
      </text>
    </comment>
    <comment ref="V412" authorId="856">
      <text>
        <r>
          <rPr>
            <sz val="10"/>
            <rFont val="宋体"/>
            <charset val="134"/>
          </rPr>
          <t>2025/2/26 notify 
2/27 还空柜
======</t>
        </r>
      </text>
    </comment>
    <comment ref="V413" authorId="857">
      <text>
        <r>
          <rPr>
            <sz val="10"/>
            <rFont val="宋体"/>
            <charset val="134"/>
          </rPr>
          <t>2025/2/27 还空柜
======</t>
        </r>
      </text>
    </comment>
    <comment ref="V414" authorId="858">
      <text>
        <r>
          <rPr>
            <sz val="10"/>
            <rFont val="宋体"/>
            <charset val="134"/>
          </rPr>
          <t>2/25 notify
2/27 还空柜
======</t>
        </r>
      </text>
    </comment>
    <comment ref="N415" authorId="859">
      <text>
        <r>
          <rPr>
            <sz val="10"/>
            <rFont val="宋体"/>
            <charset val="134"/>
          </rPr>
          <t>SEKU5875879合单</t>
        </r>
      </text>
    </comment>
    <comment ref="O415" authorId="860">
      <text>
        <r>
          <rPr>
            <sz val="10"/>
            <rFont val="宋体"/>
            <charset val="134"/>
          </rPr>
          <t>SEKU5875879合单</t>
        </r>
      </text>
    </comment>
    <comment ref="V415" authorId="861">
      <text>
        <r>
          <rPr>
            <sz val="10"/>
            <rFont val="宋体"/>
            <charset val="134"/>
          </rPr>
          <t>2/27 notify
2/28 还空柜
======</t>
        </r>
      </text>
    </comment>
    <comment ref="V416" authorId="862">
      <text>
        <r>
          <rPr>
            <sz val="10"/>
            <rFont val="宋体"/>
            <charset val="134"/>
          </rPr>
          <t>2/25 notify
2/26 还空柜
======</t>
        </r>
      </text>
    </comment>
    <comment ref="V417" authorId="863">
      <text>
        <r>
          <rPr>
            <sz val="10"/>
            <rFont val="宋体"/>
            <charset val="134"/>
          </rPr>
          <t>2/25 还空柜
======</t>
        </r>
      </text>
    </comment>
    <comment ref="N418" authorId="864">
      <text>
        <r>
          <rPr>
            <sz val="10"/>
            <rFont val="宋体"/>
            <charset val="134"/>
          </rPr>
          <t>SEKU5875879合单</t>
        </r>
      </text>
    </comment>
    <comment ref="O418" authorId="865">
      <text>
        <r>
          <rPr>
            <sz val="10"/>
            <rFont val="宋体"/>
            <charset val="134"/>
          </rPr>
          <t>SEKU5875879合单</t>
        </r>
      </text>
    </comment>
    <comment ref="V418" authorId="866">
      <text>
        <r>
          <rPr>
            <sz val="10"/>
            <rFont val="宋体"/>
            <charset val="134"/>
          </rPr>
          <t>3/3 notify
3/5 还空柜
======</t>
        </r>
      </text>
    </comment>
    <comment ref="N419" authorId="867">
      <text>
        <r>
          <rPr>
            <sz val="10"/>
            <rFont val="宋体"/>
            <charset val="134"/>
          </rPr>
          <t>CSNU6022732合单</t>
        </r>
      </text>
    </comment>
    <comment ref="O419" authorId="868">
      <text>
        <r>
          <rPr>
            <sz val="10"/>
            <rFont val="宋体"/>
            <charset val="134"/>
          </rPr>
          <t>CSNU6022732合单</t>
        </r>
      </text>
    </comment>
    <comment ref="V419" authorId="869">
      <text>
        <r>
          <rPr>
            <sz val="10"/>
            <rFont val="宋体"/>
            <charset val="134"/>
          </rPr>
          <t>2/27 notify
2/28 还空柜
======</t>
        </r>
      </text>
    </comment>
    <comment ref="V420" authorId="870">
      <text>
        <r>
          <rPr>
            <sz val="10"/>
            <rFont val="宋体"/>
            <charset val="134"/>
          </rPr>
          <t>2/27 notify
2/28 还空柜
======</t>
        </r>
      </text>
    </comment>
    <comment ref="V421" authorId="871">
      <text>
        <r>
          <rPr>
            <sz val="10"/>
            <rFont val="宋体"/>
            <charset val="134"/>
          </rPr>
          <t>2/27 notify
3/1 还空柜
======</t>
        </r>
      </text>
    </comment>
    <comment ref="V422" authorId="872">
      <text>
        <r>
          <rPr>
            <sz val="10"/>
            <rFont val="宋体"/>
            <charset val="134"/>
          </rPr>
          <t>2/27 notify
3/4 还空柜
======</t>
        </r>
      </text>
    </comment>
    <comment ref="V423" authorId="873">
      <text>
        <r>
          <rPr>
            <sz val="10"/>
            <rFont val="宋体"/>
            <charset val="134"/>
          </rPr>
          <t>3/7 还空柜
======</t>
        </r>
      </text>
    </comment>
    <comment ref="V424" authorId="874">
      <text>
        <r>
          <rPr>
            <sz val="10"/>
            <rFont val="宋体"/>
            <charset val="134"/>
          </rPr>
          <t>2/28 notify
3/4 还空柜
======</t>
        </r>
      </text>
    </comment>
    <comment ref="V425" authorId="875">
      <text>
        <r>
          <rPr>
            <sz val="10"/>
            <rFont val="宋体"/>
            <charset val="134"/>
          </rPr>
          <t>3/5 notify
客户通知3/6 11am后去柜
3/7 还空柜
======</t>
        </r>
      </text>
    </comment>
    <comment ref="N426" authorId="876">
      <text>
        <r>
          <rPr>
            <sz val="10"/>
            <rFont val="宋体"/>
            <charset val="134"/>
          </rPr>
          <t>GCXU5227617合单</t>
        </r>
      </text>
    </comment>
    <comment ref="O426" authorId="877">
      <text>
        <r>
          <rPr>
            <sz val="10"/>
            <rFont val="宋体"/>
            <charset val="134"/>
          </rPr>
          <t>GCXU5227617合单</t>
        </r>
      </text>
    </comment>
    <comment ref="V426" authorId="878">
      <text>
        <r>
          <rPr>
            <sz val="10"/>
            <rFont val="宋体"/>
            <charset val="134"/>
          </rPr>
          <t>3/4 notify
3/5 还空柜
======</t>
        </r>
      </text>
    </comment>
    <comment ref="N427" authorId="879">
      <text>
        <r>
          <rPr>
            <sz val="10"/>
            <rFont val="宋体"/>
            <charset val="134"/>
          </rPr>
          <t>GCXU5227617合单</t>
        </r>
      </text>
    </comment>
    <comment ref="O427" authorId="880">
      <text>
        <r>
          <rPr>
            <sz val="10"/>
            <rFont val="宋体"/>
            <charset val="134"/>
          </rPr>
          <t>GCXU5227617合单</t>
        </r>
      </text>
    </comment>
    <comment ref="V427" authorId="881">
      <text>
        <r>
          <rPr>
            <sz val="10"/>
            <rFont val="宋体"/>
            <charset val="134"/>
          </rPr>
          <t>3/6 还空柜
======</t>
        </r>
      </text>
    </comment>
    <comment ref="N428" authorId="882">
      <text>
        <r>
          <rPr>
            <sz val="10"/>
            <rFont val="宋体"/>
            <charset val="134"/>
          </rPr>
          <t>GCXU5227617合单</t>
        </r>
      </text>
    </comment>
    <comment ref="O428" authorId="883">
      <text>
        <r>
          <rPr>
            <sz val="10"/>
            <rFont val="宋体"/>
            <charset val="134"/>
          </rPr>
          <t>GCXU5227617合单</t>
        </r>
      </text>
    </comment>
    <comment ref="V428" authorId="884">
      <text>
        <r>
          <rPr>
            <sz val="10"/>
            <rFont val="宋体"/>
            <charset val="134"/>
          </rPr>
          <t>3/5 还空柜
======</t>
        </r>
      </text>
    </comment>
    <comment ref="V429" authorId="885">
      <text>
        <r>
          <rPr>
            <sz val="10"/>
            <rFont val="宋体"/>
            <charset val="134"/>
          </rPr>
          <t>3/5 还空柜
======</t>
        </r>
      </text>
    </comment>
    <comment ref="M430" authorId="886">
      <text>
        <r>
          <rPr>
            <sz val="10"/>
            <rFont val="宋体"/>
            <charset val="134"/>
          </rPr>
          <t>2月21，Edwin说改回MD仓库，Odisee可能不要了
======</t>
        </r>
      </text>
    </comment>
    <comment ref="V430" authorId="887">
      <text>
        <r>
          <rPr>
            <sz val="10"/>
            <rFont val="宋体"/>
            <charset val="134"/>
          </rPr>
          <t>3/6 notify
3/8 还空柜
======</t>
        </r>
      </text>
    </comment>
    <comment ref="V431" authorId="888">
      <text>
        <r>
          <rPr>
            <sz val="10"/>
            <rFont val="宋体"/>
            <charset val="134"/>
          </rPr>
          <t>3/6 notify
3/7 还空柜
======</t>
        </r>
      </text>
    </comment>
    <comment ref="M432" authorId="889">
      <text>
        <r>
          <rPr>
            <sz val="10"/>
            <rFont val="宋体"/>
            <charset val="134"/>
          </rPr>
          <t>2月21，Edwin说改回MD仓库，Odisee可能不要了
======</t>
        </r>
      </text>
    </comment>
    <comment ref="N432" authorId="890">
      <text>
        <r>
          <rPr>
            <sz val="10"/>
            <rFont val="宋体"/>
            <charset val="134"/>
          </rPr>
          <t>SNBU8203385合单</t>
        </r>
      </text>
    </comment>
    <comment ref="O432" authorId="891">
      <text>
        <r>
          <rPr>
            <sz val="10"/>
            <rFont val="宋体"/>
            <charset val="134"/>
          </rPr>
          <t>SNBU8203385合单</t>
        </r>
      </text>
    </comment>
    <comment ref="V432" authorId="892">
      <text>
        <r>
          <rPr>
            <sz val="10"/>
            <rFont val="宋体"/>
            <charset val="134"/>
          </rPr>
          <t>3/7 notify
3/7 还空柜
======</t>
        </r>
      </text>
    </comment>
    <comment ref="M433" authorId="893">
      <text>
        <r>
          <rPr>
            <sz val="10"/>
            <rFont val="宋体"/>
            <charset val="134"/>
          </rPr>
          <t>2月21，Edwin说改回MD仓库，Odisee可能不要了
======</t>
        </r>
      </text>
    </comment>
    <comment ref="N433" authorId="894">
      <text>
        <r>
          <rPr>
            <sz val="10"/>
            <rFont val="宋体"/>
            <charset val="134"/>
          </rPr>
          <t>SNBU8203385合单</t>
        </r>
      </text>
    </comment>
    <comment ref="O433" authorId="895">
      <text>
        <r>
          <rPr>
            <sz val="10"/>
            <rFont val="宋体"/>
            <charset val="134"/>
          </rPr>
          <t>SNBU8203385合单</t>
        </r>
      </text>
    </comment>
    <comment ref="V433" authorId="896">
      <text>
        <r>
          <rPr>
            <sz val="10"/>
            <rFont val="宋体"/>
            <charset val="134"/>
          </rPr>
          <t>3/11 notify
3/12 还空柜
======</t>
        </r>
      </text>
    </comment>
    <comment ref="M434" authorId="897">
      <text>
        <r>
          <rPr>
            <sz val="10"/>
            <rFont val="宋体"/>
            <charset val="134"/>
          </rPr>
          <t>2月21，Edwin说改回MD仓库，Odisee可能不要了
======</t>
        </r>
      </text>
    </comment>
    <comment ref="N434" authorId="898">
      <text>
        <r>
          <rPr>
            <sz val="10"/>
            <rFont val="宋体"/>
            <charset val="134"/>
          </rPr>
          <t>SNBU8203385合单</t>
        </r>
      </text>
    </comment>
    <comment ref="O434" authorId="899">
      <text>
        <r>
          <rPr>
            <sz val="10"/>
            <rFont val="宋体"/>
            <charset val="134"/>
          </rPr>
          <t>SNBU8203385合单</t>
        </r>
      </text>
    </comment>
    <comment ref="V434" authorId="900">
      <text>
        <r>
          <rPr>
            <sz val="10"/>
            <rFont val="宋体"/>
            <charset val="134"/>
          </rPr>
          <t>3/11 notify
3/11 还空柜
======</t>
        </r>
      </text>
    </comment>
    <comment ref="N435" authorId="901">
      <text>
        <r>
          <rPr>
            <sz val="10"/>
            <rFont val="宋体"/>
            <charset val="134"/>
          </rPr>
          <t>SNBU8203385合单</t>
        </r>
      </text>
    </comment>
    <comment ref="O435" authorId="902">
      <text>
        <r>
          <rPr>
            <sz val="10"/>
            <rFont val="宋体"/>
            <charset val="134"/>
          </rPr>
          <t>SNBU8203385合单</t>
        </r>
      </text>
    </comment>
    <comment ref="V435" authorId="903">
      <text>
        <r>
          <rPr>
            <sz val="10"/>
            <rFont val="宋体"/>
            <charset val="134"/>
          </rPr>
          <t>3/11 notify
3/12 还空柜
======</t>
        </r>
      </text>
    </comment>
    <comment ref="V436" authorId="904">
      <text>
        <r>
          <rPr>
            <sz val="10"/>
            <rFont val="宋体"/>
            <charset val="134"/>
          </rPr>
          <t>3/11 notify
3/12 还空柜
======</t>
        </r>
      </text>
    </comment>
    <comment ref="V437" authorId="905">
      <text>
        <r>
          <rPr>
            <sz val="10"/>
            <rFont val="宋体"/>
            <charset val="134"/>
          </rPr>
          <t>Sam:
3/17 notify
3/18还空柜</t>
        </r>
      </text>
    </comment>
    <comment ref="W437" authorId="906">
      <text>
        <r>
          <rPr>
            <sz val="10"/>
            <rFont val="宋体"/>
            <charset val="134"/>
          </rPr>
          <t>21天免柜</t>
        </r>
      </text>
    </comment>
    <comment ref="V438" authorId="907">
      <text>
        <r>
          <rPr>
            <sz val="10"/>
            <rFont val="宋体"/>
            <charset val="134"/>
          </rPr>
          <t>3/17 notify  3/19还空柜</t>
        </r>
      </text>
    </comment>
    <comment ref="W438" authorId="908">
      <text>
        <r>
          <rPr>
            <sz val="10"/>
            <rFont val="宋体"/>
            <charset val="134"/>
          </rPr>
          <t>21天免柜</t>
        </r>
      </text>
    </comment>
    <comment ref="V439" authorId="909">
      <text>
        <r>
          <rPr>
            <sz val="10"/>
            <rFont val="宋体"/>
            <charset val="134"/>
          </rPr>
          <t>3/17 notify   3/19还空柜</t>
        </r>
      </text>
    </comment>
    <comment ref="W439" authorId="910">
      <text>
        <r>
          <rPr>
            <sz val="10"/>
            <rFont val="宋体"/>
            <charset val="134"/>
          </rPr>
          <t>21天免柜</t>
        </r>
      </text>
    </comment>
    <comment ref="V440" authorId="911">
      <text>
        <r>
          <rPr>
            <sz val="10"/>
            <rFont val="宋体"/>
            <charset val="134"/>
          </rPr>
          <t>3/18notify 3/20还空柜</t>
        </r>
      </text>
    </comment>
    <comment ref="W440" authorId="912">
      <text>
        <r>
          <rPr>
            <sz val="10"/>
            <rFont val="宋体"/>
            <charset val="134"/>
          </rPr>
          <t>21天免柜</t>
        </r>
      </text>
    </comment>
    <comment ref="V441" authorId="913">
      <text>
        <r>
          <rPr>
            <sz val="10"/>
            <rFont val="宋体"/>
            <charset val="134"/>
          </rPr>
          <t>3/18 notify 3/19还空柜</t>
        </r>
      </text>
    </comment>
    <comment ref="W441" authorId="914">
      <text>
        <r>
          <rPr>
            <sz val="10"/>
            <rFont val="宋体"/>
            <charset val="134"/>
          </rPr>
          <t>21天免柜</t>
        </r>
      </text>
    </comment>
    <comment ref="N442" authorId="915">
      <text>
        <r>
          <rPr>
            <sz val="10"/>
            <rFont val="宋体"/>
            <charset val="134"/>
          </rPr>
          <t>GAOU7023225合单</t>
        </r>
      </text>
    </comment>
    <comment ref="O442" authorId="916">
      <text>
        <r>
          <rPr>
            <sz val="10"/>
            <rFont val="宋体"/>
            <charset val="134"/>
          </rPr>
          <t>GAOU7023225合单</t>
        </r>
      </text>
    </comment>
    <comment ref="V442" authorId="917">
      <text>
        <r>
          <rPr>
            <sz val="10"/>
            <rFont val="宋体"/>
            <charset val="134"/>
          </rPr>
          <t>3/18还空柜</t>
        </r>
      </text>
    </comment>
    <comment ref="W442" authorId="918">
      <text>
        <r>
          <rPr>
            <sz val="10"/>
            <rFont val="宋体"/>
            <charset val="134"/>
          </rPr>
          <t>21天免柜</t>
        </r>
      </text>
    </comment>
    <comment ref="V443" authorId="919">
      <text>
        <r>
          <rPr>
            <sz val="10"/>
            <rFont val="宋体"/>
            <charset val="134"/>
          </rPr>
          <t>3/18 notify   3/19还空柜</t>
        </r>
      </text>
    </comment>
    <comment ref="W443" authorId="920">
      <text>
        <r>
          <rPr>
            <sz val="10"/>
            <rFont val="宋体"/>
            <charset val="134"/>
          </rPr>
          <t>21天免柜</t>
        </r>
      </text>
    </comment>
    <comment ref="O444" authorId="921">
      <text>
        <r>
          <rPr>
            <sz val="10"/>
            <rFont val="宋体"/>
            <charset val="134"/>
          </rPr>
          <t>TXGU7110538合单</t>
        </r>
      </text>
    </comment>
    <comment ref="V444" authorId="922">
      <text>
        <r>
          <rPr>
            <sz val="10"/>
            <rFont val="宋体"/>
            <charset val="134"/>
          </rPr>
          <t>3.21 还空柜</t>
        </r>
      </text>
    </comment>
    <comment ref="W444" authorId="923">
      <text>
        <r>
          <rPr>
            <sz val="10"/>
            <rFont val="宋体"/>
            <charset val="134"/>
          </rPr>
          <t>21天免柜</t>
        </r>
      </text>
    </comment>
    <comment ref="O445" authorId="924">
      <text>
        <r>
          <rPr>
            <sz val="10"/>
            <rFont val="宋体"/>
            <charset val="134"/>
          </rPr>
          <t>TXGU7110538合单</t>
        </r>
      </text>
    </comment>
    <comment ref="V445" authorId="925">
      <text>
        <r>
          <rPr>
            <sz val="10"/>
            <rFont val="宋体"/>
            <charset val="134"/>
          </rPr>
          <t>3.21 还空柜</t>
        </r>
      </text>
    </comment>
    <comment ref="W445" authorId="926">
      <text>
        <r>
          <rPr>
            <sz val="10"/>
            <rFont val="宋体"/>
            <charset val="134"/>
          </rPr>
          <t>21天免柜</t>
        </r>
      </text>
    </comment>
    <comment ref="V446" authorId="927">
      <text>
        <r>
          <rPr>
            <sz val="10"/>
            <rFont val="宋体"/>
            <charset val="134"/>
          </rPr>
          <t>3.19 还空柜</t>
        </r>
      </text>
    </comment>
    <comment ref="W446" authorId="928">
      <text>
        <r>
          <rPr>
            <sz val="10"/>
            <rFont val="宋体"/>
            <charset val="134"/>
          </rPr>
          <t>21天免柜</t>
        </r>
      </text>
    </comment>
    <comment ref="O447" authorId="929">
      <text>
        <r>
          <rPr>
            <sz val="10"/>
            <rFont val="宋体"/>
            <charset val="134"/>
          </rPr>
          <t>TXGU7110538合单</t>
        </r>
      </text>
    </comment>
    <comment ref="V447" authorId="930">
      <text>
        <r>
          <rPr>
            <sz val="10"/>
            <rFont val="宋体"/>
            <charset val="134"/>
          </rPr>
          <t>3.19 还空柜</t>
        </r>
      </text>
    </comment>
    <comment ref="W447" authorId="931">
      <text>
        <r>
          <rPr>
            <sz val="10"/>
            <rFont val="宋体"/>
            <charset val="134"/>
          </rPr>
          <t>21天免柜</t>
        </r>
      </text>
    </comment>
    <comment ref="O448" authorId="932">
      <text>
        <r>
          <rPr>
            <sz val="10"/>
            <rFont val="宋体"/>
            <charset val="134"/>
          </rPr>
          <t>TXGU7110538合单</t>
        </r>
      </text>
    </comment>
    <comment ref="V448" authorId="933">
      <text>
        <r>
          <rPr>
            <sz val="10"/>
            <rFont val="宋体"/>
            <charset val="134"/>
          </rPr>
          <t>3.20 还空柜</t>
        </r>
      </text>
    </comment>
    <comment ref="W448" authorId="934">
      <text>
        <r>
          <rPr>
            <sz val="10"/>
            <rFont val="宋体"/>
            <charset val="134"/>
          </rPr>
          <t>21天免柜</t>
        </r>
      </text>
    </comment>
    <comment ref="O449" authorId="935">
      <text>
        <r>
          <rPr>
            <sz val="10"/>
            <rFont val="宋体"/>
            <charset val="134"/>
          </rPr>
          <t>TXGU7110538合单</t>
        </r>
      </text>
    </comment>
    <comment ref="V449" authorId="936">
      <text>
        <r>
          <rPr>
            <sz val="10"/>
            <rFont val="宋体"/>
            <charset val="134"/>
          </rPr>
          <t>3.19 还空柜</t>
        </r>
      </text>
    </comment>
    <comment ref="W449" authorId="937">
      <text>
        <r>
          <rPr>
            <sz val="10"/>
            <rFont val="宋体"/>
            <charset val="134"/>
          </rPr>
          <t>21天免柜</t>
        </r>
      </text>
    </comment>
    <comment ref="O450" authorId="938">
      <text>
        <r>
          <rPr>
            <sz val="10"/>
            <rFont val="宋体"/>
            <charset val="134"/>
          </rPr>
          <t>TXGU7110538合单</t>
        </r>
      </text>
    </comment>
    <comment ref="V450" authorId="939">
      <text>
        <r>
          <rPr>
            <sz val="10"/>
            <rFont val="宋体"/>
            <charset val="134"/>
          </rPr>
          <t>3.21 还空柜</t>
        </r>
      </text>
    </comment>
    <comment ref="W450" authorId="940">
      <text>
        <r>
          <rPr>
            <sz val="10"/>
            <rFont val="宋体"/>
            <charset val="134"/>
          </rPr>
          <t>21天免柜</t>
        </r>
      </text>
    </comment>
    <comment ref="V451" authorId="941">
      <text>
        <r>
          <rPr>
            <sz val="10"/>
            <rFont val="宋体"/>
            <charset val="134"/>
          </rPr>
          <t>3/21 notify  3/25还空柜</t>
        </r>
      </text>
    </comment>
    <comment ref="W451" authorId="942">
      <text>
        <r>
          <rPr>
            <sz val="10"/>
            <rFont val="宋体"/>
            <charset val="134"/>
          </rPr>
          <t>21天免柜</t>
        </r>
      </text>
    </comment>
    <comment ref="O452" authorId="943">
      <text>
        <r>
          <rPr>
            <sz val="10"/>
            <rFont val="宋体"/>
            <charset val="134"/>
          </rPr>
          <t>TXGU7110538合单</t>
        </r>
      </text>
    </comment>
    <comment ref="V452" authorId="944">
      <text>
        <r>
          <rPr>
            <sz val="10"/>
            <rFont val="宋体"/>
            <charset val="134"/>
          </rPr>
          <t>3/25 还空柜</t>
        </r>
      </text>
    </comment>
    <comment ref="W452" authorId="945">
      <text>
        <r>
          <rPr>
            <sz val="10"/>
            <rFont val="宋体"/>
            <charset val="134"/>
          </rPr>
          <t>21天免柜</t>
        </r>
      </text>
    </comment>
    <comment ref="V453" authorId="946">
      <text>
        <r>
          <rPr>
            <sz val="10"/>
            <rFont val="宋体"/>
            <charset val="134"/>
          </rPr>
          <t>3.20 还空柜</t>
        </r>
      </text>
    </comment>
    <comment ref="W453" authorId="947">
      <text>
        <r>
          <rPr>
            <sz val="10"/>
            <rFont val="宋体"/>
            <charset val="134"/>
          </rPr>
          <t>21天免柜</t>
        </r>
      </text>
    </comment>
    <comment ref="V454" authorId="948">
      <text>
        <r>
          <rPr>
            <sz val="10"/>
            <rFont val="宋体"/>
            <charset val="134"/>
          </rPr>
          <t>3.21 还空柜</t>
        </r>
      </text>
    </comment>
    <comment ref="W454" authorId="949">
      <text>
        <r>
          <rPr>
            <sz val="10"/>
            <rFont val="宋体"/>
            <charset val="134"/>
          </rPr>
          <t>21天免柜</t>
        </r>
      </text>
    </comment>
    <comment ref="V455" authorId="950">
      <text>
        <r>
          <rPr>
            <sz val="10"/>
            <rFont val="宋体"/>
            <charset val="134"/>
          </rPr>
          <t>3/19 notify   3/20 还空柜</t>
        </r>
      </text>
    </comment>
    <comment ref="W455" authorId="951">
      <text>
        <r>
          <rPr>
            <sz val="10"/>
            <rFont val="宋体"/>
            <charset val="134"/>
          </rPr>
          <t>21天免柜</t>
        </r>
      </text>
    </comment>
    <comment ref="V456" authorId="952">
      <text>
        <r>
          <rPr>
            <sz val="10"/>
            <rFont val="宋体"/>
            <charset val="134"/>
          </rPr>
          <t>3/27还空柜</t>
        </r>
      </text>
    </comment>
    <comment ref="W456" authorId="953">
      <text>
        <r>
          <rPr>
            <sz val="10"/>
            <rFont val="宋体"/>
            <charset val="134"/>
          </rPr>
          <t>21天免柜</t>
        </r>
      </text>
    </comment>
    <comment ref="V457" authorId="954">
      <text>
        <r>
          <rPr>
            <sz val="10"/>
            <rFont val="宋体"/>
            <charset val="134"/>
          </rPr>
          <t>3/27还空柜</t>
        </r>
      </text>
    </comment>
    <comment ref="W457" authorId="955">
      <text>
        <r>
          <rPr>
            <sz val="10"/>
            <rFont val="宋体"/>
            <charset val="134"/>
          </rPr>
          <t>21天免柜</t>
        </r>
      </text>
    </comment>
    <comment ref="V458" authorId="956">
      <text>
        <r>
          <rPr>
            <sz val="10"/>
            <rFont val="宋体"/>
            <charset val="134"/>
          </rPr>
          <t>3/27还空柜</t>
        </r>
      </text>
    </comment>
    <comment ref="W458" authorId="957">
      <text>
        <r>
          <rPr>
            <sz val="10"/>
            <rFont val="宋体"/>
            <charset val="134"/>
          </rPr>
          <t>21天免柜</t>
        </r>
      </text>
    </comment>
    <comment ref="V459" authorId="958">
      <text>
        <r>
          <rPr>
            <sz val="10"/>
            <rFont val="宋体"/>
            <charset val="134"/>
          </rPr>
          <t>3/27 还空柜</t>
        </r>
      </text>
    </comment>
    <comment ref="W459" authorId="959">
      <text>
        <r>
          <rPr>
            <sz val="10"/>
            <rFont val="宋体"/>
            <charset val="134"/>
          </rPr>
          <t>21天免柜</t>
        </r>
      </text>
    </comment>
    <comment ref="V460" authorId="960">
      <text>
        <r>
          <rPr>
            <sz val="10"/>
            <rFont val="宋体"/>
            <charset val="134"/>
          </rPr>
          <t>3/27 还空柜</t>
        </r>
      </text>
    </comment>
    <comment ref="W460" authorId="961">
      <text>
        <r>
          <rPr>
            <sz val="10"/>
            <rFont val="宋体"/>
            <charset val="134"/>
          </rPr>
          <t>21天免柜</t>
        </r>
      </text>
    </comment>
    <comment ref="V461" authorId="962">
      <text>
        <r>
          <rPr>
            <sz val="10"/>
            <rFont val="宋体"/>
            <charset val="134"/>
          </rPr>
          <t>3/27 还空柜</t>
        </r>
      </text>
    </comment>
    <comment ref="W461" authorId="963">
      <text>
        <r>
          <rPr>
            <sz val="10"/>
            <rFont val="宋体"/>
            <charset val="134"/>
          </rPr>
          <t>21天免柜</t>
        </r>
      </text>
    </comment>
    <comment ref="V462" authorId="964">
      <text>
        <r>
          <rPr>
            <sz val="10"/>
            <rFont val="宋体"/>
            <charset val="134"/>
          </rPr>
          <t>3/28 还空柜</t>
        </r>
      </text>
    </comment>
    <comment ref="W462" authorId="965">
      <text>
        <r>
          <rPr>
            <sz val="10"/>
            <rFont val="宋体"/>
            <charset val="134"/>
          </rPr>
          <t>21天免柜</t>
        </r>
      </text>
    </comment>
    <comment ref="L463" authorId="966">
      <text>
        <r>
          <rPr>
            <sz val="10"/>
            <rFont val="宋体"/>
            <charset val="134"/>
          </rPr>
          <t>Sam:
delia客户chander.girdhar@aussiegreenmarks.com.au</t>
        </r>
      </text>
    </comment>
    <comment ref="V463" authorId="967">
      <text>
        <r>
          <rPr>
            <sz val="10"/>
            <rFont val="宋体"/>
            <charset val="134"/>
          </rPr>
          <t>3/31还空柜</t>
        </r>
      </text>
    </comment>
    <comment ref="W463" authorId="968">
      <text>
        <r>
          <rPr>
            <sz val="10"/>
            <rFont val="宋体"/>
            <charset val="134"/>
          </rPr>
          <t>21天免柜</t>
        </r>
      </text>
    </comment>
    <comment ref="V464" authorId="969">
      <text>
        <r>
          <rPr>
            <sz val="10"/>
            <rFont val="宋体"/>
            <charset val="134"/>
          </rPr>
          <t>mainchain显示3/28已还3/26 notify 4/3 还空柜</t>
        </r>
      </text>
    </comment>
    <comment ref="W464" authorId="970">
      <text>
        <r>
          <rPr>
            <sz val="10"/>
            <rFont val="宋体"/>
            <charset val="134"/>
          </rPr>
          <t>21天免柜</t>
        </r>
      </text>
    </comment>
    <comment ref="V465" authorId="971">
      <text>
        <r>
          <rPr>
            <sz val="10"/>
            <rFont val="宋体"/>
            <charset val="134"/>
          </rPr>
          <t>mainchain显示3/31还柜3/26 notify 4/3 还空柜</t>
        </r>
      </text>
    </comment>
    <comment ref="W465" authorId="972">
      <text>
        <r>
          <rPr>
            <sz val="10"/>
            <rFont val="宋体"/>
            <charset val="134"/>
          </rPr>
          <t>21天免柜</t>
        </r>
      </text>
    </comment>
    <comment ref="I466" authorId="973">
      <text>
        <r>
          <rPr>
            <sz val="10"/>
            <rFont val="宋体"/>
            <charset val="134"/>
          </rPr>
          <t>Sam:
原ETD:3/1 ETA:3/14</t>
        </r>
      </text>
    </comment>
    <comment ref="V466" authorId="974">
      <text>
        <r>
          <rPr>
            <sz val="10"/>
            <rFont val="宋体"/>
            <charset val="134"/>
          </rPr>
          <t>3/28 还空柜</t>
        </r>
      </text>
    </comment>
    <comment ref="W466" authorId="975">
      <text>
        <r>
          <rPr>
            <sz val="10"/>
            <rFont val="宋体"/>
            <charset val="134"/>
          </rPr>
          <t>21天免柜</t>
        </r>
      </text>
    </comment>
    <comment ref="I467" authorId="976">
      <text>
        <r>
          <rPr>
            <sz val="10"/>
            <rFont val="宋体"/>
            <charset val="134"/>
          </rPr>
          <t>Sam:
原ETD:3/1 ETA:3/14</t>
        </r>
      </text>
    </comment>
    <comment ref="V467" authorId="977">
      <text>
        <r>
          <rPr>
            <sz val="10"/>
            <rFont val="宋体"/>
            <charset val="134"/>
          </rPr>
          <t>3/30还空柜</t>
        </r>
      </text>
    </comment>
    <comment ref="W467" authorId="978">
      <text>
        <r>
          <rPr>
            <sz val="10"/>
            <rFont val="宋体"/>
            <charset val="134"/>
          </rPr>
          <t>21天免柜</t>
        </r>
      </text>
    </comment>
    <comment ref="N468" authorId="979">
      <text>
        <r>
          <rPr>
            <sz val="10"/>
            <rFont val="宋体"/>
            <charset val="134"/>
          </rPr>
          <t>SNBU8206677合单</t>
        </r>
      </text>
    </comment>
    <comment ref="O468" authorId="980">
      <text>
        <r>
          <rPr>
            <sz val="10"/>
            <rFont val="宋体"/>
            <charset val="134"/>
          </rPr>
          <t>SNBU8206677合单</t>
        </r>
      </text>
    </comment>
    <comment ref="V468" authorId="981">
      <text>
        <r>
          <rPr>
            <sz val="10"/>
            <rFont val="宋体"/>
            <charset val="134"/>
          </rPr>
          <t>3/28 还空柜</t>
        </r>
      </text>
    </comment>
    <comment ref="W468" authorId="982">
      <text>
        <r>
          <rPr>
            <sz val="10"/>
            <rFont val="宋体"/>
            <charset val="134"/>
          </rPr>
          <t>21天免柜</t>
        </r>
      </text>
    </comment>
    <comment ref="N469" authorId="983">
      <text>
        <r>
          <rPr>
            <sz val="10"/>
            <rFont val="宋体"/>
            <charset val="134"/>
          </rPr>
          <t>SNBU8206677合单</t>
        </r>
      </text>
    </comment>
    <comment ref="O469" authorId="984">
      <text>
        <r>
          <rPr>
            <sz val="10"/>
            <rFont val="宋体"/>
            <charset val="134"/>
          </rPr>
          <t>SNBU8206677合单</t>
        </r>
      </text>
    </comment>
    <comment ref="V469" authorId="985">
      <text>
        <r>
          <rPr>
            <sz val="10"/>
            <rFont val="宋体"/>
            <charset val="134"/>
          </rPr>
          <t>3/28 还空柜</t>
        </r>
      </text>
    </comment>
    <comment ref="W469" authorId="986">
      <text>
        <r>
          <rPr>
            <sz val="10"/>
            <rFont val="宋体"/>
            <charset val="134"/>
          </rPr>
          <t>21天免柜</t>
        </r>
      </text>
    </comment>
    <comment ref="I470" authorId="987">
      <text>
        <r>
          <rPr>
            <sz val="10"/>
            <rFont val="宋体"/>
            <charset val="134"/>
          </rPr>
          <t>Sam:
原ETD:3/1 ETA:3/14</t>
        </r>
      </text>
    </comment>
    <comment ref="V470" authorId="988">
      <text>
        <r>
          <rPr>
            <sz val="10"/>
            <rFont val="宋体"/>
            <charset val="134"/>
          </rPr>
          <t>3/31还空柜</t>
        </r>
      </text>
    </comment>
    <comment ref="W470" authorId="989">
      <text>
        <r>
          <rPr>
            <sz val="10"/>
            <rFont val="宋体"/>
            <charset val="134"/>
          </rPr>
          <t>21天免柜</t>
        </r>
      </text>
    </comment>
    <comment ref="I471" authorId="990">
      <text>
        <r>
          <rPr>
            <sz val="10"/>
            <rFont val="宋体"/>
            <charset val="134"/>
          </rPr>
          <t>Sam:
原ETD:3/1 ETA:3/14</t>
        </r>
      </text>
    </comment>
    <comment ref="V471" authorId="991">
      <text>
        <r>
          <rPr>
            <sz val="10"/>
            <rFont val="宋体"/>
            <charset val="134"/>
          </rPr>
          <t>3/31 还空柜</t>
        </r>
      </text>
    </comment>
    <comment ref="W471" authorId="992">
      <text>
        <r>
          <rPr>
            <sz val="10"/>
            <rFont val="宋体"/>
            <charset val="134"/>
          </rPr>
          <t>21天免柜</t>
        </r>
      </text>
    </comment>
    <comment ref="V472" authorId="993">
      <text>
        <r>
          <rPr>
            <sz val="10"/>
            <rFont val="宋体"/>
            <charset val="134"/>
          </rPr>
          <t>3/31还空柜</t>
        </r>
      </text>
    </comment>
    <comment ref="W472" authorId="994">
      <text>
        <r>
          <rPr>
            <sz val="10"/>
            <rFont val="宋体"/>
            <charset val="134"/>
          </rPr>
          <t>21天免柜</t>
        </r>
      </text>
    </comment>
    <comment ref="N473" authorId="995">
      <text>
        <r>
          <rPr>
            <sz val="10"/>
            <rFont val="宋体"/>
            <charset val="134"/>
          </rPr>
          <t>SNBU8206677合单</t>
        </r>
      </text>
    </comment>
    <comment ref="O473" authorId="996">
      <text>
        <r>
          <rPr>
            <sz val="10"/>
            <rFont val="宋体"/>
            <charset val="134"/>
          </rPr>
          <t>SNBU8206677合单</t>
        </r>
      </text>
    </comment>
    <comment ref="V473" authorId="997">
      <text>
        <r>
          <rPr>
            <sz val="10"/>
            <rFont val="宋体"/>
            <charset val="134"/>
          </rPr>
          <t>3/31 还空柜</t>
        </r>
      </text>
    </comment>
    <comment ref="W473" authorId="998">
      <text>
        <r>
          <rPr>
            <sz val="10"/>
            <rFont val="宋体"/>
            <charset val="134"/>
          </rPr>
          <t>21天免柜</t>
        </r>
      </text>
    </comment>
    <comment ref="I474" authorId="999">
      <text>
        <r>
          <rPr>
            <sz val="10"/>
            <rFont val="宋体"/>
            <charset val="134"/>
          </rPr>
          <t>Sam:
原ETD:3/1 ETA:3/14</t>
        </r>
      </text>
    </comment>
    <comment ref="V474" authorId="1000">
      <text>
        <r>
          <rPr>
            <sz val="10"/>
            <rFont val="宋体"/>
            <charset val="134"/>
          </rPr>
          <t>3/31 NOTIFY   4/1还空柜</t>
        </r>
      </text>
    </comment>
    <comment ref="W474" authorId="1001">
      <text>
        <r>
          <rPr>
            <sz val="10"/>
            <rFont val="宋体"/>
            <charset val="134"/>
          </rPr>
          <t>21天免柜</t>
        </r>
      </text>
    </comment>
    <comment ref="I475" authorId="1002">
      <text>
        <r>
          <rPr>
            <sz val="10"/>
            <rFont val="宋体"/>
            <charset val="134"/>
          </rPr>
          <t>Sam:
原ETD:3/1 ETA:3/14</t>
        </r>
      </text>
    </comment>
    <comment ref="V475" authorId="1003">
      <text>
        <r>
          <rPr>
            <sz val="10"/>
            <rFont val="宋体"/>
            <charset val="134"/>
          </rPr>
          <t>3/31 NOTIFY   3/31还空柜</t>
        </r>
      </text>
    </comment>
    <comment ref="W475" authorId="1004">
      <text>
        <r>
          <rPr>
            <sz val="10"/>
            <rFont val="宋体"/>
            <charset val="134"/>
          </rPr>
          <t>21天免柜</t>
        </r>
      </text>
    </comment>
    <comment ref="I476" authorId="1005">
      <text>
        <r>
          <rPr>
            <sz val="10"/>
            <rFont val="宋体"/>
            <charset val="134"/>
          </rPr>
          <t>Sam:
原ETD:3/1 ETA:3/14</t>
        </r>
      </text>
    </comment>
    <comment ref="V476" authorId="1006">
      <text>
        <r>
          <rPr>
            <sz val="10"/>
            <rFont val="宋体"/>
            <charset val="134"/>
          </rPr>
          <t>3/31 NOTIFY   4/1还空柜</t>
        </r>
      </text>
    </comment>
    <comment ref="W476" authorId="1007">
      <text>
        <r>
          <rPr>
            <sz val="10"/>
            <rFont val="宋体"/>
            <charset val="134"/>
          </rPr>
          <t>21天免柜</t>
        </r>
      </text>
    </comment>
    <comment ref="V477" authorId="1008">
      <text>
        <r>
          <rPr>
            <sz val="10"/>
            <rFont val="宋体"/>
            <charset val="134"/>
          </rPr>
          <t>3/31 notify 4/2还空柜</t>
        </r>
      </text>
    </comment>
    <comment ref="N478" authorId="1009">
      <text>
        <r>
          <rPr>
            <sz val="10"/>
            <rFont val="宋体"/>
            <charset val="134"/>
          </rPr>
          <t>SNBU8206677合单</t>
        </r>
      </text>
    </comment>
    <comment ref="O478" authorId="1010">
      <text>
        <r>
          <rPr>
            <sz val="10"/>
            <rFont val="宋体"/>
            <charset val="134"/>
          </rPr>
          <t>SNBU8206677合单</t>
        </r>
      </text>
    </comment>
    <comment ref="V478" authorId="1011">
      <text>
        <r>
          <rPr>
            <sz val="10"/>
            <rFont val="宋体"/>
            <charset val="134"/>
          </rPr>
          <t>4/2还空柜</t>
        </r>
      </text>
    </comment>
    <comment ref="W478" authorId="1012">
      <text>
        <r>
          <rPr>
            <sz val="10"/>
            <rFont val="宋体"/>
            <charset val="134"/>
          </rPr>
          <t>21天免柜</t>
        </r>
      </text>
    </comment>
    <comment ref="N479" authorId="1013">
      <text>
        <r>
          <rPr>
            <sz val="10"/>
            <rFont val="宋体"/>
            <charset val="134"/>
          </rPr>
          <t>SNBU8206677合单</t>
        </r>
      </text>
    </comment>
    <comment ref="O479" authorId="1014">
      <text>
        <r>
          <rPr>
            <sz val="10"/>
            <rFont val="宋体"/>
            <charset val="134"/>
          </rPr>
          <t>SNBU8206677合单</t>
        </r>
      </text>
    </comment>
    <comment ref="V479" authorId="1015">
      <text>
        <r>
          <rPr>
            <sz val="10"/>
            <rFont val="宋体"/>
            <charset val="134"/>
          </rPr>
          <t>4/2还空柜</t>
        </r>
      </text>
    </comment>
    <comment ref="W479" authorId="1016">
      <text>
        <r>
          <rPr>
            <sz val="10"/>
            <rFont val="宋体"/>
            <charset val="134"/>
          </rPr>
          <t>21天免柜</t>
        </r>
      </text>
    </comment>
    <comment ref="V480" authorId="1017">
      <text>
        <r>
          <rPr>
            <sz val="10"/>
            <rFont val="宋体"/>
            <charset val="134"/>
          </rPr>
          <t>3/31 notify    4/1还空柜</t>
        </r>
      </text>
    </comment>
    <comment ref="W480" authorId="1018">
      <text>
        <r>
          <rPr>
            <sz val="10"/>
            <rFont val="宋体"/>
            <charset val="134"/>
          </rPr>
          <t>21天免柜</t>
        </r>
      </text>
    </comment>
    <comment ref="V481" authorId="1019">
      <text>
        <r>
          <rPr>
            <sz val="10"/>
            <rFont val="宋体"/>
            <charset val="134"/>
          </rPr>
          <t>4/2 还空柜</t>
        </r>
      </text>
    </comment>
    <comment ref="W481" authorId="1020">
      <text>
        <r>
          <rPr>
            <sz val="10"/>
            <rFont val="宋体"/>
            <charset val="134"/>
          </rPr>
          <t>21天免柜</t>
        </r>
      </text>
    </comment>
    <comment ref="I482" authorId="1021">
      <text>
        <r>
          <rPr>
            <sz val="10"/>
            <rFont val="宋体"/>
            <charset val="134"/>
          </rPr>
          <t>Sam:
原ETD:3/1 ETA:3/20
3月7号通知大船晚到，更新ETD：3/8 ETA:3/23</t>
        </r>
      </text>
    </comment>
    <comment ref="V482" authorId="1022">
      <text>
        <r>
          <rPr>
            <sz val="10"/>
            <rFont val="宋体"/>
            <charset val="134"/>
          </rPr>
          <t>4/2还空柜</t>
        </r>
      </text>
    </comment>
    <comment ref="W482" authorId="1023">
      <text>
        <r>
          <rPr>
            <sz val="10"/>
            <rFont val="宋体"/>
            <charset val="134"/>
          </rPr>
          <t>21天免柜</t>
        </r>
      </text>
    </comment>
    <comment ref="V483" authorId="1024">
      <text>
        <r>
          <rPr>
            <sz val="10"/>
            <rFont val="宋体"/>
            <charset val="134"/>
          </rPr>
          <t>4/1 notify 4/2还空柜</t>
        </r>
      </text>
    </comment>
    <comment ref="W483" authorId="1025">
      <text>
        <r>
          <rPr>
            <sz val="10"/>
            <rFont val="宋体"/>
            <charset val="134"/>
          </rPr>
          <t>21天免柜</t>
        </r>
      </text>
    </comment>
    <comment ref="V484" authorId="1026">
      <text>
        <r>
          <rPr>
            <sz val="10"/>
            <rFont val="宋体"/>
            <charset val="134"/>
          </rPr>
          <t>4/1 notify 4/3还空柜</t>
        </r>
      </text>
    </comment>
    <comment ref="W484" authorId="1027">
      <text>
        <r>
          <rPr>
            <sz val="10"/>
            <rFont val="宋体"/>
            <charset val="134"/>
          </rPr>
          <t>21天免柜</t>
        </r>
      </text>
    </comment>
    <comment ref="V485" authorId="1028">
      <text>
        <r>
          <rPr>
            <sz val="10"/>
            <rFont val="宋体"/>
            <charset val="134"/>
          </rPr>
          <t>4/2还空柜</t>
        </r>
      </text>
    </comment>
    <comment ref="W485" authorId="1029">
      <text>
        <r>
          <rPr>
            <sz val="10"/>
            <rFont val="宋体"/>
            <charset val="134"/>
          </rPr>
          <t>21天免柜</t>
        </r>
      </text>
    </comment>
    <comment ref="V486" authorId="1030">
      <text>
        <r>
          <rPr>
            <sz val="10"/>
            <rFont val="宋体"/>
            <charset val="134"/>
          </rPr>
          <t>4/2还空柜</t>
        </r>
      </text>
    </comment>
    <comment ref="W486" authorId="1031">
      <text>
        <r>
          <rPr>
            <sz val="10"/>
            <rFont val="宋体"/>
            <charset val="134"/>
          </rPr>
          <t>21天免柜期</t>
        </r>
      </text>
    </comment>
    <comment ref="I487" authorId="1032">
      <text>
        <r>
          <rPr>
            <sz val="10"/>
            <rFont val="宋体"/>
            <charset val="134"/>
          </rPr>
          <t>Sam:
原ETD:3/1 ETA:3/20
3月7号通知大船晚到，更新ETD：3/8 ETA:3/23</t>
        </r>
      </text>
    </comment>
    <comment ref="V487" authorId="1033">
      <text>
        <r>
          <rPr>
            <sz val="10"/>
            <rFont val="宋体"/>
            <charset val="134"/>
          </rPr>
          <t>4/4还空柜</t>
        </r>
      </text>
    </comment>
    <comment ref="W487" authorId="1034">
      <text>
        <r>
          <rPr>
            <sz val="10"/>
            <rFont val="宋体"/>
            <charset val="134"/>
          </rPr>
          <t>21天免柜</t>
        </r>
      </text>
    </comment>
    <comment ref="V488" authorId="1035">
      <text>
        <r>
          <rPr>
            <sz val="10"/>
            <rFont val="宋体"/>
            <charset val="134"/>
          </rPr>
          <t>4/4还空柜</t>
        </r>
      </text>
    </comment>
    <comment ref="W488" authorId="1036">
      <text>
        <r>
          <rPr>
            <sz val="10"/>
            <rFont val="宋体"/>
            <charset val="134"/>
          </rPr>
          <t>21天免柜</t>
        </r>
      </text>
    </comment>
    <comment ref="V489" authorId="1037">
      <text>
        <r>
          <rPr>
            <sz val="10"/>
            <rFont val="宋体"/>
            <charset val="134"/>
          </rPr>
          <t>4/4还空柜</t>
        </r>
      </text>
    </comment>
    <comment ref="W489" authorId="1038">
      <text>
        <r>
          <rPr>
            <sz val="10"/>
            <rFont val="宋体"/>
            <charset val="134"/>
          </rPr>
          <t>21天免柜</t>
        </r>
      </text>
    </comment>
    <comment ref="I490" authorId="1039">
      <text>
        <r>
          <rPr>
            <sz val="10"/>
            <rFont val="宋体"/>
            <charset val="134"/>
          </rPr>
          <t>Sam:
原ETD:3/1 ETA:3/20
3月7号通知大船晚到，更新ETD：3/8 ETA:3/23</t>
        </r>
      </text>
    </comment>
    <comment ref="V490" authorId="1040">
      <text>
        <r>
          <rPr>
            <sz val="10"/>
            <rFont val="宋体"/>
            <charset val="134"/>
          </rPr>
          <t>4/3 notify 4/4还空柜</t>
        </r>
      </text>
    </comment>
    <comment ref="W490" authorId="1041">
      <text>
        <r>
          <rPr>
            <sz val="10"/>
            <rFont val="宋体"/>
            <charset val="134"/>
          </rPr>
          <t>21天免柜</t>
        </r>
      </text>
    </comment>
    <comment ref="I491" authorId="1042">
      <text>
        <r>
          <rPr>
            <sz val="10"/>
            <rFont val="宋体"/>
            <charset val="134"/>
          </rPr>
          <t>Sam:
原ETD:3/1 ETA:3/20
3月7号通知大船晚到，更新ETD：3/8 ETA:3/23</t>
        </r>
      </text>
    </comment>
    <comment ref="V491" authorId="1043">
      <text>
        <r>
          <rPr>
            <sz val="10"/>
            <rFont val="宋体"/>
            <charset val="134"/>
          </rPr>
          <t>4/3 notify 4/4还空柜</t>
        </r>
      </text>
    </comment>
    <comment ref="W491" authorId="1044">
      <text>
        <r>
          <rPr>
            <sz val="10"/>
            <rFont val="宋体"/>
            <charset val="134"/>
          </rPr>
          <t>21天免柜</t>
        </r>
      </text>
    </comment>
    <comment ref="I492" authorId="1045">
      <text>
        <r>
          <rPr>
            <sz val="10"/>
            <rFont val="宋体"/>
            <charset val="134"/>
          </rPr>
          <t>Sam:
原ETD:3/1 ETA:3/20
3月7号通知大船晚到，更新ETD：3/8 ETA:3/23</t>
        </r>
      </text>
    </comment>
    <comment ref="V492" authorId="1046">
      <text>
        <r>
          <rPr>
            <sz val="10"/>
            <rFont val="宋体"/>
            <charset val="134"/>
          </rPr>
          <t>4/3 notify 4/4 还空柜</t>
        </r>
      </text>
    </comment>
    <comment ref="W492" authorId="1047">
      <text>
        <r>
          <rPr>
            <sz val="10"/>
            <rFont val="宋体"/>
            <charset val="134"/>
          </rPr>
          <t>21天免柜</t>
        </r>
      </text>
    </comment>
    <comment ref="V493" authorId="1048">
      <text>
        <r>
          <rPr>
            <sz val="10"/>
            <rFont val="宋体"/>
            <charset val="134"/>
          </rPr>
          <t>4/4 notify 4/7还空柜</t>
        </r>
      </text>
    </comment>
    <comment ref="W493" authorId="1049">
      <text>
        <r>
          <rPr>
            <sz val="10"/>
            <rFont val="宋体"/>
            <charset val="134"/>
          </rPr>
          <t>21天免柜</t>
        </r>
      </text>
    </comment>
    <comment ref="I494" authorId="1050">
      <text>
        <r>
          <rPr>
            <sz val="10"/>
            <rFont val="宋体"/>
            <charset val="134"/>
          </rPr>
          <t>Sam:
原ETD:3/1 ETA:3/20
3月7号通知大船晚到，更新ETD：3/8 ETA:3/23</t>
        </r>
      </text>
    </comment>
    <comment ref="V494" authorId="1051">
      <text>
        <r>
          <rPr>
            <sz val="10"/>
            <rFont val="宋体"/>
            <charset val="134"/>
          </rPr>
          <t>4/4 notify 4/7还空柜</t>
        </r>
      </text>
    </comment>
    <comment ref="W494" authorId="1052">
      <text>
        <r>
          <rPr>
            <sz val="10"/>
            <rFont val="宋体"/>
            <charset val="134"/>
          </rPr>
          <t>21天免柜</t>
        </r>
      </text>
    </comment>
    <comment ref="V495" authorId="1053">
      <text>
        <r>
          <rPr>
            <sz val="10"/>
            <rFont val="宋体"/>
            <charset val="134"/>
          </rPr>
          <t>4/4还空柜</t>
        </r>
      </text>
    </comment>
    <comment ref="W495" authorId="1054">
      <text>
        <r>
          <rPr>
            <sz val="10"/>
            <rFont val="宋体"/>
            <charset val="134"/>
          </rPr>
          <t>21天免柜</t>
        </r>
      </text>
    </comment>
    <comment ref="V496" authorId="1055">
      <text>
        <r>
          <rPr>
            <sz val="10"/>
            <rFont val="宋体"/>
            <charset val="134"/>
          </rPr>
          <t>4/11 notify 4/15还空柜</t>
        </r>
      </text>
    </comment>
    <comment ref="W496" authorId="1056">
      <text>
        <r>
          <rPr>
            <sz val="10"/>
            <rFont val="宋体"/>
            <charset val="134"/>
          </rPr>
          <t>21天免柜</t>
        </r>
      </text>
    </comment>
    <comment ref="V497" authorId="1057">
      <text>
        <r>
          <rPr>
            <sz val="10"/>
            <rFont val="宋体"/>
            <charset val="134"/>
          </rPr>
          <t>4/11 notify 4/15还空柜</t>
        </r>
      </text>
    </comment>
    <comment ref="W497" authorId="1058">
      <text>
        <r>
          <rPr>
            <sz val="10"/>
            <rFont val="宋体"/>
            <charset val="134"/>
          </rPr>
          <t>21天免柜</t>
        </r>
      </text>
    </comment>
    <comment ref="V498" authorId="1059">
      <text>
        <r>
          <rPr>
            <sz val="10"/>
            <rFont val="宋体"/>
            <charset val="134"/>
          </rPr>
          <t>4/4还空柜</t>
        </r>
      </text>
    </comment>
    <comment ref="W498" authorId="1060">
      <text>
        <r>
          <rPr>
            <sz val="10"/>
            <rFont val="宋体"/>
            <charset val="134"/>
          </rPr>
          <t>21天免柜</t>
        </r>
      </text>
    </comment>
    <comment ref="V499" authorId="1061">
      <text>
        <r>
          <rPr>
            <sz val="10"/>
            <rFont val="宋体"/>
            <charset val="134"/>
          </rPr>
          <t>4/7 还空柜</t>
        </r>
      </text>
    </comment>
    <comment ref="W499" authorId="1062">
      <text>
        <r>
          <rPr>
            <sz val="10"/>
            <rFont val="宋体"/>
            <charset val="134"/>
          </rPr>
          <t>21天免柜</t>
        </r>
      </text>
    </comment>
    <comment ref="V500" authorId="1063">
      <text>
        <r>
          <rPr>
            <sz val="10"/>
            <rFont val="宋体"/>
            <charset val="134"/>
          </rPr>
          <t>4.8还空柜</t>
        </r>
      </text>
    </comment>
    <comment ref="W500" authorId="1064">
      <text>
        <r>
          <rPr>
            <sz val="10"/>
            <rFont val="宋体"/>
            <charset val="134"/>
          </rPr>
          <t>21天免柜</t>
        </r>
      </text>
    </comment>
    <comment ref="V501" authorId="1065">
      <text>
        <r>
          <rPr>
            <sz val="10"/>
            <rFont val="宋体"/>
            <charset val="134"/>
          </rPr>
          <t>4.8 还空柜</t>
        </r>
      </text>
    </comment>
    <comment ref="W501" authorId="1066">
      <text>
        <r>
          <rPr>
            <sz val="10"/>
            <rFont val="宋体"/>
            <charset val="134"/>
          </rPr>
          <t>21天免柜</t>
        </r>
      </text>
    </comment>
    <comment ref="L502" authorId="1067">
      <text>
        <r>
          <rPr>
            <sz val="10"/>
            <rFont val="宋体"/>
            <charset val="134"/>
          </rPr>
          <t>4/2 Edwin 将Dandenong改成新仓地址</t>
        </r>
      </text>
    </comment>
    <comment ref="V502" authorId="1068">
      <text>
        <r>
          <rPr>
            <sz val="10"/>
            <rFont val="宋体"/>
            <charset val="134"/>
          </rPr>
          <t>4/9 notify 4/9还空柜</t>
        </r>
      </text>
    </comment>
    <comment ref="W502" authorId="1069">
      <text>
        <r>
          <rPr>
            <sz val="10"/>
            <rFont val="宋体"/>
            <charset val="134"/>
          </rPr>
          <t>21天免柜</t>
        </r>
      </text>
    </comment>
    <comment ref="L503" authorId="1070">
      <text>
        <r>
          <rPr>
            <sz val="10"/>
            <rFont val="宋体"/>
            <charset val="134"/>
          </rPr>
          <t>4/2 Edwin 将Laverton改成新仓地址</t>
        </r>
      </text>
    </comment>
    <comment ref="V503" authorId="1071">
      <text>
        <r>
          <rPr>
            <sz val="10"/>
            <rFont val="宋体"/>
            <charset val="134"/>
          </rPr>
          <t>4/9 notify  4/11 还空柜</t>
        </r>
      </text>
    </comment>
    <comment ref="W503" authorId="1072">
      <text>
        <r>
          <rPr>
            <sz val="10"/>
            <rFont val="宋体"/>
            <charset val="134"/>
          </rPr>
          <t>21天免柜</t>
        </r>
      </text>
    </comment>
    <comment ref="L504" authorId="1073">
      <text>
        <r>
          <rPr>
            <sz val="10"/>
            <rFont val="宋体"/>
            <charset val="134"/>
          </rPr>
          <t>4/2 Edwin 将Dandenong改成新仓地址</t>
        </r>
      </text>
    </comment>
    <comment ref="V504" authorId="1074">
      <text>
        <r>
          <rPr>
            <sz val="10"/>
            <rFont val="宋体"/>
            <charset val="134"/>
          </rPr>
          <t>4/9 notify  4/11还空柜</t>
        </r>
      </text>
    </comment>
    <comment ref="W504" authorId="1075">
      <text>
        <r>
          <rPr>
            <sz val="10"/>
            <rFont val="宋体"/>
            <charset val="134"/>
          </rPr>
          <t>21天免柜</t>
        </r>
      </text>
    </comment>
    <comment ref="L505" authorId="1076">
      <text>
        <r>
          <rPr>
            <sz val="10"/>
            <rFont val="宋体"/>
            <charset val="134"/>
          </rPr>
          <t>4/2 Edwin通知修改为新仓库地址</t>
        </r>
      </text>
    </comment>
    <comment ref="V505" authorId="1077">
      <text>
        <r>
          <rPr>
            <sz val="10"/>
            <rFont val="宋体"/>
            <charset val="134"/>
          </rPr>
          <t>4/9 notify  4/11还空柜</t>
        </r>
      </text>
    </comment>
    <comment ref="W505" authorId="1078">
      <text>
        <r>
          <rPr>
            <sz val="10"/>
            <rFont val="宋体"/>
            <charset val="134"/>
          </rPr>
          <t>21天免柜</t>
        </r>
      </text>
    </comment>
    <comment ref="L506" authorId="1079">
      <text>
        <r>
          <rPr>
            <sz val="10"/>
            <rFont val="宋体"/>
            <charset val="134"/>
          </rPr>
          <t>4/2 Edwin通知修改为新仓库地址</t>
        </r>
      </text>
    </comment>
    <comment ref="V506" authorId="1080">
      <text>
        <r>
          <rPr>
            <sz val="10"/>
            <rFont val="宋体"/>
            <charset val="134"/>
          </rPr>
          <t>4/9 notify   4/11还空柜</t>
        </r>
      </text>
    </comment>
    <comment ref="W506" authorId="1081">
      <text>
        <r>
          <rPr>
            <sz val="10"/>
            <rFont val="宋体"/>
            <charset val="134"/>
          </rPr>
          <t>21天免柜</t>
        </r>
      </text>
    </comment>
    <comment ref="V507" authorId="1082">
      <text>
        <r>
          <rPr>
            <sz val="10"/>
            <rFont val="宋体"/>
            <charset val="134"/>
          </rPr>
          <t>4/11 notify 4/14还空柜</t>
        </r>
      </text>
    </comment>
    <comment ref="W507" authorId="1083">
      <text>
        <r>
          <rPr>
            <sz val="10"/>
            <rFont val="宋体"/>
            <charset val="134"/>
          </rPr>
          <t>21天免柜</t>
        </r>
      </text>
    </comment>
    <comment ref="V508" authorId="1084">
      <text>
        <r>
          <rPr>
            <sz val="10"/>
            <rFont val="宋体"/>
            <charset val="134"/>
          </rPr>
          <t>4/7 notify 4/9还空柜</t>
        </r>
      </text>
    </comment>
    <comment ref="W508" authorId="1085">
      <text>
        <r>
          <rPr>
            <sz val="10"/>
            <rFont val="宋体"/>
            <charset val="134"/>
          </rPr>
          <t>21天免柜</t>
        </r>
      </text>
    </comment>
    <comment ref="V509" authorId="1086">
      <text>
        <r>
          <rPr>
            <sz val="10"/>
            <rFont val="宋体"/>
            <charset val="134"/>
          </rPr>
          <t>4/7 notify 4/9还空柜</t>
        </r>
      </text>
    </comment>
    <comment ref="W509" authorId="1087">
      <text>
        <r>
          <rPr>
            <sz val="10"/>
            <rFont val="宋体"/>
            <charset val="134"/>
          </rPr>
          <t>21天免柜</t>
        </r>
      </text>
    </comment>
    <comment ref="V510" authorId="1088">
      <text>
        <r>
          <rPr>
            <sz val="10"/>
            <rFont val="宋体"/>
            <charset val="134"/>
          </rPr>
          <t>4/9notify  4/10还空柜</t>
        </r>
      </text>
    </comment>
    <comment ref="W510" authorId="1089">
      <text>
        <r>
          <rPr>
            <sz val="10"/>
            <rFont val="宋体"/>
            <charset val="134"/>
          </rPr>
          <t>21天免柜</t>
        </r>
      </text>
    </comment>
    <comment ref="V511" authorId="1090">
      <text>
        <r>
          <rPr>
            <sz val="10"/>
            <rFont val="宋体"/>
            <charset val="134"/>
          </rPr>
          <t>4/10 notify  4/11还空柜</t>
        </r>
      </text>
    </comment>
    <comment ref="I516" authorId="1091">
      <text>
        <r>
          <rPr>
            <sz val="10"/>
            <rFont val="宋体"/>
            <charset val="134"/>
          </rPr>
          <t>由于浓雾天气原因，船晚开.原ETD:3-16 ETA:4-3</t>
        </r>
      </text>
    </comment>
    <comment ref="J516" authorId="1092">
      <text>
        <r>
          <rPr>
            <sz val="10"/>
            <rFont val="宋体"/>
            <charset val="134"/>
          </rPr>
          <t>4.84.10还没有最新更新</t>
        </r>
      </text>
    </comment>
    <comment ref="V516" authorId="1093">
      <text>
        <r>
          <rPr>
            <sz val="10"/>
            <rFont val="宋体"/>
            <charset val="134"/>
          </rPr>
          <t>mainchain显示4/16已提走</t>
        </r>
      </text>
    </comment>
    <comment ref="I517" authorId="1094">
      <text>
        <r>
          <rPr>
            <sz val="10"/>
            <rFont val="宋体"/>
            <charset val="134"/>
          </rPr>
          <t>由于浓雾天气原因，船晚开.原ETD:3-16 ETA:4-3</t>
        </r>
      </text>
    </comment>
    <comment ref="J517" authorId="1095">
      <text>
        <r>
          <rPr>
            <sz val="10"/>
            <rFont val="宋体"/>
            <charset val="134"/>
          </rPr>
          <t>4.84.10还没有最新更新</t>
        </r>
      </text>
    </comment>
    <comment ref="V517" authorId="1096">
      <text>
        <r>
          <rPr>
            <sz val="10"/>
            <rFont val="宋体"/>
            <charset val="134"/>
          </rPr>
          <t>mainchain显示4/16已提走</t>
        </r>
      </text>
    </comment>
    <comment ref="V518" authorId="1097">
      <text>
        <r>
          <rPr>
            <sz val="10"/>
            <rFont val="宋体"/>
            <charset val="134"/>
          </rPr>
          <t>4/17 还空柜</t>
        </r>
      </text>
    </comment>
    <comment ref="V519" authorId="1098">
      <text>
        <r>
          <rPr>
            <sz val="10"/>
            <rFont val="宋体"/>
            <charset val="134"/>
          </rPr>
          <t>22/04 还空柜，notification on 18/04</t>
        </r>
      </text>
    </comment>
    <comment ref="V520" authorId="1099">
      <text>
        <r>
          <rPr>
            <sz val="10"/>
            <rFont val="宋体"/>
            <charset val="134"/>
          </rPr>
          <t>22/04 还空柜，notification on 18/04</t>
        </r>
      </text>
    </comment>
    <comment ref="V521" authorId="1100">
      <text>
        <r>
          <rPr>
            <sz val="10"/>
            <rFont val="宋体"/>
            <charset val="134"/>
          </rPr>
          <t>22/04 还空柜，notification on 18/04</t>
        </r>
      </text>
    </comment>
    <comment ref="V522" authorId="1101">
      <text>
        <r>
          <rPr>
            <sz val="10"/>
            <rFont val="宋体"/>
            <charset val="134"/>
          </rPr>
          <t>22/04 还空柜，notification on 18/04</t>
        </r>
      </text>
    </comment>
    <comment ref="V523" authorId="1102">
      <text>
        <r>
          <rPr>
            <sz val="10"/>
            <rFont val="宋体"/>
            <charset val="134"/>
          </rPr>
          <t>22/04 还空柜，notification on 18/04</t>
        </r>
      </text>
    </comment>
    <comment ref="V524" authorId="1103">
      <text>
        <r>
          <rPr>
            <sz val="10"/>
            <rFont val="宋体"/>
            <charset val="134"/>
          </rPr>
          <t>4/22 notify4/23 还空柜</t>
        </r>
      </text>
    </comment>
    <comment ref="V525" authorId="1104">
      <text>
        <r>
          <rPr>
            <sz val="10"/>
            <rFont val="宋体"/>
            <charset val="134"/>
          </rPr>
          <t>4/24还空柜 4/18 Edwin确认MF已提走</t>
        </r>
      </text>
    </comment>
    <comment ref="V526" authorId="1105">
      <text>
        <r>
          <rPr>
            <sz val="10"/>
            <rFont val="宋体"/>
            <charset val="134"/>
          </rPr>
          <t>4/23 MF pick up empty container 4/25 还空柜</t>
        </r>
      </text>
    </comment>
    <comment ref="V527" authorId="1106">
      <text>
        <r>
          <rPr>
            <sz val="10"/>
            <rFont val="宋体"/>
            <charset val="134"/>
          </rPr>
          <t>4/23 MF pick up empty container 4/25 还空柜</t>
        </r>
      </text>
    </comment>
    <comment ref="V528" authorId="1107">
      <text>
        <r>
          <rPr>
            <sz val="10"/>
            <rFont val="宋体"/>
            <charset val="134"/>
          </rPr>
          <t>22/04 notify  27/04 还空柜</t>
        </r>
      </text>
    </comment>
    <comment ref="V529" authorId="1108">
      <text>
        <r>
          <rPr>
            <sz val="10"/>
            <rFont val="宋体"/>
            <charset val="134"/>
          </rPr>
          <t>22/04 还空柜，notification on 16/04</t>
        </r>
      </text>
    </comment>
    <comment ref="V530" authorId="1109">
      <text>
        <r>
          <rPr>
            <sz val="10"/>
            <rFont val="宋体"/>
            <charset val="134"/>
          </rPr>
          <t>4/24 notify 4/24 还空柜</t>
        </r>
      </text>
    </comment>
    <comment ref="W530" authorId="1110">
      <text>
        <r>
          <rPr>
            <sz val="10"/>
            <rFont val="宋体"/>
            <charset val="134"/>
          </rPr>
          <t>21天免柜</t>
        </r>
      </text>
    </comment>
    <comment ref="V531" authorId="1111">
      <text>
        <r>
          <rPr>
            <sz val="10"/>
            <rFont val="宋体"/>
            <charset val="134"/>
          </rPr>
          <t>4/24 notify 4/24 还空柜</t>
        </r>
      </text>
    </comment>
    <comment ref="W531" authorId="1112">
      <text>
        <r>
          <rPr>
            <sz val="10"/>
            <rFont val="宋体"/>
            <charset val="134"/>
          </rPr>
          <t>21天免柜</t>
        </r>
      </text>
    </comment>
    <comment ref="V532" authorId="1113">
      <text>
        <r>
          <rPr>
            <sz val="10"/>
            <rFont val="宋体"/>
            <charset val="134"/>
          </rPr>
          <t>4/24 notify4/26 还空柜</t>
        </r>
      </text>
    </comment>
    <comment ref="W532" authorId="1114">
      <text>
        <r>
          <rPr>
            <sz val="10"/>
            <rFont val="宋体"/>
            <charset val="134"/>
          </rPr>
          <t>21天免柜</t>
        </r>
      </text>
    </comment>
    <comment ref="V536" authorId="1115">
      <text>
        <r>
          <rPr>
            <sz val="10"/>
            <rFont val="宋体"/>
            <charset val="134"/>
          </rPr>
          <t>4/24 notify  4/26 还空柜</t>
        </r>
      </text>
    </comment>
    <comment ref="W536" authorId="1116">
      <text>
        <r>
          <rPr>
            <sz val="10"/>
            <rFont val="宋体"/>
            <charset val="134"/>
          </rPr>
          <t>21天免柜</t>
        </r>
      </text>
    </comment>
    <comment ref="V537" authorId="1117">
      <text>
        <r>
          <rPr>
            <sz val="10"/>
            <rFont val="宋体"/>
            <charset val="134"/>
          </rPr>
          <t>4/24 notify  4/26 还空柜</t>
        </r>
      </text>
    </comment>
    <comment ref="W537" authorId="1118">
      <text>
        <r>
          <rPr>
            <sz val="10"/>
            <rFont val="宋体"/>
            <charset val="134"/>
          </rPr>
          <t>21天免柜</t>
        </r>
      </text>
    </comment>
    <comment ref="V538" authorId="1119">
      <text>
        <r>
          <rPr>
            <sz val="10"/>
            <rFont val="宋体"/>
            <charset val="134"/>
          </rPr>
          <t>4/24 notify  4/26还空柜</t>
        </r>
      </text>
    </comment>
    <comment ref="W538" authorId="1120">
      <text>
        <r>
          <rPr>
            <sz val="10"/>
            <rFont val="宋体"/>
            <charset val="134"/>
          </rPr>
          <t>21天免柜</t>
        </r>
      </text>
    </comment>
    <comment ref="V539" authorId="1121">
      <text>
        <r>
          <rPr>
            <sz val="10"/>
            <rFont val="宋体"/>
            <charset val="134"/>
          </rPr>
          <t>4/30 notify  5/2 还空柜</t>
        </r>
      </text>
    </comment>
    <comment ref="W539" authorId="1122">
      <text>
        <r>
          <rPr>
            <sz val="10"/>
            <rFont val="宋体"/>
            <charset val="134"/>
          </rPr>
          <t>21天免柜</t>
        </r>
      </text>
    </comment>
    <comment ref="J540" authorId="1123">
      <text>
        <r>
          <rPr>
            <sz val="10"/>
            <rFont val="宋体"/>
            <charset val="134"/>
          </rPr>
          <t>4.16</t>
        </r>
      </text>
    </comment>
    <comment ref="V540" authorId="1124">
      <text>
        <r>
          <rPr>
            <sz val="10"/>
            <rFont val="宋体"/>
            <charset val="134"/>
          </rPr>
          <t>4/23 notify 4/24还空柜</t>
        </r>
      </text>
    </comment>
    <comment ref="W540" authorId="1125">
      <text>
        <r>
          <rPr>
            <sz val="10"/>
            <rFont val="宋体"/>
            <charset val="134"/>
          </rPr>
          <t>21天</t>
        </r>
      </text>
    </comment>
    <comment ref="J541" authorId="1126">
      <text>
        <r>
          <rPr>
            <sz val="10"/>
            <rFont val="宋体"/>
            <charset val="134"/>
          </rPr>
          <t>4.16</t>
        </r>
      </text>
    </comment>
    <comment ref="V541" authorId="1127">
      <text>
        <r>
          <rPr>
            <sz val="10"/>
            <rFont val="宋体"/>
            <charset val="134"/>
          </rPr>
          <t>4/23 notify 4/24 还空柜</t>
        </r>
      </text>
    </comment>
    <comment ref="W541" authorId="1128">
      <text>
        <r>
          <rPr>
            <sz val="10"/>
            <rFont val="宋体"/>
            <charset val="134"/>
          </rPr>
          <t>21天</t>
        </r>
      </text>
    </comment>
    <comment ref="J542" authorId="1129">
      <text>
        <r>
          <rPr>
            <sz val="10"/>
            <rFont val="宋体"/>
            <charset val="134"/>
          </rPr>
          <t>原4.16</t>
        </r>
      </text>
    </comment>
    <comment ref="W542" authorId="1130">
      <text>
        <r>
          <rPr>
            <sz val="10"/>
            <rFont val="宋体"/>
            <charset val="134"/>
          </rPr>
          <t>21天免柜</t>
        </r>
      </text>
    </comment>
    <comment ref="I543" authorId="1131">
      <text>
        <r>
          <rPr>
            <sz val="10"/>
            <rFont val="宋体"/>
            <charset val="134"/>
          </rPr>
          <t>由于浓雾天气原因，船晚开.原ETD:3-16 ETA:4-3</t>
        </r>
      </text>
    </comment>
    <comment ref="J543" authorId="1132">
      <text>
        <r>
          <rPr>
            <sz val="10"/>
            <rFont val="宋体"/>
            <charset val="134"/>
          </rPr>
          <t>4.16</t>
        </r>
      </text>
    </comment>
    <comment ref="V543" authorId="1133">
      <text>
        <r>
          <rPr>
            <sz val="10"/>
            <rFont val="宋体"/>
            <charset val="134"/>
          </rPr>
          <t>4/24 notify4/26 还空柜</t>
        </r>
      </text>
    </comment>
    <comment ref="I544" authorId="1134">
      <text>
        <r>
          <rPr>
            <sz val="10"/>
            <rFont val="宋体"/>
            <charset val="134"/>
          </rPr>
          <t>由于浓雾天气原因，船晚开.原ETD:3-16 ETA:4-3</t>
        </r>
      </text>
    </comment>
    <comment ref="J544" authorId="1135">
      <text>
        <r>
          <rPr>
            <sz val="10"/>
            <rFont val="宋体"/>
            <charset val="134"/>
          </rPr>
          <t>原4.17</t>
        </r>
      </text>
    </comment>
    <comment ref="V544" authorId="1136">
      <text>
        <r>
          <rPr>
            <sz val="10"/>
            <rFont val="宋体"/>
            <charset val="134"/>
          </rPr>
          <t>4/24 notify4.25已还空柜</t>
        </r>
      </text>
    </comment>
    <comment ref="I545" authorId="1137">
      <text>
        <r>
          <rPr>
            <sz val="10"/>
            <rFont val="宋体"/>
            <charset val="134"/>
          </rPr>
          <t>由于浓雾天气原因，船晚开.原ETD:3-16 ETA:4-3</t>
        </r>
      </text>
    </comment>
    <comment ref="J545" authorId="1138">
      <text>
        <r>
          <rPr>
            <sz val="10"/>
            <rFont val="宋体"/>
            <charset val="134"/>
          </rPr>
          <t>原4.17</t>
        </r>
      </text>
    </comment>
    <comment ref="V545" authorId="1139">
      <text>
        <r>
          <rPr>
            <sz val="10"/>
            <rFont val="宋体"/>
            <charset val="134"/>
          </rPr>
          <t>4/24 notify4.25已还空柜</t>
        </r>
      </text>
    </comment>
    <comment ref="I546" authorId="1140">
      <text>
        <r>
          <rPr>
            <sz val="10"/>
            <rFont val="宋体"/>
            <charset val="134"/>
          </rPr>
          <t>原ETD:3/14 ETA:4/1.因为塞港，回来晚了很多天，现ETD:3/27 ETA:4/12</t>
        </r>
      </text>
    </comment>
    <comment ref="J546" authorId="1141">
      <text>
        <r>
          <rPr>
            <sz val="10"/>
            <rFont val="宋体"/>
            <charset val="134"/>
          </rPr>
          <t>4.17</t>
        </r>
      </text>
    </comment>
    <comment ref="V546" authorId="1142">
      <text>
        <r>
          <rPr>
            <sz val="10"/>
            <rFont val="宋体"/>
            <charset val="134"/>
          </rPr>
          <t>4/24 Notify  4/28 还空柜</t>
        </r>
      </text>
    </comment>
    <comment ref="I547" authorId="1143">
      <text>
        <r>
          <rPr>
            <sz val="10"/>
            <rFont val="宋体"/>
            <charset val="134"/>
          </rPr>
          <t>由于浓雾天气原因，船晚开.原ETD:3-16 ETA:4-3</t>
        </r>
      </text>
    </comment>
    <comment ref="J547" authorId="1144">
      <text>
        <r>
          <rPr>
            <sz val="10"/>
            <rFont val="宋体"/>
            <charset val="134"/>
          </rPr>
          <t>原4.17</t>
        </r>
      </text>
    </comment>
    <comment ref="V547" authorId="1145">
      <text>
        <r>
          <rPr>
            <sz val="10"/>
            <rFont val="宋体"/>
            <charset val="134"/>
          </rPr>
          <t>4/24 notify4/26 还空柜</t>
        </r>
      </text>
    </comment>
    <comment ref="I548" authorId="1146">
      <text>
        <r>
          <rPr>
            <sz val="10"/>
            <rFont val="宋体"/>
            <charset val="134"/>
          </rPr>
          <t>由于浓雾天气原因，船晚开.原ETD:3-16 ETA:4-3</t>
        </r>
      </text>
    </comment>
    <comment ref="J548" authorId="1147">
      <text>
        <r>
          <rPr>
            <sz val="10"/>
            <rFont val="宋体"/>
            <charset val="134"/>
          </rPr>
          <t>网站总loading，也没有显示ETA，3.30还在南沙</t>
        </r>
      </text>
    </comment>
    <comment ref="V548" authorId="1148">
      <text>
        <r>
          <rPr>
            <sz val="10"/>
            <rFont val="宋体"/>
            <charset val="134"/>
          </rPr>
          <t>4/24 notify4/26 还空柜</t>
        </r>
      </text>
    </comment>
    <comment ref="I549" authorId="1149">
      <text>
        <r>
          <rPr>
            <sz val="10"/>
            <rFont val="宋体"/>
            <charset val="134"/>
          </rPr>
          <t>由于浓雾天气原因，船晚开.原ETD:3-19 ETA:4-6</t>
        </r>
      </text>
    </comment>
    <comment ref="V549" authorId="1150">
      <text>
        <r>
          <rPr>
            <sz val="10"/>
            <rFont val="宋体"/>
            <charset val="134"/>
          </rPr>
          <t>4/24 notify4/26 还空柜</t>
        </r>
      </text>
    </comment>
    <comment ref="W549" authorId="1151">
      <text>
        <r>
          <rPr>
            <sz val="10"/>
            <rFont val="宋体"/>
            <charset val="134"/>
          </rPr>
          <t>21天</t>
        </r>
      </text>
    </comment>
    <comment ref="I550" authorId="1152">
      <text>
        <r>
          <rPr>
            <sz val="10"/>
            <rFont val="宋体"/>
            <charset val="134"/>
          </rPr>
          <t>由于浓雾天气原因，船晚开.原ETD:3-19 ETA:4-6</t>
        </r>
      </text>
    </comment>
    <comment ref="J550" authorId="1153">
      <text>
        <r>
          <rPr>
            <sz val="10"/>
            <rFont val="宋体"/>
            <charset val="134"/>
          </rPr>
          <t>原4.17</t>
        </r>
      </text>
    </comment>
    <comment ref="V550" authorId="1154">
      <text>
        <r>
          <rPr>
            <sz val="10"/>
            <rFont val="宋体"/>
            <charset val="134"/>
          </rPr>
          <t>4/25 notify4/29 还空柜 on Mainchain</t>
        </r>
      </text>
    </comment>
    <comment ref="W550" authorId="1155">
      <text>
        <r>
          <rPr>
            <sz val="10"/>
            <rFont val="宋体"/>
            <charset val="134"/>
          </rPr>
          <t>21天</t>
        </r>
      </text>
    </comment>
    <comment ref="I551" authorId="1156">
      <text>
        <r>
          <rPr>
            <sz val="10"/>
            <rFont val="宋体"/>
            <charset val="134"/>
          </rPr>
          <t>由于浓雾天气原因，船晚开.原ETD:3-19 ETA:4-6</t>
        </r>
      </text>
    </comment>
    <comment ref="V551" authorId="1157">
      <text>
        <r>
          <rPr>
            <sz val="10"/>
            <rFont val="宋体"/>
            <charset val="134"/>
          </rPr>
          <t>4/25 notify4/28 还空柜</t>
        </r>
      </text>
    </comment>
    <comment ref="W551" authorId="1158">
      <text>
        <r>
          <rPr>
            <sz val="10"/>
            <rFont val="宋体"/>
            <charset val="134"/>
          </rPr>
          <t>21天</t>
        </r>
      </text>
    </comment>
    <comment ref="I552" authorId="1159">
      <text>
        <r>
          <rPr>
            <sz val="10"/>
            <rFont val="宋体"/>
            <charset val="134"/>
          </rPr>
          <t>由于浓雾天气原因，船晚开.原ETD:3-19 ETA:4-6</t>
        </r>
      </text>
    </comment>
    <comment ref="V552" authorId="1160">
      <text>
        <r>
          <rPr>
            <sz val="10"/>
            <rFont val="宋体"/>
            <charset val="134"/>
          </rPr>
          <t>4/25 notify4/29 还空柜 on Mainchain</t>
        </r>
      </text>
    </comment>
    <comment ref="W552" authorId="1161">
      <text>
        <r>
          <rPr>
            <sz val="10"/>
            <rFont val="宋体"/>
            <charset val="134"/>
          </rPr>
          <t>21天</t>
        </r>
      </text>
    </comment>
    <comment ref="I553" authorId="1162">
      <text>
        <r>
          <rPr>
            <sz val="10"/>
            <rFont val="宋体"/>
            <charset val="134"/>
          </rPr>
          <t>由于浓雾天气原因，船晚开.原ETD:3-19 ETA:4-6</t>
        </r>
      </text>
    </comment>
    <comment ref="V553" authorId="1163">
      <text>
        <r>
          <rPr>
            <sz val="10"/>
            <rFont val="宋体"/>
            <charset val="134"/>
          </rPr>
          <t>4/25 notify4/29 还空柜 on Mainchain</t>
        </r>
      </text>
    </comment>
    <comment ref="W553" authorId="1164">
      <text>
        <r>
          <rPr>
            <sz val="10"/>
            <rFont val="宋体"/>
            <charset val="134"/>
          </rPr>
          <t>21天</t>
        </r>
      </text>
    </comment>
    <comment ref="I554" authorId="1165">
      <text>
        <r>
          <rPr>
            <sz val="10"/>
            <rFont val="宋体"/>
            <charset val="134"/>
          </rPr>
          <t>由于浓雾天气原因，船晚开.原ETD:3-19 ETA:4-6</t>
        </r>
      </text>
    </comment>
    <comment ref="V554" authorId="1166">
      <text>
        <r>
          <rPr>
            <sz val="10"/>
            <rFont val="宋体"/>
            <charset val="134"/>
          </rPr>
          <t>4/25 notify4/28 还空柜</t>
        </r>
      </text>
    </comment>
    <comment ref="W554" authorId="1167">
      <text>
        <r>
          <rPr>
            <sz val="10"/>
            <rFont val="宋体"/>
            <charset val="134"/>
          </rPr>
          <t>21天</t>
        </r>
      </text>
    </comment>
    <comment ref="I555" authorId="1168">
      <text>
        <r>
          <rPr>
            <sz val="10"/>
            <rFont val="宋体"/>
            <charset val="134"/>
          </rPr>
          <t>由于浓雾天气原因，船晚开.原ETD:3-19 ETA:4-6</t>
        </r>
      </text>
    </comment>
    <comment ref="V555" authorId="1169">
      <text>
        <r>
          <rPr>
            <sz val="10"/>
            <rFont val="宋体"/>
            <charset val="134"/>
          </rPr>
          <t>4/25 notify4/28 还空柜</t>
        </r>
      </text>
    </comment>
    <comment ref="W555" authorId="1170">
      <text>
        <r>
          <rPr>
            <sz val="10"/>
            <rFont val="宋体"/>
            <charset val="134"/>
          </rPr>
          <t>21天</t>
        </r>
      </text>
    </comment>
    <comment ref="I556" authorId="1171">
      <text>
        <r>
          <rPr>
            <sz val="10"/>
            <rFont val="宋体"/>
            <charset val="134"/>
          </rPr>
          <t>由于浓雾天气原因，船晚开.原ETD:3-16 ETA:4-3</t>
        </r>
      </text>
    </comment>
    <comment ref="V556" authorId="1172">
      <text>
        <r>
          <rPr>
            <sz val="10"/>
            <rFont val="宋体"/>
            <charset val="134"/>
          </rPr>
          <t>4/25 notify4/29 还空柜 MC</t>
        </r>
      </text>
    </comment>
    <comment ref="W556" authorId="1173">
      <text>
        <r>
          <rPr>
            <sz val="10"/>
            <rFont val="宋体"/>
            <charset val="134"/>
          </rPr>
          <t>21天</t>
        </r>
      </text>
    </comment>
    <comment ref="I557" authorId="1174">
      <text>
        <r>
          <rPr>
            <sz val="10"/>
            <rFont val="宋体"/>
            <charset val="134"/>
          </rPr>
          <t>由于浓雾天气原因，船晚开.原ETD:3-16 ETA:4-3</t>
        </r>
      </text>
    </comment>
    <comment ref="V557" authorId="1175">
      <text>
        <r>
          <rPr>
            <sz val="10"/>
            <rFont val="宋体"/>
            <charset val="134"/>
          </rPr>
          <t>4/25 notify4/29 还空柜</t>
        </r>
      </text>
    </comment>
    <comment ref="W557" authorId="1176">
      <text>
        <r>
          <rPr>
            <sz val="10"/>
            <rFont val="宋体"/>
            <charset val="134"/>
          </rPr>
          <t>21天</t>
        </r>
      </text>
    </comment>
    <comment ref="I558" authorId="1177">
      <text>
        <r>
          <rPr>
            <sz val="10"/>
            <rFont val="宋体"/>
            <charset val="134"/>
          </rPr>
          <t>由于浓雾天气原因，船晚开.原ETD:3-16 ETA:4-3</t>
        </r>
      </text>
    </comment>
    <comment ref="V558" authorId="1178">
      <text>
        <r>
          <rPr>
            <sz val="10"/>
            <rFont val="宋体"/>
            <charset val="134"/>
          </rPr>
          <t>4/29已提走4.29已还柜</t>
        </r>
      </text>
    </comment>
    <comment ref="W558" authorId="1179">
      <text>
        <r>
          <rPr>
            <sz val="10"/>
            <rFont val="宋体"/>
            <charset val="134"/>
          </rPr>
          <t>21天</t>
        </r>
      </text>
    </comment>
    <comment ref="I559" authorId="1180">
      <text>
        <r>
          <rPr>
            <sz val="10"/>
            <rFont val="宋体"/>
            <charset val="134"/>
          </rPr>
          <t>由于浓雾天气原因，船晚开.原ETD:3-19 ETA:4-6</t>
        </r>
      </text>
    </comment>
    <comment ref="V559" authorId="1181">
      <text>
        <r>
          <rPr>
            <sz val="10"/>
            <rFont val="宋体"/>
            <charset val="134"/>
          </rPr>
          <t>4/29 notify  5/1 还空柜</t>
        </r>
      </text>
    </comment>
    <comment ref="W559" authorId="1182">
      <text>
        <r>
          <rPr>
            <sz val="10"/>
            <rFont val="宋体"/>
            <charset val="134"/>
          </rPr>
          <t>21天</t>
        </r>
      </text>
    </comment>
    <comment ref="I560" authorId="1183">
      <text>
        <r>
          <rPr>
            <sz val="10"/>
            <rFont val="宋体"/>
            <charset val="134"/>
          </rPr>
          <t>由于浓雾天气原因，船晚开.原ETD:3-16 ETA:4-3</t>
        </r>
      </text>
    </comment>
    <comment ref="V560" authorId="1184">
      <text>
        <r>
          <rPr>
            <sz val="10"/>
            <rFont val="宋体"/>
            <charset val="134"/>
          </rPr>
          <t>4/29 notify  4/30 还空柜</t>
        </r>
      </text>
    </comment>
    <comment ref="W560" authorId="1185">
      <text>
        <r>
          <rPr>
            <sz val="10"/>
            <rFont val="宋体"/>
            <charset val="134"/>
          </rPr>
          <t>21天</t>
        </r>
      </text>
    </comment>
    <comment ref="J561" authorId="1186">
      <text>
        <r>
          <rPr>
            <sz val="10"/>
            <rFont val="宋体"/>
            <charset val="134"/>
          </rPr>
          <t>4.18</t>
        </r>
      </text>
    </comment>
    <comment ref="V561" authorId="1187">
      <text>
        <r>
          <rPr>
            <sz val="10"/>
            <rFont val="宋体"/>
            <charset val="134"/>
          </rPr>
          <t>4/29 notify  5/1 还空柜</t>
        </r>
      </text>
    </comment>
    <comment ref="W561" authorId="1188">
      <text>
        <r>
          <rPr>
            <sz val="10"/>
            <rFont val="宋体"/>
            <charset val="134"/>
          </rPr>
          <t>21天免柜</t>
        </r>
      </text>
    </comment>
    <comment ref="J562" authorId="1189">
      <text>
        <r>
          <rPr>
            <sz val="10"/>
            <rFont val="宋体"/>
            <charset val="134"/>
          </rPr>
          <t>4.18</t>
        </r>
      </text>
    </comment>
    <comment ref="V562" authorId="1190">
      <text>
        <r>
          <rPr>
            <sz val="10"/>
            <rFont val="宋体"/>
            <charset val="134"/>
          </rPr>
          <t>5.2 notify5/2还空柜</t>
        </r>
      </text>
    </comment>
    <comment ref="W562" authorId="1191">
      <text>
        <r>
          <rPr>
            <sz val="10"/>
            <rFont val="宋体"/>
            <charset val="134"/>
          </rPr>
          <t>21天免柜</t>
        </r>
      </text>
    </comment>
    <comment ref="V563" authorId="1192">
      <text>
        <r>
          <rPr>
            <sz val="10"/>
            <rFont val="宋体"/>
            <charset val="134"/>
          </rPr>
          <t>5/5 notify5/5还空柜</t>
        </r>
      </text>
    </comment>
    <comment ref="W563" authorId="1193">
      <text>
        <r>
          <rPr>
            <sz val="10"/>
            <rFont val="宋体"/>
            <charset val="134"/>
          </rPr>
          <t>21天免柜</t>
        </r>
      </text>
    </comment>
    <comment ref="J564" authorId="1194">
      <text>
        <r>
          <rPr>
            <sz val="10"/>
            <rFont val="宋体"/>
            <charset val="134"/>
          </rPr>
          <t>原4.21</t>
        </r>
      </text>
    </comment>
    <comment ref="V564" authorId="1195">
      <text>
        <r>
          <rPr>
            <sz val="10"/>
            <rFont val="宋体"/>
            <charset val="134"/>
          </rPr>
          <t>5/1 还空柜</t>
        </r>
      </text>
    </comment>
    <comment ref="W564" authorId="1196">
      <text>
        <r>
          <rPr>
            <sz val="10"/>
            <rFont val="宋体"/>
            <charset val="134"/>
          </rPr>
          <t>21天免柜</t>
        </r>
      </text>
    </comment>
    <comment ref="J565" authorId="1197">
      <text>
        <r>
          <rPr>
            <sz val="10"/>
            <rFont val="宋体"/>
            <charset val="134"/>
          </rPr>
          <t>原4.21</t>
        </r>
      </text>
    </comment>
    <comment ref="V565" authorId="1198">
      <text>
        <r>
          <rPr>
            <sz val="10"/>
            <rFont val="宋体"/>
            <charset val="134"/>
          </rPr>
          <t>4/29 notify  5/2 还空柜</t>
        </r>
      </text>
    </comment>
    <comment ref="W565" authorId="1199">
      <text>
        <r>
          <rPr>
            <sz val="10"/>
            <rFont val="宋体"/>
            <charset val="134"/>
          </rPr>
          <t>21天免柜</t>
        </r>
      </text>
    </comment>
    <comment ref="J566" authorId="1200">
      <text>
        <r>
          <rPr>
            <sz val="10"/>
            <rFont val="宋体"/>
            <charset val="134"/>
          </rPr>
          <t>原4.21</t>
        </r>
      </text>
    </comment>
    <comment ref="V566" authorId="1201">
      <text>
        <r>
          <rPr>
            <sz val="10"/>
            <rFont val="宋体"/>
            <charset val="134"/>
          </rPr>
          <t>4/29 notify5/1还空柜</t>
        </r>
      </text>
    </comment>
    <comment ref="W566" authorId="1202">
      <text>
        <r>
          <rPr>
            <sz val="10"/>
            <rFont val="宋体"/>
            <charset val="134"/>
          </rPr>
          <t>21天免柜</t>
        </r>
      </text>
    </comment>
    <comment ref="J567" authorId="1203">
      <text>
        <r>
          <rPr>
            <sz val="10"/>
            <rFont val="宋体"/>
            <charset val="134"/>
          </rPr>
          <t>原4.21</t>
        </r>
      </text>
    </comment>
    <comment ref="V567" authorId="1204">
      <text>
        <r>
          <rPr>
            <sz val="10"/>
            <rFont val="宋体"/>
            <charset val="134"/>
          </rPr>
          <t>4/29 notify  5/1 还空柜</t>
        </r>
      </text>
    </comment>
    <comment ref="W567" authorId="1205">
      <text>
        <r>
          <rPr>
            <sz val="10"/>
            <rFont val="宋体"/>
            <charset val="134"/>
          </rPr>
          <t>21天免柜</t>
        </r>
      </text>
    </comment>
    <comment ref="J568" authorId="1206">
      <text>
        <r>
          <rPr>
            <sz val="10"/>
            <rFont val="宋体"/>
            <charset val="134"/>
          </rPr>
          <t>原4.21</t>
        </r>
      </text>
    </comment>
    <comment ref="V568" authorId="1207">
      <text>
        <r>
          <rPr>
            <sz val="10"/>
            <rFont val="宋体"/>
            <charset val="134"/>
          </rPr>
          <t>5/1 notify5/1 还空柜</t>
        </r>
      </text>
    </comment>
    <comment ref="W568" authorId="1208">
      <text>
        <r>
          <rPr>
            <sz val="10"/>
            <rFont val="宋体"/>
            <charset val="134"/>
          </rPr>
          <t>21天免柜</t>
        </r>
      </text>
    </comment>
    <comment ref="J569" authorId="1209">
      <text>
        <r>
          <rPr>
            <sz val="10"/>
            <rFont val="宋体"/>
            <charset val="134"/>
          </rPr>
          <t>原来是4.16</t>
        </r>
      </text>
    </comment>
    <comment ref="V569" authorId="1210">
      <text>
        <r>
          <rPr>
            <sz val="10"/>
            <rFont val="宋体"/>
            <charset val="134"/>
          </rPr>
          <t>5/1 notify5/2 还空柜</t>
        </r>
      </text>
    </comment>
    <comment ref="W569" authorId="1211">
      <text>
        <r>
          <rPr>
            <sz val="10"/>
            <rFont val="宋体"/>
            <charset val="134"/>
          </rPr>
          <t>21天</t>
        </r>
      </text>
    </comment>
    <comment ref="J570" authorId="1212">
      <text>
        <r>
          <rPr>
            <sz val="10"/>
            <rFont val="宋体"/>
            <charset val="134"/>
          </rPr>
          <t>原来是4.16</t>
        </r>
      </text>
    </comment>
    <comment ref="V570" authorId="1213">
      <text>
        <r>
          <rPr>
            <sz val="10"/>
            <rFont val="宋体"/>
            <charset val="134"/>
          </rPr>
          <t>5.3还空柜</t>
        </r>
      </text>
    </comment>
    <comment ref="W570" authorId="1214">
      <text>
        <r>
          <rPr>
            <sz val="10"/>
            <rFont val="宋体"/>
            <charset val="134"/>
          </rPr>
          <t>21天</t>
        </r>
      </text>
    </comment>
    <comment ref="J571" authorId="1215">
      <text>
        <r>
          <rPr>
            <sz val="10"/>
            <rFont val="宋体"/>
            <charset val="134"/>
          </rPr>
          <t>原来是4.16</t>
        </r>
      </text>
    </comment>
    <comment ref="V571" authorId="1216">
      <text>
        <r>
          <rPr>
            <sz val="10"/>
            <rFont val="宋体"/>
            <charset val="134"/>
          </rPr>
          <t>5/1 notify5/2 还空柜</t>
        </r>
      </text>
    </comment>
    <comment ref="W571" authorId="1217">
      <text>
        <r>
          <rPr>
            <sz val="10"/>
            <rFont val="宋体"/>
            <charset val="134"/>
          </rPr>
          <t>21天</t>
        </r>
      </text>
    </comment>
    <comment ref="J572" authorId="1218">
      <text>
        <r>
          <rPr>
            <sz val="10"/>
            <rFont val="宋体"/>
            <charset val="134"/>
          </rPr>
          <t>原来是4.16</t>
        </r>
      </text>
    </comment>
    <comment ref="V572" authorId="1219">
      <text>
        <r>
          <rPr>
            <sz val="10"/>
            <rFont val="宋体"/>
            <charset val="134"/>
          </rPr>
          <t>5/1 notify5/7 还空柜</t>
        </r>
      </text>
    </comment>
    <comment ref="W572" authorId="1220">
      <text>
        <r>
          <rPr>
            <sz val="10"/>
            <rFont val="宋体"/>
            <charset val="134"/>
          </rPr>
          <t>21天</t>
        </r>
      </text>
    </comment>
    <comment ref="J573" authorId="1221">
      <text>
        <r>
          <rPr>
            <sz val="10"/>
            <rFont val="宋体"/>
            <charset val="134"/>
          </rPr>
          <t>原来是4.16</t>
        </r>
      </text>
    </comment>
    <comment ref="V573" authorId="1222">
      <text>
        <r>
          <rPr>
            <sz val="10"/>
            <rFont val="宋体"/>
            <charset val="134"/>
          </rPr>
          <t>5/1 notify5/7 还空柜</t>
        </r>
      </text>
    </comment>
    <comment ref="W573" authorId="1223">
      <text>
        <r>
          <rPr>
            <sz val="10"/>
            <rFont val="宋体"/>
            <charset val="134"/>
          </rPr>
          <t>21天</t>
        </r>
      </text>
    </comment>
    <comment ref="J574" authorId="1224">
      <text>
        <r>
          <rPr>
            <sz val="10"/>
            <rFont val="宋体"/>
            <charset val="134"/>
          </rPr>
          <t>原来是4.16</t>
        </r>
      </text>
    </comment>
    <comment ref="V574" authorId="1225">
      <text>
        <r>
          <rPr>
            <sz val="10"/>
            <rFont val="宋体"/>
            <charset val="134"/>
          </rPr>
          <t>5/7 还空柜</t>
        </r>
      </text>
    </comment>
    <comment ref="W574" authorId="1226">
      <text>
        <r>
          <rPr>
            <sz val="10"/>
            <rFont val="宋体"/>
            <charset val="134"/>
          </rPr>
          <t>21天</t>
        </r>
      </text>
    </comment>
    <comment ref="J575" authorId="1227">
      <text>
        <r>
          <rPr>
            <sz val="10"/>
            <rFont val="宋体"/>
            <charset val="134"/>
          </rPr>
          <t>原来是4.16</t>
        </r>
      </text>
    </comment>
    <comment ref="V575" authorId="1228">
      <text>
        <r>
          <rPr>
            <sz val="10"/>
            <rFont val="宋体"/>
            <charset val="134"/>
          </rPr>
          <t>5.6 notify5/7 还空柜</t>
        </r>
      </text>
    </comment>
    <comment ref="W575" authorId="1229">
      <text>
        <r>
          <rPr>
            <sz val="10"/>
            <rFont val="宋体"/>
            <charset val="134"/>
          </rPr>
          <t>21天</t>
        </r>
      </text>
    </comment>
    <comment ref="J576" authorId="1230">
      <text>
        <r>
          <rPr>
            <sz val="10"/>
            <rFont val="宋体"/>
            <charset val="134"/>
          </rPr>
          <t>原来是4.16</t>
        </r>
      </text>
    </comment>
    <comment ref="V576" authorId="1231">
      <text>
        <r>
          <rPr>
            <sz val="10"/>
            <rFont val="宋体"/>
            <charset val="134"/>
          </rPr>
          <t>5.6 notify5/7 还空柜</t>
        </r>
      </text>
    </comment>
    <comment ref="W576" authorId="1232">
      <text>
        <r>
          <rPr>
            <sz val="10"/>
            <rFont val="宋体"/>
            <charset val="134"/>
          </rPr>
          <t>21天</t>
        </r>
      </text>
    </comment>
    <comment ref="J577" authorId="1233">
      <text>
        <r>
          <rPr>
            <sz val="10"/>
            <rFont val="宋体"/>
            <charset val="134"/>
          </rPr>
          <t>原来是4.16</t>
        </r>
      </text>
    </comment>
    <comment ref="V577" authorId="1234">
      <text>
        <r>
          <rPr>
            <sz val="10"/>
            <rFont val="宋体"/>
            <charset val="134"/>
          </rPr>
          <t>5.2 notify5/5 还空柜</t>
        </r>
      </text>
    </comment>
    <comment ref="W577" authorId="1235">
      <text>
        <r>
          <rPr>
            <sz val="10"/>
            <rFont val="宋体"/>
            <charset val="134"/>
          </rPr>
          <t>21天</t>
        </r>
      </text>
    </comment>
    <comment ref="J578" authorId="1236">
      <text>
        <r>
          <rPr>
            <sz val="10"/>
            <rFont val="宋体"/>
            <charset val="134"/>
          </rPr>
          <t>原来是4.16</t>
        </r>
      </text>
    </comment>
    <comment ref="V578" authorId="1237">
      <text>
        <r>
          <rPr>
            <sz val="10"/>
            <rFont val="宋体"/>
            <charset val="134"/>
          </rPr>
          <t>5/5 notify5/5还空柜</t>
        </r>
      </text>
    </comment>
    <comment ref="W578" authorId="1238">
      <text>
        <r>
          <rPr>
            <sz val="10"/>
            <rFont val="宋体"/>
            <charset val="134"/>
          </rPr>
          <t>21天</t>
        </r>
      </text>
    </comment>
    <comment ref="J579" authorId="1239">
      <text>
        <r>
          <rPr>
            <sz val="10"/>
            <rFont val="宋体"/>
            <charset val="134"/>
          </rPr>
          <t>原来是4.16</t>
        </r>
      </text>
    </comment>
    <comment ref="V579" authorId="1240">
      <text>
        <r>
          <rPr>
            <sz val="10"/>
            <rFont val="宋体"/>
            <charset val="134"/>
          </rPr>
          <t>5.2 notify5/3 还空柜</t>
        </r>
      </text>
    </comment>
    <comment ref="W579" authorId="1241">
      <text>
        <r>
          <rPr>
            <sz val="10"/>
            <rFont val="宋体"/>
            <charset val="134"/>
          </rPr>
          <t>21天</t>
        </r>
      </text>
    </comment>
    <comment ref="J580" authorId="1242">
      <text>
        <r>
          <rPr>
            <sz val="10"/>
            <rFont val="宋体"/>
            <charset val="134"/>
          </rPr>
          <t>原来是4.16</t>
        </r>
      </text>
    </comment>
    <comment ref="V580" authorId="1243">
      <text>
        <r>
          <rPr>
            <sz val="10"/>
            <rFont val="宋体"/>
            <charset val="134"/>
          </rPr>
          <t>5/5 notify  5/7 还空柜</t>
        </r>
      </text>
    </comment>
    <comment ref="W580" authorId="1244">
      <text>
        <r>
          <rPr>
            <sz val="10"/>
            <rFont val="宋体"/>
            <charset val="134"/>
          </rPr>
          <t>21天</t>
        </r>
      </text>
    </comment>
    <comment ref="J581" authorId="1245">
      <text>
        <r>
          <rPr>
            <sz val="10"/>
            <rFont val="宋体"/>
            <charset val="134"/>
          </rPr>
          <t>原来是4.16</t>
        </r>
      </text>
    </comment>
    <comment ref="V581" authorId="1246">
      <text>
        <r>
          <rPr>
            <sz val="10"/>
            <rFont val="宋体"/>
            <charset val="134"/>
          </rPr>
          <t>5/6 还空柜</t>
        </r>
      </text>
    </comment>
    <comment ref="W581" authorId="1247">
      <text>
        <r>
          <rPr>
            <sz val="10"/>
            <rFont val="宋体"/>
            <charset val="134"/>
          </rPr>
          <t>21天</t>
        </r>
      </text>
    </comment>
    <comment ref="J582" authorId="1248">
      <text>
        <r>
          <rPr>
            <sz val="10"/>
            <rFont val="宋体"/>
            <charset val="134"/>
          </rPr>
          <t>原来是4.16</t>
        </r>
      </text>
    </comment>
    <comment ref="V582" authorId="1249">
      <text>
        <r>
          <rPr>
            <sz val="10"/>
            <rFont val="宋体"/>
            <charset val="134"/>
          </rPr>
          <t>5.6 notify5/8 还空柜</t>
        </r>
      </text>
    </comment>
    <comment ref="W582" authorId="1250">
      <text>
        <r>
          <rPr>
            <sz val="10"/>
            <rFont val="宋体"/>
            <charset val="134"/>
          </rPr>
          <t>21天免柜</t>
        </r>
      </text>
    </comment>
    <comment ref="J583" authorId="1251">
      <text>
        <r>
          <rPr>
            <sz val="10"/>
            <rFont val="宋体"/>
            <charset val="134"/>
          </rPr>
          <t>原来是4.16</t>
        </r>
      </text>
    </comment>
    <comment ref="V583" authorId="1252">
      <text>
        <r>
          <rPr>
            <sz val="10"/>
            <rFont val="宋体"/>
            <charset val="134"/>
          </rPr>
          <t>5.6 notify5/7 还空柜</t>
        </r>
      </text>
    </comment>
    <comment ref="W583" authorId="1253">
      <text>
        <r>
          <rPr>
            <sz val="10"/>
            <rFont val="宋体"/>
            <charset val="134"/>
          </rPr>
          <t>21天免柜</t>
        </r>
      </text>
    </comment>
    <comment ref="V584" authorId="1254">
      <text>
        <r>
          <rPr>
            <sz val="10"/>
            <rFont val="宋体"/>
            <charset val="134"/>
          </rPr>
          <t>4/30 notify4/30还空柜</t>
        </r>
      </text>
    </comment>
    <comment ref="J585" authorId="1255">
      <text>
        <r>
          <rPr>
            <sz val="10"/>
            <rFont val="宋体"/>
            <charset val="134"/>
          </rPr>
          <t>原来是4.17</t>
        </r>
      </text>
    </comment>
    <comment ref="M585" authorId="1256">
      <text>
        <r>
          <rPr>
            <sz val="10"/>
            <rFont val="宋体"/>
            <charset val="134"/>
          </rPr>
          <t>local pick up</t>
        </r>
      </text>
    </comment>
    <comment ref="V585" authorId="1257">
      <text>
        <r>
          <rPr>
            <sz val="10"/>
            <rFont val="宋体"/>
            <charset val="134"/>
          </rPr>
          <t>5/1 notify5/2 还空柜</t>
        </r>
      </text>
    </comment>
    <comment ref="W585" authorId="1258">
      <text>
        <r>
          <rPr>
            <sz val="10"/>
            <rFont val="宋体"/>
            <charset val="134"/>
          </rPr>
          <t>21天免柜</t>
        </r>
      </text>
    </comment>
    <comment ref="J586" authorId="1259">
      <text>
        <r>
          <rPr>
            <sz val="10"/>
            <rFont val="宋体"/>
            <charset val="134"/>
          </rPr>
          <t>原来是：4.17</t>
        </r>
      </text>
    </comment>
    <comment ref="V586" authorId="1260">
      <text>
        <r>
          <rPr>
            <sz val="10"/>
            <rFont val="宋体"/>
            <charset val="134"/>
          </rPr>
          <t>5/1 notify5/2 还空柜</t>
        </r>
      </text>
    </comment>
    <comment ref="W586" authorId="1261">
      <text>
        <r>
          <rPr>
            <sz val="10"/>
            <rFont val="宋体"/>
            <charset val="134"/>
          </rPr>
          <t>21天免柜</t>
        </r>
      </text>
    </comment>
    <comment ref="J587" authorId="1262">
      <text>
        <r>
          <rPr>
            <sz val="10"/>
            <rFont val="宋体"/>
            <charset val="134"/>
          </rPr>
          <t>原来是：4.17</t>
        </r>
      </text>
    </comment>
    <comment ref="L587" authorId="1263">
      <text>
        <r>
          <rPr>
            <sz val="10"/>
            <rFont val="宋体"/>
            <charset val="134"/>
          </rPr>
          <t>Edwin 4.24通知：NCE要求送到新西仓，客户自提</t>
        </r>
      </text>
    </comment>
    <comment ref="V587" authorId="1264">
      <text>
        <r>
          <rPr>
            <sz val="10"/>
            <rFont val="宋体"/>
            <charset val="134"/>
          </rPr>
          <t>5.2 notify5/5 还空柜</t>
        </r>
      </text>
    </comment>
    <comment ref="W587" authorId="1265">
      <text>
        <r>
          <rPr>
            <sz val="10"/>
            <rFont val="宋体"/>
            <charset val="134"/>
          </rPr>
          <t>21天免柜</t>
        </r>
      </text>
    </comment>
    <comment ref="J588" authorId="1266">
      <text>
        <r>
          <rPr>
            <sz val="10"/>
            <rFont val="宋体"/>
            <charset val="134"/>
          </rPr>
          <t>原ETA 4.30</t>
        </r>
      </text>
    </comment>
    <comment ref="L588" authorId="1267">
      <text>
        <r>
          <rPr>
            <sz val="10"/>
            <rFont val="宋体"/>
            <charset val="134"/>
          </rPr>
          <t>5/15 客户更新新仓库地址</t>
        </r>
      </text>
    </comment>
    <comment ref="V588" authorId="1268">
      <text>
        <r>
          <rPr>
            <sz val="10"/>
            <rFont val="宋体"/>
            <charset val="134"/>
          </rPr>
          <t>5/19 notify5/20 还空柜</t>
        </r>
      </text>
    </comment>
    <comment ref="J589" authorId="1269">
      <text>
        <r>
          <rPr>
            <sz val="10"/>
            <rFont val="宋体"/>
            <charset val="134"/>
          </rPr>
          <t>原ETA 4.30</t>
        </r>
      </text>
    </comment>
    <comment ref="L589" authorId="1270">
      <text>
        <r>
          <rPr>
            <sz val="10"/>
            <rFont val="宋体"/>
            <charset val="134"/>
          </rPr>
          <t>5/15 客户更新新仓库地址</t>
        </r>
      </text>
    </comment>
    <comment ref="V589" authorId="1271">
      <text>
        <r>
          <rPr>
            <sz val="10"/>
            <rFont val="宋体"/>
            <charset val="134"/>
          </rPr>
          <t>5/16 notify5/19 还空柜</t>
        </r>
      </text>
    </comment>
    <comment ref="J590" authorId="1272">
      <text>
        <r>
          <rPr>
            <sz val="10"/>
            <rFont val="宋体"/>
            <charset val="134"/>
          </rPr>
          <t>原来是5.1</t>
        </r>
      </text>
    </comment>
    <comment ref="V590" authorId="1273">
      <text>
        <r>
          <rPr>
            <sz val="10"/>
            <rFont val="宋体"/>
            <charset val="134"/>
          </rPr>
          <t>5/5 还空柜</t>
        </r>
      </text>
    </comment>
    <comment ref="W590" authorId="1274">
      <text>
        <r>
          <rPr>
            <sz val="10"/>
            <rFont val="宋体"/>
            <charset val="134"/>
          </rPr>
          <t>21天免柜</t>
        </r>
      </text>
    </comment>
    <comment ref="J591" authorId="1275">
      <text>
        <r>
          <rPr>
            <sz val="10"/>
            <rFont val="宋体"/>
            <charset val="134"/>
          </rPr>
          <t>原来是4.24</t>
        </r>
      </text>
    </comment>
    <comment ref="V591" authorId="1276">
      <text>
        <r>
          <rPr>
            <sz val="10"/>
            <rFont val="宋体"/>
            <charset val="134"/>
          </rPr>
          <t>5/8 notify5/13 还空柜</t>
        </r>
      </text>
    </comment>
    <comment ref="W591" authorId="1277">
      <text>
        <r>
          <rPr>
            <sz val="10"/>
            <rFont val="宋体"/>
            <charset val="134"/>
          </rPr>
          <t>21天免柜</t>
        </r>
      </text>
    </comment>
    <comment ref="J592" authorId="1278">
      <text>
        <r>
          <rPr>
            <sz val="10"/>
            <rFont val="宋体"/>
            <charset val="134"/>
          </rPr>
          <t>原ETA 4.30</t>
        </r>
      </text>
    </comment>
    <comment ref="V592" authorId="1279">
      <text>
        <r>
          <rPr>
            <sz val="10"/>
            <rFont val="宋体"/>
            <charset val="134"/>
          </rPr>
          <t>5/5 notify  5/6还空柜</t>
        </r>
      </text>
    </comment>
    <comment ref="V593" authorId="1280">
      <text>
        <r>
          <rPr>
            <sz val="10"/>
            <rFont val="宋体"/>
            <charset val="134"/>
          </rPr>
          <t>5/8 notify5/9 还空柜</t>
        </r>
      </text>
    </comment>
    <comment ref="W593" authorId="1281">
      <text>
        <r>
          <rPr>
            <sz val="10"/>
            <rFont val="宋体"/>
            <charset val="134"/>
          </rPr>
          <t>21天免柜</t>
        </r>
      </text>
    </comment>
    <comment ref="J594" authorId="1282">
      <text>
        <r>
          <rPr>
            <sz val="10"/>
            <rFont val="宋体"/>
            <charset val="134"/>
          </rPr>
          <t>原4.27</t>
        </r>
      </text>
    </comment>
    <comment ref="V594" authorId="1283">
      <text>
        <r>
          <rPr>
            <sz val="10"/>
            <rFont val="宋体"/>
            <charset val="134"/>
          </rPr>
          <t>5/9 notify  5/9 还空柜</t>
        </r>
      </text>
    </comment>
    <comment ref="W594" authorId="1284">
      <text>
        <r>
          <rPr>
            <sz val="10"/>
            <rFont val="宋体"/>
            <charset val="134"/>
          </rPr>
          <t>21天免柜</t>
        </r>
      </text>
    </comment>
    <comment ref="J595" authorId="1285">
      <text>
        <r>
          <rPr>
            <sz val="10"/>
            <rFont val="宋体"/>
            <charset val="134"/>
          </rPr>
          <t>原来4.22</t>
        </r>
      </text>
    </comment>
    <comment ref="W595" authorId="1286">
      <text>
        <r>
          <rPr>
            <sz val="10"/>
            <rFont val="宋体"/>
            <charset val="134"/>
          </rPr>
          <t>21天免柜</t>
        </r>
      </text>
    </comment>
    <comment ref="J596" authorId="1287">
      <text>
        <r>
          <rPr>
            <sz val="10"/>
            <rFont val="宋体"/>
            <charset val="134"/>
          </rPr>
          <t>原来4.22</t>
        </r>
      </text>
    </comment>
    <comment ref="W596" authorId="1288">
      <text>
        <r>
          <rPr>
            <sz val="10"/>
            <rFont val="宋体"/>
            <charset val="134"/>
          </rPr>
          <t>21天免柜</t>
        </r>
      </text>
    </comment>
    <comment ref="V597" authorId="1289">
      <text>
        <r>
          <rPr>
            <sz val="10"/>
            <rFont val="宋体"/>
            <charset val="134"/>
          </rPr>
          <t>5/7 已取走5/9 还空柜</t>
        </r>
      </text>
    </comment>
    <comment ref="W597" authorId="1290">
      <text>
        <r>
          <rPr>
            <sz val="10"/>
            <rFont val="宋体"/>
            <charset val="134"/>
          </rPr>
          <t>21天免柜</t>
        </r>
      </text>
    </comment>
    <comment ref="J598" authorId="1291">
      <text>
        <r>
          <rPr>
            <sz val="10"/>
            <rFont val="宋体"/>
            <charset val="134"/>
          </rPr>
          <t>原ETA 5.2</t>
        </r>
      </text>
    </comment>
    <comment ref="M598" authorId="1292">
      <text>
        <r>
          <rPr>
            <sz val="10"/>
            <rFont val="宋体"/>
            <charset val="134"/>
          </rPr>
          <t>到Mel仓库后Local pick up</t>
        </r>
      </text>
    </comment>
    <comment ref="V598" authorId="1293">
      <text>
        <r>
          <rPr>
            <sz val="10"/>
            <rFont val="宋体"/>
            <charset val="134"/>
          </rPr>
          <t>5/7 notify5/8 还空柜</t>
        </r>
      </text>
    </comment>
    <comment ref="W598" authorId="1294">
      <text>
        <r>
          <rPr>
            <sz val="10"/>
            <rFont val="宋体"/>
            <charset val="134"/>
          </rPr>
          <t>21天免柜</t>
        </r>
      </text>
    </comment>
    <comment ref="E599" authorId="1295">
      <text>
        <r>
          <rPr>
            <sz val="10"/>
            <rFont val="宋体"/>
            <charset val="134"/>
          </rPr>
          <t>MBT 负责此海运费</t>
        </r>
      </text>
    </comment>
    <comment ref="J599" authorId="1296">
      <text>
        <r>
          <rPr>
            <sz val="10"/>
            <rFont val="宋体"/>
            <charset val="134"/>
          </rPr>
          <t>原5.1</t>
        </r>
      </text>
    </comment>
    <comment ref="V599" authorId="1297">
      <text>
        <r>
          <rPr>
            <sz val="10"/>
            <rFont val="宋体"/>
            <charset val="134"/>
          </rPr>
          <t>5.6 notify5/8 还空柜</t>
        </r>
      </text>
    </comment>
    <comment ref="W599" authorId="1298">
      <text>
        <r>
          <rPr>
            <sz val="10"/>
            <rFont val="宋体"/>
            <charset val="134"/>
          </rPr>
          <t>21天免柜</t>
        </r>
      </text>
    </comment>
    <comment ref="E600" authorId="1299">
      <text>
        <r>
          <rPr>
            <sz val="10"/>
            <rFont val="宋体"/>
            <charset val="134"/>
          </rPr>
          <t>MBT 负责此海运费</t>
        </r>
      </text>
    </comment>
    <comment ref="J600" authorId="1300">
      <text>
        <r>
          <rPr>
            <sz val="10"/>
            <rFont val="宋体"/>
            <charset val="134"/>
          </rPr>
          <t>原5.1</t>
        </r>
      </text>
    </comment>
    <comment ref="V600" authorId="1301">
      <text>
        <r>
          <rPr>
            <sz val="10"/>
            <rFont val="宋体"/>
            <charset val="134"/>
          </rPr>
          <t>5.6notify5/8 还空柜</t>
        </r>
      </text>
    </comment>
    <comment ref="W600" authorId="1302">
      <text>
        <r>
          <rPr>
            <sz val="10"/>
            <rFont val="宋体"/>
            <charset val="134"/>
          </rPr>
          <t>21天免柜</t>
        </r>
      </text>
    </comment>
    <comment ref="J601" authorId="1303">
      <text>
        <r>
          <rPr>
            <sz val="10"/>
            <rFont val="宋体"/>
            <charset val="134"/>
          </rPr>
          <t>原ETA 5.2</t>
        </r>
      </text>
    </comment>
    <comment ref="V601" authorId="1304">
      <text>
        <r>
          <rPr>
            <sz val="10"/>
            <rFont val="宋体"/>
            <charset val="134"/>
          </rPr>
          <t>5/12 notify  5/15 还空柜</t>
        </r>
      </text>
    </comment>
    <comment ref="W601" authorId="1305">
      <text>
        <r>
          <rPr>
            <sz val="10"/>
            <rFont val="宋体"/>
            <charset val="134"/>
          </rPr>
          <t>21天免柜</t>
        </r>
      </text>
    </comment>
    <comment ref="V602" authorId="1306">
      <text>
        <r>
          <rPr>
            <sz val="10"/>
            <rFont val="宋体"/>
            <charset val="134"/>
          </rPr>
          <t>5/7 notify5/8 还空柜</t>
        </r>
      </text>
    </comment>
    <comment ref="W602" authorId="1307">
      <text>
        <r>
          <rPr>
            <sz val="10"/>
            <rFont val="宋体"/>
            <charset val="134"/>
          </rPr>
          <t>21天免柜</t>
        </r>
      </text>
    </comment>
    <comment ref="E603" authorId="1308">
      <text>
        <r>
          <rPr>
            <sz val="10"/>
            <rFont val="宋体"/>
            <charset val="134"/>
          </rPr>
          <t>MBT 负责此海运费</t>
        </r>
      </text>
    </comment>
    <comment ref="J603" authorId="1309">
      <text>
        <r>
          <rPr>
            <sz val="10"/>
            <rFont val="宋体"/>
            <charset val="134"/>
          </rPr>
          <t>原5.1</t>
        </r>
      </text>
    </comment>
    <comment ref="V603" authorId="1310">
      <text>
        <r>
          <rPr>
            <sz val="10"/>
            <rFont val="宋体"/>
            <charset val="134"/>
          </rPr>
          <t>5/12 notify5/13 还空柜</t>
        </r>
      </text>
    </comment>
    <comment ref="W603" authorId="1311">
      <text>
        <r>
          <rPr>
            <sz val="10"/>
            <rFont val="宋体"/>
            <charset val="134"/>
          </rPr>
          <t>21天免柜</t>
        </r>
      </text>
    </comment>
    <comment ref="V604" authorId="1312">
      <text>
        <r>
          <rPr>
            <sz val="10"/>
            <rFont val="宋体"/>
            <charset val="134"/>
          </rPr>
          <t>5/9 notify  5/9 还空柜</t>
        </r>
      </text>
    </comment>
    <comment ref="W604" authorId="1313">
      <text>
        <r>
          <rPr>
            <sz val="10"/>
            <rFont val="宋体"/>
            <charset val="134"/>
          </rPr>
          <t>21天免柜</t>
        </r>
      </text>
    </comment>
    <comment ref="I605" authorId="1314">
      <text>
        <r>
          <rPr>
            <sz val="10"/>
            <rFont val="宋体"/>
            <charset val="134"/>
          </rPr>
          <t>大船晚到，原ETD 4.9, ETA 4.27</t>
        </r>
      </text>
    </comment>
    <comment ref="J605" authorId="1315">
      <text>
        <r>
          <rPr>
            <sz val="10"/>
            <rFont val="宋体"/>
            <charset val="134"/>
          </rPr>
          <t>原4.27，这个变动比较多</t>
        </r>
      </text>
    </comment>
    <comment ref="V605" authorId="1316">
      <text>
        <r>
          <rPr>
            <sz val="10"/>
            <rFont val="宋体"/>
            <charset val="134"/>
          </rPr>
          <t>5/12 notify5/12 还空柜</t>
        </r>
      </text>
    </comment>
    <comment ref="W605" authorId="1317">
      <text>
        <r>
          <rPr>
            <sz val="10"/>
            <rFont val="宋体"/>
            <charset val="134"/>
          </rPr>
          <t>21天免柜</t>
        </r>
      </text>
    </comment>
    <comment ref="I606" authorId="1318">
      <text>
        <r>
          <rPr>
            <sz val="10"/>
            <rFont val="宋体"/>
            <charset val="134"/>
          </rPr>
          <t>大船晚到，原ETD 4.9, ETA 4.27</t>
        </r>
      </text>
    </comment>
    <comment ref="J606" authorId="1319">
      <text>
        <r>
          <rPr>
            <sz val="10"/>
            <rFont val="宋体"/>
            <charset val="134"/>
          </rPr>
          <t>原4.27</t>
        </r>
      </text>
    </comment>
    <comment ref="V606" authorId="1320">
      <text>
        <r>
          <rPr>
            <sz val="10"/>
            <rFont val="宋体"/>
            <charset val="134"/>
          </rPr>
          <t>5/7 notify5/8 还空柜</t>
        </r>
      </text>
    </comment>
    <comment ref="W606" authorId="1321">
      <text>
        <r>
          <rPr>
            <sz val="10"/>
            <rFont val="宋体"/>
            <charset val="134"/>
          </rPr>
          <t>21天免柜</t>
        </r>
      </text>
    </comment>
    <comment ref="V607" authorId="1322">
      <text>
        <r>
          <rPr>
            <sz val="10"/>
            <rFont val="宋体"/>
            <charset val="134"/>
          </rPr>
          <t>5/12 notify5/13 还空柜</t>
        </r>
      </text>
    </comment>
    <comment ref="W607" authorId="1323">
      <text>
        <r>
          <rPr>
            <sz val="10"/>
            <rFont val="宋体"/>
            <charset val="134"/>
          </rPr>
          <t>21天免柜</t>
        </r>
      </text>
    </comment>
    <comment ref="V608" authorId="1324">
      <text>
        <r>
          <rPr>
            <sz val="10"/>
            <rFont val="宋体"/>
            <charset val="134"/>
          </rPr>
          <t>5/12 notify5/13 还空柜</t>
        </r>
      </text>
    </comment>
    <comment ref="W608" authorId="1325">
      <text>
        <r>
          <rPr>
            <sz val="10"/>
            <rFont val="宋体"/>
            <charset val="134"/>
          </rPr>
          <t>21天免柜</t>
        </r>
      </text>
    </comment>
    <comment ref="I609" authorId="1326">
      <text>
        <r>
          <rPr>
            <sz val="10"/>
            <rFont val="宋体"/>
            <charset val="134"/>
          </rPr>
          <t>大船晚到，原ETD 4.9, ETA 4.27</t>
        </r>
      </text>
    </comment>
    <comment ref="J609" authorId="1327">
      <text>
        <r>
          <rPr>
            <sz val="10"/>
            <rFont val="宋体"/>
            <charset val="134"/>
          </rPr>
          <t>原4.27</t>
        </r>
      </text>
    </comment>
    <comment ref="V609" authorId="1328">
      <text>
        <r>
          <rPr>
            <sz val="10"/>
            <rFont val="宋体"/>
            <charset val="134"/>
          </rPr>
          <t>5/9 notify5/13 还空柜</t>
        </r>
      </text>
    </comment>
    <comment ref="W609" authorId="1329">
      <text>
        <r>
          <rPr>
            <sz val="10"/>
            <rFont val="宋体"/>
            <charset val="134"/>
          </rPr>
          <t>21天免柜</t>
        </r>
      </text>
    </comment>
    <comment ref="V610" authorId="1330">
      <text>
        <r>
          <rPr>
            <sz val="10"/>
            <rFont val="宋体"/>
            <charset val="134"/>
          </rPr>
          <t>5/9 notify5/14还空柜</t>
        </r>
      </text>
    </comment>
    <comment ref="W610" authorId="1331">
      <text>
        <r>
          <rPr>
            <sz val="10"/>
            <rFont val="宋体"/>
            <charset val="134"/>
          </rPr>
          <t>21天免柜</t>
        </r>
      </text>
    </comment>
    <comment ref="J611" authorId="1332">
      <text>
        <r>
          <rPr>
            <sz val="10"/>
            <rFont val="宋体"/>
            <charset val="134"/>
          </rPr>
          <t>原4.28</t>
        </r>
      </text>
    </comment>
    <comment ref="V611" authorId="1333">
      <text>
        <r>
          <rPr>
            <sz val="10"/>
            <rFont val="宋体"/>
            <charset val="134"/>
          </rPr>
          <t>5/12 notify5/14 还空柜</t>
        </r>
      </text>
    </comment>
    <comment ref="W611" authorId="1334">
      <text>
        <r>
          <rPr>
            <sz val="10"/>
            <rFont val="宋体"/>
            <charset val="134"/>
          </rPr>
          <t>21天免柜</t>
        </r>
      </text>
    </comment>
    <comment ref="J612" authorId="1335">
      <text>
        <r>
          <rPr>
            <sz val="10"/>
            <rFont val="宋体"/>
            <charset val="134"/>
          </rPr>
          <t>原4.28</t>
        </r>
      </text>
    </comment>
    <comment ref="V612" authorId="1336">
      <text>
        <r>
          <rPr>
            <sz val="10"/>
            <rFont val="宋体"/>
            <charset val="134"/>
          </rPr>
          <t>5/12 notify5/13 还空柜</t>
        </r>
      </text>
    </comment>
    <comment ref="W612" authorId="1337">
      <text>
        <r>
          <rPr>
            <sz val="10"/>
            <rFont val="宋体"/>
            <charset val="134"/>
          </rPr>
          <t>21天免柜</t>
        </r>
      </text>
    </comment>
    <comment ref="J613" authorId="1338">
      <text>
        <r>
          <rPr>
            <sz val="10"/>
            <rFont val="宋体"/>
            <charset val="134"/>
          </rPr>
          <t>原4.28</t>
        </r>
      </text>
    </comment>
    <comment ref="V613" authorId="1339">
      <text>
        <r>
          <rPr>
            <sz val="10"/>
            <rFont val="宋体"/>
            <charset val="134"/>
          </rPr>
          <t>5/12 notify5/13 还空柜</t>
        </r>
      </text>
    </comment>
    <comment ref="W613" authorId="1340">
      <text>
        <r>
          <rPr>
            <sz val="10"/>
            <rFont val="宋体"/>
            <charset val="134"/>
          </rPr>
          <t>21天免柜</t>
        </r>
      </text>
    </comment>
    <comment ref="J614" authorId="1341">
      <text>
        <r>
          <rPr>
            <sz val="10"/>
            <rFont val="宋体"/>
            <charset val="134"/>
          </rPr>
          <t>原4.28</t>
        </r>
      </text>
    </comment>
    <comment ref="V614" authorId="1342">
      <text>
        <r>
          <rPr>
            <sz val="10"/>
            <rFont val="宋体"/>
            <charset val="134"/>
          </rPr>
          <t>5/9 notify5/13 还空柜</t>
        </r>
      </text>
    </comment>
    <comment ref="W614" authorId="1343">
      <text>
        <r>
          <rPr>
            <sz val="10"/>
            <rFont val="宋体"/>
            <charset val="134"/>
          </rPr>
          <t>21天免柜</t>
        </r>
      </text>
    </comment>
    <comment ref="J615" authorId="1344">
      <text>
        <r>
          <rPr>
            <sz val="10"/>
            <rFont val="宋体"/>
            <charset val="134"/>
          </rPr>
          <t>原4.28</t>
        </r>
      </text>
    </comment>
    <comment ref="V615" authorId="1345">
      <text>
        <r>
          <rPr>
            <sz val="10"/>
            <rFont val="宋体"/>
            <charset val="134"/>
          </rPr>
          <t>5/9 notify5/10 还空柜</t>
        </r>
      </text>
    </comment>
    <comment ref="W615" authorId="1346">
      <text>
        <r>
          <rPr>
            <sz val="10"/>
            <rFont val="宋体"/>
            <charset val="134"/>
          </rPr>
          <t>21天免柜</t>
        </r>
      </text>
    </comment>
    <comment ref="J616" authorId="1347">
      <text>
        <r>
          <rPr>
            <sz val="10"/>
            <rFont val="宋体"/>
            <charset val="134"/>
          </rPr>
          <t>原5.2</t>
        </r>
      </text>
    </comment>
    <comment ref="V616" authorId="1348">
      <text>
        <r>
          <rPr>
            <sz val="10"/>
            <rFont val="宋体"/>
            <charset val="134"/>
          </rPr>
          <t>5/7 notify5/8 还空柜</t>
        </r>
      </text>
    </comment>
    <comment ref="W616" authorId="1349">
      <text>
        <r>
          <rPr>
            <sz val="10"/>
            <rFont val="宋体"/>
            <charset val="134"/>
          </rPr>
          <t>21天免柜</t>
        </r>
      </text>
    </comment>
    <comment ref="J617" authorId="1350">
      <text>
        <r>
          <rPr>
            <sz val="10"/>
            <rFont val="宋体"/>
            <charset val="134"/>
          </rPr>
          <t>原5.2</t>
        </r>
      </text>
    </comment>
    <comment ref="V617" authorId="1351">
      <text>
        <r>
          <rPr>
            <sz val="10"/>
            <rFont val="宋体"/>
            <charset val="134"/>
          </rPr>
          <t>5/7 notify5/7 还空柜</t>
        </r>
      </text>
    </comment>
    <comment ref="W617" authorId="1352">
      <text>
        <r>
          <rPr>
            <sz val="10"/>
            <rFont val="宋体"/>
            <charset val="134"/>
          </rPr>
          <t>21天免柜</t>
        </r>
      </text>
    </comment>
    <comment ref="J618" authorId="1353">
      <text>
        <r>
          <rPr>
            <sz val="10"/>
            <rFont val="宋体"/>
            <charset val="134"/>
          </rPr>
          <t>原5.2</t>
        </r>
      </text>
    </comment>
    <comment ref="V618" authorId="1354">
      <text>
        <r>
          <rPr>
            <sz val="10"/>
            <rFont val="宋体"/>
            <charset val="134"/>
          </rPr>
          <t>5/9 notify5/13 还空柜</t>
        </r>
      </text>
    </comment>
    <comment ref="W618" authorId="1355">
      <text>
        <r>
          <rPr>
            <sz val="10"/>
            <rFont val="宋体"/>
            <charset val="134"/>
          </rPr>
          <t>21天免柜</t>
        </r>
      </text>
    </comment>
    <comment ref="J619" authorId="1356">
      <text>
        <r>
          <rPr>
            <sz val="10"/>
            <rFont val="宋体"/>
            <charset val="134"/>
          </rPr>
          <t>原ETA 4.24，原因：船东船期延后</t>
        </r>
      </text>
    </comment>
    <comment ref="V619" authorId="1357">
      <text>
        <r>
          <rPr>
            <sz val="10"/>
            <rFont val="宋体"/>
            <charset val="134"/>
          </rPr>
          <t>5/9 notify5/14 还空柜</t>
        </r>
      </text>
    </comment>
    <comment ref="W619" authorId="1358">
      <text>
        <r>
          <rPr>
            <sz val="10"/>
            <rFont val="宋体"/>
            <charset val="134"/>
          </rPr>
          <t>21天免柜</t>
        </r>
      </text>
    </comment>
    <comment ref="V620" authorId="1359">
      <text>
        <r>
          <rPr>
            <sz val="10"/>
            <rFont val="宋体"/>
            <charset val="134"/>
          </rPr>
          <t>5/14 notify5/16 还空柜</t>
        </r>
      </text>
    </comment>
    <comment ref="W620" authorId="1360">
      <text>
        <r>
          <rPr>
            <sz val="10"/>
            <rFont val="宋体"/>
            <charset val="134"/>
          </rPr>
          <t>21天免柜</t>
        </r>
      </text>
    </comment>
    <comment ref="V621" authorId="1361">
      <text>
        <r>
          <rPr>
            <sz val="10"/>
            <rFont val="宋体"/>
            <charset val="134"/>
          </rPr>
          <t>5/9 notify5/13 还空柜</t>
        </r>
      </text>
    </comment>
    <comment ref="W621" authorId="1362">
      <text>
        <r>
          <rPr>
            <sz val="10"/>
            <rFont val="宋体"/>
            <charset val="134"/>
          </rPr>
          <t>21天免柜</t>
        </r>
      </text>
    </comment>
    <comment ref="J622" authorId="1363">
      <text>
        <r>
          <rPr>
            <sz val="10"/>
            <rFont val="宋体"/>
            <charset val="134"/>
          </rPr>
          <t>原来5.4</t>
        </r>
      </text>
    </comment>
    <comment ref="V622" authorId="1364">
      <text>
        <r>
          <rPr>
            <sz val="10"/>
            <rFont val="宋体"/>
            <charset val="134"/>
          </rPr>
          <t>5/12 notify5/12 还空柜</t>
        </r>
      </text>
    </comment>
    <comment ref="W622" authorId="1365">
      <text>
        <r>
          <rPr>
            <sz val="10"/>
            <rFont val="宋体"/>
            <charset val="134"/>
          </rPr>
          <t>21天免柜</t>
        </r>
      </text>
    </comment>
    <comment ref="J623" authorId="1366">
      <text>
        <r>
          <rPr>
            <sz val="10"/>
            <rFont val="宋体"/>
            <charset val="134"/>
          </rPr>
          <t>5.7</t>
        </r>
      </text>
    </comment>
    <comment ref="V623" authorId="1367">
      <text>
        <r>
          <rPr>
            <sz val="10"/>
            <rFont val="宋体"/>
            <charset val="134"/>
          </rPr>
          <t>5/15 notify5/16 还空柜</t>
        </r>
      </text>
    </comment>
    <comment ref="W623" authorId="1368">
      <text>
        <r>
          <rPr>
            <sz val="10"/>
            <rFont val="宋体"/>
            <charset val="134"/>
          </rPr>
          <t>21天免柜</t>
        </r>
      </text>
    </comment>
    <comment ref="J624" authorId="1369">
      <text>
        <r>
          <rPr>
            <sz val="10"/>
            <rFont val="宋体"/>
            <charset val="134"/>
          </rPr>
          <t>5.7</t>
        </r>
      </text>
    </comment>
    <comment ref="V624" authorId="1370">
      <text>
        <r>
          <rPr>
            <sz val="10"/>
            <rFont val="宋体"/>
            <charset val="134"/>
          </rPr>
          <t>5/14 还空柜</t>
        </r>
      </text>
    </comment>
    <comment ref="W624" authorId="1371">
      <text>
        <r>
          <rPr>
            <sz val="10"/>
            <rFont val="宋体"/>
            <charset val="134"/>
          </rPr>
          <t>21天免柜</t>
        </r>
      </text>
    </comment>
    <comment ref="J625" authorId="1372">
      <text>
        <r>
          <rPr>
            <sz val="10"/>
            <rFont val="宋体"/>
            <charset val="134"/>
          </rPr>
          <t>5.7</t>
        </r>
      </text>
    </comment>
    <comment ref="V625" authorId="1373">
      <text>
        <r>
          <rPr>
            <sz val="10"/>
            <rFont val="宋体"/>
            <charset val="134"/>
          </rPr>
          <t>5/13 notify5/14 还空柜</t>
        </r>
      </text>
    </comment>
    <comment ref="W625" authorId="1374">
      <text>
        <r>
          <rPr>
            <sz val="10"/>
            <rFont val="宋体"/>
            <charset val="134"/>
          </rPr>
          <t>21天免柜</t>
        </r>
      </text>
    </comment>
    <comment ref="J626" authorId="1375">
      <text>
        <r>
          <rPr>
            <sz val="10"/>
            <rFont val="宋体"/>
            <charset val="134"/>
          </rPr>
          <t>5.7</t>
        </r>
      </text>
    </comment>
    <comment ref="V626" authorId="1376">
      <text>
        <r>
          <rPr>
            <sz val="10"/>
            <rFont val="宋体"/>
            <charset val="134"/>
          </rPr>
          <t>5/20 notify5/20 还空柜</t>
        </r>
      </text>
    </comment>
    <comment ref="W626" authorId="1377">
      <text>
        <r>
          <rPr>
            <sz val="10"/>
            <rFont val="宋体"/>
            <charset val="134"/>
          </rPr>
          <t>21天免柜</t>
        </r>
      </text>
    </comment>
    <comment ref="J627" authorId="1378">
      <text>
        <r>
          <rPr>
            <sz val="10"/>
            <rFont val="宋体"/>
            <charset val="134"/>
          </rPr>
          <t>5.7</t>
        </r>
      </text>
    </comment>
    <comment ref="V627" authorId="1379">
      <text>
        <r>
          <rPr>
            <sz val="10"/>
            <rFont val="宋体"/>
            <charset val="134"/>
          </rPr>
          <t>5/15 取走5/16 还空柜</t>
        </r>
      </text>
    </comment>
    <comment ref="W627" authorId="1380">
      <text>
        <r>
          <rPr>
            <sz val="10"/>
            <rFont val="宋体"/>
            <charset val="134"/>
          </rPr>
          <t>21天免柜</t>
        </r>
      </text>
    </comment>
    <comment ref="J628" authorId="1381">
      <text>
        <r>
          <rPr>
            <sz val="10"/>
            <rFont val="宋体"/>
            <charset val="134"/>
          </rPr>
          <t>5.7</t>
        </r>
      </text>
    </comment>
    <comment ref="V628" authorId="1382">
      <text>
        <r>
          <rPr>
            <sz val="10"/>
            <rFont val="宋体"/>
            <charset val="134"/>
          </rPr>
          <t>5/13 notify5/14 还空柜</t>
        </r>
      </text>
    </comment>
    <comment ref="W628" authorId="1383">
      <text>
        <r>
          <rPr>
            <sz val="10"/>
            <rFont val="宋体"/>
            <charset val="134"/>
          </rPr>
          <t>21天免柜</t>
        </r>
      </text>
    </comment>
    <comment ref="V629" authorId="1384">
      <text>
        <r>
          <rPr>
            <sz val="10"/>
            <rFont val="宋体"/>
            <charset val="134"/>
          </rPr>
          <t>5/15 notify5/17 还空柜</t>
        </r>
      </text>
    </comment>
    <comment ref="W629" authorId="1385">
      <text>
        <r>
          <rPr>
            <sz val="10"/>
            <rFont val="宋体"/>
            <charset val="134"/>
          </rPr>
          <t>21天免柜</t>
        </r>
      </text>
    </comment>
    <comment ref="V630" authorId="1386">
      <text>
        <r>
          <rPr>
            <sz val="10"/>
            <rFont val="宋体"/>
            <charset val="134"/>
          </rPr>
          <t>5/17 还空柜</t>
        </r>
      </text>
    </comment>
    <comment ref="W630" authorId="1387">
      <text>
        <r>
          <rPr>
            <sz val="10"/>
            <rFont val="宋体"/>
            <charset val="134"/>
          </rPr>
          <t>21天免柜</t>
        </r>
      </text>
    </comment>
    <comment ref="V631" authorId="1388">
      <text>
        <r>
          <rPr>
            <sz val="10"/>
            <rFont val="宋体"/>
            <charset val="134"/>
          </rPr>
          <t>5/16 Notify5/17 还空柜</t>
        </r>
      </text>
    </comment>
    <comment ref="W631" authorId="1389">
      <text>
        <r>
          <rPr>
            <sz val="10"/>
            <rFont val="宋体"/>
            <charset val="134"/>
          </rPr>
          <t>21天免柜</t>
        </r>
      </text>
    </comment>
    <comment ref="V632" authorId="1390">
      <text>
        <r>
          <rPr>
            <sz val="10"/>
            <rFont val="宋体"/>
            <charset val="134"/>
          </rPr>
          <t>5/19 已取走5/20 还空柜</t>
        </r>
      </text>
    </comment>
    <comment ref="W632" authorId="1391">
      <text>
        <r>
          <rPr>
            <sz val="10"/>
            <rFont val="宋体"/>
            <charset val="134"/>
          </rPr>
          <t>21天免柜</t>
        </r>
      </text>
    </comment>
    <comment ref="V633" authorId="1392">
      <text>
        <r>
          <rPr>
            <sz val="10"/>
            <rFont val="宋体"/>
            <charset val="134"/>
          </rPr>
          <t>5/16 notify5/19 还空柜</t>
        </r>
      </text>
    </comment>
    <comment ref="W633" authorId="1393">
      <text>
        <r>
          <rPr>
            <sz val="10"/>
            <rFont val="宋体"/>
            <charset val="134"/>
          </rPr>
          <t>21天免柜</t>
        </r>
      </text>
    </comment>
    <comment ref="V634" authorId="1394">
      <text>
        <r>
          <rPr>
            <sz val="10"/>
            <rFont val="宋体"/>
            <charset val="134"/>
          </rPr>
          <t>5/19 已取走5/19 还空柜</t>
        </r>
      </text>
    </comment>
    <comment ref="W634" authorId="1395">
      <text>
        <r>
          <rPr>
            <sz val="10"/>
            <rFont val="宋体"/>
            <charset val="134"/>
          </rPr>
          <t>21天免柜</t>
        </r>
      </text>
    </comment>
    <comment ref="V635" authorId="1396">
      <text>
        <r>
          <rPr>
            <sz val="10"/>
            <rFont val="宋体"/>
            <charset val="134"/>
          </rPr>
          <t>5/16 notify5/17 还空柜</t>
        </r>
      </text>
    </comment>
    <comment ref="W635" authorId="1397">
      <text>
        <r>
          <rPr>
            <sz val="10"/>
            <rFont val="宋体"/>
            <charset val="134"/>
          </rPr>
          <t>21天免柜</t>
        </r>
      </text>
    </comment>
    <comment ref="V636" authorId="1398">
      <text>
        <r>
          <rPr>
            <sz val="10"/>
            <rFont val="宋体"/>
            <charset val="134"/>
          </rPr>
          <t>5/15 notify5/19 还空柜</t>
        </r>
      </text>
    </comment>
    <comment ref="W636" authorId="1399">
      <text>
        <r>
          <rPr>
            <sz val="10"/>
            <rFont val="宋体"/>
            <charset val="134"/>
          </rPr>
          <t>21天免柜</t>
        </r>
      </text>
    </comment>
    <comment ref="V637" authorId="1400">
      <text>
        <r>
          <rPr>
            <sz val="10"/>
            <rFont val="宋体"/>
            <charset val="134"/>
          </rPr>
          <t>5/16 notify5/17 还空柜</t>
        </r>
      </text>
    </comment>
    <comment ref="W637" authorId="1401">
      <text>
        <r>
          <rPr>
            <sz val="10"/>
            <rFont val="宋体"/>
            <charset val="134"/>
          </rPr>
          <t>21天免柜</t>
        </r>
      </text>
    </comment>
    <comment ref="J638" authorId="1402">
      <text>
        <r>
          <rPr>
            <sz val="10"/>
            <rFont val="宋体"/>
            <charset val="134"/>
          </rPr>
          <t>5.12</t>
        </r>
      </text>
    </comment>
    <comment ref="V638" authorId="1403">
      <text>
        <r>
          <rPr>
            <sz val="10"/>
            <rFont val="宋体"/>
            <charset val="134"/>
          </rPr>
          <t>5/19 已取走5.20 还空柜</t>
        </r>
      </text>
    </comment>
    <comment ref="J639" authorId="1404">
      <text>
        <r>
          <rPr>
            <sz val="10"/>
            <rFont val="宋体"/>
            <charset val="134"/>
          </rPr>
          <t>5.12</t>
        </r>
      </text>
    </comment>
    <comment ref="V639" authorId="1405">
      <text>
        <r>
          <rPr>
            <sz val="10"/>
            <rFont val="宋体"/>
            <charset val="134"/>
          </rPr>
          <t>5/20 notify5.21已取走5.21已还柜</t>
        </r>
      </text>
    </comment>
    <comment ref="J640" authorId="1406">
      <text>
        <r>
          <rPr>
            <sz val="10"/>
            <rFont val="宋体"/>
            <charset val="134"/>
          </rPr>
          <t>5.8</t>
        </r>
      </text>
    </comment>
    <comment ref="V640" authorId="1407">
      <text>
        <r>
          <rPr>
            <sz val="10"/>
            <rFont val="宋体"/>
            <charset val="134"/>
          </rPr>
          <t>5.22 notify5/23 已还柜</t>
        </r>
      </text>
    </comment>
    <comment ref="W640" authorId="1408">
      <text>
        <r>
          <rPr>
            <sz val="10"/>
            <rFont val="宋体"/>
            <charset val="134"/>
          </rPr>
          <t>21天免柜</t>
        </r>
      </text>
    </comment>
    <comment ref="I641" authorId="1409">
      <text>
        <r>
          <rPr>
            <sz val="10"/>
            <rFont val="宋体"/>
            <charset val="134"/>
          </rPr>
          <t>原4.16，推迟到4.22南沙出</t>
        </r>
      </text>
    </comment>
    <comment ref="J641" authorId="1410">
      <text>
        <r>
          <rPr>
            <sz val="10"/>
            <rFont val="宋体"/>
            <charset val="134"/>
          </rPr>
          <t>原ETA 5.4</t>
        </r>
      </text>
    </comment>
    <comment ref="V641" authorId="1411">
      <text>
        <r>
          <rPr>
            <sz val="10"/>
            <rFont val="宋体"/>
            <charset val="134"/>
          </rPr>
          <t>5/20 notify5.21已还柜</t>
        </r>
      </text>
    </comment>
    <comment ref="W641" authorId="1412">
      <text>
        <r>
          <rPr>
            <sz val="10"/>
            <rFont val="宋体"/>
            <charset val="134"/>
          </rPr>
          <t>21天免柜</t>
        </r>
      </text>
    </comment>
    <comment ref="I642" authorId="1413">
      <text>
        <r>
          <rPr>
            <sz val="10"/>
            <rFont val="宋体"/>
            <charset val="134"/>
          </rPr>
          <t>原4.16，推迟到4.22南沙出</t>
        </r>
      </text>
    </comment>
    <comment ref="J642" authorId="1414">
      <text>
        <r>
          <rPr>
            <sz val="10"/>
            <rFont val="宋体"/>
            <charset val="134"/>
          </rPr>
          <t>原ETA 5.4</t>
        </r>
      </text>
    </comment>
    <comment ref="V642" authorId="1415">
      <text>
        <r>
          <rPr>
            <sz val="10"/>
            <rFont val="宋体"/>
            <charset val="134"/>
          </rPr>
          <t>5/15 notify5/19 还空柜</t>
        </r>
      </text>
    </comment>
    <comment ref="W642" authorId="1416">
      <text>
        <r>
          <rPr>
            <sz val="10"/>
            <rFont val="宋体"/>
            <charset val="134"/>
          </rPr>
          <t>21天免柜</t>
        </r>
      </text>
    </comment>
    <comment ref="J643" authorId="1417">
      <text>
        <r>
          <rPr>
            <sz val="10"/>
            <rFont val="宋体"/>
            <charset val="134"/>
          </rPr>
          <t>5.7</t>
        </r>
      </text>
    </comment>
    <comment ref="V643" authorId="1418">
      <text>
        <r>
          <rPr>
            <sz val="10"/>
            <rFont val="宋体"/>
            <charset val="134"/>
          </rPr>
          <t>5/20 notify5/20 还空柜</t>
        </r>
      </text>
    </comment>
    <comment ref="W643" authorId="1419">
      <text>
        <r>
          <rPr>
            <sz val="10"/>
            <rFont val="宋体"/>
            <charset val="134"/>
          </rPr>
          <t>21天免柜</t>
        </r>
      </text>
    </comment>
    <comment ref="J644" authorId="1420">
      <text>
        <r>
          <rPr>
            <sz val="10"/>
            <rFont val="宋体"/>
            <charset val="134"/>
          </rPr>
          <t>5.7</t>
        </r>
      </text>
    </comment>
    <comment ref="V644" authorId="1421">
      <text>
        <r>
          <rPr>
            <sz val="10"/>
            <rFont val="宋体"/>
            <charset val="134"/>
          </rPr>
          <t>5.22 notify5/23 还空柜</t>
        </r>
      </text>
    </comment>
    <comment ref="W644" authorId="1422">
      <text>
        <r>
          <rPr>
            <sz val="10"/>
            <rFont val="宋体"/>
            <charset val="134"/>
          </rPr>
          <t>21天免柜</t>
        </r>
      </text>
    </comment>
    <comment ref="J645" authorId="1423">
      <text>
        <r>
          <rPr>
            <sz val="10"/>
            <rFont val="宋体"/>
            <charset val="134"/>
          </rPr>
          <t>5.7</t>
        </r>
      </text>
    </comment>
    <comment ref="V645" authorId="1424">
      <text>
        <r>
          <rPr>
            <sz val="10"/>
            <rFont val="宋体"/>
            <charset val="134"/>
          </rPr>
          <t>5/24 还空柜</t>
        </r>
      </text>
    </comment>
    <comment ref="W645" authorId="1425">
      <text>
        <r>
          <rPr>
            <sz val="10"/>
            <rFont val="宋体"/>
            <charset val="134"/>
          </rPr>
          <t>21天免柜</t>
        </r>
      </text>
    </comment>
    <comment ref="J646" authorId="1426">
      <text>
        <r>
          <rPr>
            <sz val="10"/>
            <rFont val="宋体"/>
            <charset val="134"/>
          </rPr>
          <t>5.7</t>
        </r>
      </text>
    </comment>
    <comment ref="V646" authorId="1427">
      <text>
        <r>
          <rPr>
            <sz val="10"/>
            <rFont val="宋体"/>
            <charset val="134"/>
          </rPr>
          <t>5/20 notify5.21还空柜</t>
        </r>
      </text>
    </comment>
    <comment ref="W646" authorId="1428">
      <text>
        <r>
          <rPr>
            <sz val="10"/>
            <rFont val="宋体"/>
            <charset val="134"/>
          </rPr>
          <t>21天免柜</t>
        </r>
      </text>
    </comment>
    <comment ref="J647" authorId="1429">
      <text>
        <r>
          <rPr>
            <sz val="10"/>
            <rFont val="宋体"/>
            <charset val="134"/>
          </rPr>
          <t>5.7</t>
        </r>
      </text>
    </comment>
    <comment ref="V647" authorId="1430">
      <text>
        <r>
          <rPr>
            <sz val="10"/>
            <rFont val="宋体"/>
            <charset val="134"/>
          </rPr>
          <t>5.22 notify5/23 还空柜</t>
        </r>
      </text>
    </comment>
    <comment ref="W647" authorId="1431">
      <text>
        <r>
          <rPr>
            <sz val="10"/>
            <rFont val="宋体"/>
            <charset val="134"/>
          </rPr>
          <t>21天免柜</t>
        </r>
      </text>
    </comment>
    <comment ref="J648" authorId="1432">
      <text>
        <r>
          <rPr>
            <sz val="10"/>
            <rFont val="宋体"/>
            <charset val="134"/>
          </rPr>
          <t>原5.7</t>
        </r>
      </text>
    </comment>
    <comment ref="V648" authorId="1433">
      <text>
        <r>
          <rPr>
            <sz val="10"/>
            <rFont val="宋体"/>
            <charset val="134"/>
          </rPr>
          <t>5/20 notify5/22 还空柜</t>
        </r>
      </text>
    </comment>
    <comment ref="W648" authorId="1434">
      <text>
        <r>
          <rPr>
            <sz val="10"/>
            <rFont val="宋体"/>
            <charset val="134"/>
          </rPr>
          <t>21天免柜</t>
        </r>
      </text>
    </comment>
    <comment ref="J649" authorId="1435">
      <text>
        <r>
          <rPr>
            <sz val="10"/>
            <rFont val="宋体"/>
            <charset val="134"/>
          </rPr>
          <t>原5.7</t>
        </r>
      </text>
    </comment>
    <comment ref="V649" authorId="1436">
      <text>
        <r>
          <rPr>
            <sz val="10"/>
            <rFont val="宋体"/>
            <charset val="134"/>
          </rPr>
          <t>5/27 notify5/27 还空柜</t>
        </r>
      </text>
    </comment>
    <comment ref="W649" authorId="1437">
      <text>
        <r>
          <rPr>
            <sz val="10"/>
            <rFont val="宋体"/>
            <charset val="134"/>
          </rPr>
          <t>21天免柜</t>
        </r>
      </text>
    </comment>
    <comment ref="J650" authorId="1438">
      <text>
        <r>
          <rPr>
            <sz val="10"/>
            <rFont val="宋体"/>
            <charset val="134"/>
          </rPr>
          <t>原5.74</t>
        </r>
      </text>
    </comment>
    <comment ref="V650" authorId="1439">
      <text>
        <r>
          <rPr>
            <sz val="10"/>
            <rFont val="宋体"/>
            <charset val="134"/>
          </rPr>
          <t>5/20 notify5/22 还空柜</t>
        </r>
      </text>
    </comment>
    <comment ref="W650" authorId="1440">
      <text>
        <r>
          <rPr>
            <sz val="10"/>
            <rFont val="宋体"/>
            <charset val="134"/>
          </rPr>
          <t>21天免柜</t>
        </r>
      </text>
    </comment>
    <comment ref="J651" authorId="1441">
      <text>
        <r>
          <rPr>
            <sz val="10"/>
            <rFont val="宋体"/>
            <charset val="134"/>
          </rPr>
          <t>原5.7</t>
        </r>
      </text>
    </comment>
    <comment ref="V651" authorId="1442">
      <text>
        <r>
          <rPr>
            <sz val="10"/>
            <rFont val="宋体"/>
            <charset val="134"/>
          </rPr>
          <t>5/20 notify5/22 还空柜</t>
        </r>
      </text>
    </comment>
    <comment ref="W651" authorId="1443">
      <text>
        <r>
          <rPr>
            <sz val="10"/>
            <rFont val="宋体"/>
            <charset val="134"/>
          </rPr>
          <t>21天免柜</t>
        </r>
      </text>
    </comment>
    <comment ref="J652" authorId="1444">
      <text>
        <r>
          <rPr>
            <sz val="10"/>
            <rFont val="宋体"/>
            <charset val="134"/>
          </rPr>
          <t>原5.7</t>
        </r>
      </text>
    </comment>
    <comment ref="V652" authorId="1445">
      <text>
        <r>
          <rPr>
            <sz val="10"/>
            <rFont val="宋体"/>
            <charset val="134"/>
          </rPr>
          <t>5/20 notify5/22 还空柜</t>
        </r>
      </text>
    </comment>
    <comment ref="W652" authorId="1446">
      <text>
        <r>
          <rPr>
            <sz val="10"/>
            <rFont val="宋体"/>
            <charset val="134"/>
          </rPr>
          <t>21天免柜</t>
        </r>
      </text>
    </comment>
    <comment ref="J653" authorId="1447">
      <text>
        <r>
          <rPr>
            <sz val="10"/>
            <rFont val="宋体"/>
            <charset val="134"/>
          </rPr>
          <t>原5.7</t>
        </r>
      </text>
    </comment>
    <comment ref="V653" authorId="1448">
      <text>
        <r>
          <rPr>
            <sz val="10"/>
            <rFont val="宋体"/>
            <charset val="134"/>
          </rPr>
          <t>5.22 notify5/28 还空柜</t>
        </r>
      </text>
    </comment>
    <comment ref="W653" authorId="1449">
      <text>
        <r>
          <rPr>
            <sz val="10"/>
            <rFont val="宋体"/>
            <charset val="134"/>
          </rPr>
          <t>21天免柜</t>
        </r>
      </text>
    </comment>
    <comment ref="J654" authorId="1450">
      <text>
        <r>
          <rPr>
            <sz val="10"/>
            <rFont val="宋体"/>
            <charset val="134"/>
          </rPr>
          <t>原5.9</t>
        </r>
      </text>
    </comment>
    <comment ref="V654" authorId="1451">
      <text>
        <r>
          <rPr>
            <sz val="10"/>
            <rFont val="宋体"/>
            <charset val="134"/>
          </rPr>
          <t>5/20 notify5/21 还空柜</t>
        </r>
      </text>
    </comment>
    <comment ref="W654" authorId="1452">
      <text>
        <r>
          <rPr>
            <sz val="10"/>
            <rFont val="宋体"/>
            <charset val="134"/>
          </rPr>
          <t>21天免柜</t>
        </r>
      </text>
    </comment>
    <comment ref="I655" authorId="1453">
      <text>
        <r>
          <rPr>
            <sz val="10"/>
            <rFont val="宋体"/>
            <charset val="134"/>
          </rPr>
          <t>原ETD 4.30, ETA 5.17</t>
        </r>
      </text>
    </comment>
    <comment ref="V655" authorId="1454">
      <text>
        <r>
          <rPr>
            <sz val="10"/>
            <rFont val="宋体"/>
            <charset val="134"/>
          </rPr>
          <t>5/20 notify5/22 还空柜</t>
        </r>
      </text>
    </comment>
    <comment ref="I656" authorId="1455">
      <text>
        <r>
          <rPr>
            <sz val="10"/>
            <rFont val="宋体"/>
            <charset val="134"/>
          </rPr>
          <t>原ETD 4.30, ETA 5.17</t>
        </r>
      </text>
    </comment>
    <comment ref="V656" authorId="1456">
      <text>
        <r>
          <rPr>
            <sz val="10"/>
            <rFont val="宋体"/>
            <charset val="134"/>
          </rPr>
          <t>5/20 notify5.21已取走5/22 还空柜</t>
        </r>
      </text>
    </comment>
    <comment ref="I657" authorId="1457">
      <text>
        <r>
          <rPr>
            <sz val="10"/>
            <rFont val="宋体"/>
            <charset val="134"/>
          </rPr>
          <t>原ETD 4.30, ETA 5.17</t>
        </r>
      </text>
    </comment>
    <comment ref="V657" authorId="1458">
      <text>
        <r>
          <rPr>
            <sz val="10"/>
            <rFont val="宋体"/>
            <charset val="134"/>
          </rPr>
          <t>5.21已取走James说已经帮我们mark collection5/27 还空柜</t>
        </r>
      </text>
    </comment>
    <comment ref="J658" authorId="1459">
      <text>
        <r>
          <rPr>
            <sz val="10"/>
            <rFont val="宋体"/>
            <charset val="134"/>
          </rPr>
          <t>5/13收到delay 提醒，由于船舶拥挤ETA延迟到5/17</t>
        </r>
      </text>
    </comment>
    <comment ref="V658" authorId="1460">
      <text>
        <r>
          <rPr>
            <sz val="10"/>
            <rFont val="宋体"/>
            <charset val="134"/>
          </rPr>
          <t>5.22 notify5/22 还空柜</t>
        </r>
      </text>
    </comment>
    <comment ref="W658" authorId="1461">
      <text>
        <r>
          <rPr>
            <sz val="10"/>
            <rFont val="宋体"/>
            <charset val="134"/>
          </rPr>
          <t>21天免柜</t>
        </r>
      </text>
    </comment>
    <comment ref="J659" authorId="1462">
      <text>
        <r>
          <rPr>
            <sz val="10"/>
            <rFont val="宋体"/>
            <charset val="134"/>
          </rPr>
          <t>原来5.13</t>
        </r>
      </text>
    </comment>
    <comment ref="V659" authorId="1463">
      <text>
        <r>
          <rPr>
            <sz val="10"/>
            <rFont val="宋体"/>
            <charset val="134"/>
          </rPr>
          <t>5/20 notify5.22collect5/22 还空柜</t>
        </r>
      </text>
    </comment>
    <comment ref="V660" authorId="1464">
      <text>
        <r>
          <rPr>
            <sz val="10"/>
            <rFont val="宋体"/>
            <charset val="134"/>
          </rPr>
          <t>5/27 notify5/27还空柜</t>
        </r>
      </text>
    </comment>
    <comment ref="W660" authorId="1465">
      <text>
        <r>
          <rPr>
            <sz val="10"/>
            <rFont val="宋体"/>
            <charset val="134"/>
          </rPr>
          <t>21天免柜</t>
        </r>
      </text>
    </comment>
    <comment ref="V661" authorId="1466">
      <text>
        <r>
          <rPr>
            <sz val="10"/>
            <rFont val="宋体"/>
            <charset val="134"/>
          </rPr>
          <t>5/28 notify5/30 还空柜</t>
        </r>
      </text>
    </comment>
    <comment ref="W661" authorId="1467">
      <text>
        <r>
          <rPr>
            <sz val="10"/>
            <rFont val="宋体"/>
            <charset val="134"/>
          </rPr>
          <t>21天免柜</t>
        </r>
      </text>
    </comment>
    <comment ref="I662" authorId="1468">
      <text>
        <r>
          <rPr>
            <sz val="10"/>
            <rFont val="宋体"/>
            <charset val="134"/>
          </rPr>
          <t>原ETD 4.30, ETA 5.17</t>
        </r>
      </text>
    </comment>
    <comment ref="J662" authorId="1469">
      <text>
        <r>
          <rPr>
            <sz val="10"/>
            <rFont val="宋体"/>
            <charset val="134"/>
          </rPr>
          <t>5.20</t>
        </r>
      </text>
    </comment>
    <comment ref="V662" authorId="1470">
      <text>
        <r>
          <rPr>
            <sz val="10"/>
            <rFont val="宋体"/>
            <charset val="134"/>
          </rPr>
          <t>5/28 notify5/29 还空柜</t>
        </r>
      </text>
    </comment>
    <comment ref="W662" authorId="1471">
      <text>
        <r>
          <rPr>
            <sz val="10"/>
            <rFont val="宋体"/>
            <charset val="134"/>
          </rPr>
          <t>21天免柜</t>
        </r>
      </text>
    </comment>
    <comment ref="I663" authorId="1472">
      <text>
        <r>
          <rPr>
            <sz val="10"/>
            <rFont val="宋体"/>
            <charset val="134"/>
          </rPr>
          <t>原ETD 4.30, ETA 5.17</t>
        </r>
      </text>
    </comment>
    <comment ref="J663" authorId="1473">
      <text>
        <r>
          <rPr>
            <sz val="10"/>
            <rFont val="宋体"/>
            <charset val="134"/>
          </rPr>
          <t>5.20</t>
        </r>
      </text>
    </comment>
    <comment ref="V663" authorId="1474">
      <text>
        <r>
          <rPr>
            <sz val="10"/>
            <rFont val="宋体"/>
            <charset val="134"/>
          </rPr>
          <t>5/28 notify5/29 还空柜</t>
        </r>
      </text>
    </comment>
    <comment ref="W663" authorId="1475">
      <text>
        <r>
          <rPr>
            <sz val="10"/>
            <rFont val="宋体"/>
            <charset val="134"/>
          </rPr>
          <t>21天免柜</t>
        </r>
      </text>
    </comment>
    <comment ref="I664" authorId="1476">
      <text>
        <r>
          <rPr>
            <sz val="10"/>
            <rFont val="宋体"/>
            <charset val="134"/>
          </rPr>
          <t>原ETD 4.30, ETA 5.17</t>
        </r>
      </text>
    </comment>
    <comment ref="J664" authorId="1477">
      <text>
        <r>
          <rPr>
            <sz val="10"/>
            <rFont val="宋体"/>
            <charset val="134"/>
          </rPr>
          <t>5.20</t>
        </r>
      </text>
    </comment>
    <comment ref="V664" authorId="1478">
      <text>
        <r>
          <rPr>
            <sz val="10"/>
            <rFont val="宋体"/>
            <charset val="134"/>
          </rPr>
          <t>5/27 notify5/29 还空柜</t>
        </r>
      </text>
    </comment>
    <comment ref="W664" authorId="1479">
      <text>
        <r>
          <rPr>
            <sz val="10"/>
            <rFont val="宋体"/>
            <charset val="134"/>
          </rPr>
          <t>21天免柜</t>
        </r>
      </text>
    </comment>
    <comment ref="I665" authorId="1480">
      <text>
        <r>
          <rPr>
            <sz val="10"/>
            <rFont val="宋体"/>
            <charset val="134"/>
          </rPr>
          <t>原ETD 4.30, ETA 5.17</t>
        </r>
      </text>
    </comment>
    <comment ref="J665" authorId="1481">
      <text>
        <r>
          <rPr>
            <sz val="10"/>
            <rFont val="宋体"/>
            <charset val="134"/>
          </rPr>
          <t>5.20</t>
        </r>
      </text>
    </comment>
    <comment ref="V665" authorId="1482">
      <text>
        <r>
          <rPr>
            <sz val="10"/>
            <rFont val="宋体"/>
            <charset val="134"/>
          </rPr>
          <t>5/28 notify5/28 还空柜</t>
        </r>
      </text>
    </comment>
    <comment ref="W665" authorId="1483">
      <text>
        <r>
          <rPr>
            <sz val="10"/>
            <rFont val="宋体"/>
            <charset val="134"/>
          </rPr>
          <t>21天免柜</t>
        </r>
      </text>
    </comment>
    <comment ref="I666" authorId="1484">
      <text>
        <r>
          <rPr>
            <sz val="10"/>
            <rFont val="宋体"/>
            <charset val="134"/>
          </rPr>
          <t>原ETD 4.30, ETA 5.17</t>
        </r>
      </text>
    </comment>
    <comment ref="J666" authorId="1485">
      <text>
        <r>
          <rPr>
            <sz val="10"/>
            <rFont val="宋体"/>
            <charset val="134"/>
          </rPr>
          <t>5.20</t>
        </r>
      </text>
    </comment>
    <comment ref="V666" authorId="1486">
      <text>
        <r>
          <rPr>
            <sz val="10"/>
            <rFont val="宋体"/>
            <charset val="134"/>
          </rPr>
          <t>6/3 notify6/4 还空柜</t>
        </r>
      </text>
    </comment>
    <comment ref="W666" authorId="1487">
      <text>
        <r>
          <rPr>
            <sz val="10"/>
            <rFont val="宋体"/>
            <charset val="134"/>
          </rPr>
          <t>21天免柜</t>
        </r>
      </text>
    </comment>
    <comment ref="I667" authorId="1488">
      <text>
        <r>
          <rPr>
            <sz val="10"/>
            <rFont val="宋体"/>
            <charset val="134"/>
          </rPr>
          <t>原ETD 4.30, ETA 5.17</t>
        </r>
      </text>
    </comment>
    <comment ref="J667" authorId="1489">
      <text>
        <r>
          <rPr>
            <sz val="10"/>
            <rFont val="宋体"/>
            <charset val="134"/>
          </rPr>
          <t>5.20</t>
        </r>
      </text>
    </comment>
    <comment ref="V667" authorId="1490">
      <text>
        <r>
          <rPr>
            <sz val="10"/>
            <rFont val="宋体"/>
            <charset val="134"/>
          </rPr>
          <t>5/28 还空柜</t>
        </r>
      </text>
    </comment>
    <comment ref="W667" authorId="1491">
      <text>
        <r>
          <rPr>
            <sz val="10"/>
            <rFont val="宋体"/>
            <charset val="134"/>
          </rPr>
          <t>21天免柜</t>
        </r>
      </text>
    </comment>
    <comment ref="I668" authorId="1492">
      <text>
        <r>
          <rPr>
            <sz val="10"/>
            <rFont val="宋体"/>
            <charset val="134"/>
          </rPr>
          <t>原ETD 4.30, ETA 5.17</t>
        </r>
      </text>
    </comment>
    <comment ref="J668" authorId="1493">
      <text>
        <r>
          <rPr>
            <sz val="10"/>
            <rFont val="宋体"/>
            <charset val="134"/>
          </rPr>
          <t>5.20</t>
        </r>
      </text>
    </comment>
    <comment ref="V668" authorId="1494">
      <text>
        <r>
          <rPr>
            <sz val="10"/>
            <rFont val="宋体"/>
            <charset val="134"/>
          </rPr>
          <t>5/27 notify5/27 还空柜</t>
        </r>
      </text>
    </comment>
    <comment ref="W668" authorId="1495">
      <text>
        <r>
          <rPr>
            <sz val="10"/>
            <rFont val="宋体"/>
            <charset val="134"/>
          </rPr>
          <t>21天免柜</t>
        </r>
      </text>
    </comment>
    <comment ref="I669" authorId="1496">
      <text>
        <r>
          <rPr>
            <sz val="10"/>
            <rFont val="宋体"/>
            <charset val="134"/>
          </rPr>
          <t>原ETD 4.30, ETA 5.17</t>
        </r>
      </text>
    </comment>
    <comment ref="J669" authorId="1497">
      <text>
        <r>
          <rPr>
            <sz val="10"/>
            <rFont val="宋体"/>
            <charset val="134"/>
          </rPr>
          <t>5.20</t>
        </r>
      </text>
    </comment>
    <comment ref="V669" authorId="1498">
      <text>
        <r>
          <rPr>
            <sz val="10"/>
            <rFont val="宋体"/>
            <charset val="134"/>
          </rPr>
          <t>5/28 notify5/29 还空柜</t>
        </r>
      </text>
    </comment>
    <comment ref="W669" authorId="1499">
      <text>
        <r>
          <rPr>
            <sz val="10"/>
            <rFont val="宋体"/>
            <charset val="134"/>
          </rPr>
          <t>21天免柜</t>
        </r>
      </text>
    </comment>
    <comment ref="I670" authorId="1500">
      <text>
        <r>
          <rPr>
            <sz val="10"/>
            <rFont val="宋体"/>
            <charset val="134"/>
          </rPr>
          <t>原ETD 4.30, ETA 5.17</t>
        </r>
      </text>
    </comment>
    <comment ref="J670" authorId="1501">
      <text>
        <r>
          <rPr>
            <sz val="10"/>
            <rFont val="宋体"/>
            <charset val="134"/>
          </rPr>
          <t>5.20</t>
        </r>
      </text>
    </comment>
    <comment ref="V670" authorId="1502">
      <text>
        <r>
          <rPr>
            <sz val="10"/>
            <rFont val="宋体"/>
            <charset val="134"/>
          </rPr>
          <t>5/28 notify5/31还空柜</t>
        </r>
      </text>
    </comment>
    <comment ref="W670" authorId="1503">
      <text>
        <r>
          <rPr>
            <sz val="10"/>
            <rFont val="宋体"/>
            <charset val="134"/>
          </rPr>
          <t>21天免柜</t>
        </r>
      </text>
    </comment>
    <comment ref="I671" authorId="1504">
      <text>
        <r>
          <rPr>
            <sz val="10"/>
            <rFont val="宋体"/>
            <charset val="134"/>
          </rPr>
          <t>原ETD 4.30, ETA 5.17</t>
        </r>
      </text>
    </comment>
    <comment ref="J671" authorId="1505">
      <text>
        <r>
          <rPr>
            <sz val="10"/>
            <rFont val="宋体"/>
            <charset val="134"/>
          </rPr>
          <t>5.20</t>
        </r>
      </text>
    </comment>
    <comment ref="V671" authorId="1506">
      <text>
        <r>
          <rPr>
            <sz val="10"/>
            <rFont val="宋体"/>
            <charset val="134"/>
          </rPr>
          <t>5/28 notify5/29 还空柜</t>
        </r>
      </text>
    </comment>
    <comment ref="W671" authorId="1507">
      <text>
        <r>
          <rPr>
            <sz val="10"/>
            <rFont val="宋体"/>
            <charset val="134"/>
          </rPr>
          <t>21天免柜</t>
        </r>
      </text>
    </comment>
    <comment ref="I672" authorId="1508">
      <text>
        <r>
          <rPr>
            <sz val="10"/>
            <rFont val="宋体"/>
            <charset val="134"/>
          </rPr>
          <t>原ETD 4.30, ETA 5.17</t>
        </r>
      </text>
    </comment>
    <comment ref="J672" authorId="1509">
      <text>
        <r>
          <rPr>
            <sz val="10"/>
            <rFont val="宋体"/>
            <charset val="134"/>
          </rPr>
          <t>5.20</t>
        </r>
      </text>
    </comment>
    <comment ref="V672" authorId="1510">
      <text>
        <r>
          <rPr>
            <sz val="10"/>
            <rFont val="宋体"/>
            <charset val="134"/>
          </rPr>
          <t>5/29 还空柜</t>
        </r>
      </text>
    </comment>
    <comment ref="W672" authorId="1511">
      <text>
        <r>
          <rPr>
            <sz val="10"/>
            <rFont val="宋体"/>
            <charset val="134"/>
          </rPr>
          <t>21天免柜</t>
        </r>
      </text>
    </comment>
    <comment ref="I673" authorId="1512">
      <text>
        <r>
          <rPr>
            <sz val="10"/>
            <rFont val="宋体"/>
            <charset val="134"/>
          </rPr>
          <t>原ETD 4.30, ETA 5.17</t>
        </r>
      </text>
    </comment>
    <comment ref="J673" authorId="1513">
      <text>
        <r>
          <rPr>
            <sz val="10"/>
            <rFont val="宋体"/>
            <charset val="134"/>
          </rPr>
          <t>5.20</t>
        </r>
      </text>
    </comment>
    <comment ref="V673" authorId="1514">
      <text>
        <r>
          <rPr>
            <sz val="10"/>
            <rFont val="宋体"/>
            <charset val="134"/>
          </rPr>
          <t>6/3 notify6/4 还空柜</t>
        </r>
      </text>
    </comment>
    <comment ref="W673" authorId="1515">
      <text>
        <r>
          <rPr>
            <sz val="10"/>
            <rFont val="宋体"/>
            <charset val="134"/>
          </rPr>
          <t>21天免柜</t>
        </r>
      </text>
    </comment>
    <comment ref="J674" authorId="1516">
      <text>
        <r>
          <rPr>
            <sz val="10"/>
            <rFont val="宋体"/>
            <charset val="134"/>
          </rPr>
          <t>5.19</t>
        </r>
      </text>
    </comment>
    <comment ref="V674" authorId="1517">
      <text>
        <r>
          <rPr>
            <sz val="10"/>
            <rFont val="宋体"/>
            <charset val="134"/>
          </rPr>
          <t>5/30 还空柜</t>
        </r>
      </text>
    </comment>
    <comment ref="W674" authorId="1518">
      <text>
        <r>
          <rPr>
            <sz val="10"/>
            <rFont val="宋体"/>
            <charset val="134"/>
          </rPr>
          <t>21天免柜</t>
        </r>
      </text>
    </comment>
    <comment ref="J675" authorId="1519">
      <text>
        <r>
          <rPr>
            <sz val="10"/>
            <rFont val="宋体"/>
            <charset val="134"/>
          </rPr>
          <t>5.19</t>
        </r>
      </text>
    </comment>
    <comment ref="V675" authorId="1520">
      <text>
        <r>
          <rPr>
            <sz val="10"/>
            <rFont val="宋体"/>
            <charset val="134"/>
          </rPr>
          <t>5/28 notify5/30 还空柜</t>
        </r>
      </text>
    </comment>
    <comment ref="W675" authorId="1521">
      <text>
        <r>
          <rPr>
            <sz val="10"/>
            <rFont val="宋体"/>
            <charset val="134"/>
          </rPr>
          <t>21天免柜</t>
        </r>
      </text>
    </comment>
    <comment ref="J676" authorId="1522">
      <text>
        <r>
          <rPr>
            <sz val="10"/>
            <rFont val="宋体"/>
            <charset val="134"/>
          </rPr>
          <t>5.19</t>
        </r>
      </text>
    </comment>
    <comment ref="V676" authorId="1523">
      <text>
        <r>
          <rPr>
            <sz val="10"/>
            <rFont val="宋体"/>
            <charset val="134"/>
          </rPr>
          <t>5/31 还空柜</t>
        </r>
      </text>
    </comment>
    <comment ref="W676" authorId="1524">
      <text>
        <r>
          <rPr>
            <sz val="10"/>
            <rFont val="宋体"/>
            <charset val="134"/>
          </rPr>
          <t>21天免柜</t>
        </r>
      </text>
    </comment>
    <comment ref="J677" authorId="1525">
      <text>
        <r>
          <rPr>
            <sz val="10"/>
            <rFont val="宋体"/>
            <charset val="134"/>
          </rPr>
          <t>5.19</t>
        </r>
      </text>
    </comment>
    <comment ref="V677" authorId="1526">
      <text>
        <r>
          <rPr>
            <sz val="10"/>
            <rFont val="宋体"/>
            <charset val="134"/>
          </rPr>
          <t>5/28 notify5/29 还空柜</t>
        </r>
      </text>
    </comment>
    <comment ref="W677" authorId="1527">
      <text>
        <r>
          <rPr>
            <sz val="10"/>
            <rFont val="宋体"/>
            <charset val="134"/>
          </rPr>
          <t>21天免柜</t>
        </r>
      </text>
    </comment>
    <comment ref="E678" authorId="1528">
      <text>
        <r>
          <rPr>
            <sz val="10"/>
            <rFont val="宋体"/>
            <charset val="134"/>
          </rPr>
          <t>MBT 负责此海运费</t>
        </r>
      </text>
    </comment>
    <comment ref="J678" authorId="1529">
      <text>
        <r>
          <rPr>
            <sz val="10"/>
            <rFont val="宋体"/>
            <charset val="134"/>
          </rPr>
          <t>原5.22</t>
        </r>
      </text>
    </comment>
    <comment ref="V678" authorId="1530">
      <text>
        <r>
          <rPr>
            <sz val="10"/>
            <rFont val="宋体"/>
            <charset val="134"/>
          </rPr>
          <t>6/2 还空柜</t>
        </r>
      </text>
    </comment>
    <comment ref="W678" authorId="1531">
      <text>
        <r>
          <rPr>
            <sz val="10"/>
            <rFont val="宋体"/>
            <charset val="134"/>
          </rPr>
          <t>21天免柜</t>
        </r>
      </text>
    </comment>
    <comment ref="J679" authorId="1532">
      <text>
        <r>
          <rPr>
            <sz val="10"/>
            <rFont val="宋体"/>
            <charset val="134"/>
          </rPr>
          <t>原5.22</t>
        </r>
      </text>
    </comment>
    <comment ref="W679" authorId="1533">
      <text>
        <r>
          <rPr>
            <sz val="10"/>
            <rFont val="宋体"/>
            <charset val="134"/>
          </rPr>
          <t>21天免柜</t>
        </r>
      </text>
    </comment>
    <comment ref="J680" authorId="1534">
      <text>
        <r>
          <rPr>
            <sz val="10"/>
            <rFont val="宋体"/>
            <charset val="134"/>
          </rPr>
          <t>原5.22</t>
        </r>
      </text>
    </comment>
    <comment ref="V680" authorId="1535">
      <text>
        <r>
          <rPr>
            <sz val="10"/>
            <rFont val="宋体"/>
            <charset val="134"/>
          </rPr>
          <t>6/2还空柜</t>
        </r>
      </text>
    </comment>
    <comment ref="W680" authorId="1536">
      <text>
        <r>
          <rPr>
            <sz val="10"/>
            <rFont val="宋体"/>
            <charset val="134"/>
          </rPr>
          <t>21天免柜</t>
        </r>
      </text>
    </comment>
    <comment ref="J681" authorId="1537">
      <text>
        <r>
          <rPr>
            <sz val="10"/>
            <rFont val="宋体"/>
            <charset val="134"/>
          </rPr>
          <t>原5.22</t>
        </r>
      </text>
    </comment>
    <comment ref="V681" authorId="1538">
      <text>
        <r>
          <rPr>
            <sz val="10"/>
            <rFont val="宋体"/>
            <charset val="134"/>
          </rPr>
          <t>5/29 notify5/30 还空柜</t>
        </r>
      </text>
    </comment>
    <comment ref="W681" authorId="1539">
      <text>
        <r>
          <rPr>
            <sz val="10"/>
            <rFont val="宋体"/>
            <charset val="134"/>
          </rPr>
          <t>21天免柜</t>
        </r>
      </text>
    </comment>
    <comment ref="J682" authorId="1540">
      <text>
        <r>
          <rPr>
            <sz val="10"/>
            <rFont val="宋体"/>
            <charset val="134"/>
          </rPr>
          <t>原5.22</t>
        </r>
      </text>
    </comment>
    <comment ref="V682" authorId="1541">
      <text>
        <r>
          <rPr>
            <sz val="10"/>
            <rFont val="宋体"/>
            <charset val="134"/>
          </rPr>
          <t>5/29 notify6.2还空柜</t>
        </r>
      </text>
    </comment>
    <comment ref="W682" authorId="1542">
      <text>
        <r>
          <rPr>
            <sz val="10"/>
            <rFont val="宋体"/>
            <charset val="134"/>
          </rPr>
          <t>21天免柜</t>
        </r>
      </text>
    </comment>
    <comment ref="J683" authorId="1543">
      <text>
        <r>
          <rPr>
            <sz val="10"/>
            <rFont val="宋体"/>
            <charset val="134"/>
          </rPr>
          <t>5.18</t>
        </r>
      </text>
    </comment>
    <comment ref="V683" authorId="1544">
      <text>
        <r>
          <rPr>
            <sz val="10"/>
            <rFont val="宋体"/>
            <charset val="134"/>
          </rPr>
          <t>5/29</t>
        </r>
      </text>
    </comment>
    <comment ref="W683" authorId="1545">
      <text>
        <r>
          <rPr>
            <sz val="10"/>
            <rFont val="宋体"/>
            <charset val="134"/>
          </rPr>
          <t>21天免柜</t>
        </r>
      </text>
    </comment>
    <comment ref="J684" authorId="1546">
      <text>
        <r>
          <rPr>
            <sz val="10"/>
            <rFont val="宋体"/>
            <charset val="134"/>
          </rPr>
          <t>5.18</t>
        </r>
      </text>
    </comment>
    <comment ref="V684" authorId="1547">
      <text>
        <r>
          <rPr>
            <sz val="10"/>
            <rFont val="宋体"/>
            <charset val="134"/>
          </rPr>
          <t>5/28 notify5/29 还空柜</t>
        </r>
      </text>
    </comment>
    <comment ref="W684" authorId="1548">
      <text>
        <r>
          <rPr>
            <sz val="10"/>
            <rFont val="宋体"/>
            <charset val="134"/>
          </rPr>
          <t>21天免柜</t>
        </r>
      </text>
    </comment>
    <comment ref="E685" authorId="1549">
      <text>
        <r>
          <rPr>
            <sz val="10"/>
            <rFont val="宋体"/>
            <charset val="134"/>
          </rPr>
          <t>MBT 负责此海运费</t>
        </r>
      </text>
    </comment>
    <comment ref="J685" authorId="1550">
      <text>
        <r>
          <rPr>
            <sz val="10"/>
            <rFont val="宋体"/>
            <charset val="134"/>
          </rPr>
          <t>5.18</t>
        </r>
      </text>
    </comment>
    <comment ref="V685" authorId="1551">
      <text>
        <r>
          <rPr>
            <sz val="10"/>
            <rFont val="宋体"/>
            <charset val="134"/>
          </rPr>
          <t>6/2还空柜</t>
        </r>
      </text>
    </comment>
    <comment ref="W685" authorId="1552">
      <text>
        <r>
          <rPr>
            <sz val="10"/>
            <rFont val="宋体"/>
            <charset val="134"/>
          </rPr>
          <t>21天免柜</t>
        </r>
      </text>
    </comment>
    <comment ref="J686" authorId="1553">
      <text>
        <r>
          <rPr>
            <sz val="10"/>
            <rFont val="宋体"/>
            <charset val="134"/>
          </rPr>
          <t>原ETA 5.17</t>
        </r>
      </text>
    </comment>
    <comment ref="V686" authorId="1554">
      <text>
        <r>
          <rPr>
            <sz val="10"/>
            <rFont val="宋体"/>
            <charset val="134"/>
          </rPr>
          <t>6/3 notify6.3还空柜</t>
        </r>
      </text>
    </comment>
    <comment ref="W686" authorId="1555">
      <text>
        <r>
          <rPr>
            <sz val="10"/>
            <rFont val="宋体"/>
            <charset val="134"/>
          </rPr>
          <t>21天免柜</t>
        </r>
      </text>
    </comment>
    <comment ref="J687" authorId="1556">
      <text>
        <r>
          <rPr>
            <sz val="10"/>
            <rFont val="宋体"/>
            <charset val="134"/>
          </rPr>
          <t>原ETA 5.17</t>
        </r>
      </text>
    </comment>
    <comment ref="V687" authorId="1557">
      <text>
        <r>
          <rPr>
            <sz val="10"/>
            <rFont val="宋体"/>
            <charset val="134"/>
          </rPr>
          <t>6/5 MF已提走6.6还空柜</t>
        </r>
      </text>
    </comment>
    <comment ref="W687" authorId="1558">
      <text>
        <r>
          <rPr>
            <sz val="10"/>
            <rFont val="宋体"/>
            <charset val="134"/>
          </rPr>
          <t>21天免柜</t>
        </r>
      </text>
    </comment>
    <comment ref="J688" authorId="1559">
      <text>
        <r>
          <rPr>
            <sz val="10"/>
            <rFont val="宋体"/>
            <charset val="134"/>
          </rPr>
          <t>5.18</t>
        </r>
      </text>
    </comment>
    <comment ref="V688" authorId="1560">
      <text>
        <r>
          <rPr>
            <sz val="10"/>
            <rFont val="宋体"/>
            <charset val="134"/>
          </rPr>
          <t>6/4 notify6.4 已取走6.6 还空柜</t>
        </r>
      </text>
    </comment>
    <comment ref="W688" authorId="1561">
      <text>
        <r>
          <rPr>
            <sz val="10"/>
            <rFont val="宋体"/>
            <charset val="134"/>
          </rPr>
          <t>21天免柜</t>
        </r>
      </text>
    </comment>
    <comment ref="V689" authorId="1562">
      <text>
        <r>
          <rPr>
            <sz val="10"/>
            <rFont val="宋体"/>
            <charset val="134"/>
          </rPr>
          <t>6/5 notify6/6 还空柜</t>
        </r>
      </text>
    </comment>
    <comment ref="W689" authorId="1563">
      <text>
        <r>
          <rPr>
            <sz val="10"/>
            <rFont val="宋体"/>
            <charset val="134"/>
          </rPr>
          <t>21天免柜</t>
        </r>
      </text>
    </comment>
    <comment ref="V690" authorId="1564">
      <text>
        <r>
          <rPr>
            <sz val="10"/>
            <rFont val="宋体"/>
            <charset val="134"/>
          </rPr>
          <t>6/2 还空柜</t>
        </r>
      </text>
    </comment>
    <comment ref="W690" authorId="1565">
      <text>
        <r>
          <rPr>
            <sz val="10"/>
            <rFont val="宋体"/>
            <charset val="134"/>
          </rPr>
          <t>21天免柜</t>
        </r>
      </text>
    </comment>
    <comment ref="V691" authorId="1566">
      <text>
        <r>
          <rPr>
            <sz val="10"/>
            <rFont val="宋体"/>
            <charset val="134"/>
          </rPr>
          <t>6/3 还空柜</t>
        </r>
      </text>
    </comment>
    <comment ref="W691" authorId="1567">
      <text>
        <r>
          <rPr>
            <sz val="10"/>
            <rFont val="宋体"/>
            <charset val="134"/>
          </rPr>
          <t>21天免柜</t>
        </r>
      </text>
    </comment>
    <comment ref="V692" authorId="1568">
      <text>
        <r>
          <rPr>
            <sz val="10"/>
            <rFont val="宋体"/>
            <charset val="134"/>
          </rPr>
          <t>6/5 notify6/6 还空柜</t>
        </r>
      </text>
    </comment>
    <comment ref="W692" authorId="1569">
      <text>
        <r>
          <rPr>
            <sz val="10"/>
            <rFont val="宋体"/>
            <charset val="134"/>
          </rPr>
          <t>21天免柜</t>
        </r>
      </text>
    </comment>
    <comment ref="V693" authorId="1570">
      <text>
        <r>
          <rPr>
            <sz val="10"/>
            <rFont val="宋体"/>
            <charset val="134"/>
          </rPr>
          <t>6/3还空柜</t>
        </r>
      </text>
    </comment>
    <comment ref="W693" authorId="1571">
      <text>
        <r>
          <rPr>
            <sz val="10"/>
            <rFont val="宋体"/>
            <charset val="134"/>
          </rPr>
          <t>21天免柜</t>
        </r>
      </text>
    </comment>
    <comment ref="V694" authorId="1572">
      <text>
        <r>
          <rPr>
            <sz val="10"/>
            <rFont val="宋体"/>
            <charset val="134"/>
          </rPr>
          <t>6/4 还空柜</t>
        </r>
      </text>
    </comment>
    <comment ref="W694" authorId="1573">
      <text>
        <r>
          <rPr>
            <sz val="10"/>
            <rFont val="宋体"/>
            <charset val="134"/>
          </rPr>
          <t>21天免柜</t>
        </r>
      </text>
    </comment>
    <comment ref="V695" authorId="1574">
      <text>
        <r>
          <rPr>
            <sz val="10"/>
            <rFont val="宋体"/>
            <charset val="134"/>
          </rPr>
          <t>6/2 还空柜</t>
        </r>
      </text>
    </comment>
    <comment ref="W695" authorId="1575">
      <text>
        <r>
          <rPr>
            <sz val="10"/>
            <rFont val="宋体"/>
            <charset val="134"/>
          </rPr>
          <t>21天免柜</t>
        </r>
      </text>
    </comment>
    <comment ref="E696" authorId="1576">
      <text>
        <r>
          <rPr>
            <sz val="10"/>
            <rFont val="宋体"/>
            <charset val="134"/>
          </rPr>
          <t>MBT 负责此海运费</t>
        </r>
      </text>
    </comment>
    <comment ref="J696" authorId="1577">
      <text>
        <r>
          <rPr>
            <sz val="10"/>
            <rFont val="宋体"/>
            <charset val="134"/>
          </rPr>
          <t>5.18</t>
        </r>
      </text>
    </comment>
    <comment ref="V696" authorId="1578">
      <text>
        <r>
          <rPr>
            <sz val="10"/>
            <rFont val="宋体"/>
            <charset val="134"/>
          </rPr>
          <t>6/3 notify6/4 还空柜</t>
        </r>
      </text>
    </comment>
    <comment ref="W696" authorId="1579">
      <text>
        <r>
          <rPr>
            <sz val="10"/>
            <rFont val="宋体"/>
            <charset val="134"/>
          </rPr>
          <t>21天免柜</t>
        </r>
      </text>
    </comment>
    <comment ref="E697" authorId="1580">
      <text>
        <r>
          <rPr>
            <sz val="10"/>
            <rFont val="宋体"/>
            <charset val="134"/>
          </rPr>
          <t>MBT 负责此海运费</t>
        </r>
      </text>
    </comment>
    <comment ref="J697" authorId="1581">
      <text>
        <r>
          <rPr>
            <sz val="10"/>
            <rFont val="宋体"/>
            <charset val="134"/>
          </rPr>
          <t>5.18</t>
        </r>
      </text>
    </comment>
    <comment ref="L697" authorId="1582">
      <text>
        <r>
          <rPr>
            <sz val="10"/>
            <rFont val="宋体"/>
            <charset val="134"/>
          </rPr>
          <t>5/13 Curtis通知直接派给客户</t>
        </r>
      </text>
    </comment>
    <comment ref="V697" authorId="1583">
      <text>
        <r>
          <rPr>
            <sz val="10"/>
            <rFont val="宋体"/>
            <charset val="134"/>
          </rPr>
          <t>6/5 notify6/10 还空柜</t>
        </r>
      </text>
    </comment>
    <comment ref="W697" authorId="1584">
      <text>
        <r>
          <rPr>
            <sz val="10"/>
            <rFont val="宋体"/>
            <charset val="134"/>
          </rPr>
          <t>21天免柜</t>
        </r>
      </text>
    </comment>
    <comment ref="E698" authorId="1585">
      <text>
        <r>
          <rPr>
            <sz val="10"/>
            <rFont val="宋体"/>
            <charset val="134"/>
          </rPr>
          <t>MBT 负责此海运费</t>
        </r>
      </text>
    </comment>
    <comment ref="J698" authorId="1586">
      <text>
        <r>
          <rPr>
            <sz val="10"/>
            <rFont val="宋体"/>
            <charset val="134"/>
          </rPr>
          <t>5.18</t>
        </r>
      </text>
    </comment>
    <comment ref="V698" authorId="1587">
      <text>
        <r>
          <rPr>
            <sz val="10"/>
            <rFont val="宋体"/>
            <charset val="134"/>
          </rPr>
          <t>6/4 notify6.5 已取走6.6 还空柜</t>
        </r>
      </text>
    </comment>
    <comment ref="W698" authorId="1588">
      <text>
        <r>
          <rPr>
            <sz val="10"/>
            <rFont val="宋体"/>
            <charset val="134"/>
          </rPr>
          <t>21天免柜</t>
        </r>
      </text>
    </comment>
    <comment ref="J699" authorId="1589">
      <text>
        <r>
          <rPr>
            <sz val="10"/>
            <rFont val="宋体"/>
            <charset val="134"/>
          </rPr>
          <t>5.19</t>
        </r>
      </text>
    </comment>
    <comment ref="V699" authorId="1590">
      <text>
        <r>
          <rPr>
            <sz val="10"/>
            <rFont val="宋体"/>
            <charset val="134"/>
          </rPr>
          <t>6/4 notify6.5 已取走6.5还空柜</t>
        </r>
      </text>
    </comment>
    <comment ref="W699" authorId="1591">
      <text>
        <r>
          <rPr>
            <sz val="10"/>
            <rFont val="宋体"/>
            <charset val="134"/>
          </rPr>
          <t>21天免柜</t>
        </r>
      </text>
    </comment>
    <comment ref="J700" authorId="1592">
      <text>
        <r>
          <rPr>
            <sz val="10"/>
            <rFont val="宋体"/>
            <charset val="134"/>
          </rPr>
          <t>5.19</t>
        </r>
      </text>
    </comment>
    <comment ref="V700" authorId="1593">
      <text>
        <r>
          <rPr>
            <sz val="10"/>
            <rFont val="宋体"/>
            <charset val="134"/>
          </rPr>
          <t>6/4 notify6.5已取走6.6 还空柜</t>
        </r>
      </text>
    </comment>
    <comment ref="W700" authorId="1594">
      <text>
        <r>
          <rPr>
            <sz val="10"/>
            <rFont val="宋体"/>
            <charset val="134"/>
          </rPr>
          <t>21天免柜</t>
        </r>
      </text>
    </comment>
    <comment ref="J701" authorId="1595">
      <text>
        <r>
          <rPr>
            <sz val="10"/>
            <rFont val="宋体"/>
            <charset val="134"/>
          </rPr>
          <t>5.19</t>
        </r>
      </text>
    </comment>
    <comment ref="V701" authorId="1596">
      <text>
        <r>
          <rPr>
            <sz val="10"/>
            <rFont val="宋体"/>
            <charset val="134"/>
          </rPr>
          <t>6/4 notify6.5已取走6.6还空柜</t>
        </r>
      </text>
    </comment>
    <comment ref="W701" authorId="1597">
      <text>
        <r>
          <rPr>
            <sz val="10"/>
            <rFont val="宋体"/>
            <charset val="134"/>
          </rPr>
          <t>21天免柜</t>
        </r>
      </text>
    </comment>
    <comment ref="J702" authorId="1598">
      <text>
        <r>
          <rPr>
            <sz val="10"/>
            <rFont val="宋体"/>
            <charset val="134"/>
          </rPr>
          <t>5.19</t>
        </r>
      </text>
    </comment>
    <comment ref="V702" authorId="1599">
      <text>
        <r>
          <rPr>
            <sz val="10"/>
            <rFont val="宋体"/>
            <charset val="134"/>
          </rPr>
          <t>6/4 notify6.5 已取走6.6 还空柜</t>
        </r>
      </text>
    </comment>
    <comment ref="W702" authorId="1600">
      <text>
        <r>
          <rPr>
            <sz val="10"/>
            <rFont val="宋体"/>
            <charset val="134"/>
          </rPr>
          <t>21天免柜</t>
        </r>
      </text>
    </comment>
    <comment ref="J703" authorId="1601">
      <text>
        <r>
          <rPr>
            <sz val="10"/>
            <rFont val="宋体"/>
            <charset val="134"/>
          </rPr>
          <t>5.19</t>
        </r>
      </text>
    </comment>
    <comment ref="V703" authorId="1602">
      <text>
        <r>
          <rPr>
            <sz val="10"/>
            <rFont val="宋体"/>
            <charset val="134"/>
          </rPr>
          <t>6/4 notify6.4 还空柜</t>
        </r>
      </text>
    </comment>
    <comment ref="W703" authorId="1603">
      <text>
        <r>
          <rPr>
            <sz val="10"/>
            <rFont val="宋体"/>
            <charset val="134"/>
          </rPr>
          <t>21天免柜</t>
        </r>
      </text>
    </comment>
    <comment ref="J704" authorId="1604">
      <text>
        <r>
          <rPr>
            <sz val="10"/>
            <rFont val="宋体"/>
            <charset val="134"/>
          </rPr>
          <t>原5.29</t>
        </r>
      </text>
    </comment>
    <comment ref="L704" authorId="1605">
      <text>
        <r>
          <rPr>
            <sz val="10"/>
            <rFont val="宋体"/>
            <charset val="134"/>
          </rPr>
          <t>6/2 Edwin通知由原定的新西仓，改到dandenong</t>
        </r>
      </text>
    </comment>
    <comment ref="V704" authorId="1606">
      <text>
        <r>
          <rPr>
            <sz val="10"/>
            <rFont val="宋体"/>
            <charset val="134"/>
          </rPr>
          <t>6/5 notify6.5 已取走6/10 还空柜</t>
        </r>
      </text>
    </comment>
    <comment ref="W704" authorId="1607">
      <text>
        <r>
          <rPr>
            <sz val="10"/>
            <rFont val="宋体"/>
            <charset val="134"/>
          </rPr>
          <t>21天免柜</t>
        </r>
      </text>
    </comment>
    <comment ref="J705" authorId="1608">
      <text>
        <r>
          <rPr>
            <sz val="10"/>
            <rFont val="宋体"/>
            <charset val="134"/>
          </rPr>
          <t>原5.29</t>
        </r>
      </text>
    </comment>
    <comment ref="V705" authorId="1609">
      <text>
        <r>
          <rPr>
            <sz val="10"/>
            <rFont val="宋体"/>
            <charset val="134"/>
          </rPr>
          <t>6/5 notify6/11 还空柜</t>
        </r>
      </text>
    </comment>
    <comment ref="W705" authorId="1610">
      <text>
        <r>
          <rPr>
            <sz val="10"/>
            <rFont val="宋体"/>
            <charset val="134"/>
          </rPr>
          <t>21天免柜</t>
        </r>
      </text>
    </comment>
    <comment ref="J706" authorId="1611">
      <text>
        <r>
          <rPr>
            <sz val="10"/>
            <rFont val="宋体"/>
            <charset val="134"/>
          </rPr>
          <t>原5.29</t>
        </r>
      </text>
    </comment>
    <comment ref="V706" authorId="1612">
      <text>
        <r>
          <rPr>
            <sz val="10"/>
            <rFont val="宋体"/>
            <charset val="134"/>
          </rPr>
          <t>6/16 notify6/16 已取6/19 还空柜</t>
        </r>
      </text>
    </comment>
    <comment ref="W706" authorId="1613">
      <text>
        <r>
          <rPr>
            <sz val="10"/>
            <rFont val="宋体"/>
            <charset val="134"/>
          </rPr>
          <t>21天免柜</t>
        </r>
      </text>
    </comment>
    <comment ref="J707" authorId="1614">
      <text>
        <r>
          <rPr>
            <sz val="10"/>
            <rFont val="宋体"/>
            <charset val="134"/>
          </rPr>
          <t>原5.29</t>
        </r>
      </text>
    </comment>
    <comment ref="V707" authorId="1615">
      <text>
        <r>
          <rPr>
            <sz val="10"/>
            <rFont val="宋体"/>
            <charset val="134"/>
          </rPr>
          <t>6.5 notify6/6 还空柜</t>
        </r>
      </text>
    </comment>
    <comment ref="W707" authorId="1616">
      <text>
        <r>
          <rPr>
            <sz val="10"/>
            <rFont val="宋体"/>
            <charset val="134"/>
          </rPr>
          <t>21天免柜</t>
        </r>
      </text>
    </comment>
    <comment ref="J708" authorId="1617">
      <text>
        <r>
          <rPr>
            <sz val="10"/>
            <rFont val="宋体"/>
            <charset val="134"/>
          </rPr>
          <t>原5.29</t>
        </r>
      </text>
    </comment>
    <comment ref="V708" authorId="1618">
      <text>
        <r>
          <rPr>
            <sz val="10"/>
            <rFont val="宋体"/>
            <charset val="134"/>
          </rPr>
          <t>6/6 notify6/12 还空柜</t>
        </r>
      </text>
    </comment>
    <comment ref="W708" authorId="1619">
      <text>
        <r>
          <rPr>
            <sz val="10"/>
            <rFont val="宋体"/>
            <charset val="134"/>
          </rPr>
          <t>21天免柜</t>
        </r>
      </text>
    </comment>
    <comment ref="J709" authorId="1620">
      <text>
        <r>
          <rPr>
            <sz val="10"/>
            <rFont val="宋体"/>
            <charset val="134"/>
          </rPr>
          <t>原5.29</t>
        </r>
      </text>
    </comment>
    <comment ref="V709" authorId="1621">
      <text>
        <r>
          <rPr>
            <sz val="10"/>
            <rFont val="宋体"/>
            <charset val="134"/>
          </rPr>
          <t>6/6 notify6/10 还空柜</t>
        </r>
      </text>
    </comment>
    <comment ref="W709" authorId="1622">
      <text>
        <r>
          <rPr>
            <sz val="10"/>
            <rFont val="宋体"/>
            <charset val="134"/>
          </rPr>
          <t>21天免柜</t>
        </r>
      </text>
    </comment>
    <comment ref="J710" authorId="1623">
      <text>
        <r>
          <rPr>
            <sz val="10"/>
            <rFont val="宋体"/>
            <charset val="134"/>
          </rPr>
          <t>原5.29</t>
        </r>
      </text>
    </comment>
    <comment ref="V710" authorId="1624">
      <text>
        <r>
          <rPr>
            <sz val="10"/>
            <rFont val="宋体"/>
            <charset val="134"/>
          </rPr>
          <t>6/5 notidy6/6 还空柜</t>
        </r>
      </text>
    </comment>
    <comment ref="W710" authorId="1625">
      <text>
        <r>
          <rPr>
            <sz val="10"/>
            <rFont val="宋体"/>
            <charset val="134"/>
          </rPr>
          <t>21天免柜</t>
        </r>
      </text>
    </comment>
    <comment ref="J711" authorId="1626">
      <text>
        <r>
          <rPr>
            <sz val="10"/>
            <rFont val="宋体"/>
            <charset val="134"/>
          </rPr>
          <t>原5.29</t>
        </r>
      </text>
    </comment>
    <comment ref="V711" authorId="1627">
      <text>
        <r>
          <rPr>
            <sz val="10"/>
            <rFont val="宋体"/>
            <charset val="134"/>
          </rPr>
          <t>6/6 还空柜</t>
        </r>
      </text>
    </comment>
    <comment ref="W711" authorId="1628">
      <text>
        <r>
          <rPr>
            <sz val="10"/>
            <rFont val="宋体"/>
            <charset val="134"/>
          </rPr>
          <t>21天免柜</t>
        </r>
      </text>
    </comment>
    <comment ref="J712" authorId="1629">
      <text>
        <r>
          <rPr>
            <sz val="10"/>
            <rFont val="宋体"/>
            <charset val="134"/>
          </rPr>
          <t>原5.29</t>
        </r>
      </text>
    </comment>
    <comment ref="V712" authorId="1630">
      <text>
        <r>
          <rPr>
            <sz val="10"/>
            <rFont val="宋体"/>
            <charset val="134"/>
          </rPr>
          <t>6/11 notify6/12 还空柜</t>
        </r>
      </text>
    </comment>
    <comment ref="W712" authorId="1631">
      <text>
        <r>
          <rPr>
            <sz val="10"/>
            <rFont val="宋体"/>
            <charset val="134"/>
          </rPr>
          <t>21天免柜</t>
        </r>
      </text>
    </comment>
    <comment ref="J713" authorId="1632">
      <text>
        <r>
          <rPr>
            <sz val="10"/>
            <rFont val="宋体"/>
            <charset val="134"/>
          </rPr>
          <t>原5.29</t>
        </r>
      </text>
    </comment>
    <comment ref="V713" authorId="1633">
      <text>
        <r>
          <rPr>
            <sz val="10"/>
            <rFont val="宋体"/>
            <charset val="134"/>
          </rPr>
          <t>6/10 notify6/10 还空柜</t>
        </r>
      </text>
    </comment>
    <comment ref="W713" authorId="1634">
      <text>
        <r>
          <rPr>
            <sz val="10"/>
            <rFont val="宋体"/>
            <charset val="134"/>
          </rPr>
          <t>21天免柜</t>
        </r>
      </text>
    </comment>
    <comment ref="J714" authorId="1635">
      <text>
        <r>
          <rPr>
            <sz val="10"/>
            <rFont val="宋体"/>
            <charset val="134"/>
          </rPr>
          <t>原5.29</t>
        </r>
      </text>
    </comment>
    <comment ref="V714" authorId="1636">
      <text>
        <r>
          <rPr>
            <sz val="10"/>
            <rFont val="宋体"/>
            <charset val="134"/>
          </rPr>
          <t>6/12 notify6/14 还空柜</t>
        </r>
      </text>
    </comment>
    <comment ref="W714" authorId="1637">
      <text>
        <r>
          <rPr>
            <sz val="10"/>
            <rFont val="宋体"/>
            <charset val="134"/>
          </rPr>
          <t>21天免柜</t>
        </r>
      </text>
    </comment>
    <comment ref="J715" authorId="1638">
      <text>
        <r>
          <rPr>
            <sz val="10"/>
            <rFont val="宋体"/>
            <charset val="134"/>
          </rPr>
          <t>6.2</t>
        </r>
      </text>
    </comment>
    <comment ref="V715" authorId="1639">
      <text>
        <r>
          <rPr>
            <sz val="10"/>
            <rFont val="宋体"/>
            <charset val="134"/>
          </rPr>
          <t>6/6 还空柜</t>
        </r>
      </text>
    </comment>
    <comment ref="W715" authorId="1640">
      <text>
        <r>
          <rPr>
            <sz val="10"/>
            <rFont val="宋体"/>
            <charset val="134"/>
          </rPr>
          <t>21天免柜</t>
        </r>
      </text>
    </comment>
    <comment ref="J716" authorId="1641">
      <text>
        <r>
          <rPr>
            <sz val="10"/>
            <rFont val="宋体"/>
            <charset val="134"/>
          </rPr>
          <t>6.2</t>
        </r>
      </text>
    </comment>
    <comment ref="V716" authorId="1642">
      <text>
        <r>
          <rPr>
            <sz val="10"/>
            <rFont val="宋体"/>
            <charset val="134"/>
          </rPr>
          <t>6/6 notify6/6 还空柜</t>
        </r>
      </text>
    </comment>
    <comment ref="W716" authorId="1643">
      <text>
        <r>
          <rPr>
            <sz val="10"/>
            <rFont val="宋体"/>
            <charset val="134"/>
          </rPr>
          <t>21天免柜</t>
        </r>
      </text>
    </comment>
    <comment ref="V717" authorId="1644">
      <text>
        <r>
          <rPr>
            <sz val="10"/>
            <rFont val="宋体"/>
            <charset val="134"/>
          </rPr>
          <t>6/10 notify6/10 还空柜</t>
        </r>
      </text>
    </comment>
    <comment ref="W717" authorId="1645">
      <text>
        <r>
          <rPr>
            <sz val="10"/>
            <rFont val="宋体"/>
            <charset val="134"/>
          </rPr>
          <t>21天免柜</t>
        </r>
      </text>
    </comment>
    <comment ref="V718" authorId="1646">
      <text>
        <r>
          <rPr>
            <sz val="10"/>
            <rFont val="宋体"/>
            <charset val="134"/>
          </rPr>
          <t>6/6 notify6/10 还空柜</t>
        </r>
      </text>
    </comment>
    <comment ref="W718" authorId="1647">
      <text>
        <r>
          <rPr>
            <sz val="10"/>
            <rFont val="宋体"/>
            <charset val="134"/>
          </rPr>
          <t>21天免柜</t>
        </r>
      </text>
    </comment>
    <comment ref="J719" authorId="1648">
      <text>
        <r>
          <rPr>
            <sz val="10"/>
            <rFont val="宋体"/>
            <charset val="134"/>
          </rPr>
          <t>6.8</t>
        </r>
      </text>
    </comment>
    <comment ref="V719" authorId="1649">
      <text>
        <r>
          <rPr>
            <sz val="10"/>
            <rFont val="宋体"/>
            <charset val="134"/>
          </rPr>
          <t>6/16 notify6.20 已还柜</t>
        </r>
      </text>
    </comment>
    <comment ref="W719" authorId="1650">
      <text>
        <r>
          <rPr>
            <sz val="10"/>
            <rFont val="宋体"/>
            <charset val="134"/>
          </rPr>
          <t>21天免柜</t>
        </r>
      </text>
    </comment>
    <comment ref="J720" authorId="1651">
      <text>
        <r>
          <rPr>
            <sz val="10"/>
            <rFont val="宋体"/>
            <charset val="134"/>
          </rPr>
          <t>6.8</t>
        </r>
      </text>
    </comment>
    <comment ref="L720" authorId="1652">
      <text>
        <r>
          <rPr>
            <sz val="10"/>
            <rFont val="宋体"/>
            <charset val="134"/>
          </rPr>
          <t>6/6 Edwin通知由Dandenong改成西区旧仓库</t>
        </r>
      </text>
    </comment>
    <comment ref="V720" authorId="1653">
      <text>
        <r>
          <rPr>
            <sz val="10"/>
            <rFont val="宋体"/>
            <charset val="134"/>
          </rPr>
          <t>6.18 notify6.19 已还柜</t>
        </r>
      </text>
    </comment>
    <comment ref="W720" authorId="1654">
      <text>
        <r>
          <rPr>
            <sz val="10"/>
            <rFont val="宋体"/>
            <charset val="134"/>
          </rPr>
          <t>21天免柜</t>
        </r>
      </text>
    </comment>
    <comment ref="J721" authorId="1655">
      <text>
        <r>
          <rPr>
            <sz val="10"/>
            <rFont val="宋体"/>
            <charset val="134"/>
          </rPr>
          <t>6.8</t>
        </r>
      </text>
    </comment>
    <comment ref="L721" authorId="1656">
      <text>
        <r>
          <rPr>
            <sz val="10"/>
            <rFont val="宋体"/>
            <charset val="134"/>
          </rPr>
          <t>6/6 Edwin通知由Dandenong改成西区旧仓库</t>
        </r>
      </text>
    </comment>
    <comment ref="V721" authorId="1657">
      <text>
        <r>
          <rPr>
            <sz val="10"/>
            <rFont val="宋体"/>
            <charset val="134"/>
          </rPr>
          <t>6.18 notify6.19 已还柜</t>
        </r>
      </text>
    </comment>
    <comment ref="W721" authorId="1658">
      <text>
        <r>
          <rPr>
            <sz val="10"/>
            <rFont val="宋体"/>
            <charset val="134"/>
          </rPr>
          <t>21天免柜</t>
        </r>
      </text>
    </comment>
    <comment ref="J722" authorId="1659">
      <text>
        <r>
          <rPr>
            <sz val="10"/>
            <rFont val="宋体"/>
            <charset val="134"/>
          </rPr>
          <t>6.8</t>
        </r>
      </text>
    </comment>
    <comment ref="V722" authorId="1660">
      <text>
        <r>
          <rPr>
            <sz val="10"/>
            <rFont val="宋体"/>
            <charset val="134"/>
          </rPr>
          <t>6/16 notify6.20 已还空柜</t>
        </r>
      </text>
    </comment>
    <comment ref="W722" authorId="1661">
      <text>
        <r>
          <rPr>
            <sz val="10"/>
            <rFont val="宋体"/>
            <charset val="134"/>
          </rPr>
          <t>21天免柜</t>
        </r>
      </text>
    </comment>
    <comment ref="J723" authorId="1662">
      <text>
        <r>
          <rPr>
            <sz val="10"/>
            <rFont val="宋体"/>
            <charset val="134"/>
          </rPr>
          <t>6.8</t>
        </r>
      </text>
    </comment>
    <comment ref="V723" authorId="1663">
      <text>
        <r>
          <rPr>
            <sz val="10"/>
            <rFont val="宋体"/>
            <charset val="134"/>
          </rPr>
          <t>6/16 notify6.20 已取走6.21 还空柜</t>
        </r>
      </text>
    </comment>
    <comment ref="W723" authorId="1664">
      <text>
        <r>
          <rPr>
            <sz val="10"/>
            <rFont val="宋体"/>
            <charset val="134"/>
          </rPr>
          <t>21天免柜</t>
        </r>
      </text>
    </comment>
    <comment ref="I724" authorId="1665">
      <text>
        <r>
          <rPr>
            <sz val="10"/>
            <rFont val="宋体"/>
            <charset val="134"/>
          </rPr>
          <t>原本5.6，被甩柜</t>
        </r>
      </text>
    </comment>
    <comment ref="J724" authorId="1666">
      <text>
        <r>
          <rPr>
            <sz val="10"/>
            <rFont val="宋体"/>
            <charset val="134"/>
          </rPr>
          <t>原5.30</t>
        </r>
      </text>
    </comment>
    <comment ref="V724" authorId="1667">
      <text>
        <r>
          <rPr>
            <sz val="10"/>
            <rFont val="宋体"/>
            <charset val="134"/>
          </rPr>
          <t>6/16 notify6.20 还空柜</t>
        </r>
      </text>
    </comment>
    <comment ref="W724" authorId="1668">
      <text>
        <r>
          <rPr>
            <sz val="10"/>
            <rFont val="宋体"/>
            <charset val="134"/>
          </rPr>
          <t>21天免柜</t>
        </r>
      </text>
    </comment>
    <comment ref="J725" authorId="1669">
      <text>
        <r>
          <rPr>
            <sz val="10"/>
            <rFont val="宋体"/>
            <charset val="134"/>
          </rPr>
          <t>6.4</t>
        </r>
      </text>
    </comment>
    <comment ref="V725" authorId="1670">
      <text>
        <r>
          <rPr>
            <sz val="10"/>
            <rFont val="宋体"/>
            <charset val="134"/>
          </rPr>
          <t>6/16 notify6.18已还柜</t>
        </r>
      </text>
    </comment>
    <comment ref="W725" authorId="1671">
      <text>
        <r>
          <rPr>
            <sz val="10"/>
            <rFont val="宋体"/>
            <charset val="134"/>
          </rPr>
          <t>21天免柜</t>
        </r>
      </text>
    </comment>
    <comment ref="J726" authorId="1672">
      <text>
        <r>
          <rPr>
            <sz val="10"/>
            <rFont val="宋体"/>
            <charset val="134"/>
          </rPr>
          <t>6.5</t>
        </r>
      </text>
    </comment>
    <comment ref="V726" authorId="1673">
      <text>
        <r>
          <rPr>
            <sz val="10"/>
            <rFont val="宋体"/>
            <charset val="134"/>
          </rPr>
          <t>6.17 notify6.17已还空柜</t>
        </r>
      </text>
    </comment>
    <comment ref="W726" authorId="1674">
      <text>
        <r>
          <rPr>
            <sz val="10"/>
            <rFont val="宋体"/>
            <charset val="134"/>
          </rPr>
          <t>21天免柜</t>
        </r>
      </text>
    </comment>
    <comment ref="I727" authorId="1675">
      <text>
        <r>
          <rPr>
            <sz val="10"/>
            <rFont val="宋体"/>
            <charset val="134"/>
          </rPr>
          <t>原ETD 5.17 / ETA 6.4</t>
        </r>
      </text>
    </comment>
    <comment ref="J727" authorId="1676">
      <text>
        <r>
          <rPr>
            <sz val="10"/>
            <rFont val="宋体"/>
            <charset val="134"/>
          </rPr>
          <t>原6.8</t>
        </r>
      </text>
    </comment>
    <comment ref="V727" authorId="1677">
      <text>
        <r>
          <rPr>
            <sz val="10"/>
            <rFont val="宋体"/>
            <charset val="134"/>
          </rPr>
          <t>6.19 notify6.20 已还空柜</t>
        </r>
      </text>
    </comment>
    <comment ref="W727" authorId="1678">
      <text>
        <r>
          <rPr>
            <sz val="10"/>
            <rFont val="宋体"/>
            <charset val="134"/>
          </rPr>
          <t>21天免柜</t>
        </r>
      </text>
    </comment>
    <comment ref="I728" authorId="1679">
      <text>
        <r>
          <rPr>
            <sz val="10"/>
            <rFont val="宋体"/>
            <charset val="134"/>
          </rPr>
          <t>原ETD 5.17 / ETA 6.4</t>
        </r>
      </text>
    </comment>
    <comment ref="J728" authorId="1680">
      <text>
        <r>
          <rPr>
            <sz val="10"/>
            <rFont val="宋体"/>
            <charset val="134"/>
          </rPr>
          <t>原6.8</t>
        </r>
      </text>
    </comment>
    <comment ref="V728" authorId="1681">
      <text>
        <r>
          <rPr>
            <sz val="10"/>
            <rFont val="宋体"/>
            <charset val="134"/>
          </rPr>
          <t>6.16 notify6.16 已还空柜</t>
        </r>
      </text>
    </comment>
    <comment ref="W728" authorId="1682">
      <text>
        <r>
          <rPr>
            <sz val="10"/>
            <rFont val="宋体"/>
            <charset val="134"/>
          </rPr>
          <t>21天免柜</t>
        </r>
      </text>
    </comment>
    <comment ref="I729" authorId="1683">
      <text>
        <r>
          <rPr>
            <sz val="10"/>
            <rFont val="宋体"/>
            <charset val="134"/>
          </rPr>
          <t>原ETD 5.17 / ETA 6.4</t>
        </r>
      </text>
    </comment>
    <comment ref="J729" authorId="1684">
      <text>
        <r>
          <rPr>
            <sz val="10"/>
            <rFont val="宋体"/>
            <charset val="134"/>
          </rPr>
          <t>原6.8</t>
        </r>
      </text>
    </comment>
    <comment ref="V729" authorId="1685">
      <text>
        <r>
          <rPr>
            <sz val="10"/>
            <rFont val="宋体"/>
            <charset val="134"/>
          </rPr>
          <t>6.17 notify6.18已取6.18 还空柜</t>
        </r>
      </text>
    </comment>
    <comment ref="W729" authorId="1686">
      <text>
        <r>
          <rPr>
            <sz val="10"/>
            <rFont val="宋体"/>
            <charset val="134"/>
          </rPr>
          <t>21天免柜</t>
        </r>
      </text>
    </comment>
    <comment ref="I730" authorId="1687">
      <text>
        <r>
          <rPr>
            <sz val="10"/>
            <rFont val="宋体"/>
            <charset val="134"/>
          </rPr>
          <t>原ETD 5.17 / ETA 6.4</t>
        </r>
      </text>
    </comment>
    <comment ref="J730" authorId="1688">
      <text>
        <r>
          <rPr>
            <sz val="10"/>
            <rFont val="宋体"/>
            <charset val="134"/>
          </rPr>
          <t>原6.8</t>
        </r>
      </text>
    </comment>
    <comment ref="V730" authorId="1689">
      <text>
        <r>
          <rPr>
            <sz val="10"/>
            <rFont val="宋体"/>
            <charset val="134"/>
          </rPr>
          <t>6.23 notify6.23 已还空柜</t>
        </r>
      </text>
    </comment>
    <comment ref="W730" authorId="1690">
      <text>
        <r>
          <rPr>
            <sz val="10"/>
            <rFont val="宋体"/>
            <charset val="134"/>
          </rPr>
          <t>21免柜</t>
        </r>
      </text>
    </comment>
    <comment ref="I731" authorId="1691">
      <text>
        <r>
          <rPr>
            <sz val="10"/>
            <rFont val="宋体"/>
            <charset val="134"/>
          </rPr>
          <t>原ETD 5.17 / ETA 6.4</t>
        </r>
      </text>
    </comment>
    <comment ref="J731" authorId="1692">
      <text>
        <r>
          <rPr>
            <sz val="10"/>
            <rFont val="宋体"/>
            <charset val="134"/>
          </rPr>
          <t>原6.8</t>
        </r>
      </text>
    </comment>
    <comment ref="V731" authorId="1693">
      <text>
        <r>
          <rPr>
            <sz val="10"/>
            <rFont val="宋体"/>
            <charset val="134"/>
          </rPr>
          <t>6.23 notify6.24 还空柜</t>
        </r>
      </text>
    </comment>
    <comment ref="W731" authorId="1694">
      <text>
        <r>
          <rPr>
            <sz val="10"/>
            <rFont val="宋体"/>
            <charset val="134"/>
          </rPr>
          <t>21天免柜</t>
        </r>
      </text>
    </comment>
    <comment ref="I732" authorId="1695">
      <text>
        <r>
          <rPr>
            <sz val="10"/>
            <rFont val="宋体"/>
            <charset val="134"/>
          </rPr>
          <t>原ETD 5.17 / ETA 6.4</t>
        </r>
      </text>
    </comment>
    <comment ref="J732" authorId="1696">
      <text>
        <r>
          <rPr>
            <sz val="10"/>
            <rFont val="宋体"/>
            <charset val="134"/>
          </rPr>
          <t>原6.8</t>
        </r>
      </text>
    </comment>
    <comment ref="V732" authorId="1697">
      <text>
        <r>
          <rPr>
            <sz val="10"/>
            <rFont val="宋体"/>
            <charset val="134"/>
          </rPr>
          <t>6.17 notify6.18已取6.18 已还空柜</t>
        </r>
      </text>
    </comment>
    <comment ref="W732" authorId="1698">
      <text>
        <r>
          <rPr>
            <sz val="10"/>
            <rFont val="宋体"/>
            <charset val="134"/>
          </rPr>
          <t>21天免柜</t>
        </r>
      </text>
    </comment>
    <comment ref="I733" authorId="1699">
      <text>
        <r>
          <rPr>
            <sz val="10"/>
            <rFont val="宋体"/>
            <charset val="134"/>
          </rPr>
          <t>原ETD 5.17 / ETA 6.4</t>
        </r>
      </text>
    </comment>
    <comment ref="J733" authorId="1700">
      <text>
        <r>
          <rPr>
            <sz val="10"/>
            <rFont val="宋体"/>
            <charset val="134"/>
          </rPr>
          <t>原6.8</t>
        </r>
      </text>
    </comment>
    <comment ref="V733" authorId="1701">
      <text>
        <r>
          <rPr>
            <sz val="10"/>
            <rFont val="宋体"/>
            <charset val="134"/>
          </rPr>
          <t>6.19 已取6.19 已还柜</t>
        </r>
      </text>
    </comment>
    <comment ref="W733" authorId="1702">
      <text>
        <r>
          <rPr>
            <sz val="10"/>
            <rFont val="宋体"/>
            <charset val="134"/>
          </rPr>
          <t>21天免柜</t>
        </r>
      </text>
    </comment>
    <comment ref="I734" authorId="1703">
      <text>
        <r>
          <rPr>
            <sz val="10"/>
            <rFont val="宋体"/>
            <charset val="134"/>
          </rPr>
          <t>原ETD 5.17 / ETA 6.4</t>
        </r>
      </text>
    </comment>
    <comment ref="J734" authorId="1704">
      <text>
        <r>
          <rPr>
            <sz val="10"/>
            <rFont val="宋体"/>
            <charset val="134"/>
          </rPr>
          <t>原6.8</t>
        </r>
      </text>
    </comment>
    <comment ref="V734" authorId="1705">
      <text>
        <r>
          <rPr>
            <sz val="10"/>
            <rFont val="宋体"/>
            <charset val="134"/>
          </rPr>
          <t>6.19 notify6.20 还空柜</t>
        </r>
      </text>
    </comment>
    <comment ref="W734" authorId="1706">
      <text>
        <r>
          <rPr>
            <sz val="10"/>
            <rFont val="宋体"/>
            <charset val="134"/>
          </rPr>
          <t>21天免柜</t>
        </r>
      </text>
    </comment>
    <comment ref="I735" authorId="1707">
      <text>
        <r>
          <rPr>
            <sz val="10"/>
            <rFont val="宋体"/>
            <charset val="134"/>
          </rPr>
          <t>原ETD 5.17 / ETA 6.4</t>
        </r>
      </text>
    </comment>
    <comment ref="J735" authorId="1708">
      <text>
        <r>
          <rPr>
            <sz val="10"/>
            <rFont val="宋体"/>
            <charset val="134"/>
          </rPr>
          <t>原6.8</t>
        </r>
      </text>
    </comment>
    <comment ref="V735" authorId="1709">
      <text>
        <r>
          <rPr>
            <sz val="10"/>
            <rFont val="宋体"/>
            <charset val="134"/>
          </rPr>
          <t>6.19 已取走6.19 已还柜</t>
        </r>
      </text>
    </comment>
    <comment ref="W735" authorId="1710">
      <text>
        <r>
          <rPr>
            <sz val="10"/>
            <rFont val="宋体"/>
            <charset val="134"/>
          </rPr>
          <t>21天免柜</t>
        </r>
      </text>
    </comment>
    <comment ref="I736" authorId="1711">
      <text>
        <r>
          <rPr>
            <sz val="10"/>
            <rFont val="宋体"/>
            <charset val="134"/>
          </rPr>
          <t>原ETD 5.17 / ETA 6.4</t>
        </r>
      </text>
    </comment>
    <comment ref="J736" authorId="1712">
      <text>
        <r>
          <rPr>
            <sz val="10"/>
            <rFont val="宋体"/>
            <charset val="134"/>
          </rPr>
          <t>原6.8</t>
        </r>
      </text>
    </comment>
    <comment ref="V736" authorId="1713">
      <text>
        <r>
          <rPr>
            <sz val="10"/>
            <rFont val="宋体"/>
            <charset val="134"/>
          </rPr>
          <t>6.16 notify6.16 已还空柜</t>
        </r>
      </text>
    </comment>
    <comment ref="W736" authorId="1714">
      <text>
        <r>
          <rPr>
            <sz val="10"/>
            <rFont val="宋体"/>
            <charset val="134"/>
          </rPr>
          <t>21天免柜</t>
        </r>
      </text>
    </comment>
    <comment ref="I737" authorId="1715">
      <text>
        <r>
          <rPr>
            <sz val="10"/>
            <rFont val="宋体"/>
            <charset val="134"/>
          </rPr>
          <t>原ETD 5.17 / ETA 6.4</t>
        </r>
      </text>
    </comment>
    <comment ref="J737" authorId="1716">
      <text>
        <r>
          <rPr>
            <sz val="10"/>
            <rFont val="宋体"/>
            <charset val="134"/>
          </rPr>
          <t>原6.8</t>
        </r>
      </text>
    </comment>
    <comment ref="V737" authorId="1717">
      <text>
        <r>
          <rPr>
            <sz val="10"/>
            <rFont val="宋体"/>
            <charset val="134"/>
          </rPr>
          <t>6.17 notify6.18已取6.18 已还空柜</t>
        </r>
      </text>
    </comment>
    <comment ref="W737" authorId="1718">
      <text>
        <r>
          <rPr>
            <sz val="10"/>
            <rFont val="宋体"/>
            <charset val="134"/>
          </rPr>
          <t>21天免柜</t>
        </r>
      </text>
    </comment>
    <comment ref="J738" authorId="1719">
      <text>
        <r>
          <rPr>
            <sz val="10"/>
            <rFont val="宋体"/>
            <charset val="134"/>
          </rPr>
          <t>6.5</t>
        </r>
      </text>
    </comment>
    <comment ref="V738" authorId="1720">
      <text>
        <r>
          <rPr>
            <sz val="10"/>
            <rFont val="宋体"/>
            <charset val="134"/>
          </rPr>
          <t>6.16 notify6.19已还柜</t>
        </r>
      </text>
    </comment>
    <comment ref="W738" authorId="1721">
      <text>
        <r>
          <rPr>
            <sz val="10"/>
            <rFont val="宋体"/>
            <charset val="134"/>
          </rPr>
          <t>21天免柜</t>
        </r>
      </text>
    </comment>
    <comment ref="J739" authorId="1722">
      <text>
        <r>
          <rPr>
            <sz val="10"/>
            <rFont val="宋体"/>
            <charset val="134"/>
          </rPr>
          <t>6.5</t>
        </r>
      </text>
    </comment>
    <comment ref="V739" authorId="1723">
      <text>
        <r>
          <rPr>
            <sz val="10"/>
            <rFont val="宋体"/>
            <charset val="134"/>
          </rPr>
          <t>6.23notify6.24 还空柜</t>
        </r>
      </text>
    </comment>
    <comment ref="W739" authorId="1724">
      <text>
        <r>
          <rPr>
            <sz val="10"/>
            <rFont val="宋体"/>
            <charset val="134"/>
          </rPr>
          <t>21天免柜</t>
        </r>
      </text>
    </comment>
    <comment ref="V740" authorId="1725">
      <text>
        <r>
          <rPr>
            <sz val="10"/>
            <rFont val="宋体"/>
            <charset val="134"/>
          </rPr>
          <t>6.23 notify6.23还空柜</t>
        </r>
      </text>
    </comment>
    <comment ref="W740" authorId="1726">
      <text>
        <r>
          <rPr>
            <sz val="10"/>
            <rFont val="宋体"/>
            <charset val="134"/>
          </rPr>
          <t>21天免柜</t>
        </r>
      </text>
    </comment>
    <comment ref="V741" authorId="1727">
      <text>
        <r>
          <rPr>
            <sz val="10"/>
            <rFont val="宋体"/>
            <charset val="134"/>
          </rPr>
          <t>6.23 还空柜</t>
        </r>
      </text>
    </comment>
    <comment ref="W741" authorId="1728">
      <text>
        <r>
          <rPr>
            <sz val="10"/>
            <rFont val="宋体"/>
            <charset val="134"/>
          </rPr>
          <t>21天免柜</t>
        </r>
      </text>
    </comment>
    <comment ref="V742" authorId="1729">
      <text>
        <r>
          <rPr>
            <sz val="10"/>
            <rFont val="宋体"/>
            <charset val="134"/>
          </rPr>
          <t>6.23 notify6.24 还空柜</t>
        </r>
      </text>
    </comment>
    <comment ref="W742" authorId="1730">
      <text>
        <r>
          <rPr>
            <sz val="10"/>
            <rFont val="宋体"/>
            <charset val="134"/>
          </rPr>
          <t>21天免柜</t>
        </r>
      </text>
    </comment>
    <comment ref="J743" authorId="1731">
      <text>
        <r>
          <rPr>
            <sz val="10"/>
            <rFont val="宋体"/>
            <charset val="134"/>
          </rPr>
          <t>6.8</t>
        </r>
      </text>
    </comment>
    <comment ref="V743" authorId="1732">
      <text>
        <r>
          <rPr>
            <sz val="10"/>
            <rFont val="宋体"/>
            <charset val="134"/>
          </rPr>
          <t>6.23 notify6.23 还空柜</t>
        </r>
      </text>
    </comment>
    <comment ref="W743" authorId="1733">
      <text>
        <r>
          <rPr>
            <sz val="10"/>
            <rFont val="宋体"/>
            <charset val="134"/>
          </rPr>
          <t>21天免柜</t>
        </r>
      </text>
    </comment>
    <comment ref="J744" authorId="1734">
      <text>
        <r>
          <rPr>
            <sz val="10"/>
            <rFont val="宋体"/>
            <charset val="134"/>
          </rPr>
          <t>6.8</t>
        </r>
      </text>
    </comment>
    <comment ref="V744" authorId="1735">
      <text>
        <r>
          <rPr>
            <sz val="10"/>
            <rFont val="宋体"/>
            <charset val="134"/>
          </rPr>
          <t>6.19 notify6.20还空柜</t>
        </r>
      </text>
    </comment>
    <comment ref="W744" authorId="1736">
      <text>
        <r>
          <rPr>
            <sz val="10"/>
            <rFont val="宋体"/>
            <charset val="134"/>
          </rPr>
          <t>21天免柜</t>
        </r>
      </text>
    </comment>
    <comment ref="J745" authorId="1737">
      <text>
        <r>
          <rPr>
            <sz val="10"/>
            <rFont val="宋体"/>
            <charset val="134"/>
          </rPr>
          <t>6.8</t>
        </r>
      </text>
    </comment>
    <comment ref="V745" authorId="1738">
      <text>
        <r>
          <rPr>
            <sz val="10"/>
            <rFont val="宋体"/>
            <charset val="134"/>
          </rPr>
          <t>6.19 notify6.19 已还柜</t>
        </r>
      </text>
    </comment>
    <comment ref="W745" authorId="1739">
      <text>
        <r>
          <rPr>
            <sz val="10"/>
            <rFont val="宋体"/>
            <charset val="134"/>
          </rPr>
          <t>21天免柜</t>
        </r>
      </text>
    </comment>
    <comment ref="J746" authorId="1740">
      <text>
        <r>
          <rPr>
            <sz val="10"/>
            <rFont val="宋体"/>
            <charset val="134"/>
          </rPr>
          <t>6.8</t>
        </r>
      </text>
    </comment>
    <comment ref="V746" authorId="1741">
      <text>
        <r>
          <rPr>
            <sz val="10"/>
            <rFont val="宋体"/>
            <charset val="134"/>
          </rPr>
          <t>6.23 notify6.24还空柜</t>
        </r>
      </text>
    </comment>
    <comment ref="W746" authorId="1742">
      <text>
        <r>
          <rPr>
            <sz val="10"/>
            <rFont val="宋体"/>
            <charset val="134"/>
          </rPr>
          <t>21天免柜</t>
        </r>
      </text>
    </comment>
    <comment ref="J747" authorId="1743">
      <text>
        <r>
          <rPr>
            <sz val="10"/>
            <rFont val="宋体"/>
            <charset val="134"/>
          </rPr>
          <t>6.14</t>
        </r>
      </text>
    </comment>
    <comment ref="V747" authorId="1744">
      <text>
        <r>
          <rPr>
            <sz val="10"/>
            <rFont val="宋体"/>
            <charset val="134"/>
          </rPr>
          <t>6.23 notify6.23 还空柜</t>
        </r>
      </text>
    </comment>
    <comment ref="W747" authorId="1745">
      <text>
        <r>
          <rPr>
            <sz val="10"/>
            <rFont val="宋体"/>
            <charset val="134"/>
          </rPr>
          <t>21天免柜</t>
        </r>
      </text>
    </comment>
    <comment ref="V748" authorId="1746">
      <text>
        <r>
          <rPr>
            <sz val="10"/>
            <rFont val="宋体"/>
            <charset val="134"/>
          </rPr>
          <t>6/26 notify6.27 已还柜</t>
        </r>
      </text>
    </comment>
    <comment ref="W748" authorId="1747">
      <text>
        <r>
          <rPr>
            <sz val="10"/>
            <rFont val="宋体"/>
            <charset val="134"/>
          </rPr>
          <t>21天免柜</t>
        </r>
      </text>
    </comment>
    <comment ref="J749" authorId="1748">
      <text>
        <r>
          <rPr>
            <sz val="10"/>
            <rFont val="宋体"/>
            <charset val="134"/>
          </rPr>
          <t>原6.14</t>
        </r>
      </text>
    </comment>
    <comment ref="V749" authorId="1749">
      <text>
        <r>
          <rPr>
            <sz val="10"/>
            <rFont val="宋体"/>
            <charset val="134"/>
          </rPr>
          <t>7.4 notify7.4 还空柜</t>
        </r>
      </text>
    </comment>
    <comment ref="W749" authorId="1750">
      <text>
        <r>
          <rPr>
            <sz val="10"/>
            <rFont val="宋体"/>
            <charset val="134"/>
          </rPr>
          <t>21天免柜</t>
        </r>
      </text>
    </comment>
    <comment ref="I750" authorId="1751">
      <text>
        <r>
          <rPr>
            <sz val="10"/>
            <rFont val="宋体"/>
            <charset val="134"/>
          </rPr>
          <t>原ETD 5.17 / ETA 6.4，5.16货代通知船公司甩柜到下一水船，新ETD 5.28 / ETA 6.14</t>
        </r>
      </text>
    </comment>
    <comment ref="J750" authorId="1752">
      <text>
        <r>
          <rPr>
            <sz val="10"/>
            <rFont val="宋体"/>
            <charset val="134"/>
          </rPr>
          <t>原6.14</t>
        </r>
      </text>
    </comment>
    <comment ref="V750" authorId="1753">
      <text>
        <r>
          <rPr>
            <sz val="10"/>
            <rFont val="宋体"/>
            <charset val="134"/>
          </rPr>
          <t>6.24 notify6.24已还空柜</t>
        </r>
      </text>
    </comment>
    <comment ref="W750" authorId="1754">
      <text>
        <r>
          <rPr>
            <sz val="10"/>
            <rFont val="宋体"/>
            <charset val="134"/>
          </rPr>
          <t>21天免柜</t>
        </r>
      </text>
    </comment>
    <comment ref="J751" authorId="1755">
      <text>
        <r>
          <rPr>
            <sz val="10"/>
            <rFont val="宋体"/>
            <charset val="134"/>
          </rPr>
          <t>原6.14</t>
        </r>
      </text>
    </comment>
    <comment ref="V751" authorId="1756">
      <text>
        <r>
          <rPr>
            <sz val="10"/>
            <rFont val="宋体"/>
            <charset val="134"/>
          </rPr>
          <t>6.24 已取6.24已还空柜</t>
        </r>
      </text>
    </comment>
    <comment ref="W751" authorId="1757">
      <text>
        <r>
          <rPr>
            <sz val="10"/>
            <rFont val="宋体"/>
            <charset val="134"/>
          </rPr>
          <t>21天免柜</t>
        </r>
      </text>
    </comment>
    <comment ref="J752" authorId="1758">
      <text>
        <r>
          <rPr>
            <sz val="10"/>
            <rFont val="宋体"/>
            <charset val="134"/>
          </rPr>
          <t>原6.14</t>
        </r>
      </text>
    </comment>
    <comment ref="V752" authorId="1759">
      <text>
        <r>
          <rPr>
            <sz val="10"/>
            <rFont val="宋体"/>
            <charset val="134"/>
          </rPr>
          <t>6.24 已取6.24 已还空柜</t>
        </r>
      </text>
    </comment>
    <comment ref="W752" authorId="1760">
      <text>
        <r>
          <rPr>
            <sz val="10"/>
            <rFont val="宋体"/>
            <charset val="134"/>
          </rPr>
          <t>21天免柜</t>
        </r>
      </text>
    </comment>
    <comment ref="J753" authorId="1761">
      <text>
        <r>
          <rPr>
            <sz val="10"/>
            <rFont val="宋体"/>
            <charset val="134"/>
          </rPr>
          <t>原6.14</t>
        </r>
      </text>
    </comment>
    <comment ref="V753" authorId="1762">
      <text>
        <r>
          <rPr>
            <sz val="10"/>
            <rFont val="宋体"/>
            <charset val="134"/>
          </rPr>
          <t>6.26已取走6.26已还空柜</t>
        </r>
      </text>
    </comment>
    <comment ref="W753" authorId="1763">
      <text>
        <r>
          <rPr>
            <sz val="10"/>
            <rFont val="宋体"/>
            <charset val="134"/>
          </rPr>
          <t>21天免柜</t>
        </r>
      </text>
    </comment>
    <comment ref="J754" authorId="1764">
      <text>
        <r>
          <rPr>
            <sz val="10"/>
            <rFont val="宋体"/>
            <charset val="134"/>
          </rPr>
          <t>原6.14</t>
        </r>
      </text>
    </comment>
    <comment ref="V754" authorId="1765">
      <text>
        <r>
          <rPr>
            <sz val="10"/>
            <rFont val="宋体"/>
            <charset val="134"/>
          </rPr>
          <t>6.26 已还柜</t>
        </r>
      </text>
    </comment>
    <comment ref="W754" authorId="1766">
      <text>
        <r>
          <rPr>
            <sz val="10"/>
            <rFont val="宋体"/>
            <charset val="134"/>
          </rPr>
          <t>21天免柜</t>
        </r>
      </text>
    </comment>
    <comment ref="J755" authorId="1767">
      <text>
        <r>
          <rPr>
            <sz val="10"/>
            <rFont val="宋体"/>
            <charset val="134"/>
          </rPr>
          <t>原6.14</t>
        </r>
      </text>
    </comment>
    <comment ref="V755" authorId="1768">
      <text>
        <r>
          <rPr>
            <sz val="10"/>
            <rFont val="宋体"/>
            <charset val="134"/>
          </rPr>
          <t>6.26 已还柜</t>
        </r>
      </text>
    </comment>
    <comment ref="W755" authorId="1769">
      <text>
        <r>
          <rPr>
            <sz val="10"/>
            <rFont val="宋体"/>
            <charset val="134"/>
          </rPr>
          <t>21天免柜</t>
        </r>
      </text>
    </comment>
    <comment ref="J756" authorId="1770">
      <text>
        <r>
          <rPr>
            <sz val="10"/>
            <rFont val="宋体"/>
            <charset val="134"/>
          </rPr>
          <t>原6.14</t>
        </r>
      </text>
    </comment>
    <comment ref="V756" authorId="1771">
      <text>
        <r>
          <rPr>
            <sz val="10"/>
            <rFont val="宋体"/>
            <charset val="134"/>
          </rPr>
          <t>6.26 已还柜</t>
        </r>
      </text>
    </comment>
    <comment ref="W756" authorId="1772">
      <text>
        <r>
          <rPr>
            <sz val="10"/>
            <rFont val="宋体"/>
            <charset val="134"/>
          </rPr>
          <t>21天免柜</t>
        </r>
      </text>
    </comment>
    <comment ref="J757" authorId="1773">
      <text>
        <r>
          <rPr>
            <sz val="10"/>
            <rFont val="宋体"/>
            <charset val="134"/>
          </rPr>
          <t>原6.14</t>
        </r>
      </text>
    </comment>
    <comment ref="V757" authorId="1774">
      <text>
        <r>
          <rPr>
            <sz val="10"/>
            <rFont val="宋体"/>
            <charset val="134"/>
          </rPr>
          <t>6.26 已取走6.26 已还空柜</t>
        </r>
      </text>
    </comment>
    <comment ref="W757" authorId="1775">
      <text>
        <r>
          <rPr>
            <sz val="10"/>
            <rFont val="宋体"/>
            <charset val="134"/>
          </rPr>
          <t>21天免柜</t>
        </r>
      </text>
    </comment>
    <comment ref="J758" authorId="1776">
      <text>
        <r>
          <rPr>
            <sz val="10"/>
            <rFont val="宋体"/>
            <charset val="134"/>
          </rPr>
          <t>原6.14</t>
        </r>
      </text>
    </comment>
    <comment ref="V758" authorId="1777">
      <text>
        <r>
          <rPr>
            <sz val="10"/>
            <rFont val="宋体"/>
            <charset val="134"/>
          </rPr>
          <t>6.26 notify6.30 还空柜</t>
        </r>
      </text>
    </comment>
    <comment ref="W758" authorId="1778">
      <text>
        <r>
          <rPr>
            <sz val="10"/>
            <rFont val="宋体"/>
            <charset val="134"/>
          </rPr>
          <t>21天免柜</t>
        </r>
      </text>
    </comment>
    <comment ref="V759" authorId="1779">
      <text>
        <r>
          <rPr>
            <sz val="10"/>
            <rFont val="宋体"/>
            <charset val="134"/>
          </rPr>
          <t>6.30 notify6.30 pending collection7.2 已还柜</t>
        </r>
      </text>
    </comment>
    <comment ref="W759" authorId="1780">
      <text>
        <r>
          <rPr>
            <sz val="10"/>
            <rFont val="宋体"/>
            <charset val="134"/>
          </rPr>
          <t>21天免柜</t>
        </r>
      </text>
    </comment>
    <comment ref="J760" authorId="1781">
      <text>
        <r>
          <rPr>
            <sz val="10"/>
            <rFont val="宋体"/>
            <charset val="134"/>
          </rPr>
          <t>6.15</t>
        </r>
      </text>
    </comment>
    <comment ref="V760" authorId="1782">
      <text>
        <r>
          <rPr>
            <sz val="10"/>
            <rFont val="宋体"/>
            <charset val="134"/>
          </rPr>
          <t>6.30 notify6.30 还空柜</t>
        </r>
      </text>
    </comment>
    <comment ref="W760" authorId="1783">
      <text>
        <r>
          <rPr>
            <sz val="10"/>
            <rFont val="宋体"/>
            <charset val="134"/>
          </rPr>
          <t>21天免柜</t>
        </r>
      </text>
    </comment>
    <comment ref="J761" authorId="1784">
      <text>
        <r>
          <rPr>
            <sz val="10"/>
            <rFont val="宋体"/>
            <charset val="134"/>
          </rPr>
          <t>6.15</t>
        </r>
      </text>
    </comment>
    <comment ref="V761" authorId="1785">
      <text>
        <r>
          <rPr>
            <sz val="10"/>
            <rFont val="宋体"/>
            <charset val="134"/>
          </rPr>
          <t>6.27 notify6.30 还空柜</t>
        </r>
      </text>
    </comment>
    <comment ref="W761" authorId="1786">
      <text>
        <r>
          <rPr>
            <sz val="10"/>
            <rFont val="宋体"/>
            <charset val="134"/>
          </rPr>
          <t>21天免柜</t>
        </r>
      </text>
    </comment>
    <comment ref="J762" authorId="1787">
      <text>
        <r>
          <rPr>
            <sz val="10"/>
            <rFont val="宋体"/>
            <charset val="134"/>
          </rPr>
          <t>原6.22</t>
        </r>
      </text>
    </comment>
    <comment ref="V762" authorId="1788">
      <text>
        <r>
          <rPr>
            <sz val="10"/>
            <rFont val="宋体"/>
            <charset val="134"/>
          </rPr>
          <t>7.4 notify7.4 还空柜</t>
        </r>
      </text>
    </comment>
    <comment ref="W762" authorId="1789">
      <text>
        <r>
          <rPr>
            <sz val="10"/>
            <rFont val="宋体"/>
            <charset val="134"/>
          </rPr>
          <t>21天免柜</t>
        </r>
      </text>
    </comment>
    <comment ref="J763" authorId="1790">
      <text>
        <r>
          <rPr>
            <sz val="10"/>
            <rFont val="宋体"/>
            <charset val="134"/>
          </rPr>
          <t>原6.22</t>
        </r>
      </text>
    </comment>
    <comment ref="V763" authorId="1791">
      <text>
        <r>
          <rPr>
            <sz val="10"/>
            <rFont val="宋体"/>
            <charset val="134"/>
          </rPr>
          <t>6.26 notify6.30 还空柜</t>
        </r>
      </text>
    </comment>
    <comment ref="W763" authorId="1792">
      <text>
        <r>
          <rPr>
            <sz val="10"/>
            <rFont val="宋体"/>
            <charset val="134"/>
          </rPr>
          <t>21天免柜</t>
        </r>
      </text>
    </comment>
    <comment ref="J764" authorId="1793">
      <text>
        <r>
          <rPr>
            <sz val="10"/>
            <rFont val="宋体"/>
            <charset val="134"/>
          </rPr>
          <t>原6.22</t>
        </r>
      </text>
    </comment>
    <comment ref="V764" authorId="1794">
      <text>
        <r>
          <rPr>
            <sz val="10"/>
            <rFont val="宋体"/>
            <charset val="134"/>
          </rPr>
          <t>6.26 notify6.30 还空柜</t>
        </r>
      </text>
    </comment>
    <comment ref="W764" authorId="1795">
      <text>
        <r>
          <rPr>
            <sz val="10"/>
            <rFont val="宋体"/>
            <charset val="134"/>
          </rPr>
          <t>21天免柜</t>
        </r>
      </text>
    </comment>
    <comment ref="J765" authorId="1796">
      <text>
        <r>
          <rPr>
            <sz val="10"/>
            <rFont val="宋体"/>
            <charset val="134"/>
          </rPr>
          <t>原6.22</t>
        </r>
      </text>
    </comment>
    <comment ref="V765" authorId="1797">
      <text>
        <r>
          <rPr>
            <sz val="10"/>
            <rFont val="宋体"/>
            <charset val="134"/>
          </rPr>
          <t>7.1 notify7.2 还空柜</t>
        </r>
      </text>
    </comment>
    <comment ref="W765" authorId="1798">
      <text>
        <r>
          <rPr>
            <sz val="10"/>
            <rFont val="宋体"/>
            <charset val="134"/>
          </rPr>
          <t>21天免柜</t>
        </r>
      </text>
    </comment>
    <comment ref="J766" authorId="1799">
      <text>
        <r>
          <rPr>
            <sz val="10"/>
            <rFont val="宋体"/>
            <charset val="134"/>
          </rPr>
          <t>原6.22</t>
        </r>
      </text>
    </comment>
    <comment ref="V766" authorId="1800">
      <text>
        <r>
          <rPr>
            <sz val="10"/>
            <rFont val="宋体"/>
            <charset val="134"/>
          </rPr>
          <t>6.26 notify6.30 还空柜</t>
        </r>
      </text>
    </comment>
    <comment ref="W766" authorId="1801">
      <text>
        <r>
          <rPr>
            <sz val="10"/>
            <rFont val="宋体"/>
            <charset val="134"/>
          </rPr>
          <t>21天免柜</t>
        </r>
      </text>
    </comment>
    <comment ref="V767" authorId="1802">
      <text>
        <r>
          <rPr>
            <sz val="10"/>
            <rFont val="宋体"/>
            <charset val="134"/>
          </rPr>
          <t>7.1 notify7.2 还空柜</t>
        </r>
      </text>
    </comment>
    <comment ref="W767" authorId="1803">
      <text>
        <r>
          <rPr>
            <sz val="10"/>
            <rFont val="宋体"/>
            <charset val="134"/>
          </rPr>
          <t>21天免柜</t>
        </r>
      </text>
    </comment>
    <comment ref="J768" authorId="1804">
      <text>
        <r>
          <rPr>
            <sz val="10"/>
            <rFont val="宋体"/>
            <charset val="134"/>
          </rPr>
          <t>原6.26</t>
        </r>
      </text>
    </comment>
    <comment ref="V768" authorId="1805">
      <text>
        <r>
          <rPr>
            <sz val="10"/>
            <rFont val="宋体"/>
            <charset val="134"/>
          </rPr>
          <t>7.7 notify7.8 还空柜</t>
        </r>
      </text>
    </comment>
    <comment ref="W768" authorId="1806">
      <text>
        <r>
          <rPr>
            <sz val="10"/>
            <rFont val="宋体"/>
            <charset val="134"/>
          </rPr>
          <t>21天免柜</t>
        </r>
      </text>
    </comment>
    <comment ref="J769" authorId="1807">
      <text>
        <r>
          <rPr>
            <sz val="10"/>
            <rFont val="宋体"/>
            <charset val="134"/>
          </rPr>
          <t>原6.26</t>
        </r>
      </text>
    </comment>
    <comment ref="V769" authorId="1808">
      <text>
        <r>
          <rPr>
            <sz val="10"/>
            <rFont val="宋体"/>
            <charset val="134"/>
          </rPr>
          <t>7.4 notify7.4 还空柜</t>
        </r>
      </text>
    </comment>
    <comment ref="W769" authorId="1809">
      <text>
        <r>
          <rPr>
            <sz val="10"/>
            <rFont val="宋体"/>
            <charset val="134"/>
          </rPr>
          <t>21天免柜</t>
        </r>
      </text>
    </comment>
    <comment ref="J770" authorId="1810">
      <text>
        <r>
          <rPr>
            <sz val="10"/>
            <rFont val="宋体"/>
            <charset val="134"/>
          </rPr>
          <t>原6.26</t>
        </r>
      </text>
    </comment>
    <comment ref="V770" authorId="1811">
      <text>
        <r>
          <rPr>
            <sz val="10"/>
            <rFont val="宋体"/>
            <charset val="134"/>
          </rPr>
          <t>7.4 notify7.4 还空柜</t>
        </r>
      </text>
    </comment>
    <comment ref="W770" authorId="1812">
      <text>
        <r>
          <rPr>
            <sz val="10"/>
            <rFont val="宋体"/>
            <charset val="134"/>
          </rPr>
          <t>21天免柜</t>
        </r>
      </text>
    </comment>
    <comment ref="J771" authorId="1813">
      <text>
        <r>
          <rPr>
            <sz val="10"/>
            <rFont val="宋体"/>
            <charset val="134"/>
          </rPr>
          <t>原6.26</t>
        </r>
      </text>
    </comment>
    <comment ref="V771" authorId="1814">
      <text>
        <r>
          <rPr>
            <sz val="10"/>
            <rFont val="宋体"/>
            <charset val="134"/>
          </rPr>
          <t>7.3 notify7.4 还空柜</t>
        </r>
      </text>
    </comment>
    <comment ref="W771" authorId="1815">
      <text>
        <r>
          <rPr>
            <sz val="10"/>
            <rFont val="宋体"/>
            <charset val="134"/>
          </rPr>
          <t>21天免柜</t>
        </r>
      </text>
    </comment>
    <comment ref="J772" authorId="1816">
      <text>
        <r>
          <rPr>
            <sz val="10"/>
            <rFont val="宋体"/>
            <charset val="134"/>
          </rPr>
          <t>原6.26</t>
        </r>
      </text>
    </comment>
    <comment ref="V772" authorId="1817">
      <text>
        <r>
          <rPr>
            <sz val="10"/>
            <rFont val="宋体"/>
            <charset val="134"/>
          </rPr>
          <t>7/8 notify7.11查 停留在7.9 pending collection.已追James7/11 还空柜</t>
        </r>
      </text>
    </comment>
    <comment ref="W772" authorId="1818">
      <text>
        <r>
          <rPr>
            <sz val="10"/>
            <rFont val="宋体"/>
            <charset val="134"/>
          </rPr>
          <t>21天免柜</t>
        </r>
      </text>
    </comment>
    <comment ref="J773" authorId="1819">
      <text>
        <r>
          <rPr>
            <sz val="10"/>
            <rFont val="宋体"/>
            <charset val="134"/>
          </rPr>
          <t>原6.29</t>
        </r>
      </text>
    </comment>
    <comment ref="V773" authorId="1820">
      <text>
        <r>
          <rPr>
            <sz val="10"/>
            <rFont val="宋体"/>
            <charset val="134"/>
          </rPr>
          <t>7.7 notify7.8 还空柜</t>
        </r>
      </text>
    </comment>
    <comment ref="W773" authorId="1821">
      <text>
        <r>
          <rPr>
            <sz val="10"/>
            <rFont val="宋体"/>
            <charset val="134"/>
          </rPr>
          <t>21天免柜</t>
        </r>
      </text>
    </comment>
    <comment ref="J774" authorId="1822">
      <text>
        <r>
          <rPr>
            <sz val="10"/>
            <rFont val="宋体"/>
            <charset val="134"/>
          </rPr>
          <t>原6.29</t>
        </r>
      </text>
    </comment>
    <comment ref="V774" authorId="1823">
      <text>
        <r>
          <rPr>
            <sz val="10"/>
            <rFont val="宋体"/>
            <charset val="134"/>
          </rPr>
          <t>7.7 notify7.8 还空柜</t>
        </r>
      </text>
    </comment>
    <comment ref="W774" authorId="1824">
      <text>
        <r>
          <rPr>
            <sz val="10"/>
            <rFont val="宋体"/>
            <charset val="134"/>
          </rPr>
          <t>21天免柜</t>
        </r>
      </text>
    </comment>
    <comment ref="J775" authorId="1825">
      <text>
        <r>
          <rPr>
            <sz val="10"/>
            <rFont val="宋体"/>
            <charset val="134"/>
          </rPr>
          <t>原6.30</t>
        </r>
      </text>
    </comment>
    <comment ref="V775" authorId="1826">
      <text>
        <r>
          <rPr>
            <sz val="10"/>
            <rFont val="宋体"/>
            <charset val="134"/>
          </rPr>
          <t>7/8 notify7/11 还空柜</t>
        </r>
      </text>
    </comment>
    <comment ref="W775" authorId="1827">
      <text>
        <r>
          <rPr>
            <sz val="10"/>
            <rFont val="宋体"/>
            <charset val="134"/>
          </rPr>
          <t>21天免柜</t>
        </r>
      </text>
    </comment>
    <comment ref="J776" authorId="1828">
      <text>
        <r>
          <rPr>
            <sz val="10"/>
            <rFont val="宋体"/>
            <charset val="134"/>
          </rPr>
          <t>原7.1</t>
        </r>
      </text>
    </comment>
    <comment ref="V776" authorId="1829">
      <text>
        <r>
          <rPr>
            <sz val="10"/>
            <rFont val="宋体"/>
            <charset val="134"/>
          </rPr>
          <t>7/16 notify7.16还空柜</t>
        </r>
      </text>
    </comment>
    <comment ref="J777" authorId="1830">
      <text>
        <r>
          <rPr>
            <sz val="10"/>
            <rFont val="宋体"/>
            <charset val="134"/>
          </rPr>
          <t>原7.3</t>
        </r>
      </text>
    </comment>
    <comment ref="V777" authorId="1831">
      <text>
        <r>
          <rPr>
            <sz val="10"/>
            <rFont val="宋体"/>
            <charset val="134"/>
          </rPr>
          <t>7/15 notify7.17已取走7.18 还空柜</t>
        </r>
      </text>
    </comment>
    <comment ref="W777" authorId="1832">
      <text>
        <r>
          <rPr>
            <sz val="10"/>
            <rFont val="宋体"/>
            <charset val="134"/>
          </rPr>
          <t>21天免柜</t>
        </r>
      </text>
    </comment>
    <comment ref="J778" authorId="1833">
      <text>
        <r>
          <rPr>
            <sz val="10"/>
            <rFont val="宋体"/>
            <charset val="134"/>
          </rPr>
          <t>原7.3</t>
        </r>
      </text>
    </comment>
    <comment ref="V778" authorId="1834">
      <text>
        <r>
          <rPr>
            <sz val="10"/>
            <rFont val="宋体"/>
            <charset val="134"/>
          </rPr>
          <t>7/15 notify7.18 还空柜</t>
        </r>
      </text>
    </comment>
    <comment ref="W778" authorId="1835">
      <text>
        <r>
          <rPr>
            <sz val="10"/>
            <rFont val="宋体"/>
            <charset val="134"/>
          </rPr>
          <t>21天免柜</t>
        </r>
      </text>
    </comment>
    <comment ref="J779" authorId="1836">
      <text>
        <r>
          <rPr>
            <sz val="10"/>
            <rFont val="宋体"/>
            <charset val="134"/>
          </rPr>
          <t>原7.3</t>
        </r>
      </text>
    </comment>
    <comment ref="V779" authorId="1837">
      <text>
        <r>
          <rPr>
            <sz val="10"/>
            <rFont val="宋体"/>
            <charset val="134"/>
          </rPr>
          <t>7/17 notify7.21 还空柜</t>
        </r>
      </text>
    </comment>
    <comment ref="W779" authorId="1838">
      <text>
        <r>
          <rPr>
            <sz val="10"/>
            <rFont val="宋体"/>
            <charset val="134"/>
          </rPr>
          <t>21天免柜</t>
        </r>
      </text>
    </comment>
    <comment ref="J780" authorId="1839">
      <text>
        <r>
          <rPr>
            <sz val="10"/>
            <rFont val="宋体"/>
            <charset val="134"/>
          </rPr>
          <t>原7.3</t>
        </r>
      </text>
    </comment>
    <comment ref="V780" authorId="1840">
      <text>
        <r>
          <rPr>
            <sz val="10"/>
            <rFont val="宋体"/>
            <charset val="134"/>
          </rPr>
          <t>7.10 notify7.10 已取7/11 还空柜</t>
        </r>
      </text>
    </comment>
    <comment ref="W780" authorId="1841">
      <text>
        <r>
          <rPr>
            <sz val="10"/>
            <rFont val="宋体"/>
            <charset val="134"/>
          </rPr>
          <t>21天免柜</t>
        </r>
      </text>
    </comment>
    <comment ref="J781" authorId="1842">
      <text>
        <r>
          <rPr>
            <sz val="10"/>
            <rFont val="宋体"/>
            <charset val="134"/>
          </rPr>
          <t>原7.9</t>
        </r>
      </text>
    </comment>
    <comment ref="V781" authorId="1843">
      <text>
        <r>
          <rPr>
            <sz val="10"/>
            <rFont val="宋体"/>
            <charset val="134"/>
          </rPr>
          <t>7.17 notify7.18 还空柜</t>
        </r>
      </text>
    </comment>
    <comment ref="W781" authorId="1844">
      <text>
        <r>
          <rPr>
            <sz val="10"/>
            <rFont val="宋体"/>
            <charset val="134"/>
          </rPr>
          <t>21天免柜</t>
        </r>
      </text>
    </comment>
    <comment ref="J782" authorId="1845">
      <text>
        <r>
          <rPr>
            <sz val="10"/>
            <rFont val="宋体"/>
            <charset val="134"/>
          </rPr>
          <t>原7.9</t>
        </r>
      </text>
    </comment>
    <comment ref="M782" authorId="1846">
      <text>
        <r>
          <rPr>
            <sz val="10"/>
            <rFont val="宋体"/>
            <charset val="134"/>
          </rPr>
          <t>待到货后, 本地Pick up</t>
        </r>
      </text>
    </comment>
    <comment ref="V782" authorId="1847">
      <text>
        <r>
          <rPr>
            <sz val="10"/>
            <rFont val="宋体"/>
            <charset val="134"/>
          </rPr>
          <t>7.17 notify7.18 还空柜</t>
        </r>
      </text>
    </comment>
    <comment ref="W782" authorId="1848">
      <text>
        <r>
          <rPr>
            <sz val="10"/>
            <rFont val="宋体"/>
            <charset val="134"/>
          </rPr>
          <t>21天免柜</t>
        </r>
      </text>
    </comment>
    <comment ref="J783" authorId="1849">
      <text>
        <r>
          <rPr>
            <sz val="10"/>
            <rFont val="宋体"/>
            <charset val="134"/>
          </rPr>
          <t>原7.3</t>
        </r>
      </text>
    </comment>
    <comment ref="V783" authorId="1850">
      <text>
        <r>
          <rPr>
            <sz val="10"/>
            <rFont val="宋体"/>
            <charset val="134"/>
          </rPr>
          <t>7.16 notify7.17 已取7/17 还空柜</t>
        </r>
      </text>
    </comment>
    <comment ref="T784" authorId="1851">
      <text>
        <r>
          <rPr>
            <sz val="10"/>
            <rFont val="宋体"/>
            <charset val="134"/>
          </rPr>
          <t>微信发JDL</t>
        </r>
      </text>
    </comment>
    <comment ref="V784" authorId="1852">
      <text>
        <r>
          <rPr>
            <sz val="10"/>
            <rFont val="宋体"/>
            <charset val="134"/>
          </rPr>
          <t>7.21 还空柜</t>
        </r>
      </text>
    </comment>
    <comment ref="W784" authorId="1853">
      <text>
        <r>
          <rPr>
            <sz val="10"/>
            <rFont val="宋体"/>
            <charset val="134"/>
          </rPr>
          <t>21天免柜</t>
        </r>
      </text>
    </comment>
    <comment ref="I785" authorId="1854">
      <text>
        <r>
          <rPr>
            <sz val="10"/>
            <rFont val="宋体"/>
            <charset val="134"/>
          </rPr>
          <t>原ETD:5.30</t>
        </r>
      </text>
    </comment>
    <comment ref="J785" authorId="1855">
      <text>
        <r>
          <rPr>
            <sz val="10"/>
            <rFont val="宋体"/>
            <charset val="134"/>
          </rPr>
          <t>原7.2</t>
        </r>
      </text>
    </comment>
    <comment ref="V785" authorId="1856">
      <text>
        <r>
          <rPr>
            <sz val="10"/>
            <rFont val="宋体"/>
            <charset val="134"/>
          </rPr>
          <t>7/17 notify7.21 还空柜</t>
        </r>
      </text>
    </comment>
    <comment ref="J786" authorId="1857">
      <text>
        <r>
          <rPr>
            <sz val="10"/>
            <rFont val="宋体"/>
            <charset val="134"/>
          </rPr>
          <t>原7.7</t>
        </r>
      </text>
    </comment>
    <comment ref="V786" authorId="1858">
      <text>
        <r>
          <rPr>
            <sz val="10"/>
            <rFont val="宋体"/>
            <charset val="134"/>
          </rPr>
          <t>7.15 notify7.16 还空柜</t>
        </r>
      </text>
    </comment>
    <comment ref="W786" authorId="1859">
      <text>
        <r>
          <rPr>
            <sz val="10"/>
            <rFont val="宋体"/>
            <charset val="134"/>
          </rPr>
          <t>21天免柜</t>
        </r>
      </text>
    </comment>
    <comment ref="J787" authorId="1860">
      <text>
        <r>
          <rPr>
            <sz val="10"/>
            <rFont val="宋体"/>
            <charset val="134"/>
          </rPr>
          <t>原7.7</t>
        </r>
      </text>
    </comment>
    <comment ref="V787" authorId="1861">
      <text>
        <r>
          <rPr>
            <sz val="10"/>
            <rFont val="宋体"/>
            <charset val="134"/>
          </rPr>
          <t>7/15 还空柜</t>
        </r>
      </text>
    </comment>
    <comment ref="W787" authorId="1862">
      <text>
        <r>
          <rPr>
            <sz val="10"/>
            <rFont val="宋体"/>
            <charset val="134"/>
          </rPr>
          <t>21天免柜</t>
        </r>
      </text>
    </comment>
    <comment ref="J788" authorId="1863">
      <text>
        <r>
          <rPr>
            <sz val="10"/>
            <rFont val="宋体"/>
            <charset val="134"/>
          </rPr>
          <t>原ETA 7.7</t>
        </r>
      </text>
    </comment>
    <comment ref="V788" authorId="1864">
      <text>
        <r>
          <rPr>
            <sz val="10"/>
            <rFont val="宋体"/>
            <charset val="134"/>
          </rPr>
          <t>7.15 notify7.16 已取7/16 还空柜</t>
        </r>
      </text>
    </comment>
    <comment ref="W788" authorId="1865">
      <text>
        <r>
          <rPr>
            <sz val="10"/>
            <rFont val="宋体"/>
            <charset val="134"/>
          </rPr>
          <t>21天免柜</t>
        </r>
      </text>
    </comment>
    <comment ref="J789" authorId="1866">
      <text>
        <r>
          <rPr>
            <sz val="10"/>
            <rFont val="宋体"/>
            <charset val="134"/>
          </rPr>
          <t>原ETA 7.7</t>
        </r>
      </text>
    </comment>
    <comment ref="V789" authorId="1867">
      <text>
        <r>
          <rPr>
            <sz val="10"/>
            <rFont val="宋体"/>
            <charset val="134"/>
          </rPr>
          <t>7.15 notify7.16 还空柜</t>
        </r>
      </text>
    </comment>
    <comment ref="W789" authorId="1868">
      <text>
        <r>
          <rPr>
            <sz val="10"/>
            <rFont val="宋体"/>
            <charset val="134"/>
          </rPr>
          <t>21天免柜</t>
        </r>
      </text>
    </comment>
    <comment ref="J790" authorId="1869">
      <text>
        <r>
          <rPr>
            <sz val="10"/>
            <rFont val="宋体"/>
            <charset val="134"/>
          </rPr>
          <t>原7.10</t>
        </r>
      </text>
    </comment>
    <comment ref="T790" authorId="1870">
      <text>
        <r>
          <rPr>
            <sz val="10"/>
            <rFont val="宋体"/>
            <charset val="134"/>
          </rPr>
          <t>微信发给JDL</t>
        </r>
      </text>
    </comment>
    <comment ref="V790" authorId="1871">
      <text>
        <r>
          <rPr>
            <sz val="10"/>
            <rFont val="宋体"/>
            <charset val="134"/>
          </rPr>
          <t>7.21 还空柜</t>
        </r>
      </text>
    </comment>
    <comment ref="W790" authorId="1872">
      <text>
        <r>
          <rPr>
            <sz val="10"/>
            <rFont val="宋体"/>
            <charset val="134"/>
          </rPr>
          <t>21天免柜</t>
        </r>
      </text>
    </comment>
    <comment ref="J791" authorId="1873">
      <text>
        <r>
          <rPr>
            <sz val="10"/>
            <rFont val="宋体"/>
            <charset val="134"/>
          </rPr>
          <t>原7.10</t>
        </r>
      </text>
    </comment>
    <comment ref="T791" authorId="1874">
      <text>
        <r>
          <rPr>
            <sz val="10"/>
            <rFont val="宋体"/>
            <charset val="134"/>
          </rPr>
          <t>微信发给JDL</t>
        </r>
      </text>
    </comment>
    <comment ref="V791" authorId="1875">
      <text>
        <r>
          <rPr>
            <sz val="10"/>
            <rFont val="宋体"/>
            <charset val="134"/>
          </rPr>
          <t>7/25 还空柜</t>
        </r>
      </text>
    </comment>
    <comment ref="W791" authorId="1876">
      <text>
        <r>
          <rPr>
            <sz val="10"/>
            <rFont val="宋体"/>
            <charset val="134"/>
          </rPr>
          <t>21天免柜</t>
        </r>
      </text>
    </comment>
    <comment ref="J792" authorId="1877">
      <text>
        <r>
          <rPr>
            <sz val="10"/>
            <rFont val="宋体"/>
            <charset val="134"/>
          </rPr>
          <t>原7.10</t>
        </r>
      </text>
    </comment>
    <comment ref="T792" authorId="1878">
      <text>
        <r>
          <rPr>
            <sz val="10"/>
            <rFont val="宋体"/>
            <charset val="134"/>
          </rPr>
          <t>微信发给JDL</t>
        </r>
      </text>
    </comment>
    <comment ref="V792" authorId="1879">
      <text>
        <r>
          <rPr>
            <sz val="10"/>
            <rFont val="宋体"/>
            <charset val="134"/>
          </rPr>
          <t>7/28 还空柜</t>
        </r>
      </text>
    </comment>
    <comment ref="W792" authorId="1880">
      <text>
        <r>
          <rPr>
            <sz val="10"/>
            <rFont val="宋体"/>
            <charset val="134"/>
          </rPr>
          <t>21天免柜</t>
        </r>
      </text>
    </comment>
    <comment ref="J793" authorId="1881">
      <text>
        <r>
          <rPr>
            <sz val="10"/>
            <rFont val="宋体"/>
            <charset val="134"/>
          </rPr>
          <t>原7.10</t>
        </r>
      </text>
    </comment>
    <comment ref="T793" authorId="1882">
      <text>
        <r>
          <rPr>
            <sz val="10"/>
            <rFont val="宋体"/>
            <charset val="134"/>
          </rPr>
          <t>微信发给JDL</t>
        </r>
      </text>
    </comment>
    <comment ref="V793" authorId="1883">
      <text>
        <r>
          <rPr>
            <sz val="10"/>
            <rFont val="宋体"/>
            <charset val="134"/>
          </rPr>
          <t>7.17 还空柜</t>
        </r>
      </text>
    </comment>
    <comment ref="W793" authorId="1884">
      <text>
        <r>
          <rPr>
            <sz val="10"/>
            <rFont val="宋体"/>
            <charset val="134"/>
          </rPr>
          <t>21天免柜</t>
        </r>
      </text>
    </comment>
    <comment ref="J794" authorId="1885">
      <text>
        <r>
          <rPr>
            <sz val="10"/>
            <rFont val="宋体"/>
            <charset val="134"/>
          </rPr>
          <t>原7.10</t>
        </r>
      </text>
    </comment>
    <comment ref="T794" authorId="1886">
      <text>
        <r>
          <rPr>
            <sz val="10"/>
            <rFont val="宋体"/>
            <charset val="134"/>
          </rPr>
          <t>微信发给JDL</t>
        </r>
      </text>
    </comment>
    <comment ref="V794" authorId="1887">
      <text>
        <r>
          <rPr>
            <sz val="10"/>
            <rFont val="宋体"/>
            <charset val="134"/>
          </rPr>
          <t>7.22 还空柜</t>
        </r>
      </text>
    </comment>
    <comment ref="W794" authorId="1888">
      <text>
        <r>
          <rPr>
            <sz val="10"/>
            <rFont val="宋体"/>
            <charset val="134"/>
          </rPr>
          <t>21天免柜</t>
        </r>
      </text>
    </comment>
    <comment ref="J795" authorId="1889">
      <text>
        <r>
          <rPr>
            <sz val="10"/>
            <rFont val="宋体"/>
            <charset val="134"/>
          </rPr>
          <t>原7.10</t>
        </r>
      </text>
    </comment>
    <comment ref="T795" authorId="1890">
      <text>
        <r>
          <rPr>
            <sz val="10"/>
            <rFont val="宋体"/>
            <charset val="134"/>
          </rPr>
          <t>微信发给JDL</t>
        </r>
      </text>
    </comment>
    <comment ref="V795" authorId="1891">
      <text>
        <r>
          <rPr>
            <sz val="10"/>
            <rFont val="宋体"/>
            <charset val="134"/>
          </rPr>
          <t>7.21 还空柜</t>
        </r>
      </text>
    </comment>
    <comment ref="W795" authorId="1892">
      <text>
        <r>
          <rPr>
            <sz val="10"/>
            <rFont val="宋体"/>
            <charset val="134"/>
          </rPr>
          <t>21天免柜</t>
        </r>
      </text>
    </comment>
    <comment ref="J796" authorId="1893">
      <text>
        <r>
          <rPr>
            <sz val="10"/>
            <rFont val="宋体"/>
            <charset val="134"/>
          </rPr>
          <t>原7.10</t>
        </r>
      </text>
    </comment>
    <comment ref="T796" authorId="1894">
      <text>
        <r>
          <rPr>
            <sz val="10"/>
            <rFont val="宋体"/>
            <charset val="134"/>
          </rPr>
          <t>微信发给JDL</t>
        </r>
      </text>
    </comment>
    <comment ref="V796" authorId="1895">
      <text>
        <r>
          <rPr>
            <sz val="10"/>
            <rFont val="宋体"/>
            <charset val="134"/>
          </rPr>
          <t>7.18 还空柜</t>
        </r>
      </text>
    </comment>
    <comment ref="W796" authorId="1896">
      <text>
        <r>
          <rPr>
            <sz val="10"/>
            <rFont val="宋体"/>
            <charset val="134"/>
          </rPr>
          <t>21天免柜</t>
        </r>
      </text>
    </comment>
    <comment ref="J797" authorId="1897">
      <text>
        <r>
          <rPr>
            <sz val="10"/>
            <rFont val="宋体"/>
            <charset val="134"/>
          </rPr>
          <t>原ETA 7.7</t>
        </r>
      </text>
    </comment>
    <comment ref="V797" authorId="1898">
      <text>
        <r>
          <rPr>
            <sz val="10"/>
            <rFont val="宋体"/>
            <charset val="134"/>
          </rPr>
          <t>7.15 notify7.16 已还柜</t>
        </r>
      </text>
    </comment>
    <comment ref="W797" authorId="1899">
      <text>
        <r>
          <rPr>
            <sz val="10"/>
            <rFont val="宋体"/>
            <charset val="134"/>
          </rPr>
          <t>21天免柜</t>
        </r>
      </text>
    </comment>
    <comment ref="J798" authorId="1900">
      <text>
        <r>
          <rPr>
            <sz val="10"/>
            <rFont val="宋体"/>
            <charset val="134"/>
          </rPr>
          <t>原ETA 7.7</t>
        </r>
      </text>
    </comment>
    <comment ref="V798" authorId="1901">
      <text>
        <r>
          <rPr>
            <sz val="10"/>
            <rFont val="宋体"/>
            <charset val="134"/>
          </rPr>
          <t>7.15 notify7.16 已还柜</t>
        </r>
      </text>
    </comment>
    <comment ref="W798" authorId="1902">
      <text>
        <r>
          <rPr>
            <sz val="10"/>
            <rFont val="宋体"/>
            <charset val="134"/>
          </rPr>
          <t>21天免柜</t>
        </r>
      </text>
    </comment>
    <comment ref="J799" authorId="1903">
      <text>
        <r>
          <rPr>
            <sz val="10"/>
            <rFont val="宋体"/>
            <charset val="134"/>
          </rPr>
          <t>原ETA 7.7</t>
        </r>
      </text>
    </comment>
    <comment ref="V799" authorId="1904">
      <text>
        <r>
          <rPr>
            <sz val="10"/>
            <rFont val="宋体"/>
            <charset val="134"/>
          </rPr>
          <t>7.15 notify7.17 还空柜</t>
        </r>
      </text>
    </comment>
    <comment ref="W799" authorId="1905">
      <text>
        <r>
          <rPr>
            <sz val="10"/>
            <rFont val="宋体"/>
            <charset val="134"/>
          </rPr>
          <t>21天免柜</t>
        </r>
      </text>
    </comment>
    <comment ref="J800" authorId="1906">
      <text>
        <r>
          <rPr>
            <sz val="10"/>
            <rFont val="宋体"/>
            <charset val="134"/>
          </rPr>
          <t>原7.13</t>
        </r>
      </text>
    </comment>
    <comment ref="V800" authorId="1907">
      <text>
        <r>
          <rPr>
            <sz val="10"/>
            <rFont val="宋体"/>
            <charset val="134"/>
          </rPr>
          <t>7/23 notify7.28 还空柜</t>
        </r>
      </text>
    </comment>
    <comment ref="W800" authorId="1908">
      <text>
        <r>
          <rPr>
            <sz val="10"/>
            <rFont val="宋体"/>
            <charset val="134"/>
          </rPr>
          <t>21天免柜</t>
        </r>
      </text>
    </comment>
    <comment ref="I801" authorId="1909">
      <text>
        <r>
          <rPr>
            <sz val="10"/>
            <rFont val="宋体"/>
            <charset val="134"/>
          </rPr>
          <t>船东反馈塞港+天气不好，导致船期延误</t>
        </r>
      </text>
    </comment>
    <comment ref="J801" authorId="1910">
      <text>
        <r>
          <rPr>
            <sz val="10"/>
            <rFont val="宋体"/>
            <charset val="134"/>
          </rPr>
          <t>原7.10船东反馈塞港+天气不好，导致船期延误</t>
        </r>
      </text>
    </comment>
    <comment ref="V801" authorId="1911">
      <text>
        <r>
          <rPr>
            <sz val="10"/>
            <rFont val="宋体"/>
            <charset val="134"/>
          </rPr>
          <t>7/25 notify7/29 还空柜</t>
        </r>
      </text>
    </comment>
    <comment ref="W801" authorId="1912">
      <text>
        <r>
          <rPr>
            <sz val="10"/>
            <rFont val="宋体"/>
            <charset val="134"/>
          </rPr>
          <t>21天免柜</t>
        </r>
      </text>
    </comment>
    <comment ref="I802" authorId="1913">
      <text>
        <r>
          <rPr>
            <sz val="10"/>
            <rFont val="宋体"/>
            <charset val="134"/>
          </rPr>
          <t>船期延迟，原ETD 6.15</t>
        </r>
      </text>
    </comment>
    <comment ref="J802" authorId="1914">
      <text>
        <r>
          <rPr>
            <sz val="10"/>
            <rFont val="宋体"/>
            <charset val="134"/>
          </rPr>
          <t>原7.6</t>
        </r>
      </text>
    </comment>
    <comment ref="V802" authorId="1915">
      <text>
        <r>
          <rPr>
            <sz val="10"/>
            <rFont val="宋体"/>
            <charset val="134"/>
          </rPr>
          <t>7/23 notify</t>
        </r>
      </text>
    </comment>
    <comment ref="I803" authorId="1916">
      <text>
        <r>
          <rPr>
            <sz val="10"/>
            <rFont val="宋体"/>
            <charset val="134"/>
          </rPr>
          <t>船期延迟，原ETD 6.15</t>
        </r>
      </text>
    </comment>
    <comment ref="J803" authorId="1917">
      <text>
        <r>
          <rPr>
            <sz val="10"/>
            <rFont val="宋体"/>
            <charset val="134"/>
          </rPr>
          <t>原7.6</t>
        </r>
      </text>
    </comment>
    <comment ref="V803" authorId="1918">
      <text>
        <r>
          <rPr>
            <sz val="10"/>
            <rFont val="宋体"/>
            <charset val="134"/>
          </rPr>
          <t>7/25 notify7/28 还空柜</t>
        </r>
      </text>
    </comment>
    <comment ref="I804" authorId="1919">
      <text>
        <r>
          <rPr>
            <sz val="10"/>
            <rFont val="宋体"/>
            <charset val="134"/>
          </rPr>
          <t>船期延迟，原ETD 6.15</t>
        </r>
      </text>
    </comment>
    <comment ref="J804" authorId="1920">
      <text>
        <r>
          <rPr>
            <sz val="10"/>
            <rFont val="宋体"/>
            <charset val="134"/>
          </rPr>
          <t>原7.6</t>
        </r>
      </text>
    </comment>
    <comment ref="V804" authorId="1921">
      <text>
        <r>
          <rPr>
            <sz val="10"/>
            <rFont val="宋体"/>
            <charset val="134"/>
          </rPr>
          <t>7.22 notify7.23 已取走</t>
        </r>
      </text>
    </comment>
    <comment ref="I805" authorId="1922">
      <text>
        <r>
          <rPr>
            <sz val="10"/>
            <rFont val="宋体"/>
            <charset val="134"/>
          </rPr>
          <t>船期延迟，原ETD 6.15</t>
        </r>
      </text>
    </comment>
    <comment ref="J805" authorId="1923">
      <text>
        <r>
          <rPr>
            <sz val="10"/>
            <rFont val="宋体"/>
            <charset val="134"/>
          </rPr>
          <t>原7.6</t>
        </r>
      </text>
    </comment>
    <comment ref="V805" authorId="1924">
      <text>
        <r>
          <rPr>
            <sz val="10"/>
            <rFont val="宋体"/>
            <charset val="134"/>
          </rPr>
          <t>7.22 notify7.23 已取走</t>
        </r>
      </text>
    </comment>
    <comment ref="I806" authorId="1925">
      <text>
        <r>
          <rPr>
            <sz val="10"/>
            <rFont val="宋体"/>
            <charset val="134"/>
          </rPr>
          <t>船期延迟，原ETD 6.15</t>
        </r>
      </text>
    </comment>
    <comment ref="J806" authorId="1926">
      <text>
        <r>
          <rPr>
            <sz val="10"/>
            <rFont val="宋体"/>
            <charset val="134"/>
          </rPr>
          <t>原7.6</t>
        </r>
      </text>
    </comment>
    <comment ref="V806" authorId="1927">
      <text>
        <r>
          <rPr>
            <sz val="10"/>
            <rFont val="宋体"/>
            <charset val="134"/>
          </rPr>
          <t>7.23 notify7/24 还空柜</t>
        </r>
      </text>
    </comment>
    <comment ref="I807" authorId="1928">
      <text>
        <r>
          <rPr>
            <sz val="10"/>
            <rFont val="宋体"/>
            <charset val="134"/>
          </rPr>
          <t>船期延迟，原ETD 6.15</t>
        </r>
      </text>
    </comment>
    <comment ref="J807" authorId="1929">
      <text>
        <r>
          <rPr>
            <sz val="10"/>
            <rFont val="宋体"/>
            <charset val="134"/>
          </rPr>
          <t>原7.6</t>
        </r>
      </text>
    </comment>
    <comment ref="V807" authorId="1930">
      <text>
        <r>
          <rPr>
            <sz val="10"/>
            <rFont val="宋体"/>
            <charset val="134"/>
          </rPr>
          <t>7.23 notify7/25 还空柜</t>
        </r>
      </text>
    </comment>
    <comment ref="J808" authorId="1931">
      <text>
        <r>
          <rPr>
            <sz val="10"/>
            <rFont val="宋体"/>
            <charset val="134"/>
          </rPr>
          <t>原7.13</t>
        </r>
      </text>
    </comment>
    <comment ref="T808" authorId="1932">
      <text>
        <r>
          <rPr>
            <sz val="10"/>
            <rFont val="宋体"/>
            <charset val="134"/>
          </rPr>
          <t>微信发给JDL</t>
        </r>
      </text>
    </comment>
    <comment ref="V808" authorId="1933">
      <text>
        <r>
          <rPr>
            <sz val="10"/>
            <rFont val="宋体"/>
            <charset val="134"/>
          </rPr>
          <t>7/29 还空柜</t>
        </r>
      </text>
    </comment>
    <comment ref="W808" authorId="1934">
      <text>
        <r>
          <rPr>
            <sz val="10"/>
            <rFont val="宋体"/>
            <charset val="134"/>
          </rPr>
          <t>21天免柜</t>
        </r>
      </text>
    </comment>
    <comment ref="J809" authorId="1935">
      <text>
        <r>
          <rPr>
            <sz val="10"/>
            <rFont val="宋体"/>
            <charset val="134"/>
          </rPr>
          <t>原7.14</t>
        </r>
      </text>
    </comment>
    <comment ref="T809" authorId="1936">
      <text>
        <r>
          <rPr>
            <sz val="10"/>
            <rFont val="宋体"/>
            <charset val="134"/>
          </rPr>
          <t>微信发JDL</t>
        </r>
      </text>
    </comment>
    <comment ref="W809" authorId="1937">
      <text>
        <r>
          <rPr>
            <sz val="10"/>
            <rFont val="宋体"/>
            <charset val="134"/>
          </rPr>
          <t>21天免柜</t>
        </r>
      </text>
    </comment>
    <comment ref="J810" authorId="1938">
      <text>
        <r>
          <rPr>
            <sz val="10"/>
            <rFont val="宋体"/>
            <charset val="134"/>
          </rPr>
          <t>原7.18</t>
        </r>
      </text>
    </comment>
    <comment ref="V810" authorId="1939">
      <text>
        <r>
          <rPr>
            <sz val="10"/>
            <rFont val="宋体"/>
            <charset val="134"/>
          </rPr>
          <t>7/28 notify7/29 还空柜</t>
        </r>
      </text>
    </comment>
    <comment ref="W810" authorId="1940">
      <text>
        <r>
          <rPr>
            <sz val="10"/>
            <rFont val="宋体"/>
            <charset val="134"/>
          </rPr>
          <t>21天免柜</t>
        </r>
      </text>
    </comment>
    <comment ref="J811" authorId="1941">
      <text>
        <r>
          <rPr>
            <sz val="10"/>
            <rFont val="宋体"/>
            <charset val="134"/>
          </rPr>
          <t>原8.3</t>
        </r>
      </text>
    </comment>
    <comment ref="V811" authorId="1942">
      <text>
        <r>
          <rPr>
            <sz val="10"/>
            <rFont val="宋体"/>
            <charset val="134"/>
          </rPr>
          <t>7/25 notify7/29 还空柜</t>
        </r>
      </text>
    </comment>
    <comment ref="W811" authorId="1943">
      <text>
        <r>
          <rPr>
            <sz val="10"/>
            <rFont val="宋体"/>
            <charset val="134"/>
          </rPr>
          <t>21天免柜</t>
        </r>
      </text>
    </comment>
    <comment ref="I812" authorId="1944">
      <text>
        <r>
          <rPr>
            <sz val="10"/>
            <rFont val="宋体"/>
            <charset val="134"/>
          </rPr>
          <t>原7.2 大船晚回</t>
        </r>
      </text>
    </comment>
    <comment ref="J812" authorId="1945">
      <text>
        <r>
          <rPr>
            <sz val="10"/>
            <rFont val="宋体"/>
            <charset val="134"/>
          </rPr>
          <t>原7.20</t>
        </r>
      </text>
    </comment>
    <comment ref="M812" authorId="1946">
      <text>
        <r>
          <rPr>
            <sz val="10"/>
            <rFont val="宋体"/>
            <charset val="134"/>
          </rPr>
          <t>7.3 客户确认取消PolyairePO #429287.7 Curtis 通知客户不取消，用新PO</t>
        </r>
      </text>
    </comment>
    <comment ref="V812" authorId="1947">
      <text>
        <r>
          <rPr>
            <sz val="10"/>
            <rFont val="宋体"/>
            <charset val="134"/>
          </rPr>
          <t>8/4 notify8/5 还空柜</t>
        </r>
      </text>
    </comment>
    <comment ref="W812" authorId="1948">
      <text>
        <r>
          <rPr>
            <sz val="10"/>
            <rFont val="宋体"/>
            <charset val="134"/>
          </rPr>
          <t>21天免柜</t>
        </r>
      </text>
    </comment>
    <comment ref="I813" authorId="1949">
      <text>
        <r>
          <rPr>
            <sz val="10"/>
            <rFont val="宋体"/>
            <charset val="134"/>
          </rPr>
          <t>原7.2 大船晚回</t>
        </r>
      </text>
    </comment>
    <comment ref="J813" authorId="1950">
      <text>
        <r>
          <rPr>
            <sz val="10"/>
            <rFont val="宋体"/>
            <charset val="134"/>
          </rPr>
          <t>原7.20</t>
        </r>
      </text>
    </comment>
    <comment ref="V813" authorId="1951">
      <text>
        <r>
          <rPr>
            <sz val="10"/>
            <rFont val="宋体"/>
            <charset val="134"/>
          </rPr>
          <t>8/4 notify8/5 还空柜</t>
        </r>
      </text>
    </comment>
    <comment ref="W813" authorId="1952">
      <text>
        <r>
          <rPr>
            <sz val="10"/>
            <rFont val="宋体"/>
            <charset val="134"/>
          </rPr>
          <t>21天免柜</t>
        </r>
      </text>
    </comment>
    <comment ref="I814" authorId="1953">
      <text>
        <r>
          <rPr>
            <sz val="10"/>
            <rFont val="宋体"/>
            <charset val="134"/>
          </rPr>
          <t>原7.2 大船晚回</t>
        </r>
      </text>
    </comment>
    <comment ref="J814" authorId="1954">
      <text>
        <r>
          <rPr>
            <sz val="10"/>
            <rFont val="宋体"/>
            <charset val="134"/>
          </rPr>
          <t>原7.20</t>
        </r>
      </text>
    </comment>
    <comment ref="L814" authorId="1955">
      <text>
        <r>
          <rPr>
            <sz val="10"/>
            <rFont val="宋体"/>
            <charset val="134"/>
          </rPr>
          <t>送到SPT客人那里
Emily Sharrock （Smart Power Tech）
2 Camino Crescent, Cranbourne West VIC 3977
1800 778 786</t>
        </r>
      </text>
    </comment>
    <comment ref="V814" authorId="1956">
      <text>
        <r>
          <rPr>
            <sz val="10"/>
            <rFont val="宋体"/>
            <charset val="134"/>
          </rPr>
          <t>8/2 还空柜</t>
        </r>
      </text>
    </comment>
    <comment ref="W814" authorId="1957">
      <text>
        <r>
          <rPr>
            <sz val="10"/>
            <rFont val="宋体"/>
            <charset val="134"/>
          </rPr>
          <t>21天免柜</t>
        </r>
      </text>
    </comment>
    <comment ref="I815" authorId="1958">
      <text>
        <r>
          <rPr>
            <sz val="10"/>
            <rFont val="宋体"/>
            <charset val="134"/>
          </rPr>
          <t>原7.2 大船晚回</t>
        </r>
      </text>
    </comment>
    <comment ref="J815" authorId="1959">
      <text>
        <r>
          <rPr>
            <sz val="10"/>
            <rFont val="宋体"/>
            <charset val="134"/>
          </rPr>
          <t>原7.20</t>
        </r>
      </text>
    </comment>
    <comment ref="V815" authorId="1960">
      <text>
        <r>
          <rPr>
            <sz val="10"/>
            <rFont val="宋体"/>
            <charset val="134"/>
          </rPr>
          <t>8/7 notify8/9 还空柜</t>
        </r>
      </text>
    </comment>
    <comment ref="W815" authorId="1961">
      <text>
        <r>
          <rPr>
            <sz val="10"/>
            <rFont val="宋体"/>
            <charset val="134"/>
          </rPr>
          <t>21天免柜</t>
        </r>
      </text>
    </comment>
    <comment ref="I816" authorId="1962">
      <text>
        <r>
          <rPr>
            <sz val="10"/>
            <rFont val="宋体"/>
            <charset val="134"/>
          </rPr>
          <t>原7.2 大船晚回</t>
        </r>
      </text>
    </comment>
    <comment ref="J816" authorId="1963">
      <text>
        <r>
          <rPr>
            <sz val="10"/>
            <rFont val="宋体"/>
            <charset val="134"/>
          </rPr>
          <t>原7.20</t>
        </r>
      </text>
    </comment>
    <comment ref="V816" authorId="1964">
      <text>
        <r>
          <rPr>
            <sz val="10"/>
            <rFont val="宋体"/>
            <charset val="134"/>
          </rPr>
          <t>8/4 还空柜</t>
        </r>
      </text>
    </comment>
    <comment ref="W816" authorId="1965">
      <text>
        <r>
          <rPr>
            <sz val="10"/>
            <rFont val="宋体"/>
            <charset val="134"/>
          </rPr>
          <t>21天免柜</t>
        </r>
      </text>
    </comment>
    <comment ref="I817" authorId="1966">
      <text>
        <r>
          <rPr>
            <sz val="10"/>
            <rFont val="宋体"/>
            <charset val="134"/>
          </rPr>
          <t>原7.2 大船晚回</t>
        </r>
      </text>
    </comment>
    <comment ref="J817" authorId="1967">
      <text>
        <r>
          <rPr>
            <sz val="10"/>
            <rFont val="宋体"/>
            <charset val="134"/>
          </rPr>
          <t>原7.20</t>
        </r>
      </text>
    </comment>
    <comment ref="V817" authorId="1968">
      <text>
        <r>
          <rPr>
            <sz val="10"/>
            <rFont val="宋体"/>
            <charset val="134"/>
          </rPr>
          <t>8/6 notify8/7 还空柜</t>
        </r>
      </text>
    </comment>
    <comment ref="W817" authorId="1969">
      <text>
        <r>
          <rPr>
            <sz val="10"/>
            <rFont val="宋体"/>
            <charset val="134"/>
          </rPr>
          <t>21天免柜</t>
        </r>
      </text>
    </comment>
    <comment ref="I818" authorId="1970">
      <text>
        <r>
          <rPr>
            <sz val="10"/>
            <rFont val="宋体"/>
            <charset val="134"/>
          </rPr>
          <t>原7.2 大船晚回</t>
        </r>
      </text>
    </comment>
    <comment ref="J818" authorId="1971">
      <text>
        <r>
          <rPr>
            <sz val="10"/>
            <rFont val="宋体"/>
            <charset val="134"/>
          </rPr>
          <t>原7.20</t>
        </r>
      </text>
    </comment>
    <comment ref="V818" authorId="1972">
      <text>
        <r>
          <rPr>
            <sz val="10"/>
            <rFont val="宋体"/>
            <charset val="134"/>
          </rPr>
          <t>8/7 notify8/9 还空柜</t>
        </r>
      </text>
    </comment>
    <comment ref="W818" authorId="1973">
      <text>
        <r>
          <rPr>
            <sz val="10"/>
            <rFont val="宋体"/>
            <charset val="134"/>
          </rPr>
          <t>21天免柜</t>
        </r>
      </text>
    </comment>
    <comment ref="I819" authorId="1974">
      <text>
        <r>
          <rPr>
            <sz val="10"/>
            <rFont val="宋体"/>
            <charset val="134"/>
          </rPr>
          <t>原7.2 大船晚回</t>
        </r>
      </text>
    </comment>
    <comment ref="J819" authorId="1975">
      <text>
        <r>
          <rPr>
            <sz val="10"/>
            <rFont val="宋体"/>
            <charset val="134"/>
          </rPr>
          <t>原7.20</t>
        </r>
      </text>
    </comment>
    <comment ref="L819" authorId="1976">
      <text>
        <r>
          <rPr>
            <sz val="10"/>
            <rFont val="宋体"/>
            <charset val="134"/>
          </rPr>
          <t>7/29 Curtis确认更改派送地址，直接送到客户仓库</t>
        </r>
      </text>
    </comment>
    <comment ref="V819" authorId="1977">
      <text>
        <r>
          <rPr>
            <sz val="10"/>
            <rFont val="宋体"/>
            <charset val="134"/>
          </rPr>
          <t>8/4 notify8/5 还空柜</t>
        </r>
      </text>
    </comment>
    <comment ref="W819" authorId="1978">
      <text>
        <r>
          <rPr>
            <sz val="10"/>
            <rFont val="宋体"/>
            <charset val="134"/>
          </rPr>
          <t>21天免柜</t>
        </r>
      </text>
    </comment>
    <comment ref="I820" authorId="1979">
      <text>
        <r>
          <rPr>
            <sz val="10"/>
            <rFont val="宋体"/>
            <charset val="134"/>
          </rPr>
          <t>原7.2 大船晚回</t>
        </r>
      </text>
    </comment>
    <comment ref="J820" authorId="1980">
      <text>
        <r>
          <rPr>
            <sz val="10"/>
            <rFont val="宋体"/>
            <charset val="134"/>
          </rPr>
          <t>原7.20</t>
        </r>
      </text>
    </comment>
    <comment ref="V820" authorId="1981">
      <text>
        <r>
          <rPr>
            <sz val="10"/>
            <rFont val="宋体"/>
            <charset val="134"/>
          </rPr>
          <t>8/7 notify8/9 还空柜</t>
        </r>
      </text>
    </comment>
    <comment ref="W820" authorId="1982">
      <text>
        <r>
          <rPr>
            <sz val="10"/>
            <rFont val="宋体"/>
            <charset val="134"/>
          </rPr>
          <t>21天免柜</t>
        </r>
      </text>
    </comment>
    <comment ref="I821" authorId="1983">
      <text>
        <r>
          <rPr>
            <sz val="10"/>
            <rFont val="宋体"/>
            <charset val="134"/>
          </rPr>
          <t>原7.2 大船晚回</t>
        </r>
      </text>
    </comment>
    <comment ref="J821" authorId="1984">
      <text>
        <r>
          <rPr>
            <sz val="10"/>
            <rFont val="宋体"/>
            <charset val="134"/>
          </rPr>
          <t>原7.20</t>
        </r>
      </text>
    </comment>
    <comment ref="V821" authorId="1985">
      <text>
        <r>
          <rPr>
            <sz val="10"/>
            <rFont val="宋体"/>
            <charset val="134"/>
          </rPr>
          <t>8/7 notify8/8 还空柜</t>
        </r>
      </text>
    </comment>
    <comment ref="W821" authorId="1986">
      <text>
        <r>
          <rPr>
            <sz val="10"/>
            <rFont val="宋体"/>
            <charset val="134"/>
          </rPr>
          <t>21天免柜</t>
        </r>
      </text>
    </comment>
    <comment ref="I822" authorId="1987">
      <text>
        <r>
          <rPr>
            <sz val="10"/>
            <rFont val="宋体"/>
            <charset val="134"/>
          </rPr>
          <t>原7.2 大船晚回</t>
        </r>
      </text>
    </comment>
    <comment ref="J822" authorId="1988">
      <text>
        <r>
          <rPr>
            <sz val="10"/>
            <rFont val="宋体"/>
            <charset val="134"/>
          </rPr>
          <t>原7.20</t>
        </r>
      </text>
    </comment>
    <comment ref="L822" authorId="1989">
      <text>
        <r>
          <rPr>
            <sz val="10"/>
            <rFont val="宋体"/>
            <charset val="134"/>
          </rPr>
          <t>7/29 Curtis确认更改派送地址，直接送到客户仓库</t>
        </r>
      </text>
    </comment>
    <comment ref="V822" authorId="1990">
      <text>
        <r>
          <rPr>
            <sz val="10"/>
            <rFont val="宋体"/>
            <charset val="134"/>
          </rPr>
          <t>8/4 notify8/6 还空柜</t>
        </r>
      </text>
    </comment>
    <comment ref="W822" authorId="1991">
      <text>
        <r>
          <rPr>
            <sz val="10"/>
            <rFont val="宋体"/>
            <charset val="134"/>
          </rPr>
          <t>21天免柜</t>
        </r>
      </text>
    </comment>
    <comment ref="I823" authorId="1992">
      <text>
        <r>
          <rPr>
            <sz val="10"/>
            <rFont val="宋体"/>
            <charset val="134"/>
          </rPr>
          <t>原7.2 大船晚回</t>
        </r>
      </text>
    </comment>
    <comment ref="J823" authorId="1993">
      <text>
        <r>
          <rPr>
            <sz val="10"/>
            <rFont val="宋体"/>
            <charset val="134"/>
          </rPr>
          <t>原7.20</t>
        </r>
      </text>
    </comment>
    <comment ref="V823" authorId="1994">
      <text>
        <r>
          <rPr>
            <sz val="10"/>
            <rFont val="宋体"/>
            <charset val="134"/>
          </rPr>
          <t>8/7 notify8/8 还空柜</t>
        </r>
      </text>
    </comment>
    <comment ref="W823" authorId="1995">
      <text>
        <r>
          <rPr>
            <sz val="10"/>
            <rFont val="宋体"/>
            <charset val="134"/>
          </rPr>
          <t>21天免柜</t>
        </r>
      </text>
    </comment>
    <comment ref="I824" authorId="1996">
      <text>
        <r>
          <rPr>
            <sz val="10"/>
            <rFont val="宋体"/>
            <charset val="134"/>
          </rPr>
          <t>原7.2 大船晚回</t>
        </r>
      </text>
    </comment>
    <comment ref="J824" authorId="1997">
      <text>
        <r>
          <rPr>
            <sz val="10"/>
            <rFont val="宋体"/>
            <charset val="134"/>
          </rPr>
          <t>原7.20</t>
        </r>
      </text>
    </comment>
    <comment ref="V824" authorId="1998">
      <text>
        <r>
          <rPr>
            <sz val="10"/>
            <rFont val="宋体"/>
            <charset val="134"/>
          </rPr>
          <t>8/7 notify8/9 还空柜</t>
        </r>
      </text>
    </comment>
    <comment ref="W824" authorId="1999">
      <text>
        <r>
          <rPr>
            <sz val="10"/>
            <rFont val="宋体"/>
            <charset val="134"/>
          </rPr>
          <t>21天免柜</t>
        </r>
      </text>
    </comment>
    <comment ref="I825" authorId="2000">
      <text>
        <r>
          <rPr>
            <sz val="10"/>
            <rFont val="宋体"/>
            <charset val="134"/>
          </rPr>
          <t>走蛇口出原7.4 大船晚回</t>
        </r>
      </text>
    </comment>
    <comment ref="J825" authorId="2001">
      <text>
        <r>
          <rPr>
            <sz val="10"/>
            <rFont val="宋体"/>
            <charset val="134"/>
          </rPr>
          <t>原7.20</t>
        </r>
      </text>
    </comment>
    <comment ref="V825" authorId="2002">
      <text>
        <r>
          <rPr>
            <sz val="10"/>
            <rFont val="宋体"/>
            <charset val="134"/>
          </rPr>
          <t>8/6 notify8/7 还空柜</t>
        </r>
      </text>
    </comment>
    <comment ref="J826" authorId="2003">
      <text>
        <r>
          <rPr>
            <sz val="10"/>
            <rFont val="宋体"/>
            <charset val="134"/>
          </rPr>
          <t>原7.30</t>
        </r>
      </text>
    </comment>
    <comment ref="V826" authorId="2004">
      <text>
        <r>
          <rPr>
            <sz val="10"/>
            <rFont val="宋体"/>
            <charset val="134"/>
          </rPr>
          <t>8/8 notify</t>
        </r>
      </text>
    </comment>
    <comment ref="J827" authorId="2005">
      <text>
        <r>
          <rPr>
            <sz val="10"/>
            <rFont val="宋体"/>
            <charset val="134"/>
          </rPr>
          <t>原ETA: 8/5</t>
        </r>
      </text>
    </comment>
    <comment ref="V827" authorId="2006">
      <text>
        <r>
          <rPr>
            <sz val="10"/>
            <rFont val="宋体"/>
            <charset val="134"/>
          </rPr>
          <t>8/13 notify8/15 还空柜</t>
        </r>
      </text>
    </comment>
    <comment ref="W827" authorId="2007">
      <text>
        <r>
          <rPr>
            <sz val="10"/>
            <rFont val="宋体"/>
            <charset val="134"/>
          </rPr>
          <t>21天免柜</t>
        </r>
      </text>
    </comment>
    <comment ref="I828" authorId="2008">
      <text>
        <r>
          <rPr>
            <sz val="10"/>
            <rFont val="宋体"/>
            <charset val="134"/>
          </rPr>
          <t>原7.11</t>
        </r>
      </text>
    </comment>
    <comment ref="J828" authorId="2009">
      <text>
        <r>
          <rPr>
            <sz val="10"/>
            <rFont val="宋体"/>
            <charset val="134"/>
          </rPr>
          <t>原ETA：7/31Jennie发给客户 原ETA 8.5</t>
        </r>
      </text>
    </comment>
    <comment ref="V828" authorId="2010">
      <text>
        <r>
          <rPr>
            <sz val="10"/>
            <rFont val="宋体"/>
            <charset val="134"/>
          </rPr>
          <t>8/13 notify8/14 还空柜</t>
        </r>
      </text>
    </comment>
    <comment ref="W828" authorId="2011">
      <text>
        <r>
          <rPr>
            <sz val="10"/>
            <rFont val="宋体"/>
            <charset val="134"/>
          </rPr>
          <t>21天免柜</t>
        </r>
      </text>
    </comment>
    <comment ref="I829" authorId="2012">
      <text>
        <r>
          <rPr>
            <sz val="10"/>
            <rFont val="宋体"/>
            <charset val="134"/>
          </rPr>
          <t>大船晚回7.16查官网还没开船
Martin更新是ETD 7.18台风上海停2天，ETD7.20台风原因 预计7.22晚开</t>
        </r>
      </text>
    </comment>
    <comment ref="J829" authorId="2013">
      <text>
        <r>
          <rPr>
            <sz val="10"/>
            <rFont val="宋体"/>
            <charset val="134"/>
          </rPr>
          <t>Martin更新ETA8.9原ETA：8/3</t>
        </r>
      </text>
    </comment>
    <comment ref="M829" authorId="2014">
      <text>
        <r>
          <rPr>
            <sz val="10"/>
            <rFont val="宋体"/>
            <charset val="134"/>
          </rPr>
          <t>留12pcs 235外机给HDA</t>
        </r>
      </text>
    </comment>
    <comment ref="V829" authorId="2015">
      <text>
        <r>
          <rPr>
            <sz val="10"/>
            <rFont val="宋体"/>
            <charset val="134"/>
          </rPr>
          <t>8/13 notify8/15 还空柜</t>
        </r>
      </text>
    </comment>
    <comment ref="W829" authorId="2016">
      <text>
        <r>
          <rPr>
            <sz val="10"/>
            <rFont val="宋体"/>
            <charset val="134"/>
          </rPr>
          <t>21天免柜</t>
        </r>
      </text>
    </comment>
    <comment ref="I830" authorId="2017">
      <text>
        <r>
          <rPr>
            <sz val="10"/>
            <rFont val="宋体"/>
            <charset val="134"/>
          </rPr>
          <t>大船晚回7.16查官网还没开船
Martin更新是ETD 7.18台风上海停2天，ETD7.20台风原因，预计7.22晚开</t>
        </r>
      </text>
    </comment>
    <comment ref="J830" authorId="2018">
      <text>
        <r>
          <rPr>
            <sz val="10"/>
            <rFont val="宋体"/>
            <charset val="134"/>
          </rPr>
          <t>Martin更新ETA8.9原ETA：8/3</t>
        </r>
      </text>
    </comment>
    <comment ref="V830" authorId="2019">
      <text>
        <r>
          <rPr>
            <sz val="10"/>
            <rFont val="宋体"/>
            <charset val="134"/>
          </rPr>
          <t>8/19 notify8/22 还空柜</t>
        </r>
      </text>
    </comment>
    <comment ref="W830" authorId="2020">
      <text>
        <r>
          <rPr>
            <sz val="10"/>
            <rFont val="宋体"/>
            <charset val="134"/>
          </rPr>
          <t>21天免柜</t>
        </r>
      </text>
    </comment>
    <comment ref="I831" authorId="2021">
      <text>
        <r>
          <rPr>
            <sz val="10"/>
            <rFont val="宋体"/>
            <charset val="134"/>
          </rPr>
          <t>大船晚回 7.16查官网还没开船
Martin更新是ETD 7.18台风上海停2天，ETD7.20台风原因，预计7.22晚开</t>
        </r>
      </text>
    </comment>
    <comment ref="J831" authorId="2022">
      <text>
        <r>
          <rPr>
            <sz val="10"/>
            <rFont val="宋体"/>
            <charset val="134"/>
          </rPr>
          <t>Martin更新ETA8.9原ETA：8/3</t>
        </r>
      </text>
    </comment>
    <comment ref="V831" authorId="2023">
      <text>
        <r>
          <rPr>
            <sz val="10"/>
            <rFont val="宋体"/>
            <charset val="134"/>
          </rPr>
          <t>8/19 notify8/22 还空柜</t>
        </r>
      </text>
    </comment>
    <comment ref="W831" authorId="2024">
      <text>
        <r>
          <rPr>
            <sz val="10"/>
            <rFont val="宋体"/>
            <charset val="134"/>
          </rPr>
          <t>21天免柜</t>
        </r>
      </text>
    </comment>
    <comment ref="J832" authorId="2025">
      <text>
        <r>
          <rPr>
            <sz val="10"/>
            <rFont val="宋体"/>
            <charset val="134"/>
          </rPr>
          <t>原ETA：8/8</t>
        </r>
      </text>
    </comment>
    <comment ref="V832" authorId="2026">
      <text>
        <r>
          <rPr>
            <sz val="10"/>
            <rFont val="宋体"/>
            <charset val="134"/>
          </rPr>
          <t>8/15 notify8/18 还空柜</t>
        </r>
      </text>
    </comment>
    <comment ref="W832" authorId="2027">
      <text>
        <r>
          <rPr>
            <sz val="10"/>
            <rFont val="宋体"/>
            <charset val="134"/>
          </rPr>
          <t>21天免柜</t>
        </r>
      </text>
    </comment>
    <comment ref="J833" authorId="2028">
      <text>
        <r>
          <rPr>
            <sz val="10"/>
            <rFont val="宋体"/>
            <charset val="134"/>
          </rPr>
          <t>原ETA：8/8</t>
        </r>
      </text>
    </comment>
    <comment ref="V833" authorId="2029">
      <text>
        <r>
          <rPr>
            <sz val="10"/>
            <rFont val="宋体"/>
            <charset val="134"/>
          </rPr>
          <t>8/15 notify8/19 还空柜</t>
        </r>
      </text>
    </comment>
    <comment ref="W833" authorId="2030">
      <text>
        <r>
          <rPr>
            <sz val="10"/>
            <rFont val="宋体"/>
            <charset val="134"/>
          </rPr>
          <t>21天免柜</t>
        </r>
      </text>
    </comment>
    <comment ref="J834" authorId="2031">
      <text>
        <r>
          <rPr>
            <sz val="10"/>
            <rFont val="宋体"/>
            <charset val="134"/>
          </rPr>
          <t>原ETA：8/8</t>
        </r>
      </text>
    </comment>
    <comment ref="V834" authorId="2032">
      <text>
        <r>
          <rPr>
            <sz val="10"/>
            <rFont val="宋体"/>
            <charset val="134"/>
          </rPr>
          <t>8/15 notify8/18 还空柜</t>
        </r>
      </text>
    </comment>
    <comment ref="W834" authorId="2033">
      <text>
        <r>
          <rPr>
            <sz val="10"/>
            <rFont val="宋体"/>
            <charset val="134"/>
          </rPr>
          <t>21天免柜</t>
        </r>
      </text>
    </comment>
    <comment ref="J835" authorId="2034">
      <text>
        <r>
          <rPr>
            <sz val="10"/>
            <rFont val="宋体"/>
            <charset val="134"/>
          </rPr>
          <t>原ETA：8/8</t>
        </r>
      </text>
    </comment>
    <comment ref="V835" authorId="2035">
      <text>
        <r>
          <rPr>
            <sz val="10"/>
            <rFont val="宋体"/>
            <charset val="134"/>
          </rPr>
          <t>8/14 notify8/16 还空柜</t>
        </r>
      </text>
    </comment>
    <comment ref="W835" authorId="2036">
      <text>
        <r>
          <rPr>
            <sz val="10"/>
            <rFont val="宋体"/>
            <charset val="134"/>
          </rPr>
          <t>21天免柜</t>
        </r>
      </text>
    </comment>
    <comment ref="J836" authorId="2037">
      <text>
        <r>
          <rPr>
            <sz val="10"/>
            <rFont val="宋体"/>
            <charset val="134"/>
          </rPr>
          <t>原ETA：8/8</t>
        </r>
      </text>
    </comment>
    <comment ref="V836" authorId="2038">
      <text>
        <r>
          <rPr>
            <sz val="10"/>
            <rFont val="宋体"/>
            <charset val="134"/>
          </rPr>
          <t>8/15 notify8/19 还空柜</t>
        </r>
      </text>
    </comment>
    <comment ref="W836" authorId="2039">
      <text>
        <r>
          <rPr>
            <sz val="10"/>
            <rFont val="宋体"/>
            <charset val="134"/>
          </rPr>
          <t>21天免柜</t>
        </r>
      </text>
    </comment>
    <comment ref="J837" authorId="2040">
      <text>
        <r>
          <rPr>
            <sz val="10"/>
            <rFont val="宋体"/>
            <charset val="134"/>
          </rPr>
          <t>原ETA：8/8</t>
        </r>
      </text>
    </comment>
    <comment ref="V837" authorId="2041">
      <text>
        <r>
          <rPr>
            <sz val="10"/>
            <rFont val="宋体"/>
            <charset val="134"/>
          </rPr>
          <t>8.20 notify8/22 还空柜</t>
        </r>
      </text>
    </comment>
    <comment ref="I838" authorId="2042">
      <text>
        <r>
          <rPr>
            <sz val="10"/>
            <rFont val="宋体"/>
            <charset val="134"/>
          </rPr>
          <t>原ETD 7.23</t>
        </r>
      </text>
    </comment>
    <comment ref="J838" authorId="2043">
      <text>
        <r>
          <rPr>
            <sz val="10"/>
            <rFont val="宋体"/>
            <charset val="134"/>
          </rPr>
          <t>Martin更新8.12原ETA：8/10</t>
        </r>
      </text>
    </comment>
    <comment ref="W838" authorId="2044">
      <text>
        <r>
          <rPr>
            <sz val="10"/>
            <rFont val="宋体"/>
            <charset val="134"/>
          </rPr>
          <t>21天免柜</t>
        </r>
      </text>
    </comment>
    <comment ref="I839" authorId="2045">
      <text>
        <r>
          <rPr>
            <sz val="10"/>
            <rFont val="宋体"/>
            <charset val="134"/>
          </rPr>
          <t>原ETD 7.23</t>
        </r>
      </text>
    </comment>
    <comment ref="J839" authorId="2046">
      <text>
        <r>
          <rPr>
            <sz val="10"/>
            <rFont val="宋体"/>
            <charset val="134"/>
          </rPr>
          <t>Martin更新8.12原ETA：8/10</t>
        </r>
      </text>
    </comment>
    <comment ref="V839" authorId="2047">
      <text>
        <r>
          <rPr>
            <sz val="10"/>
            <rFont val="宋体"/>
            <charset val="134"/>
          </rPr>
          <t>8/25 notify</t>
        </r>
      </text>
    </comment>
    <comment ref="W839" authorId="2048">
      <text>
        <r>
          <rPr>
            <sz val="10"/>
            <rFont val="宋体"/>
            <charset val="134"/>
          </rPr>
          <t>21天免柜</t>
        </r>
      </text>
    </comment>
    <comment ref="I840" authorId="2049">
      <text>
        <r>
          <rPr>
            <sz val="10"/>
            <rFont val="宋体"/>
            <charset val="134"/>
          </rPr>
          <t>原ETD 7.23</t>
        </r>
      </text>
    </comment>
    <comment ref="J840" authorId="2050">
      <text>
        <r>
          <rPr>
            <sz val="10"/>
            <rFont val="宋体"/>
            <charset val="134"/>
          </rPr>
          <t>原ETA：8/10</t>
        </r>
      </text>
    </comment>
    <comment ref="V840" authorId="2051">
      <text>
        <r>
          <rPr>
            <sz val="10"/>
            <rFont val="宋体"/>
            <charset val="134"/>
          </rPr>
          <t>8/22 MF已提走8/22 还空柜</t>
        </r>
      </text>
    </comment>
    <comment ref="W840" authorId="2052">
      <text>
        <r>
          <rPr>
            <sz val="10"/>
            <rFont val="宋体"/>
            <charset val="134"/>
          </rPr>
          <t>21天免柜</t>
        </r>
      </text>
    </comment>
    <comment ref="I841" authorId="2053">
      <text>
        <r>
          <rPr>
            <sz val="10"/>
            <rFont val="宋体"/>
            <charset val="134"/>
          </rPr>
          <t>原ETD 7.23</t>
        </r>
      </text>
    </comment>
    <comment ref="J841" authorId="2054">
      <text>
        <r>
          <rPr>
            <sz val="10"/>
            <rFont val="宋体"/>
            <charset val="134"/>
          </rPr>
          <t>Martin更新8.12原ETA：8/10</t>
        </r>
      </text>
    </comment>
    <comment ref="V841" authorId="2055">
      <text>
        <r>
          <rPr>
            <sz val="10"/>
            <rFont val="宋体"/>
            <charset val="134"/>
          </rPr>
          <t>8/19 MF已取走8/19 还空柜</t>
        </r>
      </text>
    </comment>
    <comment ref="W841" authorId="2056">
      <text>
        <r>
          <rPr>
            <sz val="10"/>
            <rFont val="宋体"/>
            <charset val="134"/>
          </rPr>
          <t>21天免柜</t>
        </r>
      </text>
    </comment>
    <comment ref="I842" authorId="2057">
      <text>
        <r>
          <rPr>
            <sz val="10"/>
            <rFont val="宋体"/>
            <charset val="134"/>
          </rPr>
          <t>原ETD 7.23</t>
        </r>
      </text>
    </comment>
    <comment ref="J842" authorId="2058">
      <text>
        <r>
          <rPr>
            <sz val="10"/>
            <rFont val="宋体"/>
            <charset val="134"/>
          </rPr>
          <t>Martin更新8.12原ETA：8/10</t>
        </r>
      </text>
    </comment>
    <comment ref="V842" authorId="2059">
      <text>
        <r>
          <rPr>
            <sz val="10"/>
            <rFont val="宋体"/>
            <charset val="134"/>
          </rPr>
          <t>8/22 notify</t>
        </r>
      </text>
    </comment>
    <comment ref="W842" authorId="2060">
      <text>
        <r>
          <rPr>
            <sz val="10"/>
            <rFont val="宋体"/>
            <charset val="134"/>
          </rPr>
          <t>21天免柜</t>
        </r>
      </text>
    </comment>
    <comment ref="I843" authorId="2061">
      <text>
        <r>
          <rPr>
            <sz val="10"/>
            <rFont val="宋体"/>
            <charset val="134"/>
          </rPr>
          <t>原ETD 7.23</t>
        </r>
      </text>
    </comment>
    <comment ref="J843" authorId="2062">
      <text>
        <r>
          <rPr>
            <sz val="10"/>
            <rFont val="宋体"/>
            <charset val="134"/>
          </rPr>
          <t>Martin更新8.12原ETA：8/10</t>
        </r>
      </text>
    </comment>
    <comment ref="V843" authorId="2063">
      <text>
        <r>
          <rPr>
            <sz val="10"/>
            <rFont val="宋体"/>
            <charset val="134"/>
          </rPr>
          <t>8/20 notify8/22 还空柜</t>
        </r>
      </text>
    </comment>
    <comment ref="W843" authorId="2064">
      <text>
        <r>
          <rPr>
            <sz val="10"/>
            <rFont val="宋体"/>
            <charset val="134"/>
          </rPr>
          <t>21天免柜</t>
        </r>
      </text>
    </comment>
    <comment ref="I844" authorId="2065">
      <text>
        <r>
          <rPr>
            <sz val="10"/>
            <rFont val="宋体"/>
            <charset val="134"/>
          </rPr>
          <t>原ETD 7.23</t>
        </r>
      </text>
    </comment>
    <comment ref="J844" authorId="2066">
      <text>
        <r>
          <rPr>
            <sz val="10"/>
            <rFont val="宋体"/>
            <charset val="134"/>
          </rPr>
          <t>Martin更新8.12原ETA：8/10</t>
        </r>
      </text>
    </comment>
    <comment ref="V844" authorId="2067">
      <text>
        <r>
          <rPr>
            <sz val="10"/>
            <rFont val="宋体"/>
            <charset val="134"/>
          </rPr>
          <t>8/20 MF已取走8/20 还空柜</t>
        </r>
      </text>
    </comment>
    <comment ref="W844" authorId="2068">
      <text>
        <r>
          <rPr>
            <sz val="10"/>
            <rFont val="宋体"/>
            <charset val="134"/>
          </rPr>
          <t>21天免柜</t>
        </r>
      </text>
    </comment>
    <comment ref="I845" authorId="2069">
      <text>
        <r>
          <rPr>
            <sz val="10"/>
            <rFont val="宋体"/>
            <charset val="134"/>
          </rPr>
          <t>原ETD 7.23</t>
        </r>
      </text>
    </comment>
    <comment ref="J845" authorId="2070">
      <text>
        <r>
          <rPr>
            <sz val="10"/>
            <rFont val="宋体"/>
            <charset val="134"/>
          </rPr>
          <t>Martin更新8.12原ETA：8/10</t>
        </r>
      </text>
    </comment>
    <comment ref="V845" authorId="2071">
      <text>
        <r>
          <rPr>
            <sz val="10"/>
            <rFont val="宋体"/>
            <charset val="134"/>
          </rPr>
          <t>8/19 notify8/20 还空柜</t>
        </r>
      </text>
    </comment>
    <comment ref="W845" authorId="2072">
      <text>
        <r>
          <rPr>
            <sz val="10"/>
            <rFont val="宋体"/>
            <charset val="134"/>
          </rPr>
          <t>21天免柜</t>
        </r>
      </text>
    </comment>
    <comment ref="I846" authorId="2073">
      <text>
        <r>
          <rPr>
            <sz val="10"/>
            <rFont val="宋体"/>
            <charset val="134"/>
          </rPr>
          <t>原ETD 7.23</t>
        </r>
      </text>
    </comment>
    <comment ref="J846" authorId="2074">
      <text>
        <r>
          <rPr>
            <sz val="10"/>
            <rFont val="宋体"/>
            <charset val="134"/>
          </rPr>
          <t>Martin更新8.12原ETA:8/10</t>
        </r>
      </text>
    </comment>
    <comment ref="V846" authorId="2075">
      <text>
        <r>
          <rPr>
            <sz val="10"/>
            <rFont val="宋体"/>
            <charset val="134"/>
          </rPr>
          <t>8/20 notify8/22 还空柜</t>
        </r>
      </text>
    </comment>
    <comment ref="W846" authorId="2076">
      <text>
        <r>
          <rPr>
            <sz val="10"/>
            <rFont val="宋体"/>
            <charset val="134"/>
          </rPr>
          <t>21天免柜</t>
        </r>
      </text>
    </comment>
    <comment ref="I847" authorId="2077">
      <text>
        <r>
          <rPr>
            <sz val="10"/>
            <rFont val="宋体"/>
            <charset val="134"/>
          </rPr>
          <t>原ETD 7.23</t>
        </r>
      </text>
    </comment>
    <comment ref="J847" authorId="2078">
      <text>
        <r>
          <rPr>
            <sz val="10"/>
            <rFont val="宋体"/>
            <charset val="134"/>
          </rPr>
          <t>Martin更新8.12原ETA：8/10</t>
        </r>
      </text>
    </comment>
    <comment ref="V847" authorId="2079">
      <text>
        <r>
          <rPr>
            <sz val="10"/>
            <rFont val="宋体"/>
            <charset val="134"/>
          </rPr>
          <t>8/19 notify8/21 还空柜</t>
        </r>
      </text>
    </comment>
    <comment ref="W847" authorId="2080">
      <text>
        <r>
          <rPr>
            <sz val="10"/>
            <rFont val="宋体"/>
            <charset val="134"/>
          </rPr>
          <t>21天免柜</t>
        </r>
      </text>
    </comment>
    <comment ref="I848" authorId="2081">
      <text>
        <r>
          <rPr>
            <sz val="10"/>
            <rFont val="宋体"/>
            <charset val="134"/>
          </rPr>
          <t>原ETD 7.23</t>
        </r>
      </text>
    </comment>
    <comment ref="J848" authorId="2082">
      <text>
        <r>
          <rPr>
            <sz val="10"/>
            <rFont val="宋体"/>
            <charset val="134"/>
          </rPr>
          <t>Martin更新8.12原ETA：8/10</t>
        </r>
      </text>
    </comment>
    <comment ref="V848" authorId="2083">
      <text>
        <r>
          <rPr>
            <sz val="10"/>
            <rFont val="宋体"/>
            <charset val="134"/>
          </rPr>
          <t>8/20 notify8/22 还空柜</t>
        </r>
      </text>
    </comment>
    <comment ref="W848" authorId="2084">
      <text>
        <r>
          <rPr>
            <sz val="10"/>
            <rFont val="宋体"/>
            <charset val="134"/>
          </rPr>
          <t>21天免柜</t>
        </r>
      </text>
    </comment>
    <comment ref="I849" authorId="2085">
      <text>
        <r>
          <rPr>
            <sz val="10"/>
            <rFont val="宋体"/>
            <charset val="134"/>
          </rPr>
          <t>原ETD 7.23</t>
        </r>
      </text>
    </comment>
    <comment ref="J849" authorId="2086">
      <text>
        <r>
          <rPr>
            <sz val="10"/>
            <rFont val="宋体"/>
            <charset val="134"/>
          </rPr>
          <t>原ETA：8/10</t>
        </r>
      </text>
    </comment>
    <comment ref="V849" authorId="2087">
      <text>
        <r>
          <rPr>
            <sz val="10"/>
            <rFont val="宋体"/>
            <charset val="134"/>
          </rPr>
          <t>8/19 notify8/20 还空柜</t>
        </r>
      </text>
    </comment>
    <comment ref="W849" authorId="2088">
      <text>
        <r>
          <rPr>
            <sz val="10"/>
            <rFont val="宋体"/>
            <charset val="134"/>
          </rPr>
          <t>21天免柜</t>
        </r>
      </text>
    </comment>
    <comment ref="I850" authorId="2089">
      <text>
        <r>
          <rPr>
            <sz val="10"/>
            <rFont val="宋体"/>
            <charset val="134"/>
          </rPr>
          <t>原7.18</t>
        </r>
      </text>
    </comment>
    <comment ref="J850" authorId="2090">
      <text>
        <r>
          <rPr>
            <sz val="10"/>
            <rFont val="宋体"/>
            <charset val="134"/>
          </rPr>
          <t>原8.7</t>
        </r>
      </text>
    </comment>
    <comment ref="W850" authorId="2091">
      <text>
        <r>
          <rPr>
            <sz val="10"/>
            <rFont val="宋体"/>
            <charset val="134"/>
          </rPr>
          <t>21天免柜</t>
        </r>
      </text>
    </comment>
    <comment ref="I851" authorId="2092">
      <text>
        <r>
          <rPr>
            <sz val="10"/>
            <rFont val="宋体"/>
            <charset val="134"/>
          </rPr>
          <t>原7.18</t>
        </r>
      </text>
    </comment>
    <comment ref="J851" authorId="2093">
      <text>
        <r>
          <rPr>
            <sz val="10"/>
            <rFont val="宋体"/>
            <charset val="134"/>
          </rPr>
          <t>原8.7</t>
        </r>
      </text>
    </comment>
    <comment ref="V851" authorId="2094">
      <text>
        <r>
          <rPr>
            <sz val="10"/>
            <rFont val="宋体"/>
            <charset val="134"/>
          </rPr>
          <t>8/22 notify</t>
        </r>
      </text>
    </comment>
    <comment ref="W851" authorId="2095">
      <text>
        <r>
          <rPr>
            <sz val="10"/>
            <rFont val="宋体"/>
            <charset val="134"/>
          </rPr>
          <t>21天免柜</t>
        </r>
      </text>
    </comment>
    <comment ref="I852" authorId="2096">
      <text>
        <r>
          <rPr>
            <sz val="10"/>
            <rFont val="宋体"/>
            <charset val="134"/>
          </rPr>
          <t>原7.18</t>
        </r>
      </text>
    </comment>
    <comment ref="J852" authorId="2097">
      <text>
        <r>
          <rPr>
            <sz val="10"/>
            <rFont val="宋体"/>
            <charset val="134"/>
          </rPr>
          <t>原8.7</t>
        </r>
      </text>
    </comment>
    <comment ref="L852" authorId="2098">
      <text>
        <r>
          <rPr>
            <sz val="10"/>
            <rFont val="宋体"/>
            <charset val="134"/>
          </rPr>
          <t>原地址：warehouse 1/1-11 Gilbertson Rd Laverton North VIC 3026（8/19Edwin在海运群通知更改派送地址）</t>
        </r>
      </text>
    </comment>
    <comment ref="W852" authorId="2099">
      <text>
        <r>
          <rPr>
            <sz val="10"/>
            <rFont val="宋体"/>
            <charset val="134"/>
          </rPr>
          <t>21天免柜</t>
        </r>
      </text>
    </comment>
    <comment ref="I853" authorId="2100">
      <text>
        <r>
          <rPr>
            <sz val="10"/>
            <rFont val="宋体"/>
            <charset val="134"/>
          </rPr>
          <t>原7.18</t>
        </r>
      </text>
    </comment>
    <comment ref="J853" authorId="2101">
      <text>
        <r>
          <rPr>
            <sz val="10"/>
            <rFont val="宋体"/>
            <charset val="134"/>
          </rPr>
          <t>原8.7</t>
        </r>
      </text>
    </comment>
    <comment ref="W853" authorId="2102">
      <text>
        <r>
          <rPr>
            <sz val="10"/>
            <rFont val="宋体"/>
            <charset val="134"/>
          </rPr>
          <t>21天免柜</t>
        </r>
      </text>
    </comment>
    <comment ref="I854" authorId="2103">
      <text>
        <r>
          <rPr>
            <sz val="10"/>
            <rFont val="宋体"/>
            <charset val="134"/>
          </rPr>
          <t>原7.18</t>
        </r>
      </text>
    </comment>
    <comment ref="J854" authorId="2104">
      <text>
        <r>
          <rPr>
            <sz val="10"/>
            <rFont val="宋体"/>
            <charset val="134"/>
          </rPr>
          <t>原8.7</t>
        </r>
      </text>
    </comment>
    <comment ref="V854" authorId="2105">
      <text>
        <r>
          <rPr>
            <sz val="10"/>
            <rFont val="宋体"/>
            <charset val="134"/>
          </rPr>
          <t>8/20 notify8/23 还空柜</t>
        </r>
      </text>
    </comment>
    <comment ref="W854" authorId="2106">
      <text>
        <r>
          <rPr>
            <sz val="10"/>
            <rFont val="宋体"/>
            <charset val="134"/>
          </rPr>
          <t>21天免柜</t>
        </r>
      </text>
    </comment>
    <comment ref="I855" authorId="2107">
      <text>
        <r>
          <rPr>
            <sz val="10"/>
            <rFont val="宋体"/>
            <charset val="134"/>
          </rPr>
          <t>原7.18</t>
        </r>
      </text>
    </comment>
    <comment ref="J855" authorId="2108">
      <text>
        <r>
          <rPr>
            <sz val="10"/>
            <rFont val="宋体"/>
            <charset val="134"/>
          </rPr>
          <t>原8.7</t>
        </r>
      </text>
    </comment>
    <comment ref="W855" authorId="2109">
      <text>
        <r>
          <rPr>
            <sz val="10"/>
            <rFont val="宋体"/>
            <charset val="134"/>
          </rPr>
          <t>21天免柜</t>
        </r>
      </text>
    </comment>
    <comment ref="I856" authorId="2110">
      <text>
        <r>
          <rPr>
            <sz val="10"/>
            <rFont val="宋体"/>
            <charset val="134"/>
          </rPr>
          <t>原7.18</t>
        </r>
      </text>
    </comment>
    <comment ref="J856" authorId="2111">
      <text>
        <r>
          <rPr>
            <sz val="10"/>
            <rFont val="宋体"/>
            <charset val="134"/>
          </rPr>
          <t>原ETA 8.7</t>
        </r>
      </text>
    </comment>
    <comment ref="V856" authorId="2112">
      <text>
        <r>
          <rPr>
            <sz val="10"/>
            <rFont val="宋体"/>
            <charset val="134"/>
          </rPr>
          <t>8/25 notify</t>
        </r>
      </text>
    </comment>
    <comment ref="W856" authorId="2113">
      <text>
        <r>
          <rPr>
            <sz val="10"/>
            <rFont val="宋体"/>
            <charset val="134"/>
          </rPr>
          <t>21天免柜</t>
        </r>
      </text>
    </comment>
    <comment ref="I857" authorId="2114">
      <text>
        <r>
          <rPr>
            <sz val="10"/>
            <rFont val="宋体"/>
            <charset val="134"/>
          </rPr>
          <t>原7.18</t>
        </r>
      </text>
    </comment>
    <comment ref="J857" authorId="2115">
      <text>
        <r>
          <rPr>
            <sz val="10"/>
            <rFont val="宋体"/>
            <charset val="134"/>
          </rPr>
          <t>原ETA 8.7</t>
        </r>
      </text>
    </comment>
    <comment ref="V857" authorId="2116">
      <text>
        <r>
          <rPr>
            <sz val="10"/>
            <rFont val="宋体"/>
            <charset val="134"/>
          </rPr>
          <t>8/25 notify</t>
        </r>
      </text>
    </comment>
    <comment ref="W857" authorId="2117">
      <text>
        <r>
          <rPr>
            <sz val="10"/>
            <rFont val="宋体"/>
            <charset val="134"/>
          </rPr>
          <t>21天免柜</t>
        </r>
      </text>
    </comment>
    <comment ref="I858" authorId="2118">
      <text>
        <r>
          <rPr>
            <sz val="10"/>
            <rFont val="宋体"/>
            <charset val="134"/>
          </rPr>
          <t>原ETD：7/19</t>
        </r>
      </text>
    </comment>
    <comment ref="J858" authorId="2119">
      <text>
        <r>
          <rPr>
            <sz val="10"/>
            <rFont val="宋体"/>
            <charset val="134"/>
          </rPr>
          <t>原ETA：8/5因为中转船期调整了 所以导致船期的延迟Jennie 发给客户 ETA8.13</t>
        </r>
      </text>
    </comment>
    <comment ref="L858" authorId="2120">
      <text>
        <r>
          <rPr>
            <sz val="10"/>
            <rFont val="宋体"/>
            <charset val="134"/>
          </rPr>
          <t>原地址：61 Conquest Way, Wangara WA 6065，客户8/18邮件确认更改地址</t>
        </r>
      </text>
    </comment>
    <comment ref="V858" authorId="2121">
      <text>
        <r>
          <rPr>
            <sz val="10"/>
            <rFont val="宋体"/>
            <charset val="134"/>
          </rPr>
          <t>8.22 notify
8/25 还空柜</t>
        </r>
      </text>
    </comment>
    <comment ref="I859" authorId="2122">
      <text>
        <r>
          <rPr>
            <sz val="10"/>
            <rFont val="宋体"/>
            <charset val="134"/>
          </rPr>
          <t>原ETD：7/16</t>
        </r>
      </text>
    </comment>
    <comment ref="J859" authorId="2123">
      <text>
        <r>
          <rPr>
            <sz val="10"/>
            <rFont val="宋体"/>
            <charset val="134"/>
          </rPr>
          <t>原ETA：8/10</t>
        </r>
      </text>
    </comment>
    <comment ref="V859" authorId="2124">
      <text>
        <r>
          <rPr>
            <sz val="10"/>
            <rFont val="宋体"/>
            <charset val="134"/>
          </rPr>
          <t>8/25 notify</t>
        </r>
      </text>
    </comment>
    <comment ref="W859" authorId="2125">
      <text>
        <r>
          <rPr>
            <sz val="10"/>
            <rFont val="宋体"/>
            <charset val="134"/>
          </rPr>
          <t>21天免柜</t>
        </r>
      </text>
    </comment>
    <comment ref="J860" authorId="2126">
      <text>
        <r>
          <rPr>
            <sz val="10"/>
            <rFont val="宋体"/>
            <charset val="134"/>
          </rPr>
          <t>原ETA:8/12</t>
        </r>
      </text>
    </comment>
    <comment ref="V860" authorId="2127">
      <text>
        <r>
          <rPr>
            <sz val="10"/>
            <rFont val="宋体"/>
            <charset val="134"/>
          </rPr>
          <t>8/25 notify</t>
        </r>
      </text>
    </comment>
    <comment ref="W860" authorId="2128">
      <text>
        <r>
          <rPr>
            <sz val="10"/>
            <rFont val="宋体"/>
            <charset val="134"/>
          </rPr>
          <t>21天免柜</t>
        </r>
      </text>
    </comment>
    <comment ref="J861" authorId="2129">
      <text>
        <r>
          <rPr>
            <sz val="10"/>
            <rFont val="宋体"/>
            <charset val="134"/>
          </rPr>
          <t>原ETA：8/12</t>
        </r>
      </text>
    </comment>
    <comment ref="V861" authorId="2130">
      <text>
        <r>
          <rPr>
            <sz val="10"/>
            <rFont val="宋体"/>
            <charset val="134"/>
          </rPr>
          <t>8/25 notify</t>
        </r>
      </text>
    </comment>
    <comment ref="W861" authorId="2131">
      <text>
        <r>
          <rPr>
            <sz val="10"/>
            <rFont val="宋体"/>
            <charset val="134"/>
          </rPr>
          <t>21天免柜</t>
        </r>
      </text>
    </comment>
    <comment ref="J862" authorId="2132">
      <text>
        <r>
          <rPr>
            <sz val="10"/>
            <rFont val="宋体"/>
            <charset val="134"/>
          </rPr>
          <t>原ETA：8/12</t>
        </r>
      </text>
    </comment>
    <comment ref="V862" authorId="2133">
      <text>
        <r>
          <rPr>
            <sz val="10"/>
            <rFont val="宋体"/>
            <charset val="134"/>
          </rPr>
          <t>8/22 notify</t>
        </r>
      </text>
    </comment>
    <comment ref="W862" authorId="2134">
      <text>
        <r>
          <rPr>
            <sz val="10"/>
            <rFont val="宋体"/>
            <charset val="134"/>
          </rPr>
          <t>21天免柜</t>
        </r>
      </text>
    </comment>
    <comment ref="J863" authorId="2135">
      <text>
        <r>
          <rPr>
            <sz val="10"/>
            <rFont val="宋体"/>
            <charset val="134"/>
          </rPr>
          <t>原ETA：8/12</t>
        </r>
      </text>
    </comment>
    <comment ref="V863" authorId="2136">
      <text>
        <r>
          <rPr>
            <sz val="10"/>
            <rFont val="宋体"/>
            <charset val="134"/>
          </rPr>
          <t>8/25 notify</t>
        </r>
      </text>
    </comment>
    <comment ref="W863" authorId="2137">
      <text>
        <r>
          <rPr>
            <sz val="10"/>
            <rFont val="宋体"/>
            <charset val="134"/>
          </rPr>
          <t>21天免柜</t>
        </r>
      </text>
    </comment>
    <comment ref="J864" authorId="2138">
      <text>
        <r>
          <rPr>
            <sz val="10"/>
            <rFont val="宋体"/>
            <charset val="134"/>
          </rPr>
          <t>原ETA：8/12</t>
        </r>
      </text>
    </comment>
    <comment ref="V864" authorId="2139">
      <text>
        <r>
          <rPr>
            <sz val="10"/>
            <rFont val="宋体"/>
            <charset val="134"/>
          </rPr>
          <t>8/25 MF已提走空柜</t>
        </r>
      </text>
    </comment>
    <comment ref="W864" authorId="2140">
      <text>
        <r>
          <rPr>
            <sz val="10"/>
            <rFont val="宋体"/>
            <charset val="134"/>
          </rPr>
          <t>21天免柜</t>
        </r>
      </text>
    </comment>
    <comment ref="I865" authorId="2141">
      <text>
        <r>
          <rPr>
            <sz val="10"/>
            <rFont val="宋体"/>
            <charset val="134"/>
          </rPr>
          <t>原ETD：7/19</t>
        </r>
      </text>
    </comment>
    <comment ref="J865" authorId="2142">
      <text>
        <r>
          <rPr>
            <sz val="10"/>
            <rFont val="宋体"/>
            <charset val="134"/>
          </rPr>
          <t>原ETA：8/19</t>
        </r>
      </text>
    </comment>
    <comment ref="I866" authorId="2143">
      <text>
        <r>
          <rPr>
            <sz val="10"/>
            <rFont val="宋体"/>
            <charset val="134"/>
          </rPr>
          <t>原ETD 7.23，台风原因甩柜，延到下一水ETD 7.30 / ETA 8.18由于上海塞港+台风影响，预计8.2开出</t>
        </r>
      </text>
    </comment>
    <comment ref="J866" authorId="2144">
      <text>
        <r>
          <rPr>
            <sz val="10"/>
            <rFont val="宋体"/>
            <charset val="134"/>
          </rPr>
          <t>原ETA 8.10，台风原因甩柜，延到下一水ETD 7.30 / ETA 8.18</t>
        </r>
      </text>
    </comment>
    <comment ref="L866" authorId="2145">
      <text>
        <r>
          <rPr>
            <sz val="10"/>
            <rFont val="宋体"/>
            <charset val="134"/>
          </rPr>
          <t>8/22 Edwin确认改地址到Mulgrave仓（原Dandenong仓）</t>
        </r>
      </text>
    </comment>
    <comment ref="W866" authorId="2146">
      <text>
        <r>
          <rPr>
            <sz val="10"/>
            <rFont val="宋体"/>
            <charset val="134"/>
          </rPr>
          <t>21天免柜</t>
        </r>
      </text>
    </comment>
    <comment ref="I867" authorId="2147">
      <text>
        <r>
          <rPr>
            <sz val="10"/>
            <rFont val="宋体"/>
            <charset val="134"/>
          </rPr>
          <t>原ETD 7.23，台风原因甩柜，延到下一水ETD 7.30 / ETA 8.18由于上海塞港+台风影响，预计8.2开出</t>
        </r>
      </text>
    </comment>
    <comment ref="J867" authorId="2148">
      <text>
        <r>
          <rPr>
            <sz val="10"/>
            <rFont val="宋体"/>
            <charset val="134"/>
          </rPr>
          <t>原ETA 8.10，台风原因甩柜，延到下一水ETD 7.30 / ETA 8.18</t>
        </r>
      </text>
    </comment>
    <comment ref="W867" authorId="2149">
      <text>
        <r>
          <rPr>
            <sz val="10"/>
            <rFont val="宋体"/>
            <charset val="134"/>
          </rPr>
          <t>21天免柜</t>
        </r>
      </text>
    </comment>
    <comment ref="I868" authorId="2150">
      <text>
        <r>
          <rPr>
            <sz val="10"/>
            <rFont val="宋体"/>
            <charset val="134"/>
          </rPr>
          <t>原ETD 7.23，台风原因甩柜，延到下一水ETD 7.30 / ETA 8.18由于上海塞港+台风影响，预计8.2开出</t>
        </r>
      </text>
    </comment>
    <comment ref="J868" authorId="2151">
      <text>
        <r>
          <rPr>
            <sz val="10"/>
            <rFont val="宋体"/>
            <charset val="134"/>
          </rPr>
          <t>原ETA 8.10，台风原因甩柜，延到下一水ETD 7.30 / ETA 8.18</t>
        </r>
      </text>
    </comment>
    <comment ref="W868" authorId="2152">
      <text>
        <r>
          <rPr>
            <sz val="10"/>
            <rFont val="宋体"/>
            <charset val="134"/>
          </rPr>
          <t>21天免柜</t>
        </r>
      </text>
    </comment>
    <comment ref="I869" authorId="2153">
      <text>
        <r>
          <rPr>
            <sz val="10"/>
            <rFont val="宋体"/>
            <charset val="134"/>
          </rPr>
          <t>原ETD 7.30，由于上海塞港+台风影响，预计8.2开出</t>
        </r>
      </text>
    </comment>
    <comment ref="J869" authorId="2154">
      <text>
        <r>
          <rPr>
            <sz val="10"/>
            <rFont val="宋体"/>
            <charset val="134"/>
          </rPr>
          <t>原ETA：8/18</t>
        </r>
      </text>
    </comment>
    <comment ref="W869" authorId="2155">
      <text>
        <r>
          <rPr>
            <sz val="10"/>
            <rFont val="宋体"/>
            <charset val="134"/>
          </rPr>
          <t>21天免柜</t>
        </r>
      </text>
    </comment>
    <comment ref="I870" authorId="2156">
      <text>
        <r>
          <rPr>
            <sz val="10"/>
            <rFont val="宋体"/>
            <charset val="134"/>
          </rPr>
          <t>原ETD 7.30，由于上海塞港+台风影响，预计8.2开出</t>
        </r>
      </text>
    </comment>
    <comment ref="J870" authorId="2157">
      <text>
        <r>
          <rPr>
            <sz val="10"/>
            <rFont val="宋体"/>
            <charset val="134"/>
          </rPr>
          <t>原ETA：8/18</t>
        </r>
      </text>
    </comment>
    <comment ref="W870" authorId="2158">
      <text>
        <r>
          <rPr>
            <sz val="10"/>
            <rFont val="宋体"/>
            <charset val="134"/>
          </rPr>
          <t>21天免柜</t>
        </r>
      </text>
    </comment>
    <comment ref="I871" authorId="2159">
      <text>
        <r>
          <rPr>
            <sz val="10"/>
            <rFont val="宋体"/>
            <charset val="134"/>
          </rPr>
          <t>原ETD 7.30，由于上海塞港+台风影响，预计8.2开出</t>
        </r>
      </text>
    </comment>
    <comment ref="J871" authorId="2160">
      <text>
        <r>
          <rPr>
            <sz val="10"/>
            <rFont val="宋体"/>
            <charset val="134"/>
          </rPr>
          <t>原ETA：8/18</t>
        </r>
      </text>
    </comment>
    <comment ref="W871" authorId="2161">
      <text>
        <r>
          <rPr>
            <sz val="10"/>
            <rFont val="宋体"/>
            <charset val="134"/>
          </rPr>
          <t>21天免柜</t>
        </r>
      </text>
    </comment>
    <comment ref="I872" authorId="2162">
      <text>
        <r>
          <rPr>
            <sz val="10"/>
            <rFont val="宋体"/>
            <charset val="134"/>
          </rPr>
          <t>原ETD 7.30，由于上海塞港+台风影响，预计8.2开出</t>
        </r>
      </text>
    </comment>
    <comment ref="J872" authorId="2163">
      <text>
        <r>
          <rPr>
            <sz val="10"/>
            <rFont val="宋体"/>
            <charset val="134"/>
          </rPr>
          <t>原ETA：8/18</t>
        </r>
      </text>
    </comment>
    <comment ref="W872" authorId="2164">
      <text>
        <r>
          <rPr>
            <sz val="10"/>
            <rFont val="宋体"/>
            <charset val="134"/>
          </rPr>
          <t>21天免柜</t>
        </r>
      </text>
    </comment>
    <comment ref="I873" authorId="2165">
      <text>
        <r>
          <rPr>
            <sz val="10"/>
            <rFont val="宋体"/>
            <charset val="134"/>
          </rPr>
          <t>原ETD 7.30，由于上海塞港+台风影响，预计8.2开出</t>
        </r>
      </text>
    </comment>
    <comment ref="J873" authorId="2166">
      <text>
        <r>
          <rPr>
            <sz val="10"/>
            <rFont val="宋体"/>
            <charset val="134"/>
          </rPr>
          <t>原ETA：8/18</t>
        </r>
      </text>
    </comment>
    <comment ref="W873" authorId="2167">
      <text>
        <r>
          <rPr>
            <sz val="10"/>
            <rFont val="宋体"/>
            <charset val="134"/>
          </rPr>
          <t>21天免柜</t>
        </r>
      </text>
    </comment>
    <comment ref="I874" authorId="2168">
      <text>
        <r>
          <rPr>
            <sz val="10"/>
            <rFont val="宋体"/>
            <charset val="134"/>
          </rPr>
          <t>原ETD 7.30，由于上海塞港+台风影响，预计8.2开出</t>
        </r>
      </text>
    </comment>
    <comment ref="J874" authorId="2169">
      <text>
        <r>
          <rPr>
            <sz val="10"/>
            <rFont val="宋体"/>
            <charset val="134"/>
          </rPr>
          <t>原ETA：8/18</t>
        </r>
      </text>
    </comment>
    <comment ref="W874" authorId="2170">
      <text>
        <r>
          <rPr>
            <sz val="10"/>
            <rFont val="宋体"/>
            <charset val="134"/>
          </rPr>
          <t>21天免柜</t>
        </r>
      </text>
    </comment>
    <comment ref="I875" authorId="2171">
      <text>
        <r>
          <rPr>
            <sz val="10"/>
            <rFont val="宋体"/>
            <charset val="134"/>
          </rPr>
          <t>原ETD 7.30，由于上海塞港+台风影响，预计8.2开出</t>
        </r>
      </text>
    </comment>
    <comment ref="J875" authorId="2172">
      <text>
        <r>
          <rPr>
            <sz val="10"/>
            <rFont val="宋体"/>
            <charset val="134"/>
          </rPr>
          <t>原ETA：8/18</t>
        </r>
      </text>
    </comment>
    <comment ref="W875" authorId="2173">
      <text>
        <r>
          <rPr>
            <sz val="10"/>
            <rFont val="宋体"/>
            <charset val="134"/>
          </rPr>
          <t>21天免柜</t>
        </r>
      </text>
    </comment>
    <comment ref="I876" authorId="2174">
      <text>
        <r>
          <rPr>
            <sz val="10"/>
            <rFont val="宋体"/>
            <charset val="134"/>
          </rPr>
          <t>原ETD 7.30，由于上海塞港+台风影响，预计8.2开出</t>
        </r>
      </text>
    </comment>
    <comment ref="J876" authorId="2175">
      <text>
        <r>
          <rPr>
            <sz val="10"/>
            <rFont val="宋体"/>
            <charset val="134"/>
          </rPr>
          <t>原ETA：8/18</t>
        </r>
      </text>
    </comment>
    <comment ref="V876" authorId="2176">
      <text>
        <r>
          <rPr>
            <sz val="10"/>
            <rFont val="宋体"/>
            <charset val="134"/>
          </rPr>
          <t>8/25 notify</t>
        </r>
      </text>
    </comment>
    <comment ref="W876" authorId="2177">
      <text>
        <r>
          <rPr>
            <sz val="10"/>
            <rFont val="宋体"/>
            <charset val="134"/>
          </rPr>
          <t>21天免柜</t>
        </r>
      </text>
    </comment>
    <comment ref="I877" authorId="2178">
      <text>
        <r>
          <rPr>
            <sz val="10"/>
            <rFont val="宋体"/>
            <charset val="134"/>
          </rPr>
          <t>原ETD 7.30，由于上海塞港+台风影响，预计8.2开出</t>
        </r>
      </text>
    </comment>
    <comment ref="J877" authorId="2179">
      <text>
        <r>
          <rPr>
            <sz val="10"/>
            <rFont val="宋体"/>
            <charset val="134"/>
          </rPr>
          <t>原ETA:8/18</t>
        </r>
      </text>
    </comment>
    <comment ref="W877" authorId="2180">
      <text>
        <r>
          <rPr>
            <sz val="10"/>
            <rFont val="宋体"/>
            <charset val="134"/>
          </rPr>
          <t>21天免柜</t>
        </r>
      </text>
    </comment>
    <comment ref="I878" authorId="2181">
      <text>
        <r>
          <rPr>
            <sz val="10"/>
            <rFont val="宋体"/>
            <charset val="134"/>
          </rPr>
          <t>原ETD 7.30，由于上海塞港+台风影响，预计8.2开出</t>
        </r>
      </text>
    </comment>
    <comment ref="J878" authorId="2182">
      <text>
        <r>
          <rPr>
            <sz val="10"/>
            <rFont val="宋体"/>
            <charset val="134"/>
          </rPr>
          <t>原ETA：8/18</t>
        </r>
      </text>
    </comment>
    <comment ref="W878" authorId="2183">
      <text>
        <r>
          <rPr>
            <sz val="10"/>
            <rFont val="宋体"/>
            <charset val="134"/>
          </rPr>
          <t>21天免柜</t>
        </r>
      </text>
    </comment>
    <comment ref="I879" authorId="2184">
      <text>
        <r>
          <rPr>
            <sz val="10"/>
            <rFont val="宋体"/>
            <charset val="134"/>
          </rPr>
          <t>原7.18</t>
        </r>
      </text>
    </comment>
    <comment ref="J879" authorId="2185">
      <text>
        <r>
          <rPr>
            <sz val="10"/>
            <rFont val="宋体"/>
            <charset val="134"/>
          </rPr>
          <t>原ETA：8/14</t>
        </r>
      </text>
    </comment>
    <comment ref="M879" authorId="2186">
      <text>
        <r>
          <rPr>
            <sz val="10"/>
            <rFont val="宋体"/>
            <charset val="134"/>
          </rPr>
          <t>拼Compact散货，PO00000457 &amp; PO00000458 &amp; PO00000459</t>
        </r>
      </text>
    </comment>
    <comment ref="Q879" authorId="2187">
      <text>
        <r>
          <rPr>
            <sz val="10"/>
            <rFont val="宋体"/>
            <charset val="134"/>
          </rPr>
          <t>RAC+MBT拼柜</t>
        </r>
      </text>
    </comment>
    <comment ref="W879" authorId="2188">
      <text>
        <r>
          <rPr>
            <sz val="10"/>
            <rFont val="宋体"/>
            <charset val="134"/>
          </rPr>
          <t>21天免柜</t>
        </r>
      </text>
    </comment>
    <comment ref="I880" authorId="2189">
      <text>
        <r>
          <rPr>
            <sz val="10"/>
            <rFont val="宋体"/>
            <charset val="134"/>
          </rPr>
          <t>原ETD：7/24</t>
        </r>
      </text>
    </comment>
    <comment ref="J880" authorId="2190">
      <text>
        <r>
          <rPr>
            <sz val="10"/>
            <rFont val="宋体"/>
            <charset val="134"/>
          </rPr>
          <t>原8.18</t>
        </r>
      </text>
    </comment>
    <comment ref="W880" authorId="2191">
      <text>
        <r>
          <rPr>
            <sz val="10"/>
            <rFont val="宋体"/>
            <charset val="134"/>
          </rPr>
          <t>21天免柜</t>
        </r>
      </text>
    </comment>
    <comment ref="I881" authorId="2192">
      <text>
        <r>
          <rPr>
            <sz val="10"/>
            <rFont val="宋体"/>
            <charset val="134"/>
          </rPr>
          <t>原ETD：7/24</t>
        </r>
      </text>
    </comment>
    <comment ref="J881" authorId="2193">
      <text>
        <r>
          <rPr>
            <sz val="10"/>
            <rFont val="宋体"/>
            <charset val="134"/>
          </rPr>
          <t>原8.18</t>
        </r>
      </text>
    </comment>
    <comment ref="W881" authorId="2194">
      <text>
        <r>
          <rPr>
            <sz val="10"/>
            <rFont val="宋体"/>
            <charset val="134"/>
          </rPr>
          <t>21天免柜</t>
        </r>
      </text>
    </comment>
    <comment ref="I882" authorId="2195">
      <text>
        <r>
          <rPr>
            <sz val="10"/>
            <rFont val="宋体"/>
            <charset val="134"/>
          </rPr>
          <t>原ETD：7/24</t>
        </r>
      </text>
    </comment>
    <comment ref="J882" authorId="2196">
      <text>
        <r>
          <rPr>
            <sz val="10"/>
            <rFont val="宋体"/>
            <charset val="134"/>
          </rPr>
          <t>原8.18</t>
        </r>
      </text>
    </comment>
    <comment ref="W882" authorId="2197">
      <text>
        <r>
          <rPr>
            <sz val="10"/>
            <rFont val="宋体"/>
            <charset val="134"/>
          </rPr>
          <t>21天免柜</t>
        </r>
      </text>
    </comment>
    <comment ref="I883" authorId="2198">
      <text>
        <r>
          <rPr>
            <sz val="10"/>
            <rFont val="宋体"/>
            <charset val="134"/>
          </rPr>
          <t>原ETD：7/24</t>
        </r>
      </text>
    </comment>
    <comment ref="J883" authorId="2199">
      <text>
        <r>
          <rPr>
            <sz val="10"/>
            <rFont val="宋体"/>
            <charset val="134"/>
          </rPr>
          <t>原8.18</t>
        </r>
      </text>
    </comment>
    <comment ref="W883" authorId="2200">
      <text>
        <r>
          <rPr>
            <sz val="10"/>
            <rFont val="宋体"/>
            <charset val="134"/>
          </rPr>
          <t>21天免柜</t>
        </r>
      </text>
    </comment>
    <comment ref="I884" authorId="2201">
      <text>
        <r>
          <rPr>
            <sz val="10"/>
            <rFont val="宋体"/>
            <charset val="134"/>
          </rPr>
          <t>原ETD：7/24</t>
        </r>
      </text>
    </comment>
    <comment ref="J884" authorId="2202">
      <text>
        <r>
          <rPr>
            <sz val="10"/>
            <rFont val="宋体"/>
            <charset val="134"/>
          </rPr>
          <t>原8.18</t>
        </r>
      </text>
    </comment>
    <comment ref="W884" authorId="2203">
      <text>
        <r>
          <rPr>
            <sz val="10"/>
            <rFont val="宋体"/>
            <charset val="134"/>
          </rPr>
          <t>21天免柜</t>
        </r>
      </text>
    </comment>
    <comment ref="J885" authorId="2204">
      <text>
        <r>
          <rPr>
            <sz val="10"/>
            <rFont val="宋体"/>
            <charset val="134"/>
          </rPr>
          <t>原ETA：8/18</t>
        </r>
      </text>
    </comment>
    <comment ref="W885" authorId="2205">
      <text>
        <r>
          <rPr>
            <sz val="10"/>
            <rFont val="宋体"/>
            <charset val="134"/>
          </rPr>
          <t>21天免柜</t>
        </r>
      </text>
    </comment>
    <comment ref="J886" authorId="2206">
      <text>
        <r>
          <rPr>
            <sz val="10"/>
            <rFont val="宋体"/>
            <charset val="134"/>
          </rPr>
          <t>原ETA：8/18</t>
        </r>
      </text>
    </comment>
    <comment ref="W886" authorId="2207">
      <text>
        <r>
          <rPr>
            <sz val="10"/>
            <rFont val="宋体"/>
            <charset val="134"/>
          </rPr>
          <t>21天免柜</t>
        </r>
      </text>
    </comment>
    <comment ref="J887" authorId="2208">
      <text>
        <r>
          <rPr>
            <sz val="10"/>
            <rFont val="宋体"/>
            <charset val="134"/>
          </rPr>
          <t>原ETA：8/18</t>
        </r>
      </text>
    </comment>
    <comment ref="W887" authorId="2209">
      <text>
        <r>
          <rPr>
            <sz val="10"/>
            <rFont val="宋体"/>
            <charset val="134"/>
          </rPr>
          <t>21天免柜</t>
        </r>
      </text>
    </comment>
    <comment ref="J888" authorId="2210">
      <text>
        <r>
          <rPr>
            <sz val="10"/>
            <rFont val="宋体"/>
            <charset val="134"/>
          </rPr>
          <t>原ETA：8/18</t>
        </r>
      </text>
    </comment>
    <comment ref="W888" authorId="2211">
      <text>
        <r>
          <rPr>
            <sz val="10"/>
            <rFont val="宋体"/>
            <charset val="134"/>
          </rPr>
          <t>21天免柜</t>
        </r>
      </text>
    </comment>
    <comment ref="J889" authorId="2212">
      <text>
        <r>
          <rPr>
            <sz val="10"/>
            <rFont val="宋体"/>
            <charset val="134"/>
          </rPr>
          <t>原ETA：8/18</t>
        </r>
      </text>
    </comment>
    <comment ref="W889" authorId="2213">
      <text>
        <r>
          <rPr>
            <sz val="10"/>
            <rFont val="宋体"/>
            <charset val="134"/>
          </rPr>
          <t>21天免柜</t>
        </r>
      </text>
    </comment>
    <comment ref="J890" authorId="2214">
      <text>
        <r>
          <rPr>
            <sz val="10"/>
            <rFont val="宋体"/>
            <charset val="134"/>
          </rPr>
          <t>原ETA：8/14大船临时调整港序了，先挂泊悉尼再去墨尔本且悉尼码头堵，预计等泊5天才泊入</t>
        </r>
      </text>
    </comment>
    <comment ref="W890" authorId="2215">
      <text>
        <r>
          <rPr>
            <sz val="10"/>
            <rFont val="宋体"/>
            <charset val="134"/>
          </rPr>
          <t>21天免柜</t>
        </r>
      </text>
    </comment>
    <comment ref="J891" authorId="2216">
      <text>
        <r>
          <rPr>
            <sz val="10"/>
            <rFont val="宋体"/>
            <charset val="134"/>
          </rPr>
          <t>原ETA：8/14大船临时调整港序了，先挂泊悉尼再去墨尔本且悉尼码头堵，预计等泊5天才泊入</t>
        </r>
      </text>
    </comment>
    <comment ref="W891" authorId="2217">
      <text>
        <r>
          <rPr>
            <sz val="10"/>
            <rFont val="宋体"/>
            <charset val="134"/>
          </rPr>
          <t>21天免柜</t>
        </r>
      </text>
    </comment>
    <comment ref="J892" authorId="2218">
      <text>
        <r>
          <rPr>
            <sz val="10"/>
            <rFont val="宋体"/>
            <charset val="134"/>
          </rPr>
          <t>原ETA:8/23</t>
        </r>
      </text>
    </comment>
    <comment ref="W892" authorId="2219">
      <text>
        <r>
          <rPr>
            <sz val="10"/>
            <rFont val="宋体"/>
            <charset val="134"/>
          </rPr>
          <t>21天免柜</t>
        </r>
      </text>
    </comment>
    <comment ref="J893" authorId="2220">
      <text>
        <r>
          <rPr>
            <sz val="10"/>
            <rFont val="宋体"/>
            <charset val="134"/>
          </rPr>
          <t>原ETA：8/23</t>
        </r>
      </text>
    </comment>
    <comment ref="W893" authorId="2221">
      <text>
        <r>
          <rPr>
            <sz val="10"/>
            <rFont val="宋体"/>
            <charset val="134"/>
          </rPr>
          <t>21天免柜</t>
        </r>
      </text>
    </comment>
    <comment ref="J894" authorId="2222">
      <text>
        <r>
          <rPr>
            <sz val="10"/>
            <rFont val="宋体"/>
            <charset val="134"/>
          </rPr>
          <t>原ETA：8/23</t>
        </r>
      </text>
    </comment>
    <comment ref="W894" authorId="2223">
      <text>
        <r>
          <rPr>
            <sz val="10"/>
            <rFont val="宋体"/>
            <charset val="134"/>
          </rPr>
          <t>21天免柜</t>
        </r>
      </text>
    </comment>
    <comment ref="J895" authorId="2224">
      <text>
        <r>
          <rPr>
            <sz val="10"/>
            <rFont val="宋体"/>
            <charset val="134"/>
          </rPr>
          <t>原ETA：8/23</t>
        </r>
      </text>
    </comment>
    <comment ref="W895" authorId="2225">
      <text>
        <r>
          <rPr>
            <sz val="10"/>
            <rFont val="宋体"/>
            <charset val="134"/>
          </rPr>
          <t>21天免柜</t>
        </r>
      </text>
    </comment>
    <comment ref="J896" authorId="2226">
      <text>
        <r>
          <rPr>
            <sz val="10"/>
            <rFont val="宋体"/>
            <charset val="134"/>
          </rPr>
          <t>原ETA：8/23</t>
        </r>
      </text>
    </comment>
    <comment ref="W896" authorId="2227">
      <text>
        <r>
          <rPr>
            <sz val="10"/>
            <rFont val="宋体"/>
            <charset val="134"/>
          </rPr>
          <t>21天免柜</t>
        </r>
      </text>
    </comment>
    <comment ref="W897" authorId="2228">
      <text>
        <r>
          <rPr>
            <sz val="10"/>
            <rFont val="宋体"/>
            <charset val="134"/>
          </rPr>
          <t>21天免柜</t>
        </r>
      </text>
    </comment>
    <comment ref="W898" authorId="2229">
      <text>
        <r>
          <rPr>
            <sz val="10"/>
            <rFont val="宋体"/>
            <charset val="134"/>
          </rPr>
          <t>21天免柜</t>
        </r>
      </text>
    </comment>
    <comment ref="J899" authorId="2230">
      <text>
        <r>
          <rPr>
            <sz val="10"/>
            <rFont val="宋体"/>
            <charset val="134"/>
          </rPr>
          <t>原ETA：8/27</t>
        </r>
      </text>
    </comment>
    <comment ref="W899" authorId="2231">
      <text>
        <r>
          <rPr>
            <sz val="10"/>
            <rFont val="宋体"/>
            <charset val="134"/>
          </rPr>
          <t>21天免柜</t>
        </r>
      </text>
    </comment>
    <comment ref="I900" authorId="2232">
      <text>
        <r>
          <rPr>
            <sz val="10"/>
            <rFont val="宋体"/>
            <charset val="134"/>
          </rPr>
          <t>原7.31</t>
        </r>
      </text>
    </comment>
    <comment ref="J900" authorId="2233">
      <text>
        <r>
          <rPr>
            <sz val="10"/>
            <rFont val="宋体"/>
            <charset val="134"/>
          </rPr>
          <t>原ETA:8.25</t>
        </r>
      </text>
    </comment>
    <comment ref="W900" authorId="2234">
      <text>
        <r>
          <rPr>
            <sz val="10"/>
            <rFont val="宋体"/>
            <charset val="134"/>
          </rPr>
          <t>21天免柜</t>
        </r>
      </text>
    </comment>
    <comment ref="I901" authorId="2235">
      <text>
        <r>
          <rPr>
            <sz val="10"/>
            <rFont val="宋体"/>
            <charset val="134"/>
          </rPr>
          <t>原7.31</t>
        </r>
      </text>
    </comment>
    <comment ref="J901" authorId="2236">
      <text>
        <r>
          <rPr>
            <sz val="10"/>
            <rFont val="宋体"/>
            <charset val="134"/>
          </rPr>
          <t>原ETA:8.25</t>
        </r>
      </text>
    </comment>
    <comment ref="W901" authorId="2237">
      <text>
        <r>
          <rPr>
            <sz val="10"/>
            <rFont val="宋体"/>
            <charset val="134"/>
          </rPr>
          <t>21天免柜</t>
        </r>
      </text>
    </comment>
    <comment ref="I902" authorId="2238">
      <text>
        <r>
          <rPr>
            <sz val="10"/>
            <rFont val="宋体"/>
            <charset val="134"/>
          </rPr>
          <t>原7.31</t>
        </r>
      </text>
    </comment>
    <comment ref="J902" authorId="2239">
      <text>
        <r>
          <rPr>
            <sz val="10"/>
            <rFont val="宋体"/>
            <charset val="134"/>
          </rPr>
          <t>原ETA:8.25</t>
        </r>
      </text>
    </comment>
    <comment ref="W902" authorId="2240">
      <text>
        <r>
          <rPr>
            <sz val="10"/>
            <rFont val="宋体"/>
            <charset val="134"/>
          </rPr>
          <t>21天免柜</t>
        </r>
      </text>
    </comment>
    <comment ref="I903" authorId="2241">
      <text>
        <r>
          <rPr>
            <sz val="10"/>
            <rFont val="宋体"/>
            <charset val="134"/>
          </rPr>
          <t>原7.31</t>
        </r>
      </text>
    </comment>
    <comment ref="J903" authorId="2242">
      <text>
        <r>
          <rPr>
            <sz val="10"/>
            <rFont val="宋体"/>
            <charset val="134"/>
          </rPr>
          <t>原ETA:8.25</t>
        </r>
      </text>
    </comment>
    <comment ref="W903" authorId="2243">
      <text>
        <r>
          <rPr>
            <sz val="10"/>
            <rFont val="宋体"/>
            <charset val="134"/>
          </rPr>
          <t>21天免柜</t>
        </r>
      </text>
    </comment>
    <comment ref="I904" authorId="2244">
      <text>
        <r>
          <rPr>
            <sz val="10"/>
            <rFont val="宋体"/>
            <charset val="134"/>
          </rPr>
          <t>原7.31</t>
        </r>
      </text>
    </comment>
    <comment ref="J904" authorId="2245">
      <text>
        <r>
          <rPr>
            <sz val="10"/>
            <rFont val="宋体"/>
            <charset val="134"/>
          </rPr>
          <t>原8.25</t>
        </r>
      </text>
    </comment>
    <comment ref="W904" authorId="2246">
      <text>
        <r>
          <rPr>
            <sz val="10"/>
            <rFont val="宋体"/>
            <charset val="134"/>
          </rPr>
          <t>21天免柜</t>
        </r>
      </text>
    </comment>
    <comment ref="J905" authorId="2247">
      <text>
        <r>
          <rPr>
            <sz val="10"/>
            <rFont val="宋体"/>
            <charset val="134"/>
          </rPr>
          <t>原ETA:8/25</t>
        </r>
      </text>
    </comment>
    <comment ref="W905" authorId="2248">
      <text>
        <r>
          <rPr>
            <sz val="10"/>
            <rFont val="宋体"/>
            <charset val="134"/>
          </rPr>
          <t>21天免柜</t>
        </r>
      </text>
    </comment>
    <comment ref="J906" authorId="2249">
      <text>
        <r>
          <rPr>
            <sz val="10"/>
            <rFont val="宋体"/>
            <charset val="134"/>
          </rPr>
          <t>原ETA:8/25</t>
        </r>
      </text>
    </comment>
    <comment ref="W906" authorId="2250">
      <text>
        <r>
          <rPr>
            <sz val="10"/>
            <rFont val="宋体"/>
            <charset val="134"/>
          </rPr>
          <t>21天免柜</t>
        </r>
      </text>
    </comment>
    <comment ref="J907" authorId="2251">
      <text>
        <r>
          <rPr>
            <sz val="10"/>
            <rFont val="宋体"/>
            <charset val="134"/>
          </rPr>
          <t>原ETA:8/25</t>
        </r>
      </text>
    </comment>
    <comment ref="W907" authorId="2252">
      <text>
        <r>
          <rPr>
            <sz val="10"/>
            <rFont val="宋体"/>
            <charset val="134"/>
          </rPr>
          <t>21天免柜</t>
        </r>
      </text>
    </comment>
    <comment ref="J908" authorId="2253">
      <text>
        <r>
          <rPr>
            <sz val="10"/>
            <rFont val="宋体"/>
            <charset val="134"/>
          </rPr>
          <t>原ETA:8/25</t>
        </r>
      </text>
    </comment>
    <comment ref="W908" authorId="2254">
      <text>
        <r>
          <rPr>
            <sz val="10"/>
            <rFont val="宋体"/>
            <charset val="134"/>
          </rPr>
          <t>21天免柜</t>
        </r>
      </text>
    </comment>
    <comment ref="I909" authorId="2255">
      <text>
        <r>
          <rPr>
            <sz val="10"/>
            <rFont val="宋体"/>
            <charset val="134"/>
          </rPr>
          <t>原8.1</t>
        </r>
      </text>
    </comment>
    <comment ref="J909" authorId="2256">
      <text>
        <r>
          <rPr>
            <sz val="10"/>
            <rFont val="宋体"/>
            <charset val="134"/>
          </rPr>
          <t>原ETA：8/22大船返程延误，船司有更新船期和SO，预计回到蛇口 8/14， 将于8/17在新加坡中转</t>
        </r>
      </text>
    </comment>
    <comment ref="J910" authorId="2257">
      <text>
        <r>
          <rPr>
            <sz val="10"/>
            <rFont val="宋体"/>
            <charset val="134"/>
          </rPr>
          <t>原ETA：9.1</t>
        </r>
      </text>
    </comment>
    <comment ref="W910" authorId="2258">
      <text>
        <r>
          <rPr>
            <sz val="10"/>
            <rFont val="宋体"/>
            <charset val="134"/>
          </rPr>
          <t>21天免柜</t>
        </r>
      </text>
    </comment>
    <comment ref="J911" authorId="2259">
      <text>
        <r>
          <rPr>
            <sz val="10"/>
            <rFont val="宋体"/>
            <charset val="134"/>
          </rPr>
          <t>原ETA：9.1</t>
        </r>
      </text>
    </comment>
    <comment ref="W911" authorId="2260">
      <text>
        <r>
          <rPr>
            <sz val="10"/>
            <rFont val="宋体"/>
            <charset val="134"/>
          </rPr>
          <t>21天免柜</t>
        </r>
      </text>
    </comment>
    <comment ref="J912" authorId="2261">
      <text>
        <r>
          <rPr>
            <sz val="10"/>
            <rFont val="宋体"/>
            <charset val="134"/>
          </rPr>
          <t>原ETA：9.1</t>
        </r>
      </text>
    </comment>
    <comment ref="W912" authorId="2262">
      <text>
        <r>
          <rPr>
            <sz val="10"/>
            <rFont val="宋体"/>
            <charset val="134"/>
          </rPr>
          <t>21天免柜</t>
        </r>
      </text>
    </comment>
    <comment ref="I913" authorId="2263">
      <text>
        <r>
          <rPr>
            <sz val="10"/>
            <rFont val="宋体"/>
            <charset val="134"/>
          </rPr>
          <t>原8.8</t>
        </r>
      </text>
    </comment>
    <comment ref="J913" authorId="2264">
      <text>
        <r>
          <rPr>
            <sz val="10"/>
            <rFont val="宋体"/>
            <charset val="134"/>
          </rPr>
          <t>原ETA：8/28</t>
        </r>
      </text>
    </comment>
    <comment ref="W913" authorId="2265">
      <text>
        <r>
          <rPr>
            <sz val="10"/>
            <rFont val="宋体"/>
            <charset val="134"/>
          </rPr>
          <t>21天免柜</t>
        </r>
      </text>
    </comment>
    <comment ref="I914" authorId="2266">
      <text>
        <r>
          <rPr>
            <sz val="10"/>
            <rFont val="宋体"/>
            <charset val="134"/>
          </rPr>
          <t>原8.8</t>
        </r>
      </text>
    </comment>
    <comment ref="J914" authorId="2267">
      <text>
        <r>
          <rPr>
            <sz val="10"/>
            <rFont val="宋体"/>
            <charset val="134"/>
          </rPr>
          <t>原ETA：8/28</t>
        </r>
      </text>
    </comment>
    <comment ref="W914" authorId="2268">
      <text>
        <r>
          <rPr>
            <sz val="10"/>
            <rFont val="宋体"/>
            <charset val="134"/>
          </rPr>
          <t>21天免柜</t>
        </r>
      </text>
    </comment>
    <comment ref="I915" authorId="2269">
      <text>
        <r>
          <rPr>
            <sz val="10"/>
            <rFont val="宋体"/>
            <charset val="134"/>
          </rPr>
          <t>原8.8</t>
        </r>
      </text>
    </comment>
    <comment ref="J915" authorId="2270">
      <text>
        <r>
          <rPr>
            <sz val="10"/>
            <rFont val="宋体"/>
            <charset val="134"/>
          </rPr>
          <t>原ETA：8/28码头比较堵，大船延迟靠港，此班大船要挂泊高雄，MEL ETA预计9.4</t>
        </r>
      </text>
    </comment>
    <comment ref="W915" authorId="2271">
      <text>
        <r>
          <rPr>
            <sz val="10"/>
            <rFont val="宋体"/>
            <charset val="134"/>
          </rPr>
          <t>21天免柜</t>
        </r>
      </text>
    </comment>
    <comment ref="J916" authorId="2272">
      <text>
        <r>
          <rPr>
            <sz val="10"/>
            <rFont val="宋体"/>
            <charset val="134"/>
          </rPr>
          <t>原ETA：9.1</t>
        </r>
      </text>
    </comment>
    <comment ref="W916" authorId="2273">
      <text>
        <r>
          <rPr>
            <sz val="10"/>
            <rFont val="宋体"/>
            <charset val="134"/>
          </rPr>
          <t>21天免柜</t>
        </r>
      </text>
    </comment>
    <comment ref="J917" authorId="2274">
      <text>
        <r>
          <rPr>
            <sz val="10"/>
            <rFont val="宋体"/>
            <charset val="134"/>
          </rPr>
          <t>原ETA：9.1</t>
        </r>
      </text>
    </comment>
    <comment ref="W917" authorId="2275">
      <text>
        <r>
          <rPr>
            <sz val="10"/>
            <rFont val="宋体"/>
            <charset val="134"/>
          </rPr>
          <t>21天免柜</t>
        </r>
      </text>
    </comment>
    <comment ref="J918" authorId="2276">
      <text>
        <r>
          <rPr>
            <sz val="10"/>
            <rFont val="宋体"/>
            <charset val="134"/>
          </rPr>
          <t>原ETA：9.1</t>
        </r>
      </text>
    </comment>
    <comment ref="W918" authorId="2277">
      <text>
        <r>
          <rPr>
            <sz val="10"/>
            <rFont val="宋体"/>
            <charset val="134"/>
          </rPr>
          <t>21天免柜</t>
        </r>
      </text>
    </comment>
    <comment ref="J919" authorId="2278">
      <text>
        <r>
          <rPr>
            <sz val="10"/>
            <rFont val="宋体"/>
            <charset val="134"/>
          </rPr>
          <t>原ETA：9.1</t>
        </r>
      </text>
    </comment>
    <comment ref="W919" authorId="2279">
      <text>
        <r>
          <rPr>
            <sz val="10"/>
            <rFont val="宋体"/>
            <charset val="134"/>
          </rPr>
          <t>21天免柜</t>
        </r>
      </text>
    </comment>
    <comment ref="J920" authorId="2280">
      <text>
        <r>
          <rPr>
            <sz val="10"/>
            <rFont val="宋体"/>
            <charset val="134"/>
          </rPr>
          <t>原ETA：9.1</t>
        </r>
      </text>
    </comment>
    <comment ref="W920" authorId="2281">
      <text>
        <r>
          <rPr>
            <sz val="10"/>
            <rFont val="宋体"/>
            <charset val="134"/>
          </rPr>
          <t>21天免柜</t>
        </r>
      </text>
    </comment>
    <comment ref="J921" authorId="2282">
      <text>
        <r>
          <rPr>
            <sz val="10"/>
            <rFont val="宋体"/>
            <charset val="134"/>
          </rPr>
          <t>原ETA:9.1</t>
        </r>
      </text>
    </comment>
    <comment ref="W921" authorId="2283">
      <text>
        <r>
          <rPr>
            <sz val="10"/>
            <rFont val="宋体"/>
            <charset val="134"/>
          </rPr>
          <t>21天免柜</t>
        </r>
      </text>
    </comment>
    <comment ref="J922" authorId="2284">
      <text>
        <r>
          <rPr>
            <sz val="10"/>
            <rFont val="宋体"/>
            <charset val="134"/>
          </rPr>
          <t>原ETA:9.1</t>
        </r>
      </text>
    </comment>
    <comment ref="W922" authorId="2285">
      <text>
        <r>
          <rPr>
            <sz val="10"/>
            <rFont val="宋体"/>
            <charset val="134"/>
          </rPr>
          <t>21天免柜</t>
        </r>
      </text>
    </comment>
    <comment ref="J923" authorId="2286">
      <text>
        <r>
          <rPr>
            <sz val="10"/>
            <rFont val="宋体"/>
            <charset val="134"/>
          </rPr>
          <t>原ETA：9/4</t>
        </r>
      </text>
    </comment>
    <comment ref="W923" authorId="2287">
      <text>
        <r>
          <rPr>
            <sz val="10"/>
            <rFont val="宋体"/>
            <charset val="134"/>
          </rPr>
          <t>21天免柜</t>
        </r>
      </text>
    </comment>
    <comment ref="J924" authorId="2288">
      <text>
        <r>
          <rPr>
            <sz val="10"/>
            <rFont val="宋体"/>
            <charset val="134"/>
          </rPr>
          <t>原ETA：9.4</t>
        </r>
      </text>
    </comment>
    <comment ref="W924" authorId="2289">
      <text>
        <r>
          <rPr>
            <sz val="10"/>
            <rFont val="宋体"/>
            <charset val="134"/>
          </rPr>
          <t>21天免柜</t>
        </r>
      </text>
    </comment>
    <comment ref="I925" authorId="2290">
      <text>
        <r>
          <rPr>
            <sz val="10"/>
            <rFont val="宋体"/>
            <charset val="134"/>
          </rPr>
          <t>原ETD 8.11</t>
        </r>
      </text>
    </comment>
    <comment ref="J925" authorId="2291">
      <text>
        <r>
          <rPr>
            <sz val="10"/>
            <rFont val="宋体"/>
            <charset val="134"/>
          </rPr>
          <t>原ETA 9.3</t>
        </r>
      </text>
    </comment>
    <comment ref="I926" authorId="2292">
      <text>
        <r>
          <rPr>
            <sz val="10"/>
            <rFont val="宋体"/>
            <charset val="134"/>
          </rPr>
          <t>原8.14</t>
        </r>
      </text>
    </comment>
    <comment ref="W926" authorId="2293">
      <text>
        <r>
          <rPr>
            <sz val="10"/>
            <rFont val="宋体"/>
            <charset val="134"/>
          </rPr>
          <t>21天免柜</t>
        </r>
      </text>
    </comment>
    <comment ref="I927" authorId="2294">
      <text>
        <r>
          <rPr>
            <sz val="10"/>
            <rFont val="宋体"/>
            <charset val="134"/>
          </rPr>
          <t>原8.14</t>
        </r>
      </text>
    </comment>
    <comment ref="W927" authorId="2295">
      <text>
        <r>
          <rPr>
            <sz val="10"/>
            <rFont val="宋体"/>
            <charset val="134"/>
          </rPr>
          <t>21天免柜</t>
        </r>
      </text>
    </comment>
    <comment ref="I928" authorId="2296">
      <text>
        <r>
          <rPr>
            <sz val="10"/>
            <rFont val="宋体"/>
            <charset val="134"/>
          </rPr>
          <t>原8.14</t>
        </r>
      </text>
    </comment>
    <comment ref="W928" authorId="2297">
      <text>
        <r>
          <rPr>
            <sz val="10"/>
            <rFont val="宋体"/>
            <charset val="134"/>
          </rPr>
          <t>21天免柜</t>
        </r>
      </text>
    </comment>
    <comment ref="J929" authorId="2298">
      <text>
        <r>
          <rPr>
            <sz val="10"/>
            <rFont val="宋体"/>
            <charset val="134"/>
          </rPr>
          <t>原ETA：9.8</t>
        </r>
      </text>
    </comment>
    <comment ref="W929" authorId="2299">
      <text>
        <r>
          <rPr>
            <sz val="10"/>
            <rFont val="宋体"/>
            <charset val="134"/>
          </rPr>
          <t>21天免柜</t>
        </r>
      </text>
    </comment>
    <comment ref="J930" authorId="2300">
      <text>
        <r>
          <rPr>
            <sz val="10"/>
            <rFont val="宋体"/>
            <charset val="134"/>
          </rPr>
          <t>原ETA：9.8</t>
        </r>
      </text>
    </comment>
    <comment ref="W930" authorId="2301">
      <text>
        <r>
          <rPr>
            <sz val="10"/>
            <rFont val="宋体"/>
            <charset val="134"/>
          </rPr>
          <t>21天免柜</t>
        </r>
      </text>
    </comment>
    <comment ref="J931" authorId="2302">
      <text>
        <r>
          <rPr>
            <sz val="10"/>
            <rFont val="宋体"/>
            <charset val="134"/>
          </rPr>
          <t>原ETA：9.8</t>
        </r>
      </text>
    </comment>
    <comment ref="W931" authorId="2303">
      <text>
        <r>
          <rPr>
            <sz val="10"/>
            <rFont val="宋体"/>
            <charset val="134"/>
          </rPr>
          <t>21天免柜</t>
        </r>
      </text>
    </comment>
    <comment ref="J932" authorId="2304">
      <text>
        <r>
          <rPr>
            <sz val="10"/>
            <rFont val="宋体"/>
            <charset val="134"/>
          </rPr>
          <t>原ETA：9.8</t>
        </r>
      </text>
    </comment>
    <comment ref="W932" authorId="2305">
      <text>
        <r>
          <rPr>
            <sz val="10"/>
            <rFont val="宋体"/>
            <charset val="134"/>
          </rPr>
          <t>21天免柜</t>
        </r>
      </text>
    </comment>
    <comment ref="J933" authorId="2306">
      <text>
        <r>
          <rPr>
            <sz val="10"/>
            <rFont val="宋体"/>
            <charset val="134"/>
          </rPr>
          <t>原ETA：9.8</t>
        </r>
      </text>
    </comment>
    <comment ref="W933" authorId="2307">
      <text>
        <r>
          <rPr>
            <sz val="10"/>
            <rFont val="宋体"/>
            <charset val="134"/>
          </rPr>
          <t>21天免柜</t>
        </r>
      </text>
    </comment>
    <comment ref="J934" authorId="2308">
      <text>
        <r>
          <rPr>
            <sz val="10"/>
            <rFont val="宋体"/>
            <charset val="134"/>
          </rPr>
          <t>原ETA：9.7</t>
        </r>
      </text>
    </comment>
    <comment ref="W934" authorId="2309">
      <text>
        <r>
          <rPr>
            <sz val="10"/>
            <rFont val="宋体"/>
            <charset val="134"/>
          </rPr>
          <t>21天免柜</t>
        </r>
      </text>
    </comment>
    <comment ref="W935" authorId="2310">
      <text>
        <r>
          <rPr>
            <sz val="10"/>
            <rFont val="宋体"/>
            <charset val="134"/>
          </rPr>
          <t>21天免柜</t>
        </r>
      </text>
    </comment>
    <comment ref="W936" authorId="2311">
      <text>
        <r>
          <rPr>
            <sz val="10"/>
            <rFont val="宋体"/>
            <charset val="134"/>
          </rPr>
          <t>21天免柜</t>
        </r>
      </text>
    </comment>
    <comment ref="W937" authorId="2312">
      <text>
        <r>
          <rPr>
            <sz val="10"/>
            <rFont val="宋体"/>
            <charset val="134"/>
          </rPr>
          <t>21天免柜</t>
        </r>
      </text>
    </comment>
    <comment ref="J938" authorId="2313">
      <text>
        <r>
          <rPr>
            <sz val="10"/>
            <rFont val="宋体"/>
            <charset val="134"/>
          </rPr>
          <t>原ETA：9.7</t>
        </r>
      </text>
    </comment>
    <comment ref="W938" authorId="2314">
      <text>
        <r>
          <rPr>
            <sz val="10"/>
            <rFont val="宋体"/>
            <charset val="134"/>
          </rPr>
          <t>21天免柜</t>
        </r>
      </text>
    </comment>
    <comment ref="J939" authorId="2315">
      <text>
        <r>
          <rPr>
            <sz val="10"/>
            <rFont val="宋体"/>
            <charset val="134"/>
          </rPr>
          <t>原ETA：9/15</t>
        </r>
      </text>
    </comment>
    <comment ref="W939" authorId="2316">
      <text>
        <r>
          <rPr>
            <sz val="10"/>
            <rFont val="宋体"/>
            <charset val="134"/>
          </rPr>
          <t>21天免柜</t>
        </r>
      </text>
    </comment>
    <comment ref="J940" authorId="2317">
      <text>
        <r>
          <rPr>
            <sz val="10"/>
            <rFont val="宋体"/>
            <charset val="134"/>
          </rPr>
          <t>原ETA：9/15</t>
        </r>
      </text>
    </comment>
    <comment ref="W940" authorId="2318">
      <text>
        <r>
          <rPr>
            <sz val="10"/>
            <rFont val="宋体"/>
            <charset val="134"/>
          </rPr>
          <t>21天免柜</t>
        </r>
      </text>
    </comment>
    <comment ref="J941" authorId="2319">
      <text>
        <r>
          <rPr>
            <sz val="10"/>
            <rFont val="宋体"/>
            <charset val="134"/>
          </rPr>
          <t>原ETA：9/15</t>
        </r>
      </text>
    </comment>
    <comment ref="W941" authorId="2320">
      <text>
        <r>
          <rPr>
            <sz val="10"/>
            <rFont val="宋体"/>
            <charset val="134"/>
          </rPr>
          <t>21天免柜</t>
        </r>
      </text>
    </comment>
  </commentList>
</comments>
</file>

<file path=xl/comments4.xml><?xml version="1.0" encoding="utf-8"?>
<comments xmlns="http://schemas.openxmlformats.org/spreadsheetml/2006/main">
  <authors>
    <author>tc={72C49519-2495-47A7-8C21-A5F505F59274}</author>
    <author>tc={A1100B36-A53E-4BC7-B681-77F9254DA29A}</author>
    <author>tc={98575926-4E56-4B28-BCC6-8484F7A821DD}</author>
    <author>tc={A8608621-1C9A-4F41-907A-71F909DCD622}</author>
    <author>tc={95AB4EBF-3795-442E-B5FC-435A0498B494}</author>
    <author>tc={336487F2-016E-43F1-BE43-57C3721C84F9}</author>
    <author>tc={538D8794-7250-491D-98BF-B75D363D3233}</author>
    <author>tc={A128EC18-09D5-4B5A-BEB8-90743274473D}</author>
    <author>tc={995072E3-70C4-433F-995E-C0CE23FE5D8D}</author>
    <author>tc={021112D0-584F-4C8C-96B8-84F490664E67}</author>
    <author>tc={91EE0ACC-A6BD-45F0-B73B-EB43AEC00939}</author>
    <author>tc={674C9A9A-ACE9-4D5B-B2D9-D5B1BE8B704C}</author>
    <author>tc={5E420565-C84C-49F6-9376-2DA506D96EE8}</author>
    <author>tc={9DB723F7-C12A-4227-9DBB-3508BEDE510D}</author>
    <author>tc={9D68B47E-146D-405E-AC8F-100A521667C1}</author>
    <author>tc={FE5F0E9F-C7A9-4B60-8819-37C10C703FDA}</author>
    <author>tc={739F1825-F880-4E88-B499-1BF7C36BA47D}</author>
    <author>tc={95A5FE5D-BB3F-4C3F-91FB-C57E8F50C24E}</author>
    <author>tc={8C692FC0-A71A-4D43-8D64-809A2DA93675}</author>
    <author>tc={3925B77F-F12F-4279-AAB6-FBDFF952CC24}</author>
    <author>tc={2BD171B9-CF70-406B-B9EE-121194D6E536}</author>
    <author>tc={B7C93ADF-3BE3-49BA-9E73-03DB91D2707B}</author>
    <author>tc={289E0165-B5F0-4CE1-8F3E-8307DA49201D}</author>
    <author>tc={74374021-3CA9-4B47-B5D7-74FB57A28131}</author>
    <author>tc={10EBD4C0-0E98-4A74-8993-538DF185CC3B}</author>
    <author>tc={32164C68-B0AB-4771-8853-BF5FD608C5EF}</author>
    <author>tc={BB9EFCE5-5E9E-4707-9035-B942B96382B8}</author>
    <author>tc={D074BFEF-258E-46DE-A981-F2FDEEE320C9}</author>
    <author>tc={3000827E-F969-465E-9DFF-0F0E1D42ED2A}</author>
    <author>tc={915EEBB4-360D-4021-B1AE-0798DCF400CF}</author>
    <author>tc={7113D564-D660-44BD-BD6D-71D1E57C017E}</author>
    <author>tc={74457A09-5E45-4383-8DFD-367148DA7F1C}</author>
    <author>tc={8E129B04-7F5B-4C10-9BCF-E05B1EFF3A09}</author>
  </authors>
  <commentList>
    <comment ref="G546" authorId="0">
      <text>
        <r>
          <rPr>
            <sz val="10"/>
            <rFont val="宋体"/>
            <charset val="134"/>
          </rPr>
          <t>原Destination：NSW-Sydney</t>
        </r>
      </text>
    </comment>
    <comment ref="G547" authorId="1">
      <text>
        <r>
          <rPr>
            <sz val="10"/>
            <rFont val="宋体"/>
            <charset val="134"/>
          </rPr>
          <t>原Destination：NSW-Sydney</t>
        </r>
      </text>
    </comment>
    <comment ref="G548" authorId="2">
      <text>
        <r>
          <rPr>
            <sz val="10"/>
            <rFont val="宋体"/>
            <charset val="134"/>
          </rPr>
          <t>原Destination：NSW-Sydney</t>
        </r>
      </text>
    </comment>
    <comment ref="G549" authorId="3">
      <text>
        <r>
          <rPr>
            <sz val="10"/>
            <rFont val="宋体"/>
            <charset val="134"/>
          </rPr>
          <t>原Destination：NSW-Sydney</t>
        </r>
      </text>
    </comment>
    <comment ref="G550" authorId="4">
      <text>
        <r>
          <rPr>
            <sz val="10"/>
            <rFont val="宋体"/>
            <charset val="134"/>
          </rPr>
          <t>原Destination：NSW-Sydney</t>
        </r>
      </text>
    </comment>
    <comment ref="G551" authorId="5">
      <text>
        <r>
          <rPr>
            <sz val="10"/>
            <rFont val="宋体"/>
            <charset val="134"/>
          </rPr>
          <t>原Destination：NSW-Sydney</t>
        </r>
      </text>
    </comment>
    <comment ref="G552" authorId="6">
      <text>
        <r>
          <rPr>
            <sz val="10"/>
            <rFont val="宋体"/>
            <charset val="134"/>
          </rPr>
          <t>原Destination：NSW-Sydney</t>
        </r>
      </text>
    </comment>
    <comment ref="G553" authorId="7">
      <text>
        <r>
          <rPr>
            <sz val="10"/>
            <rFont val="宋体"/>
            <charset val="134"/>
          </rPr>
          <t>原Destination：NSW-Sydney</t>
        </r>
      </text>
    </comment>
    <comment ref="G554" authorId="8">
      <text>
        <r>
          <rPr>
            <sz val="10"/>
            <rFont val="宋体"/>
            <charset val="134"/>
          </rPr>
          <t>原Destination：NSW-Sydney</t>
        </r>
      </text>
    </comment>
    <comment ref="G555" authorId="9">
      <text>
        <r>
          <rPr>
            <sz val="10"/>
            <rFont val="宋体"/>
            <charset val="134"/>
          </rPr>
          <t>原Destination：NSW-Sydney</t>
        </r>
      </text>
    </comment>
    <comment ref="G556" authorId="10">
      <text>
        <r>
          <rPr>
            <sz val="10"/>
            <rFont val="宋体"/>
            <charset val="134"/>
          </rPr>
          <t>原Destination：NSW-Sydney</t>
        </r>
      </text>
    </comment>
    <comment ref="G557" authorId="11">
      <text>
        <r>
          <rPr>
            <sz val="10"/>
            <rFont val="宋体"/>
            <charset val="134"/>
          </rPr>
          <t>原Destination：NSW-Sydney</t>
        </r>
      </text>
    </comment>
    <comment ref="G558" authorId="12">
      <text>
        <r>
          <rPr>
            <sz val="10"/>
            <rFont val="宋体"/>
            <charset val="134"/>
          </rPr>
          <t>原Destination：NSW-Sydney</t>
        </r>
      </text>
    </comment>
    <comment ref="G559" authorId="13">
      <text>
        <r>
          <rPr>
            <sz val="10"/>
            <rFont val="宋体"/>
            <charset val="134"/>
          </rPr>
          <t>原Destination：NSW-Sydney</t>
        </r>
      </text>
    </comment>
    <comment ref="G560" authorId="14">
      <text>
        <r>
          <rPr>
            <sz val="10"/>
            <rFont val="宋体"/>
            <charset val="134"/>
          </rPr>
          <t>原Destination：NSW-Sydney</t>
        </r>
      </text>
    </comment>
    <comment ref="G561" authorId="15">
      <text>
        <r>
          <rPr>
            <sz val="10"/>
            <rFont val="宋体"/>
            <charset val="134"/>
          </rPr>
          <t>原Destination：NSW-Sydney</t>
        </r>
      </text>
    </comment>
    <comment ref="G562" authorId="16">
      <text>
        <r>
          <rPr>
            <sz val="10"/>
            <rFont val="宋体"/>
            <charset val="134"/>
          </rPr>
          <t>原Destination：NSW-Sydney</t>
        </r>
      </text>
    </comment>
    <comment ref="G563" authorId="17">
      <text>
        <r>
          <rPr>
            <sz val="10"/>
            <rFont val="宋体"/>
            <charset val="134"/>
          </rPr>
          <t>原Destination：NSW-Sydney</t>
        </r>
      </text>
    </comment>
    <comment ref="G564" authorId="18">
      <text>
        <r>
          <rPr>
            <sz val="10"/>
            <rFont val="宋体"/>
            <charset val="134"/>
          </rPr>
          <t>原Destination：NSW-Sydney</t>
        </r>
      </text>
    </comment>
    <comment ref="G565" authorId="19">
      <text>
        <r>
          <rPr>
            <sz val="10"/>
            <rFont val="宋体"/>
            <charset val="134"/>
          </rPr>
          <t>原Destination：NSW-Sydney</t>
        </r>
      </text>
    </comment>
    <comment ref="G566" authorId="20">
      <text>
        <r>
          <rPr>
            <sz val="10"/>
            <rFont val="宋体"/>
            <charset val="134"/>
          </rPr>
          <t>原Destination：NSW-Sydney</t>
        </r>
      </text>
    </comment>
    <comment ref="G567" authorId="21">
      <text>
        <r>
          <rPr>
            <sz val="10"/>
            <rFont val="宋体"/>
            <charset val="134"/>
          </rPr>
          <t>原Destination：NSW-Sydney</t>
        </r>
      </text>
    </comment>
    <comment ref="G568" authorId="22">
      <text>
        <r>
          <rPr>
            <sz val="10"/>
            <rFont val="宋体"/>
            <charset val="134"/>
          </rPr>
          <t>原Destination：NSW-Sydney</t>
        </r>
      </text>
    </comment>
    <comment ref="G569" authorId="23">
      <text>
        <r>
          <rPr>
            <sz val="10"/>
            <rFont val="宋体"/>
            <charset val="134"/>
          </rPr>
          <t>原Destination：NSW-Sydney</t>
        </r>
      </text>
    </comment>
    <comment ref="G570" authorId="24">
      <text>
        <r>
          <rPr>
            <sz val="10"/>
            <rFont val="宋体"/>
            <charset val="134"/>
          </rPr>
          <t>原Destination：NSW-Sydney</t>
        </r>
      </text>
    </comment>
    <comment ref="G571" authorId="25">
      <text>
        <r>
          <rPr>
            <sz val="10"/>
            <rFont val="宋体"/>
            <charset val="134"/>
          </rPr>
          <t>原Destination：NSW-Sydney</t>
        </r>
      </text>
    </comment>
    <comment ref="G572" authorId="26">
      <text>
        <r>
          <rPr>
            <sz val="10"/>
            <rFont val="宋体"/>
            <charset val="134"/>
          </rPr>
          <t>原Destination：NSW-Sydney</t>
        </r>
      </text>
    </comment>
    <comment ref="G573" authorId="27">
      <text>
        <r>
          <rPr>
            <sz val="10"/>
            <rFont val="宋体"/>
            <charset val="134"/>
          </rPr>
          <t>原Destination：NSW-Sydney</t>
        </r>
      </text>
    </comment>
    <comment ref="G574" authorId="28">
      <text>
        <r>
          <rPr>
            <sz val="10"/>
            <rFont val="宋体"/>
            <charset val="134"/>
          </rPr>
          <t>原Destination：NSW-Sydney</t>
        </r>
      </text>
    </comment>
    <comment ref="G575" authorId="29">
      <text>
        <r>
          <rPr>
            <sz val="10"/>
            <rFont val="宋体"/>
            <charset val="134"/>
          </rPr>
          <t>原Destination：NSW-Sydney</t>
        </r>
      </text>
    </comment>
    <comment ref="G576" authorId="30">
      <text>
        <r>
          <rPr>
            <sz val="10"/>
            <rFont val="宋体"/>
            <charset val="134"/>
          </rPr>
          <t>原Destination：NSW-Sydney</t>
        </r>
      </text>
    </comment>
    <comment ref="G577" authorId="31">
      <text>
        <r>
          <rPr>
            <sz val="10"/>
            <rFont val="宋体"/>
            <charset val="134"/>
          </rPr>
          <t>原Destination：NSW-Sydney</t>
        </r>
      </text>
    </comment>
    <comment ref="C597" authorId="32">
      <text>
        <r>
          <rPr>
            <sz val="10"/>
            <rFont val="宋体"/>
            <charset val="134"/>
          </rPr>
          <t>旧Part code：17122000025435</t>
        </r>
      </text>
    </comment>
  </commentList>
</comments>
</file>

<file path=xl/comments5.xml><?xml version="1.0" encoding="utf-8"?>
<comments xmlns="http://schemas.openxmlformats.org/spreadsheetml/2006/main">
  <authors>
    <author>tc={78C50357-3B16-4CFF-80A5-9F8DAA08A8F7}</author>
    <author>tc={D3BF74C4-45B4-4E4D-A416-684678EB204E}</author>
    <author>tc={B01CD4A0-A064-4CE5-8548-8AA5577CE702}</author>
    <author>tc={9CF967C6-5E54-4EE4-93E5-1D0E796B26F6}</author>
    <author>tc={9D140D7C-7C25-43D4-A0FA-66CBCFC0D3F9}</author>
    <author>tc={65363418-6908-494E-9BCB-39752419A166}</author>
    <author>tc={5B9CB829-BA7E-4743-A03E-8D8B18A52F71}</author>
    <author>tc={A3B87E02-C6D0-40C0-8F8B-F4E5CE836765}</author>
    <author>tc={75CBDF2B-1257-40A5-8CB5-C2E1643C5FC7}</author>
    <author>tc={7CB010DA-1E7D-4483-B2BF-16213C857ACC}</author>
  </authors>
  <commentList>
    <comment ref="E169" authorId="0">
      <text>
        <r>
          <rPr>
            <sz val="10"/>
            <rFont val="宋体"/>
            <charset val="134"/>
          </rPr>
          <t>原destination: NSW-Sydney，8/7 Edwin&amp;Mina确认运到Mel</t>
        </r>
      </text>
    </comment>
    <comment ref="E170" authorId="1">
      <text>
        <r>
          <rPr>
            <sz val="10"/>
            <rFont val="宋体"/>
            <charset val="134"/>
          </rPr>
          <t>原destination: NSW-Sydney，8/7 Edwin&amp;Mina确认运到Mel</t>
        </r>
      </text>
    </comment>
    <comment ref="E171" authorId="2">
      <text>
        <r>
          <rPr>
            <sz val="10"/>
            <rFont val="宋体"/>
            <charset val="134"/>
          </rPr>
          <t>原destination: NSW-Sydney，8/7 Edwin&amp;Mina确认运到Mel</t>
        </r>
      </text>
    </comment>
    <comment ref="E172" authorId="3">
      <text>
        <r>
          <rPr>
            <sz val="10"/>
            <rFont val="宋体"/>
            <charset val="134"/>
          </rPr>
          <t>原destination: NSW-Sydney，8/7 Edwin&amp;Mina确认运到Mel</t>
        </r>
      </text>
    </comment>
    <comment ref="E173" authorId="4">
      <text>
        <r>
          <rPr>
            <sz val="10"/>
            <rFont val="宋体"/>
            <charset val="134"/>
          </rPr>
          <t>原destination: NSW-Sydney，8/7 Edwin&amp;Mina确认运到Mel</t>
        </r>
      </text>
    </comment>
    <comment ref="E174" authorId="5">
      <text>
        <r>
          <rPr>
            <sz val="10"/>
            <rFont val="宋体"/>
            <charset val="134"/>
          </rPr>
          <t>原destination: NSW-Sydney，8/7 Edwin&amp;Mina确认运到Mel</t>
        </r>
      </text>
    </comment>
    <comment ref="E175" authorId="6">
      <text>
        <r>
          <rPr>
            <sz val="10"/>
            <rFont val="宋体"/>
            <charset val="134"/>
          </rPr>
          <t>原destination: NSW-Sydney，8/7 Edwin&amp;Mina确认运到Mel</t>
        </r>
      </text>
    </comment>
    <comment ref="E176" authorId="7">
      <text>
        <r>
          <rPr>
            <sz val="10"/>
            <rFont val="宋体"/>
            <charset val="134"/>
          </rPr>
          <t>原destination: NSW-Sydney，8/7 Edwin&amp;Mina确认运到Mel</t>
        </r>
      </text>
    </comment>
    <comment ref="E177" authorId="8">
      <text>
        <r>
          <rPr>
            <sz val="10"/>
            <rFont val="宋体"/>
            <charset val="134"/>
          </rPr>
          <t>原destination: NSW-Sydney，8/7 Edwin确认运到Mel</t>
        </r>
      </text>
    </comment>
    <comment ref="B197" authorId="9">
      <text>
        <r>
          <rPr>
            <sz val="10"/>
            <rFont val="宋体"/>
            <charset val="134"/>
          </rPr>
          <t>MULMI0618B的空壳机确定不从RAC出，从MEL本地仓库协调</t>
        </r>
      </text>
    </comment>
  </commentList>
</comments>
</file>

<file path=xl/sharedStrings.xml><?xml version="1.0" encoding="utf-8"?>
<sst xmlns="http://schemas.openxmlformats.org/spreadsheetml/2006/main" count="43000" uniqueCount="6532">
  <si>
    <t>日期</t>
  </si>
  <si>
    <t>PI</t>
  </si>
  <si>
    <t>型号</t>
  </si>
  <si>
    <t>数量</t>
  </si>
  <si>
    <t>Contr #</t>
  </si>
  <si>
    <t>客户Req date/需求ETD</t>
  </si>
  <si>
    <t>Actual ETD</t>
  </si>
  <si>
    <t>ETA</t>
  </si>
  <si>
    <t>发票号</t>
  </si>
  <si>
    <t>Destination</t>
  </si>
  <si>
    <t>Customer</t>
  </si>
  <si>
    <t>清关资料</t>
  </si>
  <si>
    <t>Remark</t>
  </si>
  <si>
    <t>2024.10.31</t>
  </si>
  <si>
    <t>PINMEL20241101022</t>
  </si>
  <si>
    <t>MFAG26VA-N</t>
  </si>
  <si>
    <t>RAC-025/
TGBU4948334</t>
  </si>
  <si>
    <t>MDAJB241230D0005</t>
  </si>
  <si>
    <t>VIC-Mel</t>
  </si>
  <si>
    <t>Polyaire</t>
  </si>
  <si>
    <t>Y</t>
  </si>
  <si>
    <t>polyaire PO #34610</t>
  </si>
  <si>
    <t>MFAG26VA-W</t>
  </si>
  <si>
    <t>REQ DATE:2024/ 1/23</t>
  </si>
  <si>
    <t>MFAG36VA-N</t>
  </si>
  <si>
    <t>MFAG36VA-W</t>
  </si>
  <si>
    <r>
      <rPr>
        <sz val="11"/>
        <color theme="1"/>
        <rFont val="Calibri"/>
        <charset val="134"/>
      </rPr>
      <t>RAC CIF 928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POL-Beijiao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OOCL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LFD 21</t>
    </r>
  </si>
  <si>
    <t>MFAG51VA-N</t>
  </si>
  <si>
    <t>MFAG51VA-W</t>
  </si>
  <si>
    <t>DUCMI105IHB</t>
  </si>
  <si>
    <t>UCMI105OB</t>
  </si>
  <si>
    <t>DUCMI125IHB</t>
  </si>
  <si>
    <t>UCMI125OB</t>
  </si>
  <si>
    <t>DUCMI140IHB</t>
  </si>
  <si>
    <t>UCMI140OB</t>
  </si>
  <si>
    <t>PINBRI20241101024</t>
  </si>
  <si>
    <t>MFAB-26NC</t>
  </si>
  <si>
    <t>RAC-001/
FSCU7105661</t>
  </si>
  <si>
    <t>MDAJB250102D0049</t>
  </si>
  <si>
    <t>QLD-Brisbane</t>
  </si>
  <si>
    <t>polyaire PO #34622</t>
  </si>
  <si>
    <t>MFAB-26WC</t>
  </si>
  <si>
    <t>REQ DATE:2025/1/23</t>
  </si>
  <si>
    <t>MFAB-35NC</t>
  </si>
  <si>
    <r>
      <rPr>
        <sz val="11"/>
        <color theme="1"/>
        <rFont val="Calibri"/>
        <charset val="134"/>
      </rPr>
      <t>12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6</t>
    </r>
    <r>
      <rPr>
        <sz val="11"/>
        <color theme="1"/>
        <rFont val="Calibri"/>
        <charset val="134"/>
      </rPr>
      <t>日开会推后到</t>
    </r>
    <r>
      <rPr>
        <sz val="11"/>
        <color theme="1"/>
        <rFont val="Calibri"/>
        <charset val="134"/>
      </rPr>
      <t>1</t>
    </r>
    <r>
      <rPr>
        <sz val="11"/>
        <color theme="1"/>
        <rFont val="Calibri"/>
        <charset val="134"/>
      </rPr>
      <t>月出货</t>
    </r>
  </si>
  <si>
    <t>MFAB-35WC</t>
  </si>
  <si>
    <t>RAC CIF,POL-Beijiao, USD 2000</t>
  </si>
  <si>
    <t>MFAB-50NC</t>
  </si>
  <si>
    <t>MFAB-50WC</t>
  </si>
  <si>
    <t>MFAB-71NC</t>
  </si>
  <si>
    <t>MFAB-71WC</t>
  </si>
  <si>
    <t>PINBRI20241101025</t>
  </si>
  <si>
    <t>MFAB-20NC</t>
  </si>
  <si>
    <t>RAC-002/
SLPU5000261</t>
  </si>
  <si>
    <t>MDAJB250102D0048</t>
  </si>
  <si>
    <t>polyaire PO #34624</t>
  </si>
  <si>
    <t>MFAB-20WC</t>
  </si>
  <si>
    <t>MFAB-81NC</t>
  </si>
  <si>
    <t>MFAB-81WC</t>
  </si>
  <si>
    <t>DUCMI170IHB</t>
  </si>
  <si>
    <t>UCMI170OB</t>
  </si>
  <si>
    <t>PINMEL20241101021</t>
  </si>
  <si>
    <t>RAC-020/
GAOU7076396</t>
  </si>
  <si>
    <t>MDAJB250101D0036</t>
  </si>
  <si>
    <t>Chromagen</t>
  </si>
  <si>
    <t>PO 540479</t>
  </si>
  <si>
    <t>REQ DATE:2025/1/15</t>
  </si>
  <si>
    <t>MFAG70VA-N</t>
  </si>
  <si>
    <r>
      <rPr>
        <sz val="11"/>
        <color theme="1"/>
        <rFont val="Calibri"/>
        <charset val="134"/>
      </rPr>
      <t>已通知</t>
    </r>
    <r>
      <rPr>
        <sz val="11"/>
        <color theme="1"/>
        <rFont val="Calibri"/>
        <charset val="134"/>
      </rPr>
      <t>susu</t>
    </r>
    <r>
      <rPr>
        <sz val="11"/>
        <color theme="1"/>
        <rFont val="Calibri"/>
        <charset val="134"/>
      </rPr>
      <t>联系客户货代, 提前做</t>
    </r>
    <r>
      <rPr>
        <sz val="11"/>
        <color theme="1"/>
        <rFont val="Calibri"/>
        <charset val="134"/>
      </rPr>
      <t>booking</t>
    </r>
  </si>
  <si>
    <t>MFAG70VA-W</t>
  </si>
  <si>
    <t>MFAG80VA-N</t>
  </si>
  <si>
    <t>MFAG80VA-W</t>
  </si>
  <si>
    <t>2024.10.8</t>
  </si>
  <si>
    <t>PINMEL202401015001</t>
  </si>
  <si>
    <t>RAC-021/
TIIU5317991</t>
  </si>
  <si>
    <t>MDAJB250101D0035</t>
  </si>
  <si>
    <t>PO 538266</t>
  </si>
  <si>
    <t>MULMI0618B</t>
  </si>
  <si>
    <t>2024.11.1</t>
  </si>
  <si>
    <t>PINMEL20241101039</t>
  </si>
  <si>
    <t>RAC-022/
GAOU7075297</t>
  </si>
  <si>
    <t>MDAJB250101D0033</t>
  </si>
  <si>
    <t>PO 541635</t>
  </si>
  <si>
    <t>REQ DATE:2025/1/22</t>
  </si>
  <si>
    <t>RAC-023/
TSSU5205250</t>
  </si>
  <si>
    <t>MDAJB250101D0032</t>
  </si>
  <si>
    <t>PINMEL20241101040</t>
  </si>
  <si>
    <t>PO 541637</t>
  </si>
  <si>
    <t>RAC-024/
TXGU7367887</t>
  </si>
  <si>
    <t>PINMEL202401015002</t>
  </si>
  <si>
    <t>PO 538404</t>
  </si>
  <si>
    <t>MULMI0513B</t>
  </si>
  <si>
    <t>2024.11.21</t>
  </si>
  <si>
    <t>PINMEL20241121001</t>
  </si>
  <si>
    <t>RAC-030/
BSIU9985610</t>
  </si>
  <si>
    <t>MDAJB250107D0011</t>
  </si>
  <si>
    <t>PO 544039</t>
  </si>
  <si>
    <r>
      <rPr>
        <sz val="11"/>
        <color theme="1"/>
        <rFont val="Calibri"/>
        <charset val="134"/>
      </rPr>
      <t>客户要求</t>
    </r>
    <r>
      <rPr>
        <sz val="11"/>
        <color theme="1"/>
        <rFont val="Calibri"/>
        <charset val="134"/>
      </rPr>
      <t>ETD:1</t>
    </r>
    <r>
      <rPr>
        <sz val="11"/>
        <color theme="1"/>
        <rFont val="Calibri"/>
        <charset val="134"/>
      </rPr>
      <t>月第二周</t>
    </r>
  </si>
  <si>
    <r>
      <rPr>
        <sz val="11"/>
        <color theme="1"/>
        <rFont val="Calibri"/>
        <charset val="134"/>
      </rPr>
      <t>已发</t>
    </r>
    <r>
      <rPr>
        <sz val="11"/>
        <color theme="1"/>
        <rFont val="Calibri"/>
        <charset val="134"/>
      </rPr>
      <t>susu</t>
    </r>
    <r>
      <rPr>
        <sz val="11"/>
        <color theme="1"/>
        <rFont val="Calibri"/>
        <charset val="134"/>
      </rPr>
      <t>出货安排提前做</t>
    </r>
    <r>
      <rPr>
        <sz val="11"/>
        <color theme="1"/>
        <rFont val="Calibri"/>
        <charset val="134"/>
      </rPr>
      <t>booking</t>
    </r>
  </si>
  <si>
    <t>PINMEL202401015003</t>
  </si>
  <si>
    <t>RAC-031/
BMOU4748287</t>
  </si>
  <si>
    <t>PO 538267</t>
  </si>
  <si>
    <t>REQ DATE:2025/2/15</t>
  </si>
  <si>
    <t>PINBRI20241101007</t>
  </si>
  <si>
    <t>CASN-XG20</t>
  </si>
  <si>
    <t>RAC-003/
TSSU5099014</t>
  </si>
  <si>
    <t>MDAJB241230D0012</t>
  </si>
  <si>
    <t>Fourways</t>
  </si>
  <si>
    <t>MARTIN SO 3930, FOB NANSHA,TSL</t>
  </si>
  <si>
    <t>CASG-XG20</t>
  </si>
  <si>
    <t>REQ DATE: 2025/1/2</t>
  </si>
  <si>
    <t>CASN-XG25</t>
  </si>
  <si>
    <t>CASG-XG25</t>
  </si>
  <si>
    <t>MARTIN SO 3930, FOB NANSHA,TSL（RAC 1月舱位补贴：CNY54300, for 29x40HQ）</t>
  </si>
  <si>
    <t>CASN-XG35</t>
  </si>
  <si>
    <t>CASG-XG35</t>
  </si>
  <si>
    <t>CASN-XG51</t>
  </si>
  <si>
    <t>CASG-XG51</t>
  </si>
  <si>
    <t>CASN-XG70</t>
  </si>
  <si>
    <t>CASG-XG70</t>
  </si>
  <si>
    <t>CASN-XG80</t>
  </si>
  <si>
    <t>CASG-XG80</t>
  </si>
  <si>
    <t>PINBRI20241101001</t>
  </si>
  <si>
    <t>RAC-004/
SEKU6007747</t>
  </si>
  <si>
    <t>MDAJB250102D0019</t>
  </si>
  <si>
    <t>PO-00002331</t>
  </si>
  <si>
    <t>REQ DATE: 2024.12/2</t>
  </si>
  <si>
    <t>2024.12.4</t>
  </si>
  <si>
    <t>PINBRI20241204001</t>
  </si>
  <si>
    <t>MFAG20VA-N</t>
  </si>
  <si>
    <t>RAC-005/
TLLU8855821</t>
  </si>
  <si>
    <t>MDAJB250102D0008</t>
  </si>
  <si>
    <t>polyaire PO #37264</t>
  </si>
  <si>
    <t>MFAG20VA-W</t>
  </si>
  <si>
    <t>REQ DATE: 2025/2/4</t>
  </si>
  <si>
    <t>MFAG60VA-N</t>
  </si>
  <si>
    <t>MFAG60VA-W</t>
  </si>
  <si>
    <t>PINBRI20241101041</t>
  </si>
  <si>
    <t>RAC-006/
FFAU4381947</t>
  </si>
  <si>
    <t>MDAJB250102D0006</t>
  </si>
  <si>
    <t>polyaire PO #35145</t>
  </si>
  <si>
    <t>REQ DATE: 2024/1/31</t>
  </si>
  <si>
    <t>2024.8.1</t>
  </si>
  <si>
    <t>PINBRI202400802002</t>
  </si>
  <si>
    <t>MWFF22H</t>
  </si>
  <si>
    <t>RAC-007/
GAOU6740052</t>
  </si>
  <si>
    <t>MDAJB250102D0034</t>
  </si>
  <si>
    <t>No</t>
  </si>
  <si>
    <t>MBT_09_12_24</t>
  </si>
  <si>
    <t>MWFF26H</t>
  </si>
  <si>
    <t>PINBRI20241101003</t>
  </si>
  <si>
    <t>MFAB50NB</t>
  </si>
  <si>
    <t>MFAB70NB</t>
  </si>
  <si>
    <t>2024.12.9</t>
  </si>
  <si>
    <t>PINBRI20241210001</t>
  </si>
  <si>
    <t>MFAB35NB</t>
  </si>
  <si>
    <t>MFAB90NB</t>
  </si>
  <si>
    <t>2024.11.8</t>
  </si>
  <si>
    <t>PINSYD20241108002</t>
  </si>
  <si>
    <t>RAC-008/
GCXU6516147</t>
  </si>
  <si>
    <t>MDAJB250102D0007</t>
  </si>
  <si>
    <t>NSW-Sydney</t>
  </si>
  <si>
    <t>polyaire PO #35645</t>
  </si>
  <si>
    <t>REQ DATE: 2025/2/8</t>
  </si>
  <si>
    <t>DUCMI70IB</t>
  </si>
  <si>
    <t>UCMI70OB</t>
  </si>
  <si>
    <t>PINMEL20241101014</t>
  </si>
  <si>
    <t>RAC-009/
TSSU5163833</t>
  </si>
  <si>
    <t>MDAJB250101D0024</t>
  </si>
  <si>
    <r>
      <rPr>
        <sz val="11"/>
        <color theme="1"/>
        <rFont val="Calibri"/>
        <charset val="134"/>
      </rPr>
      <t>1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1</t>
    </r>
    <r>
      <rPr>
        <sz val="11"/>
        <color theme="1"/>
        <rFont val="Calibri"/>
        <charset val="134"/>
      </rPr>
      <t>日后出货</t>
    </r>
  </si>
  <si>
    <t>PINMEL20241101015</t>
  </si>
  <si>
    <t>RAC-010/
TLLU7962065</t>
  </si>
  <si>
    <t>MDAJB250102D0024</t>
  </si>
  <si>
    <r>
      <rPr>
        <sz val="11"/>
        <color rgb="FF000000"/>
        <rFont val="Calibri"/>
        <charset val="134"/>
      </rPr>
      <t>MARTIN SO 3930, FOB NANSHA,TSL</t>
    </r>
    <r>
      <rPr>
        <sz val="11"/>
        <color rgb="FF000000"/>
        <rFont val="Calibri"/>
        <charset val="134"/>
      </rPr>
      <t>（</t>
    </r>
    <r>
      <rPr>
        <sz val="11"/>
        <color rgb="FF000000"/>
        <rFont val="Calibri"/>
        <charset val="134"/>
      </rPr>
      <t>RAC 1</t>
    </r>
    <r>
      <rPr>
        <sz val="11"/>
        <color rgb="FF000000"/>
        <rFont val="Calibri"/>
        <charset val="134"/>
      </rPr>
      <t>月舱位补贴：</t>
    </r>
    <r>
      <rPr>
        <sz val="11"/>
        <color rgb="FF000000"/>
        <rFont val="Calibri"/>
        <charset val="134"/>
      </rPr>
      <t>CNY54300</t>
    </r>
    <r>
      <rPr>
        <sz val="11"/>
        <color rgb="FF000000"/>
        <rFont val="Calibri"/>
        <charset val="134"/>
      </rPr>
      <t xml:space="preserve">, </t>
    </r>
    <r>
      <rPr>
        <sz val="11"/>
        <color rgb="FF000000"/>
        <rFont val="Calibri"/>
        <charset val="134"/>
      </rPr>
      <t>for 29x40HQ</t>
    </r>
    <r>
      <rPr>
        <sz val="11"/>
        <color rgb="FF000000"/>
        <rFont val="Calibri"/>
        <charset val="134"/>
      </rPr>
      <t>）</t>
    </r>
  </si>
  <si>
    <t>PINMEL20241101016</t>
  </si>
  <si>
    <t>RAC-011/
TSSU5161466</t>
  </si>
  <si>
    <t>MDAJB250101D0010</t>
  </si>
  <si>
    <t>PINMEL20241101017</t>
  </si>
  <si>
    <t>RAC-012/
UETU7956561</t>
  </si>
  <si>
    <t>MDAJB250101D0025</t>
  </si>
  <si>
    <t>PINMEL20241101030</t>
  </si>
  <si>
    <t>RAC-013/
TXGU5663067</t>
  </si>
  <si>
    <t>MDAJB250101D0020</t>
  </si>
  <si>
    <r>
      <rPr>
        <sz val="11"/>
        <color theme="1"/>
        <rFont val="Calibri"/>
        <charset val="134"/>
      </rPr>
      <t>1</t>
    </r>
    <r>
      <rPr>
        <sz val="11"/>
        <color theme="1"/>
        <rFont val="Calibri"/>
        <charset val="134"/>
      </rPr>
      <t>月出货</t>
    </r>
  </si>
  <si>
    <t>PINMEL20241101031</t>
  </si>
  <si>
    <t>RAC-014/
TXGU5674591</t>
  </si>
  <si>
    <t>MDAJB250101D0021</t>
  </si>
  <si>
    <t>PINMEL20241101032</t>
  </si>
  <si>
    <t>RAC-015/
TSSU5198439</t>
  </si>
  <si>
    <t>MDAJB250101D0022</t>
  </si>
  <si>
    <t>PINMEL20241101033</t>
  </si>
  <si>
    <t>RAC-016/
TSSU5090845</t>
  </si>
  <si>
    <t>MDAJB250101D0023</t>
  </si>
  <si>
    <t>PINMEL20241101034</t>
  </si>
  <si>
    <t>RAC-017/
TXGU5682452</t>
  </si>
  <si>
    <t>MDAJB250101D0028</t>
  </si>
  <si>
    <t>PINMEL20241101035</t>
  </si>
  <si>
    <t>RAC-018/
TSSU5187537</t>
  </si>
  <si>
    <t>MDAJB250101D0013</t>
  </si>
  <si>
    <t>PINMEL20241101005</t>
  </si>
  <si>
    <t>RAC-019/
TSSU5184142</t>
  </si>
  <si>
    <t>MDAJB250101D0026</t>
  </si>
  <si>
    <t>2024.12.2</t>
  </si>
  <si>
    <t>PINMEL20241202001</t>
  </si>
  <si>
    <t>PINFRE20241108001</t>
  </si>
  <si>
    <t>RAC-036/
BEAU5767760</t>
  </si>
  <si>
    <t>MDAJB250103D0039</t>
  </si>
  <si>
    <t>WA-Frementle</t>
  </si>
  <si>
    <t>polyaire PO #35643</t>
  </si>
  <si>
    <r>
      <rPr>
        <sz val="11"/>
        <color theme="1"/>
        <rFont val="Calibri"/>
        <charset val="134"/>
      </rPr>
      <t>12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6</t>
    </r>
    <r>
      <rPr>
        <sz val="11"/>
        <color theme="1"/>
        <rFont val="Calibri"/>
        <charset val="134"/>
      </rPr>
      <t>开会：确保</t>
    </r>
    <r>
      <rPr>
        <sz val="11"/>
        <color theme="1"/>
        <rFont val="Calibri"/>
        <charset val="134"/>
      </rPr>
      <t>1</t>
    </r>
    <r>
      <rPr>
        <sz val="11"/>
        <color theme="1"/>
        <rFont val="Calibri"/>
        <charset val="134"/>
      </rPr>
      <t>月后装柜</t>
    </r>
  </si>
  <si>
    <r>
      <rPr>
        <sz val="11"/>
        <color theme="1"/>
        <rFont val="Calibri"/>
        <charset val="134"/>
      </rPr>
      <t>RAC CIF 1008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POL-Beijiao, OOCL</t>
    </r>
    <r>
      <rPr>
        <sz val="11"/>
        <color theme="1"/>
        <rFont val="Calibri"/>
        <charset val="134"/>
      </rPr>
      <t>（还有一个仓位）</t>
    </r>
  </si>
  <si>
    <t>14 x LFD</t>
  </si>
  <si>
    <t>PINADE20241202003</t>
  </si>
  <si>
    <t>RAC-035/
OOCU7310863</t>
  </si>
  <si>
    <t>MDAJB250106D0014</t>
  </si>
  <si>
    <t>SA-Adelaide</t>
  </si>
  <si>
    <t>Polyaire PO #36820</t>
  </si>
  <si>
    <t>REQ DATE:2025/2/13</t>
  </si>
  <si>
    <r>
      <rPr>
        <sz val="11"/>
        <color theme="1"/>
        <rFont val="Calibri"/>
        <charset val="134"/>
      </rPr>
      <t>RAC CIF 2550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POL-Beijiao,CMA</t>
    </r>
  </si>
  <si>
    <t>PINFRE20241101018</t>
  </si>
  <si>
    <t>RAC-034/
CAIU7096310</t>
  </si>
  <si>
    <t>MDAJB250109D0010</t>
  </si>
  <si>
    <t>PO-00002376</t>
  </si>
  <si>
    <t>REQ DATE: 2025/2/3</t>
  </si>
  <si>
    <r>
      <rPr>
        <sz val="11"/>
        <color theme="1"/>
        <rFont val="Calibri"/>
        <charset val="134"/>
      </rPr>
      <t>12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6</t>
    </r>
    <r>
      <rPr>
        <sz val="11"/>
        <color theme="1"/>
        <rFont val="Calibri"/>
        <charset val="134"/>
      </rPr>
      <t>开会：走</t>
    </r>
    <r>
      <rPr>
        <sz val="11"/>
        <color theme="1"/>
        <rFont val="Calibri"/>
        <charset val="134"/>
      </rPr>
      <t>1</t>
    </r>
    <r>
      <rPr>
        <sz val="11"/>
        <color theme="1"/>
        <rFont val="Calibri"/>
        <charset val="134"/>
      </rPr>
      <t>月回来第一水, 装柜日期在</t>
    </r>
    <r>
      <rPr>
        <sz val="11"/>
        <color theme="1"/>
        <rFont val="Calibri"/>
        <charset val="134"/>
      </rPr>
      <t>1</t>
    </r>
    <r>
      <rPr>
        <sz val="11"/>
        <color theme="1"/>
        <rFont val="Calibri"/>
        <charset val="134"/>
      </rPr>
      <t>月回来</t>
    </r>
  </si>
  <si>
    <t>RAC CIF 2550, POL-Beijiao,CMA</t>
  </si>
  <si>
    <t>PINMEL20241101011</t>
  </si>
  <si>
    <t>RAC-032/
PCIU9517627</t>
  </si>
  <si>
    <t>MDAJB250108D0006</t>
  </si>
  <si>
    <t>PO 565494</t>
  </si>
  <si>
    <t>REQ DATE: 2025/2</t>
  </si>
  <si>
    <t>PINMEL20241101012</t>
  </si>
  <si>
    <t>RAC-033/
PIDU4246314</t>
  </si>
  <si>
    <t>PO 565493</t>
  </si>
  <si>
    <t>PINMEL20241101013</t>
  </si>
  <si>
    <t>PINBRI20241101037</t>
  </si>
  <si>
    <t>RAC-026/
TSSU5207058</t>
  </si>
  <si>
    <t>MDAJB250106D0013</t>
  </si>
  <si>
    <t>polyaire PO #34623</t>
  </si>
  <si>
    <t>REQ DATE: 2/6</t>
  </si>
  <si>
    <t>Martin SO 3500,FOB NANSHA（RAC 1月舱位补贴：CNY54300, for 29x40HQ）</t>
  </si>
  <si>
    <t>PINBRI20241108003</t>
  </si>
  <si>
    <t>RAC-027/
TSSU5210093</t>
  </si>
  <si>
    <t>MDAJB250106D0012</t>
  </si>
  <si>
    <t>polyaire PO #35647</t>
  </si>
  <si>
    <r>
      <rPr>
        <sz val="11"/>
        <color rgb="FF000000"/>
        <rFont val="Calibri"/>
        <charset val="134"/>
      </rPr>
      <t>Martin SO 3500,FOB NANSHA</t>
    </r>
    <r>
      <rPr>
        <sz val="11"/>
        <color rgb="FF000000"/>
        <rFont val="Calibri"/>
        <charset val="134"/>
      </rPr>
      <t>（</t>
    </r>
    <r>
      <rPr>
        <sz val="11"/>
        <color rgb="FF000000"/>
        <rFont val="Calibri"/>
        <charset val="134"/>
      </rPr>
      <t>RAC 1</t>
    </r>
    <r>
      <rPr>
        <sz val="11"/>
        <color rgb="FF000000"/>
        <rFont val="Calibri"/>
        <charset val="134"/>
      </rPr>
      <t>月舱位补贴：</t>
    </r>
    <r>
      <rPr>
        <sz val="11"/>
        <color rgb="FF000000"/>
        <rFont val="Calibri"/>
        <charset val="134"/>
      </rPr>
      <t>CNY54300</t>
    </r>
    <r>
      <rPr>
        <sz val="11"/>
        <color rgb="FF000000"/>
        <rFont val="Calibri"/>
        <charset val="134"/>
      </rPr>
      <t xml:space="preserve">, </t>
    </r>
    <r>
      <rPr>
        <sz val="11"/>
        <color rgb="FF000000"/>
        <rFont val="Calibri"/>
        <charset val="134"/>
      </rPr>
      <t>for 29x40HQ</t>
    </r>
    <r>
      <rPr>
        <sz val="11"/>
        <color rgb="FF000000"/>
        <rFont val="Calibri"/>
        <charset val="134"/>
      </rPr>
      <t>）</t>
    </r>
  </si>
  <si>
    <t>PINBRI20241202005</t>
  </si>
  <si>
    <t>RAC-028/
FFAU4647240</t>
  </si>
  <si>
    <t>MDAJB250106D0011</t>
  </si>
  <si>
    <t>polyaire PO #36831</t>
  </si>
  <si>
    <t>PINBRI20241202006</t>
  </si>
  <si>
    <t>RAC-029/
TSSU5094835</t>
  </si>
  <si>
    <t>MDAJB250107D0003</t>
  </si>
  <si>
    <t>polyaire PO #36834</t>
  </si>
  <si>
    <t>RAC-037/
TRHU8671370</t>
  </si>
  <si>
    <t>MDAJB250109D0012</t>
  </si>
  <si>
    <r>
      <rPr>
        <sz val="11"/>
        <color rgb="FF000000"/>
        <rFont val="Calibri"/>
        <charset val="134"/>
      </rPr>
      <t>Martin SO 3000, FOB NANSHA, TSL</t>
    </r>
    <r>
      <rPr>
        <sz val="11"/>
        <color rgb="FF000000"/>
        <rFont val="Calibri"/>
        <charset val="134"/>
      </rPr>
      <t>（</t>
    </r>
    <r>
      <rPr>
        <sz val="11"/>
        <color rgb="FF000000"/>
        <rFont val="Calibri"/>
        <charset val="134"/>
      </rPr>
      <t>RAC 1</t>
    </r>
    <r>
      <rPr>
        <sz val="11"/>
        <color rgb="FF000000"/>
        <rFont val="Calibri"/>
        <charset val="134"/>
      </rPr>
      <t>月舱位补贴：</t>
    </r>
    <r>
      <rPr>
        <sz val="11"/>
        <color rgb="FF000000"/>
        <rFont val="Calibri"/>
        <charset val="134"/>
      </rPr>
      <t>CNY54300</t>
    </r>
    <r>
      <rPr>
        <sz val="11"/>
        <color rgb="FF000000"/>
        <rFont val="Calibri"/>
        <charset val="134"/>
      </rPr>
      <t xml:space="preserve">, </t>
    </r>
    <r>
      <rPr>
        <sz val="11"/>
        <color rgb="FF000000"/>
        <rFont val="Calibri"/>
        <charset val="134"/>
      </rPr>
      <t>for 29x40HQ</t>
    </r>
    <r>
      <rPr>
        <sz val="11"/>
        <color rgb="FF000000"/>
        <rFont val="Calibri"/>
        <charset val="134"/>
      </rPr>
      <t>）</t>
    </r>
  </si>
  <si>
    <t>PINMEL20241101026</t>
  </si>
  <si>
    <t>RAC-038/
TSSU5204090</t>
  </si>
  <si>
    <t>MDAJB250109D0014</t>
  </si>
  <si>
    <t>PINMEL20241101038</t>
  </si>
  <si>
    <t>RAC-041/
CSNU8982429</t>
  </si>
  <si>
    <t>MDAJB250107D0038</t>
  </si>
  <si>
    <t>Polyaire PO #34611</t>
  </si>
  <si>
    <t>REQ DATE: 2025/2/13</t>
  </si>
  <si>
    <t>RAC CIF, POL-Beijiao, USD 1089</t>
  </si>
  <si>
    <t>PINMEL20241202004</t>
  </si>
  <si>
    <t>RAC-042/
CSNU6849588</t>
  </si>
  <si>
    <t>MDAJB250107D0039</t>
  </si>
  <si>
    <t>polyaire PO #36821</t>
  </si>
  <si>
    <t>REQ DATE:2025/2/27</t>
  </si>
  <si>
    <t>RAC CIF,POL-Beijiao, USD 2200</t>
  </si>
  <si>
    <t>2024.11.18</t>
  </si>
  <si>
    <t>PINMEL20241118004</t>
  </si>
  <si>
    <t>RAC-043/
CSNU6022732</t>
  </si>
  <si>
    <t>Polyaire PO #36179</t>
  </si>
  <si>
    <t>REQ DATE: 2025/2/18</t>
  </si>
  <si>
    <t>RAC CIF, POL-Beijiao, USD 2200</t>
  </si>
  <si>
    <t>PINFRE20241101036</t>
  </si>
  <si>
    <t>RAC-044/
TEMU8531272</t>
  </si>
  <si>
    <t>MDAJB250120D0003</t>
  </si>
  <si>
    <t>PO-00002377</t>
  </si>
  <si>
    <t>REQ DATE: 2025/3/3</t>
  </si>
  <si>
    <r>
      <rPr>
        <sz val="11"/>
        <color theme="1"/>
        <rFont val="Calibri"/>
        <charset val="134"/>
      </rPr>
      <t>RAC CIF 1016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POL-Beijiao, OOCL, LFD 14DAYS</t>
    </r>
  </si>
  <si>
    <t>PINFRE20241202002</t>
  </si>
  <si>
    <t>RAC-045/
TGBU4113628</t>
  </si>
  <si>
    <t>MDAJB250116D0004</t>
  </si>
  <si>
    <t>polyaire PO #36818</t>
  </si>
  <si>
    <t>PINSYD20241202007</t>
  </si>
  <si>
    <t>RAC-046/
TRHU8122215</t>
  </si>
  <si>
    <t>MDAJB250111D0018</t>
  </si>
  <si>
    <t>polyaire PO #36836</t>
  </si>
  <si>
    <r>
      <rPr>
        <sz val="11"/>
        <color theme="1"/>
        <rFont val="Calibri"/>
        <charset val="134"/>
      </rPr>
      <t>Martin SO 3000, FOB NANSHA, TSL</t>
    </r>
    <r>
      <rPr>
        <sz val="11"/>
        <color theme="1"/>
        <rFont val="Calibri"/>
        <charset val="134"/>
      </rPr>
      <t>（</t>
    </r>
    <r>
      <rPr>
        <sz val="11"/>
        <color theme="1"/>
        <rFont val="Calibri"/>
        <charset val="134"/>
      </rPr>
      <t>RAC 1</t>
    </r>
    <r>
      <rPr>
        <sz val="11"/>
        <color theme="1"/>
        <rFont val="Calibri"/>
        <charset val="134"/>
      </rPr>
      <t>月舱位补贴：</t>
    </r>
    <r>
      <rPr>
        <sz val="11"/>
        <color theme="1"/>
        <rFont val="Calibri"/>
        <charset val="134"/>
      </rPr>
      <t>CNY54300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for 29x40HQ</t>
    </r>
    <r>
      <rPr>
        <sz val="11"/>
        <color theme="1"/>
        <rFont val="Calibri"/>
        <charset val="134"/>
      </rPr>
      <t>）</t>
    </r>
  </si>
  <si>
    <t>PINBRI20241118002</t>
  </si>
  <si>
    <t>RAC-047/
FFAU6975336</t>
  </si>
  <si>
    <t>MDAJB250120D0001</t>
  </si>
  <si>
    <t>Polyaire PO #36176</t>
  </si>
  <si>
    <t>1台纸箱破损, 后补纸箱</t>
  </si>
  <si>
    <t>PINSYD20241118003</t>
  </si>
  <si>
    <t>RAC-048/
TXGU6866990</t>
  </si>
  <si>
    <t>MDAJB250111D0019</t>
  </si>
  <si>
    <t>Polyaire PO #36177</t>
  </si>
  <si>
    <t>PINMEL20241101027</t>
  </si>
  <si>
    <t>RAC-039/
TSSU5133401</t>
  </si>
  <si>
    <t>MDAJB250109D0013</t>
  </si>
  <si>
    <t>PINMEL20241101028</t>
  </si>
  <si>
    <t>RAC-040/
TLLU8575245</t>
  </si>
  <si>
    <t>MDAJB250109D0015</t>
  </si>
  <si>
    <t>2024.11.22</t>
  </si>
  <si>
    <t>-</t>
  </si>
  <si>
    <t>MFAG26VA-N Dummy Head</t>
  </si>
  <si>
    <t>RAC-087/
TSSU5116615</t>
  </si>
  <si>
    <t>MDAJB250117D0014</t>
  </si>
  <si>
    <r>
      <rPr>
        <sz val="11"/>
        <color theme="1"/>
        <rFont val="Calibri"/>
        <charset val="134"/>
      </rPr>
      <t>Martin SO 3000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FOB NANSHA, TSL</t>
    </r>
    <r>
      <rPr>
        <sz val="11"/>
        <color theme="1"/>
        <rFont val="Calibri"/>
        <charset val="134"/>
      </rPr>
      <t>（</t>
    </r>
    <r>
      <rPr>
        <sz val="11"/>
        <color theme="1"/>
        <rFont val="Calibri"/>
        <charset val="134"/>
      </rPr>
      <t>RAC 1</t>
    </r>
    <r>
      <rPr>
        <sz val="11"/>
        <color theme="1"/>
        <rFont val="Calibri"/>
        <charset val="134"/>
      </rPr>
      <t>月舱位补贴：</t>
    </r>
    <r>
      <rPr>
        <sz val="11"/>
        <color theme="1"/>
        <rFont val="Calibri"/>
        <charset val="134"/>
      </rPr>
      <t>CNY54300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for 29x40HQ</t>
    </r>
    <r>
      <rPr>
        <sz val="11"/>
        <color theme="1"/>
        <rFont val="Calibri"/>
        <charset val="134"/>
      </rPr>
      <t>）</t>
    </r>
  </si>
  <si>
    <t>MFAG51VA-N Dummy Head</t>
  </si>
  <si>
    <r>
      <rPr>
        <sz val="11"/>
        <color theme="1"/>
        <rFont val="Calibri"/>
        <charset val="134"/>
      </rPr>
      <t xml:space="preserve">RAC </t>
    </r>
    <r>
      <rPr>
        <sz val="11"/>
        <color theme="1"/>
        <rFont val="Calibri"/>
        <charset val="134"/>
      </rPr>
      <t xml:space="preserve">展架, </t>
    </r>
    <r>
      <rPr>
        <sz val="11"/>
        <color theme="1"/>
        <rFont val="Calibri"/>
        <charset val="134"/>
      </rPr>
      <t>RAC</t>
    </r>
    <r>
      <rPr>
        <sz val="11"/>
        <color theme="1"/>
        <rFont val="Calibri"/>
        <charset val="134"/>
      </rPr>
      <t>赔付</t>
    </r>
    <r>
      <rPr>
        <sz val="11"/>
        <color theme="1"/>
        <rFont val="Calibri"/>
        <charset val="134"/>
      </rPr>
      <t>-</t>
    </r>
    <r>
      <rPr>
        <sz val="11"/>
        <color theme="1"/>
        <rFont val="Calibri"/>
        <charset val="134"/>
      </rPr>
      <t xml:space="preserve">折换配件, </t>
    </r>
    <r>
      <rPr>
        <sz val="11"/>
        <color theme="1"/>
        <rFont val="Calibri"/>
        <charset val="134"/>
      </rPr>
      <t>1</t>
    </r>
    <r>
      <rPr>
        <sz val="11"/>
        <color theme="1"/>
        <rFont val="Calibri"/>
        <charset val="134"/>
      </rPr>
      <t>套</t>
    </r>
    <r>
      <rPr>
        <sz val="11"/>
        <color theme="1"/>
        <rFont val="Calibri"/>
        <charset val="134"/>
      </rPr>
      <t xml:space="preserve">RAC </t>
    </r>
    <r>
      <rPr>
        <sz val="11"/>
        <color theme="1"/>
        <rFont val="Calibri"/>
        <charset val="134"/>
      </rPr>
      <t>分离式风管样机</t>
    </r>
    <r>
      <rPr>
        <sz val="11"/>
        <color theme="1"/>
        <rFont val="Calibri"/>
        <charset val="134"/>
      </rPr>
      <t xml:space="preserve">17kW, RAC </t>
    </r>
    <r>
      <rPr>
        <sz val="11"/>
        <color theme="1"/>
        <rFont val="Calibri"/>
        <charset val="134"/>
      </rPr>
      <t>铭牌</t>
    </r>
  </si>
  <si>
    <r>
      <rPr>
        <sz val="11"/>
        <color theme="1"/>
        <rFont val="Calibri"/>
        <charset val="134"/>
      </rPr>
      <t>MBT10</t>
    </r>
    <r>
      <rPr>
        <sz val="11"/>
        <color theme="1"/>
        <rFont val="Calibri"/>
        <charset val="134"/>
      </rPr>
      <t>个行李箱</t>
    </r>
    <r>
      <rPr>
        <sz val="11"/>
        <color theme="1"/>
        <rFont val="Calibri"/>
        <charset val="134"/>
      </rPr>
      <t xml:space="preserve">,KWHA_13_12_24,KWHA </t>
    </r>
    <r>
      <rPr>
        <sz val="11"/>
        <color theme="1"/>
        <rFont val="Calibri"/>
        <charset val="134"/>
      </rPr>
      <t>售后</t>
    </r>
    <r>
      <rPr>
        <sz val="11"/>
        <color theme="1"/>
        <rFont val="Calibri"/>
        <charset val="134"/>
      </rPr>
      <t>FOC</t>
    </r>
    <r>
      <rPr>
        <sz val="11"/>
        <color theme="1"/>
        <rFont val="Calibri"/>
        <charset val="134"/>
      </rPr>
      <t>配件</t>
    </r>
    <r>
      <rPr>
        <sz val="11"/>
        <color theme="1"/>
        <rFont val="Calibri"/>
        <charset val="134"/>
      </rPr>
      <t>,</t>
    </r>
    <r>
      <rPr>
        <sz val="11"/>
        <color theme="1"/>
        <rFont val="Calibri"/>
        <charset val="134"/>
      </rPr>
      <t>采购物料</t>
    </r>
  </si>
  <si>
    <t>PINMEL20241113001</t>
  </si>
  <si>
    <t>MWFI36H</t>
  </si>
  <si>
    <t>RAC-049/
OOCU8904319</t>
  </si>
  <si>
    <t>MDAJB250125D0002</t>
  </si>
  <si>
    <t>NCE</t>
  </si>
  <si>
    <r>
      <rPr>
        <sz val="11"/>
        <color theme="1"/>
        <rFont val="Calibri"/>
        <charset val="134"/>
      </rPr>
      <t>PO NO:N542486   RAC CIF 836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 xml:space="preserve"> POL-SHEKOU, OOCL</t>
    </r>
  </si>
  <si>
    <t>MBT-021/
SNBU8363594</t>
  </si>
  <si>
    <t>MDAJB250127D0006</t>
  </si>
  <si>
    <t>2024.12.20</t>
  </si>
  <si>
    <t>PINBRI20241220001</t>
  </si>
  <si>
    <t>RAC-056/
TCNU6168450</t>
  </si>
  <si>
    <t>MDAJB250203D0008</t>
  </si>
  <si>
    <r>
      <rPr>
        <sz val="11"/>
        <color theme="1"/>
        <rFont val="Calibri"/>
        <charset val="134"/>
      </rPr>
      <t>RAC CIF 932, POL-Beijiao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HPL</t>
    </r>
  </si>
  <si>
    <t>2024.12.19</t>
  </si>
  <si>
    <t>Polayire PO38192, req date:2025/3/19</t>
  </si>
  <si>
    <t>Polayire PO38192, req date:2025/3/19, Local delivery</t>
  </si>
  <si>
    <t>2024.12.10</t>
  </si>
  <si>
    <t>PINMEL20241210003</t>
  </si>
  <si>
    <t>RAC-051/
HAMU4094147</t>
  </si>
  <si>
    <t>MDAJB250204D0017</t>
  </si>
  <si>
    <r>
      <rPr>
        <sz val="11"/>
        <color theme="1"/>
        <rFont val="Calibri"/>
        <charset val="134"/>
      </rPr>
      <t>Polyaire PO #37322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REQ DATE: 2025/3/5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RAC CIF 932, POL-Beijiao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HPL</t>
    </r>
  </si>
  <si>
    <t>Polyaire PO #37322</t>
  </si>
  <si>
    <t>PINMEL20241219002</t>
  </si>
  <si>
    <t>RAC-055/
UASU1038057</t>
  </si>
  <si>
    <t>MDAJB250204D0016</t>
  </si>
  <si>
    <t>MULMI0480B</t>
  </si>
  <si>
    <t>2025.1.9</t>
  </si>
  <si>
    <t>PINBRI20250110002</t>
  </si>
  <si>
    <t>RAC-085/
TRHU5539859</t>
  </si>
  <si>
    <t>MDAJB250210D0005</t>
  </si>
  <si>
    <t>RAC CIF 1089, POL-Beijiao</t>
  </si>
  <si>
    <t>MWFF28H</t>
  </si>
  <si>
    <t>MWFF39H</t>
  </si>
  <si>
    <t>PINMEL20250110003</t>
  </si>
  <si>
    <t>RAC-083/
FFAU3378614</t>
  </si>
  <si>
    <t>MDAJB250211D0001</t>
  </si>
  <si>
    <t>PINMEL20241210004</t>
  </si>
  <si>
    <t>RAC-052/
OOLU9514517</t>
  </si>
  <si>
    <t>MDAJB250211D0017</t>
  </si>
  <si>
    <r>
      <rPr>
        <sz val="11"/>
        <color theme="1"/>
        <rFont val="Calibri"/>
        <charset val="134"/>
      </rPr>
      <t>Polyaire PO #37324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REQ DATE: 2025/3/19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RAC CIF 936, POL-Beijiao</t>
    </r>
  </si>
  <si>
    <t>Polyaire PO #37324</t>
  </si>
  <si>
    <t>PINSYD20250110001</t>
  </si>
  <si>
    <t>RAC-086/
BSIU9634338</t>
  </si>
  <si>
    <t>MDAJB250210D0025</t>
  </si>
  <si>
    <t>PINMEL20241219001</t>
  </si>
  <si>
    <t>RAC-054/
BMOU5040163</t>
  </si>
  <si>
    <t>MDAJB250215D0008</t>
  </si>
  <si>
    <t>RAC_08_01_25B</t>
  </si>
  <si>
    <r>
      <rPr>
        <sz val="11"/>
        <color theme="1"/>
        <rFont val="Calibri"/>
        <charset val="134"/>
      </rPr>
      <t>MCA</t>
    </r>
    <r>
      <rPr>
        <sz val="11"/>
        <color theme="1"/>
        <rFont val="Calibri"/>
        <charset val="134"/>
      </rPr>
      <t>赔付售后配件</t>
    </r>
  </si>
  <si>
    <t>PINMEL20241101029</t>
  </si>
  <si>
    <t>RAC-050/
BHCU5014910</t>
  </si>
  <si>
    <t>MDAJB250213D0030</t>
  </si>
  <si>
    <r>
      <rPr>
        <sz val="11"/>
        <color theme="1"/>
        <rFont val="Calibri"/>
        <charset val="134"/>
      </rPr>
      <t>12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6</t>
    </r>
    <r>
      <rPr>
        <sz val="11"/>
        <color theme="1"/>
        <rFont val="Calibri"/>
        <charset val="134"/>
      </rPr>
      <t>日开会推后到</t>
    </r>
    <r>
      <rPr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>月出货</t>
    </r>
  </si>
  <si>
    <t>Martin SO 1600, FOB NANSHA</t>
  </si>
  <si>
    <t>PINSYD20250107001</t>
  </si>
  <si>
    <t>RAC-053/
OOCU7979083</t>
  </si>
  <si>
    <t>MDAJB250223D0019</t>
  </si>
  <si>
    <r>
      <rPr>
        <sz val="11"/>
        <color theme="1"/>
        <rFont val="Calibri"/>
        <charset val="134"/>
      </rPr>
      <t>Polyaire PO #38193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REQ DATE: 2025/3/19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RAC CIF 936, POL-Beijiao</t>
    </r>
  </si>
  <si>
    <t>Polyaire PO #38193</t>
  </si>
  <si>
    <t>2025.1.3</t>
  </si>
  <si>
    <t>PINMEL20250103013</t>
  </si>
  <si>
    <t>RAC-075/
HAMU4116550</t>
  </si>
  <si>
    <t>MDAJB250225D0042</t>
  </si>
  <si>
    <t>Aussie Greenmarks</t>
  </si>
  <si>
    <t>客单不能动 - from Edwin 1/13 WeChat, 1月24日, ETD由2025/4/1改成2025/3/1</t>
  </si>
  <si>
    <r>
      <rPr>
        <sz val="11"/>
        <color theme="1"/>
        <rFont val="Calibri"/>
        <charset val="134"/>
      </rPr>
      <t>1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24</t>
    </r>
    <r>
      <rPr>
        <sz val="11"/>
        <color theme="1"/>
        <rFont val="Calibri"/>
        <charset val="134"/>
      </rPr>
      <t xml:space="preserve">日, </t>
    </r>
    <r>
      <rPr>
        <sz val="11"/>
        <color theme="1"/>
        <rFont val="Calibri"/>
        <charset val="134"/>
      </rPr>
      <t>ETD</t>
    </r>
    <r>
      <rPr>
        <sz val="11"/>
        <color theme="1"/>
        <rFont val="Calibri"/>
        <charset val="134"/>
      </rPr>
      <t>由</t>
    </r>
    <r>
      <rPr>
        <sz val="11"/>
        <color theme="1"/>
        <rFont val="Calibri"/>
        <charset val="134"/>
      </rPr>
      <t>2025/4/1</t>
    </r>
    <r>
      <rPr>
        <sz val="11"/>
        <color theme="1"/>
        <rFont val="Calibri"/>
        <charset val="134"/>
      </rPr>
      <t>改成</t>
    </r>
    <r>
      <rPr>
        <sz val="11"/>
        <color theme="1"/>
        <rFont val="Calibri"/>
        <charset val="134"/>
      </rPr>
      <t>2025/3/1</t>
    </r>
  </si>
  <si>
    <r>
      <rPr>
        <sz val="11"/>
        <color theme="1"/>
        <rFont val="Calibri"/>
        <charset val="134"/>
      </rPr>
      <t>RAC CIF USD 932, POL-Beijiao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HPL</t>
    </r>
  </si>
  <si>
    <t>PINMEL20250103014</t>
  </si>
  <si>
    <t>RAC-076/
HAMU4114921</t>
  </si>
  <si>
    <t>MDAJB250226D0026</t>
  </si>
  <si>
    <t>可能留给客户不能动 - from Edwin 1/13 WeChat, 1月24日, ETD由2025/4/1改成2025/3/1</t>
  </si>
  <si>
    <t>PINMEL20250103015</t>
  </si>
  <si>
    <t>RAC-077/
HAMU4117638</t>
  </si>
  <si>
    <t>MDAJB250226D0027</t>
  </si>
  <si>
    <t>PINMEL20250103016</t>
  </si>
  <si>
    <t>RAC-078/
HAMU4116591</t>
  </si>
  <si>
    <t>MDAJB250225D0043</t>
  </si>
  <si>
    <t>2025.1.24</t>
  </si>
  <si>
    <t>PINMEL20250204001</t>
  </si>
  <si>
    <t>MULMI0511B</t>
  </si>
  <si>
    <t>RAC-123/
HAMU2530133</t>
  </si>
  <si>
    <t>MDAJB250224D0017</t>
  </si>
  <si>
    <r>
      <rPr>
        <sz val="11"/>
        <color theme="1"/>
        <rFont val="Calibri"/>
        <charset val="134"/>
      </rPr>
      <t>PO250124135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RAC CIF USD 932, POL-Beijiao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HPL</t>
    </r>
  </si>
  <si>
    <t>2025.1.18</t>
  </si>
  <si>
    <t>PINMEL20250120013</t>
  </si>
  <si>
    <t>RAC-112/
HAMU4116396</t>
  </si>
  <si>
    <t>MDAJB250228D0004</t>
  </si>
  <si>
    <t>PO250119061</t>
  </si>
  <si>
    <t>PINMEL20250103011</t>
  </si>
  <si>
    <t>RAC-073/
PCIU9367595</t>
  </si>
  <si>
    <t>MDAJB250227D0006</t>
  </si>
  <si>
    <t>Chromogen PO 571574</t>
  </si>
  <si>
    <r>
      <rPr>
        <sz val="11"/>
        <color theme="1"/>
        <rFont val="Calibri"/>
        <charset val="134"/>
      </rPr>
      <t xml:space="preserve">客户货代, </t>
    </r>
    <r>
      <rPr>
        <sz val="11"/>
        <color theme="1"/>
        <rFont val="Calibri"/>
        <charset val="134"/>
      </rPr>
      <t>PIL</t>
    </r>
  </si>
  <si>
    <t>PINMEL20250103012</t>
  </si>
  <si>
    <t>RAC-074/
PCIU8713353</t>
  </si>
  <si>
    <t>Chromogen PO 571575</t>
  </si>
  <si>
    <t>PINMEL20250103004</t>
  </si>
  <si>
    <t>RAC-066/
PCIU9146167</t>
  </si>
  <si>
    <t>Chromogen PO 568606</t>
  </si>
  <si>
    <t>REQ DATE: 2025/3/31</t>
  </si>
  <si>
    <t>PINMEL20250103005</t>
  </si>
  <si>
    <t>RAC-067/
TEMU8408653</t>
  </si>
  <si>
    <t>Chromogen PO 568607</t>
  </si>
  <si>
    <t>PINMEL20250103001</t>
  </si>
  <si>
    <t>RAC-063/
FFAU3192086</t>
  </si>
  <si>
    <t>MDAJB250227D0012</t>
  </si>
  <si>
    <r>
      <rPr>
        <sz val="11"/>
        <color theme="1"/>
        <rFont val="Calibri"/>
        <charset val="134"/>
      </rPr>
      <t>RAC CIF 900, POL-Beijiao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COSCO</t>
    </r>
  </si>
  <si>
    <t>PINMEL20250103017</t>
  </si>
  <si>
    <t>RAC-079/
OOLU9534658</t>
  </si>
  <si>
    <t>MDAJB250227D0011</t>
  </si>
  <si>
    <t>PINMEL20250103018</t>
  </si>
  <si>
    <t>RAC-080/
CSNU8599723</t>
  </si>
  <si>
    <t>MDAJB250227D0010</t>
  </si>
  <si>
    <t>PINMEL20250103019</t>
  </si>
  <si>
    <t>RAC-081/
CSNU8773368</t>
  </si>
  <si>
    <t>MDAJB250228D0021</t>
  </si>
  <si>
    <t>PINMEL20250103002</t>
  </si>
  <si>
    <t>RAC-064/
HAMU2918793</t>
  </si>
  <si>
    <t>MDAJB250225D0007</t>
  </si>
  <si>
    <t>可能留给客户不能动 - from Edwin 1/13 WeChat</t>
  </si>
  <si>
    <r>
      <rPr>
        <sz val="11"/>
        <color theme="1"/>
        <rFont val="Calibri"/>
        <charset val="134"/>
      </rPr>
      <t>RAC CIF USD 932, POL-SHEKOU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HPL</t>
    </r>
  </si>
  <si>
    <t>PINMEL20250103003</t>
  </si>
  <si>
    <t>RAC-065/
TCNU3249230</t>
  </si>
  <si>
    <t>MDAJB250225D0009</t>
  </si>
  <si>
    <t>PINMEL20250103006</t>
  </si>
  <si>
    <t>RAC-068/
HAMU1976305</t>
  </si>
  <si>
    <t>MDAJB250225D0013</t>
  </si>
  <si>
    <t>PINMEL20250103007</t>
  </si>
  <si>
    <t>RAC-069/
HLXU8095149</t>
  </si>
  <si>
    <t>MDAJB250225D0012</t>
  </si>
  <si>
    <t>PINMEL20250103008</t>
  </si>
  <si>
    <t>RAC-070/
HAMU2891882</t>
  </si>
  <si>
    <t>MDAJB250225D0001</t>
  </si>
  <si>
    <t>PINMEL20250103009</t>
  </si>
  <si>
    <t>RAC-071/
UACU6034664</t>
  </si>
  <si>
    <t>MDAJB250225D0008</t>
  </si>
  <si>
    <t>PINMEL20250103010</t>
  </si>
  <si>
    <t>RAC-072/
FANU1811966</t>
  </si>
  <si>
    <t>MDAJB250225D0014</t>
  </si>
  <si>
    <t>2025.1.7</t>
  </si>
  <si>
    <t>PINFRE20250107002</t>
  </si>
  <si>
    <t>RAC-057/
DFSU7517257</t>
  </si>
  <si>
    <t>MDAJB250305D0009</t>
  </si>
  <si>
    <r>
      <rPr>
        <sz val="11"/>
        <color theme="1"/>
        <rFont val="Calibri"/>
        <charset val="134"/>
      </rPr>
      <t>Polyaire PO #38501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REQ DATE: 2025/4/7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RAC CIF 1016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POL-SHEKOU, OOCL, LFD 14DAYS</t>
    </r>
  </si>
  <si>
    <t>Polyaire PO #38501</t>
  </si>
  <si>
    <t>DUCMI90IB</t>
  </si>
  <si>
    <t>UCMI90OB</t>
  </si>
  <si>
    <t>2025.1.16</t>
  </si>
  <si>
    <t>PINMEL20250120016</t>
  </si>
  <si>
    <t>RAC-098/
TRHU8925670</t>
  </si>
  <si>
    <t>MDAJB250305D0007</t>
  </si>
  <si>
    <r>
      <rPr>
        <sz val="11"/>
        <color theme="1"/>
        <rFont val="Calibri"/>
        <charset val="134"/>
      </rPr>
      <t>PO250116042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4</t>
    </r>
    <r>
      <rPr>
        <sz val="11"/>
        <color theme="1"/>
        <rFont val="Calibri"/>
        <charset val="134"/>
      </rPr>
      <t>月初要到</t>
    </r>
  </si>
  <si>
    <t>Martin SO 900,FOB NANSHA, TSL</t>
  </si>
  <si>
    <t>PINMEL20250120006</t>
  </si>
  <si>
    <t>MFEP70VA-N</t>
  </si>
  <si>
    <t>RAC-105/
TLLU8017496</t>
  </si>
  <si>
    <t>MDAJB250303D0015</t>
  </si>
  <si>
    <r>
      <rPr>
        <sz val="11"/>
        <color theme="1"/>
        <rFont val="Calibri"/>
        <charset val="134"/>
      </rPr>
      <t xml:space="preserve">工程项目, </t>
    </r>
    <r>
      <rPr>
        <sz val="11"/>
        <color theme="1"/>
        <rFont val="Calibri"/>
        <charset val="134"/>
      </rPr>
      <t>PO250119054</t>
    </r>
  </si>
  <si>
    <t>MFEP70VA-W</t>
  </si>
  <si>
    <r>
      <rPr>
        <sz val="11"/>
        <color theme="1"/>
        <rFont val="Calibri"/>
        <charset val="134"/>
      </rPr>
      <t xml:space="preserve">工程项目, </t>
    </r>
    <r>
      <rPr>
        <sz val="11"/>
        <color theme="1"/>
        <rFont val="Calibri"/>
        <charset val="134"/>
      </rPr>
      <t>Martin SO 900,FOB NANSHA, TSL</t>
    </r>
  </si>
  <si>
    <t>2024.12.12</t>
  </si>
  <si>
    <t>PINMEL20241212001</t>
  </si>
  <si>
    <t>RAC-084/
BHCU5015985</t>
  </si>
  <si>
    <t>MDAJB250225D0041</t>
  </si>
  <si>
    <t>PO NO:N542486</t>
  </si>
  <si>
    <t>PINMEL20250110004</t>
  </si>
  <si>
    <r>
      <rPr>
        <sz val="11"/>
        <rFont val="Calibri"/>
        <charset val="134"/>
      </rPr>
      <t>2.5</t>
    </r>
    <r>
      <rPr>
        <sz val="11"/>
        <rFont val="Calibri"/>
        <charset val="134"/>
      </rPr>
      <t>通知需要提前到</t>
    </r>
    <r>
      <rPr>
        <sz val="11"/>
        <rFont val="Calibri"/>
        <charset val="134"/>
      </rPr>
      <t>2</t>
    </r>
    <r>
      <rPr>
        <sz val="11"/>
        <rFont val="Calibri"/>
        <charset val="134"/>
      </rPr>
      <t xml:space="preserve">月中发货 </t>
    </r>
  </si>
  <si>
    <r>
      <rPr>
        <sz val="11"/>
        <color theme="1"/>
        <rFont val="Calibri"/>
        <charset val="134"/>
      </rPr>
      <t>Martin SO 1200,FOB NANSHA, TSL(</t>
    </r>
    <r>
      <rPr>
        <sz val="11"/>
        <color theme="1"/>
        <rFont val="Calibri"/>
        <charset val="134"/>
      </rPr>
      <t>大船晚到, 原本</t>
    </r>
    <r>
      <rPr>
        <sz val="11"/>
        <color theme="1"/>
        <rFont val="Calibri"/>
        <charset val="134"/>
      </rPr>
      <t>ETD 3.1)</t>
    </r>
  </si>
  <si>
    <t>PINMEL20250120012</t>
  </si>
  <si>
    <t>RAC-111/
TIIU4455640</t>
  </si>
  <si>
    <t>MDAJB250304D0012</t>
  </si>
  <si>
    <t>PO250119060</t>
  </si>
  <si>
    <t>PINMEL20250120002</t>
  </si>
  <si>
    <t>RAC-101/
TSSU5170386</t>
  </si>
  <si>
    <t>MDAJB250304D0010</t>
  </si>
  <si>
    <t>PO250119050</t>
  </si>
  <si>
    <t>PINMEL20250120003</t>
  </si>
  <si>
    <t>RAC-102/
TSSU5057560</t>
  </si>
  <si>
    <t>MDAJB250304D0009</t>
  </si>
  <si>
    <t>PO250119051</t>
  </si>
  <si>
    <t>PINMEL20250120008</t>
  </si>
  <si>
    <t>RAC-107/
TIIU6817008</t>
  </si>
  <si>
    <t>MDAJB250305D0006</t>
  </si>
  <si>
    <r>
      <rPr>
        <sz val="11"/>
        <color theme="1"/>
        <rFont val="Calibri"/>
        <charset val="134"/>
      </rPr>
      <t>PO250119056,4</t>
    </r>
    <r>
      <rPr>
        <sz val="11"/>
        <color theme="1"/>
        <rFont val="Calibri"/>
        <charset val="134"/>
      </rPr>
      <t>月初要到</t>
    </r>
  </si>
  <si>
    <t>PINMEL20250120001</t>
  </si>
  <si>
    <t>RAC-100/
TSSU5103876</t>
  </si>
  <si>
    <t>MDAJB250304D0011</t>
  </si>
  <si>
    <r>
      <rPr>
        <sz val="11"/>
        <color theme="1"/>
        <rFont val="Calibri"/>
        <charset val="134"/>
      </rPr>
      <t xml:space="preserve">PO250119049, </t>
    </r>
    <r>
      <rPr>
        <sz val="11"/>
        <color rgb="FFFF0000"/>
        <rFont val="Calibri"/>
        <charset val="134"/>
      </rPr>
      <t>Edwin</t>
    </r>
    <r>
      <rPr>
        <sz val="11"/>
        <color rgb="FFFF0000"/>
        <rFont val="Calibri"/>
        <charset val="134"/>
      </rPr>
      <t>：</t>
    </r>
    <r>
      <rPr>
        <sz val="11"/>
        <color rgb="FFFF0000"/>
        <rFont val="Calibri"/>
        <charset val="134"/>
      </rPr>
      <t>local deli.for Polyaire PO# 38504(191pcs),38506(58pcs)</t>
    </r>
  </si>
  <si>
    <t>PINMEL20250120004</t>
  </si>
  <si>
    <t>RAC-103/
GAOU7023924</t>
  </si>
  <si>
    <t>MDAJB250304D0014</t>
  </si>
  <si>
    <t>PO250119052</t>
  </si>
  <si>
    <t>PINMEL20250120007</t>
  </si>
  <si>
    <t>RAC-106/
BSIU9817128</t>
  </si>
  <si>
    <t>MDAJB250304D0013</t>
  </si>
  <si>
    <r>
      <rPr>
        <sz val="11"/>
        <color theme="1"/>
        <rFont val="Calibri"/>
        <charset val="134"/>
      </rPr>
      <t xml:space="preserve">工程项目, </t>
    </r>
    <r>
      <rPr>
        <sz val="11"/>
        <color theme="1"/>
        <rFont val="Calibri"/>
        <charset val="134"/>
      </rPr>
      <t>PO250119055</t>
    </r>
  </si>
  <si>
    <t>PINMEL20250120017</t>
  </si>
  <si>
    <t>RAC-099/
TXGU5784109</t>
  </si>
  <si>
    <t>MDAJB250305D0008</t>
  </si>
  <si>
    <r>
      <rPr>
        <sz val="11"/>
        <color theme="1"/>
        <rFont val="Calibri"/>
        <charset val="134"/>
      </rPr>
      <t>PO250116043,4</t>
    </r>
    <r>
      <rPr>
        <sz val="11"/>
        <color theme="1"/>
        <rFont val="Calibri"/>
        <charset val="134"/>
      </rPr>
      <t>月初要到</t>
    </r>
  </si>
  <si>
    <t>PINMEL20250108001</t>
  </si>
  <si>
    <t>MFAB26NB</t>
  </si>
  <si>
    <t>Local Delivery</t>
  </si>
  <si>
    <t>MDAJZS10202503121445</t>
  </si>
  <si>
    <t>China</t>
  </si>
  <si>
    <r>
      <rPr>
        <sz val="11"/>
        <color theme="1"/>
        <rFont val="Calibri"/>
        <charset val="134"/>
      </rPr>
      <t>EXW</t>
    </r>
    <r>
      <rPr>
        <sz val="11"/>
        <color theme="1"/>
        <rFont val="Calibri"/>
        <charset val="134"/>
      </rPr>
      <t>, 澳诚</t>
    </r>
  </si>
  <si>
    <t>MFAB26WB</t>
  </si>
  <si>
    <t>PINMEL20250120011</t>
  </si>
  <si>
    <t>RAC-110/
CSNU8573499</t>
  </si>
  <si>
    <t>MDAJB250307D0013</t>
  </si>
  <si>
    <t>PO250119059</t>
  </si>
  <si>
    <r>
      <rPr>
        <sz val="11"/>
        <rFont val="Calibri"/>
        <charset val="134"/>
      </rPr>
      <t>美的没赶上原</t>
    </r>
    <r>
      <rPr>
        <sz val="11"/>
        <rFont val="Calibri"/>
        <charset val="134"/>
      </rPr>
      <t>SO</t>
    </r>
    <r>
      <rPr>
        <sz val="11"/>
        <rFont val="Calibri"/>
        <charset val="134"/>
      </rPr>
      <t xml:space="preserve">打单, </t>
    </r>
    <r>
      <rPr>
        <sz val="11"/>
        <rFont val="Calibri"/>
        <charset val="134"/>
      </rPr>
      <t>RAC CIF 1089,POL-SHEKOU</t>
    </r>
    <r>
      <rPr>
        <sz val="11"/>
        <rFont val="Calibri"/>
        <charset val="134"/>
      </rPr>
      <t xml:space="preserve">, </t>
    </r>
    <r>
      <rPr>
        <sz val="11"/>
        <rFont val="Calibri"/>
        <charset val="134"/>
      </rPr>
      <t>COSCO</t>
    </r>
  </si>
  <si>
    <t>PINSYD20250120015</t>
  </si>
  <si>
    <t>RAC-114/
TGBU7698835</t>
  </si>
  <si>
    <t>MDAJB250308D0006</t>
  </si>
  <si>
    <r>
      <rPr>
        <sz val="11"/>
        <color theme="1"/>
        <rFont val="Calibri"/>
        <charset val="134"/>
      </rPr>
      <t>Polyaire PO #39187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DATE RQD. 2025/3/21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PO250119064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3/4 RAC SO</t>
    </r>
    <r>
      <rPr>
        <sz val="11"/>
        <color theme="1"/>
        <rFont val="Calibri"/>
        <charset val="134"/>
      </rPr>
      <t xml:space="preserve">被船司取消订舱, </t>
    </r>
    <r>
      <rPr>
        <sz val="11"/>
        <color theme="1"/>
        <rFont val="Calibri"/>
        <charset val="134"/>
      </rPr>
      <t>RAC CIF 1089,POL-SHEKOU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COSCO</t>
    </r>
  </si>
  <si>
    <t>Polyaire PO #39187</t>
  </si>
  <si>
    <t>PINMEL20250120010</t>
  </si>
  <si>
    <t>RAC-109/
CSNU6041265</t>
  </si>
  <si>
    <t>MDAJB250307D0014</t>
  </si>
  <si>
    <t>PO250119058</t>
  </si>
  <si>
    <t>PINMEL20250120005</t>
  </si>
  <si>
    <t>RAC-104/
CSLU6079031</t>
  </si>
  <si>
    <t>MDAJB250307D0012</t>
  </si>
  <si>
    <t>PO250119053</t>
  </si>
  <si>
    <t>PINBRI20250120014</t>
  </si>
  <si>
    <t>RAC-113/
TIIU6365103</t>
  </si>
  <si>
    <t>MDAJB250309D0001</t>
  </si>
  <si>
    <r>
      <rPr>
        <sz val="11"/>
        <color theme="1"/>
        <rFont val="Calibri"/>
        <charset val="134"/>
      </rPr>
      <t>Polyaire PO #39193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DATE RQD. 2025/3/21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PO250119063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3/4 RAC SO</t>
    </r>
    <r>
      <rPr>
        <sz val="11"/>
        <color theme="1"/>
        <rFont val="Calibri"/>
        <charset val="134"/>
      </rPr>
      <t>被船司取消订舱</t>
    </r>
    <r>
      <rPr>
        <sz val="11"/>
        <color theme="1"/>
        <rFont val="Calibri"/>
        <charset val="134"/>
      </rPr>
      <t>,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RAC CIF 1089,POL-SHEKOU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COSCO</t>
    </r>
  </si>
  <si>
    <t>Polyaire PO #39193</t>
  </si>
  <si>
    <t>2025.1.10</t>
  </si>
  <si>
    <t>PINBRI20250114009</t>
  </si>
  <si>
    <t>MFAB50WB</t>
  </si>
  <si>
    <t>RAC-096/
TIIU5489882</t>
  </si>
  <si>
    <t>MDAJB250308D0007</t>
  </si>
  <si>
    <r>
      <rPr>
        <sz val="11"/>
        <color theme="1"/>
        <rFont val="Calibri"/>
        <charset val="134"/>
      </rPr>
      <t>3/4 RAC SO</t>
    </r>
    <r>
      <rPr>
        <sz val="11"/>
        <color theme="1"/>
        <rFont val="Calibri"/>
        <charset val="134"/>
      </rPr>
      <t>被船司取消订舱</t>
    </r>
    <r>
      <rPr>
        <sz val="11"/>
        <color theme="1"/>
        <rFont val="Calibri"/>
        <charset val="134"/>
      </rPr>
      <t>,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RAC CIF 1089,POL-SHEKOU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COSCO</t>
    </r>
  </si>
  <si>
    <t>PINMEL20250114010</t>
  </si>
  <si>
    <t>RAC-097 拼 MBT-087/
TCLU8435862</t>
  </si>
  <si>
    <t>MDAJB250312D0007</t>
  </si>
  <si>
    <r>
      <rPr>
        <sz val="11"/>
        <color theme="1"/>
        <rFont val="Calibri"/>
        <charset val="134"/>
      </rPr>
      <t>PO250114040,</t>
    </r>
    <r>
      <rPr>
        <sz val="11"/>
        <color theme="1"/>
        <rFont val="Calibri"/>
        <charset val="134"/>
      </rPr>
      <t>拼</t>
    </r>
    <r>
      <rPr>
        <sz val="11"/>
        <color theme="1"/>
        <rFont val="Calibri"/>
        <charset val="134"/>
      </rPr>
      <t>MBT QLD</t>
    </r>
    <r>
      <rPr>
        <sz val="11"/>
        <color theme="1"/>
        <rFont val="Calibri"/>
        <charset val="134"/>
      </rPr>
      <t>泳池机</t>
    </r>
  </si>
  <si>
    <r>
      <rPr>
        <sz val="11"/>
        <color rgb="FFFF0000"/>
        <rFont val="Calibri"/>
        <charset val="134"/>
      </rPr>
      <t>1</t>
    </r>
    <r>
      <rPr>
        <sz val="11"/>
        <color rgb="FFFF0000"/>
        <rFont val="Calibri"/>
        <charset val="134"/>
      </rPr>
      <t>月</t>
    </r>
    <r>
      <rPr>
        <sz val="11"/>
        <color rgb="FFFF0000"/>
        <rFont val="Calibri"/>
        <charset val="134"/>
      </rPr>
      <t>24</t>
    </r>
    <r>
      <rPr>
        <sz val="11"/>
        <color rgb="FFFF0000"/>
        <rFont val="Calibri"/>
        <charset val="134"/>
      </rPr>
      <t xml:space="preserve">, </t>
    </r>
    <r>
      <rPr>
        <sz val="11"/>
        <color rgb="FFFF0000"/>
        <rFont val="Calibri"/>
        <charset val="134"/>
      </rPr>
      <t>MFAB26WB</t>
    </r>
    <r>
      <rPr>
        <sz val="11"/>
        <color rgb="FFFF0000"/>
        <rFont val="Calibri"/>
        <charset val="134"/>
      </rPr>
      <t>改成</t>
    </r>
    <r>
      <rPr>
        <sz val="11"/>
        <color rgb="FFFF0000"/>
        <rFont val="Calibri"/>
        <charset val="134"/>
      </rPr>
      <t>MFAB26NB</t>
    </r>
  </si>
  <si>
    <r>
      <rPr>
        <sz val="11"/>
        <color theme="1"/>
        <rFont val="Calibri"/>
        <charset val="134"/>
      </rPr>
      <t>3/4 RAC SO</t>
    </r>
    <r>
      <rPr>
        <sz val="11"/>
        <color theme="1"/>
        <rFont val="Calibri"/>
        <charset val="134"/>
      </rPr>
      <t xml:space="preserve">被船司取消订舱, </t>
    </r>
    <r>
      <rPr>
        <sz val="11"/>
        <color theme="1"/>
        <rFont val="Calibri"/>
        <charset val="134"/>
      </rPr>
      <t>RAC CIF 1089,POL-SHEKOU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COSCO</t>
    </r>
  </si>
  <si>
    <t>2025.1.13</t>
  </si>
  <si>
    <t>PINSYD20250114002</t>
  </si>
  <si>
    <t>RAC-088/
FDCU0396170</t>
  </si>
  <si>
    <t>MDAJB250318D0004</t>
  </si>
  <si>
    <r>
      <rPr>
        <sz val="11"/>
        <rFont val="Calibri"/>
        <charset val="134"/>
      </rPr>
      <t>RAC CIF USD975, POL-Beijiao,ONE</t>
    </r>
    <r>
      <rPr>
        <sz val="11"/>
        <rFont val="Calibri"/>
        <charset val="134"/>
      </rPr>
      <t xml:space="preserve">, </t>
    </r>
    <r>
      <rPr>
        <sz val="11"/>
        <rFont val="Calibri"/>
        <charset val="134"/>
      </rPr>
      <t>18X LFD</t>
    </r>
  </si>
  <si>
    <t>Local pick up</t>
  </si>
  <si>
    <t>Polyaire PO #38504,req date: 2025/4/7,Local pick up.3月4Daniel确定改单（删除了MFAG26VA-W的数量, 增加了MFAG26VA-N的数量）</t>
  </si>
  <si>
    <t>Polyaire PO #38504,req date: 2025/4/7,Local pick up.</t>
  </si>
  <si>
    <t>Polyaire PO #38504,req date: 2025/4/7,Local pick up.  等RAC-100的191台到齐后再客户通知pick up</t>
  </si>
  <si>
    <t>PINADE20250107003</t>
  </si>
  <si>
    <t>RAC-058/
OOCU8292023</t>
  </si>
  <si>
    <t>MDAJB250228D0015</t>
  </si>
  <si>
    <r>
      <rPr>
        <sz val="11"/>
        <color theme="1"/>
        <rFont val="Calibri"/>
        <charset val="134"/>
      </rPr>
      <t>Polyaire PO #38508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REQ DATE: 2025/4/7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RAC CIF USD1016 ,POL-NANSHA,OOCL</t>
    </r>
  </si>
  <si>
    <t>Polyaire PO #38508</t>
  </si>
  <si>
    <t>PINMEL20250103020</t>
  </si>
  <si>
    <t>RAC-082/
TRHU5341333</t>
  </si>
  <si>
    <t>MDAJB250305D0010</t>
  </si>
  <si>
    <t>SPT</t>
  </si>
  <si>
    <r>
      <rPr>
        <sz val="11"/>
        <color theme="1"/>
        <rFont val="Calibri"/>
        <charset val="134"/>
      </rPr>
      <t>SPT PO0010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1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24</t>
    </r>
    <r>
      <rPr>
        <sz val="11"/>
        <color theme="1"/>
        <rFont val="Calibri"/>
        <charset val="134"/>
      </rPr>
      <t xml:space="preserve">日, </t>
    </r>
    <r>
      <rPr>
        <sz val="11"/>
        <color theme="1"/>
        <rFont val="Calibri"/>
        <charset val="134"/>
      </rPr>
      <t>ETD</t>
    </r>
    <r>
      <rPr>
        <sz val="11"/>
        <color theme="1"/>
        <rFont val="Calibri"/>
        <charset val="134"/>
      </rPr>
      <t>由</t>
    </r>
    <r>
      <rPr>
        <sz val="11"/>
        <color theme="1"/>
        <rFont val="Calibri"/>
        <charset val="134"/>
      </rPr>
      <t>2025/4/1</t>
    </r>
    <r>
      <rPr>
        <sz val="11"/>
        <color theme="1"/>
        <rFont val="Calibri"/>
        <charset val="134"/>
      </rPr>
      <t>改成</t>
    </r>
    <r>
      <rPr>
        <sz val="11"/>
        <color theme="1"/>
        <rFont val="Calibri"/>
        <charset val="134"/>
      </rPr>
      <t>2025/3/1</t>
    </r>
  </si>
  <si>
    <r>
      <rPr>
        <sz val="11"/>
        <color theme="1"/>
        <rFont val="Calibri"/>
        <charset val="134"/>
      </rPr>
      <t xml:space="preserve">走客户货代, </t>
    </r>
    <r>
      <rPr>
        <sz val="11"/>
        <color theme="1"/>
        <rFont val="Calibri"/>
        <charset val="134"/>
      </rPr>
      <t>cosco</t>
    </r>
  </si>
  <si>
    <t>2025.2.7</t>
  </si>
  <si>
    <t>PINMEL20250208004</t>
  </si>
  <si>
    <t>RAC-144/
TGBU9700130</t>
  </si>
  <si>
    <t>MDAJB250316D0013</t>
  </si>
  <si>
    <t>PO250208154</t>
  </si>
  <si>
    <t>PINMEL20250120009</t>
  </si>
  <si>
    <t>RAC-108/
ONEU1009210</t>
  </si>
  <si>
    <t>MDAJB250315D0001-1</t>
  </si>
  <si>
    <r>
      <rPr>
        <sz val="11"/>
        <color theme="1"/>
        <rFont val="Calibri"/>
        <charset val="134"/>
      </rPr>
      <t>PO250119057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RAC CIF 975,POL-Beijiao,ONE, 18X LFD</t>
    </r>
  </si>
  <si>
    <r>
      <rPr>
        <sz val="11"/>
        <color theme="1"/>
        <rFont val="Calibri"/>
        <charset val="134"/>
      </rPr>
      <t>3/4 RAC SO</t>
    </r>
    <r>
      <rPr>
        <sz val="11"/>
        <color theme="1"/>
        <rFont val="Calibri"/>
        <charset val="134"/>
      </rPr>
      <t>被船司取消订舱。</t>
    </r>
    <r>
      <rPr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7</t>
    </r>
    <r>
      <rPr>
        <sz val="11"/>
        <color theme="1"/>
        <rFont val="Calibri"/>
        <charset val="134"/>
      </rPr>
      <t>因货物返修赶不上船期, 需换</t>
    </r>
    <r>
      <rPr>
        <sz val="11"/>
        <color theme="1"/>
        <rFont val="Calibri"/>
        <charset val="134"/>
      </rPr>
      <t>SO</t>
    </r>
    <r>
      <rPr>
        <sz val="11"/>
        <color theme="1"/>
        <rFont val="Calibri"/>
        <charset val="134"/>
      </rPr>
      <t>, 原</t>
    </r>
    <r>
      <rPr>
        <sz val="11"/>
        <color theme="1"/>
        <rFont val="Calibri"/>
        <charset val="134"/>
      </rPr>
      <t>SO ETA:3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28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13</t>
    </r>
    <r>
      <rPr>
        <sz val="11"/>
        <color theme="1"/>
        <rFont val="Calibri"/>
        <charset val="134"/>
      </rPr>
      <t>通知</t>
    </r>
    <r>
      <rPr>
        <sz val="11"/>
        <color theme="1"/>
        <rFont val="Calibri"/>
        <charset val="134"/>
      </rPr>
      <t>ETA</t>
    </r>
    <r>
      <rPr>
        <sz val="11"/>
        <color theme="1"/>
        <rFont val="Calibri"/>
        <charset val="134"/>
      </rPr>
      <t>：</t>
    </r>
    <r>
      <rPr>
        <sz val="11"/>
        <color theme="1"/>
        <rFont val="Calibri"/>
        <charset val="134"/>
      </rPr>
      <t>4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4</t>
    </r>
    <r>
      <rPr>
        <sz val="11"/>
        <color theme="1"/>
        <rFont val="Calibri"/>
        <charset val="134"/>
      </rPr>
      <t>的船期停止驳船, 需走下一水</t>
    </r>
  </si>
  <si>
    <r>
      <rPr>
        <sz val="11"/>
        <color theme="1"/>
        <rFont val="Calibri"/>
        <charset val="134"/>
      </rPr>
      <t>RAC_30_01_25</t>
    </r>
    <r>
      <rPr>
        <sz val="11"/>
        <color theme="1"/>
        <rFont val="Calibri"/>
        <charset val="134"/>
      </rPr>
      <t>（</t>
    </r>
    <r>
      <rPr>
        <sz val="11"/>
        <color theme="1"/>
        <rFont val="Calibri"/>
        <charset val="134"/>
      </rPr>
      <t>50</t>
    </r>
    <r>
      <rPr>
        <sz val="11"/>
        <color theme="1"/>
        <rFont val="Calibri"/>
        <charset val="134"/>
      </rPr>
      <t>个）</t>
    </r>
  </si>
  <si>
    <t>工程项目</t>
  </si>
  <si>
    <t>MFCS50VA-N</t>
  </si>
  <si>
    <t>RAC-186/
TRHU4612493</t>
  </si>
  <si>
    <t>MDAJB250316D0016</t>
  </si>
  <si>
    <r>
      <rPr>
        <sz val="11"/>
        <rFont val="Calibri"/>
        <charset val="134"/>
      </rPr>
      <t>约</t>
    </r>
    <r>
      <rPr>
        <sz val="11"/>
        <rFont val="Calibri"/>
        <charset val="134"/>
      </rPr>
      <t>3</t>
    </r>
    <r>
      <rPr>
        <sz val="11"/>
        <rFont val="Calibri"/>
        <charset val="134"/>
      </rPr>
      <t>月中排产</t>
    </r>
  </si>
  <si>
    <t>PINMEL20250208001</t>
  </si>
  <si>
    <t>RAC-141/
ONEU5150904</t>
  </si>
  <si>
    <t>MDAJB250312D0003</t>
  </si>
  <si>
    <t>PO250208144</t>
  </si>
  <si>
    <r>
      <rPr>
        <sz val="11"/>
        <color theme="1"/>
        <rFont val="Calibri"/>
        <charset val="134"/>
      </rPr>
      <t>3/4 RAC SO</t>
    </r>
    <r>
      <rPr>
        <sz val="11"/>
        <color theme="1"/>
        <rFont val="Calibri"/>
        <charset val="134"/>
      </rPr>
      <t xml:space="preserve">被船司取消订舱, </t>
    </r>
    <r>
      <rPr>
        <sz val="11"/>
        <color theme="1"/>
        <rFont val="Calibri"/>
        <charset val="134"/>
      </rPr>
      <t>RAC CIF 975,ONE, 18X LFD</t>
    </r>
  </si>
  <si>
    <t>PINMEL20250211001</t>
  </si>
  <si>
    <t>RAC-124/
ONEU0091199</t>
  </si>
  <si>
    <t>MDAJB250315D0003</t>
  </si>
  <si>
    <r>
      <rPr>
        <sz val="11"/>
        <color theme="1"/>
        <rFont val="Calibri"/>
        <charset val="134"/>
      </rPr>
      <t>PO250124136,4</t>
    </r>
    <r>
      <rPr>
        <sz val="11"/>
        <color theme="1"/>
        <rFont val="Calibri"/>
        <charset val="134"/>
      </rPr>
      <t>月初要到</t>
    </r>
  </si>
  <si>
    <t>PINMEL20250211002</t>
  </si>
  <si>
    <t>RAC-125/
ONEU1702728</t>
  </si>
  <si>
    <t>MDAJB250315D0002</t>
  </si>
  <si>
    <r>
      <rPr>
        <sz val="11"/>
        <color theme="1"/>
        <rFont val="Calibri"/>
        <charset val="134"/>
      </rPr>
      <t>PO250124137,4</t>
    </r>
    <r>
      <rPr>
        <sz val="11"/>
        <color theme="1"/>
        <rFont val="Calibri"/>
        <charset val="134"/>
      </rPr>
      <t>月初要到</t>
    </r>
  </si>
  <si>
    <t>PINMEL20250211003</t>
  </si>
  <si>
    <t>RAC-126/
ONEU0963619</t>
  </si>
  <si>
    <t>MDAJB250315D0005</t>
  </si>
  <si>
    <t>PO250124138</t>
  </si>
  <si>
    <t>PINMEL20250211004</t>
  </si>
  <si>
    <t>RAC-127/
TGCU5197170</t>
  </si>
  <si>
    <t>MDAJB250315D0004</t>
  </si>
  <si>
    <t>PO250124139</t>
  </si>
  <si>
    <t>PINMEL20250211005</t>
  </si>
  <si>
    <t>RAC-128/
TCLU6318147</t>
  </si>
  <si>
    <t>MDAJB250316D0014</t>
  </si>
  <si>
    <t>PO250124140</t>
  </si>
  <si>
    <t>PINMEL20250208005</t>
  </si>
  <si>
    <t>RAC-145/
NYKU4823963</t>
  </si>
  <si>
    <t>MDAJB250316D0012</t>
  </si>
  <si>
    <r>
      <rPr>
        <sz val="11"/>
        <color theme="1"/>
        <rFont val="Calibri"/>
        <charset val="134"/>
      </rPr>
      <t>SPT PO0016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PO250208155</t>
    </r>
  </si>
  <si>
    <t>船公司发了延迟还柜的费用账单共AUD192.5=CNY905，RAC承担费用,后续在发票MDAJB250717D0007货款中抵扣</t>
  </si>
  <si>
    <t>PINMEL20250208002</t>
  </si>
  <si>
    <t>RAC-142/
FFAU1863483</t>
  </si>
  <si>
    <t>MDAJB250314D0009</t>
  </si>
  <si>
    <r>
      <rPr>
        <sz val="11"/>
        <color theme="1"/>
        <rFont val="Calibri"/>
        <charset val="134"/>
      </rPr>
      <t>PO250208145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RAC CIF 975,ONE, 18X LFD</t>
    </r>
  </si>
  <si>
    <r>
      <rPr>
        <sz val="11"/>
        <color theme="1"/>
        <rFont val="Calibri"/>
        <charset val="134"/>
      </rPr>
      <t>3/4 RAC SO</t>
    </r>
    <r>
      <rPr>
        <sz val="11"/>
        <color theme="1"/>
        <rFont val="Calibri"/>
        <charset val="134"/>
      </rPr>
      <t xml:space="preserve">被船司取消订舱, </t>
    </r>
    <r>
      <rPr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13</t>
    </r>
    <r>
      <rPr>
        <sz val="11"/>
        <color theme="1"/>
        <rFont val="Calibri"/>
        <charset val="134"/>
      </rPr>
      <t>通知</t>
    </r>
    <r>
      <rPr>
        <sz val="11"/>
        <color theme="1"/>
        <rFont val="Calibri"/>
        <charset val="134"/>
      </rPr>
      <t>ETA</t>
    </r>
    <r>
      <rPr>
        <sz val="11"/>
        <color theme="1"/>
        <rFont val="Calibri"/>
        <charset val="134"/>
      </rPr>
      <t>：</t>
    </r>
    <r>
      <rPr>
        <sz val="11"/>
        <color theme="1"/>
        <rFont val="Calibri"/>
        <charset val="134"/>
      </rPr>
      <t>4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4</t>
    </r>
    <r>
      <rPr>
        <sz val="11"/>
        <color theme="1"/>
        <rFont val="Calibri"/>
        <charset val="134"/>
      </rPr>
      <t>的船期停止驳船, 需走下一水</t>
    </r>
  </si>
  <si>
    <t>PINMEL20250103021</t>
  </si>
  <si>
    <t>RSJ-15/190RDN7-L2</t>
  </si>
  <si>
    <t>RAC-059/
SEKU4683980</t>
  </si>
  <si>
    <t>MDAWB250323D0001</t>
  </si>
  <si>
    <t>RAC CIF 1100,POL-NANJING,COSCO</t>
  </si>
  <si>
    <t>2025.2.12</t>
  </si>
  <si>
    <t>PINMEL20250213003</t>
  </si>
  <si>
    <t>RAC-138/
TSSU5108055</t>
  </si>
  <si>
    <t>MDAJB250320D0012</t>
  </si>
  <si>
    <t>Chromogen PO 568282 ,走客户货代</t>
  </si>
  <si>
    <r>
      <rPr>
        <sz val="11"/>
        <color theme="1"/>
        <rFont val="Calibri"/>
        <charset val="134"/>
      </rPr>
      <t>req date 2025.4</t>
    </r>
    <r>
      <rPr>
        <sz val="11"/>
        <color theme="1"/>
        <rFont val="Calibri"/>
        <charset val="134"/>
      </rPr>
      <t>月</t>
    </r>
  </si>
  <si>
    <t>PO250212195</t>
  </si>
  <si>
    <t>PINMEL20250213002</t>
  </si>
  <si>
    <t>RAC-139/
TSSU5213929</t>
  </si>
  <si>
    <t>Chromogen PO 568283,走客户货代</t>
  </si>
  <si>
    <t>PO250212196</t>
  </si>
  <si>
    <t>PINMEL20250213001</t>
  </si>
  <si>
    <t>RAC-140/
TIIU4447373</t>
  </si>
  <si>
    <t>Chromogen PO 568284,走客户货代</t>
  </si>
  <si>
    <t>PO250212197</t>
  </si>
  <si>
    <t>PINMEL20250204003</t>
  </si>
  <si>
    <t>RSJ-23/300RDN7-L2</t>
  </si>
  <si>
    <t>RAC-121/
DFSU6846242</t>
  </si>
  <si>
    <t>MDAWB250323D0003</t>
  </si>
  <si>
    <t>Odisee</t>
  </si>
  <si>
    <t>Odisee PO 1177.PO250124129.RAC CIF 900, POL-YANGSHAN, COSCO</t>
  </si>
  <si>
    <t>2025.2.5</t>
  </si>
  <si>
    <t>PINMEL20250211007</t>
  </si>
  <si>
    <t>RAC-162/
HLBU2702567</t>
  </si>
  <si>
    <t>MDAJB250320D0014</t>
  </si>
  <si>
    <t>PO250208165</t>
  </si>
  <si>
    <t>RAC CIF USD932,POL-Beijiao,HPL</t>
  </si>
  <si>
    <t>PINMEL20250211006</t>
  </si>
  <si>
    <t>RAC-161/
SEKU6414470</t>
  </si>
  <si>
    <t>MDAJB250321D0002</t>
  </si>
  <si>
    <t>PO250208164</t>
  </si>
  <si>
    <t>RAC_08_01_25C</t>
  </si>
  <si>
    <t>PINSYD20250114001</t>
  </si>
  <si>
    <t>RAC-090/
UETU5434465</t>
  </si>
  <si>
    <t>MDAJB250320D0015</t>
  </si>
  <si>
    <t>PINMEL20250208003</t>
  </si>
  <si>
    <t>RAC-143/
SEGU5124575</t>
  </si>
  <si>
    <t>MDAJB250320D0016</t>
  </si>
  <si>
    <t>SPT PO0015, PO250208146</t>
  </si>
  <si>
    <t>2025.1.20</t>
  </si>
  <si>
    <t>PINSYD20250122001</t>
  </si>
  <si>
    <t>RAC-118/
CAAU6240899</t>
  </si>
  <si>
    <t>MDAJB250320D0013</t>
  </si>
  <si>
    <r>
      <rPr>
        <sz val="11"/>
        <color theme="1"/>
        <rFont val="Calibri"/>
        <charset val="134"/>
      </rPr>
      <t>Polyaire PO #39249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DATE RQD. 2025/3/21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PO250120086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RAC CIF USD932,POL-Beijiao,HPL</t>
    </r>
  </si>
  <si>
    <t>Polyaire PO #39249</t>
  </si>
  <si>
    <t>PINMEL20250204002</t>
  </si>
  <si>
    <t>RAC-120/
FFAU2657384</t>
  </si>
  <si>
    <t>MDAWB250323D0002</t>
  </si>
  <si>
    <t>Delia</t>
  </si>
  <si>
    <t>PO250124128.RAC CIF 900, POL-YANGSHAN, COSCO</t>
  </si>
  <si>
    <t>PINMEL20250103023</t>
  </si>
  <si>
    <t>RAC-061/
FCIU9828505</t>
  </si>
  <si>
    <t>MDAWB250324D0036</t>
  </si>
  <si>
    <t>RAC CIF 1100,POL-NANJING, COSCO</t>
  </si>
  <si>
    <t>PINMEL20250103022</t>
  </si>
  <si>
    <t>RAC-060/
CSNU8314190</t>
  </si>
  <si>
    <t>MDAWB250325D0001</t>
  </si>
  <si>
    <t>Odisee PO 1375.RAC CIF 1100,POL-NANJING, COSCO</t>
  </si>
  <si>
    <t>PINMEL20250103024</t>
  </si>
  <si>
    <t>RAC-062/
CSLU6257745</t>
  </si>
  <si>
    <t>MDAWB250324D0035</t>
  </si>
  <si>
    <t>PINMEL20250204004</t>
  </si>
  <si>
    <t>RAC-122/
CSNU8792727</t>
  </si>
  <si>
    <t>MDAWB250324D0034</t>
  </si>
  <si>
    <t>Odisee PO 1374.PO250124130.RAC CIF 900, POL-YANGSHAN, COSCO</t>
  </si>
  <si>
    <t>RAC-204 拼 MBT-088/
JXLU6390272</t>
  </si>
  <si>
    <t>MDAJB250311D0003</t>
  </si>
  <si>
    <r>
      <rPr>
        <sz val="11"/>
        <color theme="1"/>
        <rFont val="Calibri"/>
        <charset val="134"/>
      </rPr>
      <t>RAC</t>
    </r>
    <r>
      <rPr>
        <sz val="11"/>
        <color theme="1"/>
        <rFont val="Calibri"/>
        <charset val="134"/>
      </rPr>
      <t>部分仓库撤仓, 装柜时找不到中转货物的具体位置, 导致短装</t>
    </r>
  </si>
  <si>
    <t>顶泡沫错了, 来不及整改, 导致短装</t>
  </si>
  <si>
    <r>
      <rPr>
        <sz val="11"/>
        <color theme="1"/>
        <rFont val="Calibri"/>
        <charset val="134"/>
      </rPr>
      <t>铝棒。</t>
    </r>
    <r>
      <rPr>
        <sz val="11"/>
        <color theme="1"/>
        <rFont val="Calibri"/>
        <charset val="134"/>
      </rPr>
      <t>Martin SO 1250, FOB NANSHA,ZIM 14XLFD</t>
    </r>
    <r>
      <rPr>
        <sz val="11"/>
        <color theme="1"/>
        <rFont val="Calibri"/>
        <charset val="134"/>
      </rPr>
      <t>。为了满足</t>
    </r>
    <r>
      <rPr>
        <sz val="11"/>
        <color theme="1"/>
        <rFont val="Calibri"/>
        <charset val="134"/>
      </rPr>
      <t>Chromogen PO 565494</t>
    </r>
    <r>
      <rPr>
        <sz val="11"/>
        <color theme="1"/>
        <rFont val="Calibri"/>
        <charset val="134"/>
      </rPr>
      <t>和</t>
    </r>
    <r>
      <rPr>
        <sz val="11"/>
        <color theme="1"/>
        <rFont val="Calibri"/>
        <charset val="134"/>
      </rPr>
      <t>PO 565493</t>
    </r>
    <r>
      <rPr>
        <sz val="11"/>
        <color theme="1"/>
        <rFont val="Calibri"/>
        <charset val="134"/>
      </rPr>
      <t>, 拆柜导致剩余库存</t>
    </r>
    <r>
      <rPr>
        <sz val="11"/>
        <color theme="1"/>
        <rFont val="Calibri"/>
        <charset val="134"/>
      </rPr>
      <t>.</t>
    </r>
  </si>
  <si>
    <t>2025.2.18</t>
  </si>
  <si>
    <t>PINMEL20250224001</t>
  </si>
  <si>
    <t>RAC-195/
BEAU4193137</t>
  </si>
  <si>
    <t>MDAJB250326D0032</t>
  </si>
  <si>
    <t>PO250224206。3月18Edwin确认去MEL。RAC CIF 932, POL-SHEKOU, HPL</t>
  </si>
  <si>
    <t>2025.1.30</t>
  </si>
  <si>
    <t>PINMEL20250211018</t>
  </si>
  <si>
    <t>RAC-129/
FDCU0335540</t>
  </si>
  <si>
    <t>MDAJB250325D0017</t>
  </si>
  <si>
    <t>PO #N542610, req date. 5.1, 剩余48台从本地库存提。PO250205141。RAC CIF 932,POL-Beijiao,HPL</t>
  </si>
  <si>
    <t>PINMEL20250211017</t>
  </si>
  <si>
    <t>RAC-172/
HAMU2125486</t>
  </si>
  <si>
    <t>MDAJB250324D0016</t>
  </si>
  <si>
    <r>
      <rPr>
        <sz val="11"/>
        <color theme="1"/>
        <rFont val="Calibri"/>
        <charset val="134"/>
      </rPr>
      <t>PO250208185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RAC CIF 932,POL-Beijiao,HPL</t>
    </r>
  </si>
  <si>
    <t>PINMEL20250211009</t>
  </si>
  <si>
    <t>RAC-164/
CAAU5680717</t>
  </si>
  <si>
    <t>MDAJB250323D0011</t>
  </si>
  <si>
    <t>Polayire PO #41383, req date:2025/5/25.到货后澳洲本地pick up.</t>
  </si>
  <si>
    <r>
      <rPr>
        <sz val="11"/>
        <color theme="1"/>
        <rFont val="Calibri"/>
        <charset val="134"/>
      </rPr>
      <t>PO250208171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RAC CIF 932,POL-Beijiao,HPL</t>
    </r>
  </si>
  <si>
    <t>PINSYD20250122002</t>
  </si>
  <si>
    <t>RAC-119/
FANU1935150</t>
  </si>
  <si>
    <t>MDAJB250322D0019</t>
  </si>
  <si>
    <r>
      <rPr>
        <sz val="11"/>
        <color theme="1"/>
        <rFont val="Calibri"/>
        <charset val="134"/>
      </rPr>
      <t>Polyaire PO #39248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DATE RQD. 2025/3/21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PO250120087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RAC CIF 932,POL-Beijiao,HPL</t>
    </r>
  </si>
  <si>
    <t>Polyaire PO #39248</t>
  </si>
  <si>
    <t>MFAB-60NC</t>
  </si>
  <si>
    <t>MFAB-60WC</t>
  </si>
  <si>
    <t>PINSYD20250114008</t>
  </si>
  <si>
    <t>RAC-095/
TCKU6558834</t>
  </si>
  <si>
    <t>MDAJB250323D0010</t>
  </si>
  <si>
    <t>PO250114038. RAC CIF 932,POL-Beijiao, HPL</t>
  </si>
  <si>
    <t>MFAB35WB</t>
  </si>
  <si>
    <t>2025.1.31</t>
  </si>
  <si>
    <t>PINFRE20250212001</t>
  </si>
  <si>
    <t>RAC-130/
CSNU8029551</t>
  </si>
  <si>
    <t>MDAJB250331D0010</t>
  </si>
  <si>
    <t>PO-00002563.RAC CIF 1200 ,POL-Beijiao,OOCL</t>
  </si>
  <si>
    <r>
      <rPr>
        <sz val="11"/>
        <color theme="1"/>
        <rFont val="Calibri"/>
        <charset val="134"/>
      </rPr>
      <t>req date</t>
    </r>
    <r>
      <rPr>
        <sz val="11"/>
        <color theme="1"/>
        <rFont val="Calibri"/>
        <charset val="134"/>
      </rPr>
      <t>：</t>
    </r>
    <r>
      <rPr>
        <sz val="11"/>
        <color theme="1"/>
        <rFont val="Calibri"/>
        <charset val="134"/>
      </rPr>
      <t>2025/4/1</t>
    </r>
  </si>
  <si>
    <t>RAC简易展架-comfee牌（杭毅买单报关）</t>
  </si>
  <si>
    <t>PO250210189</t>
  </si>
  <si>
    <t>CASN-XG70 Dummy Head</t>
  </si>
  <si>
    <r>
      <rPr>
        <sz val="11"/>
        <color theme="1"/>
        <rFont val="Calibri"/>
        <charset val="134"/>
      </rPr>
      <t>Comfee</t>
    </r>
    <r>
      <rPr>
        <sz val="11"/>
        <color theme="1"/>
        <rFont val="Calibri"/>
        <charset val="134"/>
      </rPr>
      <t>内机大</t>
    </r>
  </si>
  <si>
    <t>CASN-XG25 Dummy Head</t>
  </si>
  <si>
    <r>
      <rPr>
        <sz val="11"/>
        <color theme="1"/>
        <rFont val="Calibri"/>
        <charset val="134"/>
      </rPr>
      <t>Comfee</t>
    </r>
    <r>
      <rPr>
        <sz val="11"/>
        <color theme="1"/>
        <rFont val="Calibri"/>
        <charset val="134"/>
      </rPr>
      <t>内机小</t>
    </r>
  </si>
  <si>
    <t>PINBRI20250114004</t>
  </si>
  <si>
    <t>RAC-094/
TXGU5811082</t>
  </si>
  <si>
    <t>MDAJB250326D0029</t>
  </si>
  <si>
    <t>Martin SO 2000, FOB NANSHA, TSL</t>
  </si>
  <si>
    <t>MBT_23_12_24</t>
  </si>
  <si>
    <t>PINBRI20250114007</t>
  </si>
  <si>
    <t>RAC-091/
FFAU4387781</t>
  </si>
  <si>
    <t>MDAJB250325D0015</t>
  </si>
  <si>
    <t>PINMEL20250211015</t>
  </si>
  <si>
    <t>MULMI0250B</t>
  </si>
  <si>
    <t>RAC-170/
TSSU5124821</t>
  </si>
  <si>
    <t>MDAJB250326D0033</t>
  </si>
  <si>
    <t>PO250208183。Martin SO 2000, FOB NANSHA,TSL</t>
  </si>
  <si>
    <t>MULMI0371B</t>
  </si>
  <si>
    <t>KWHA_28_01_25+KWHA_13_12_24</t>
  </si>
  <si>
    <t>PINMEL20250211016</t>
  </si>
  <si>
    <t>RAC-171/
TSSU5157297</t>
  </si>
  <si>
    <t>MDAJB250326D0031</t>
  </si>
  <si>
    <t>PO250208184。Martin SO 2000 , FOB NANSHA,TSL</t>
  </si>
  <si>
    <t>MULMIC12B</t>
  </si>
  <si>
    <t xml:space="preserve">MULMIC18B </t>
  </si>
  <si>
    <t>MULMICFP</t>
  </si>
  <si>
    <t>PINMEL20250208015</t>
  </si>
  <si>
    <t>RAC-155/
OOCU7357161</t>
  </si>
  <si>
    <t>MDAJB250402D0003</t>
  </si>
  <si>
    <t>RAC CIF 1400, POL-SHEKOU, COSCO</t>
  </si>
  <si>
    <t>PINMEL20250211008</t>
  </si>
  <si>
    <t>RAC-163/
TSSU5190227</t>
  </si>
  <si>
    <t>MDAJB250323D0009</t>
  </si>
  <si>
    <t>PO250208170。Martin SO 2000, FOB NANSHA,TSL</t>
  </si>
  <si>
    <t>2025.2.20</t>
  </si>
  <si>
    <t>PINFRE20250227003</t>
  </si>
  <si>
    <t>RAC-191 拼 MBT-086/
OOCU7884516</t>
  </si>
  <si>
    <t>MDAJB250401D0003</t>
  </si>
  <si>
    <r>
      <rPr>
        <sz val="11"/>
        <color rgb="FF000000"/>
        <rFont val="Calibri"/>
        <charset val="134"/>
      </rPr>
      <t>Polyaire PO #42172</t>
    </r>
    <r>
      <rPr>
        <sz val="11"/>
        <color rgb="FF000000"/>
        <rFont val="Calibri"/>
        <charset val="134"/>
      </rPr>
      <t>（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Calibri"/>
        <charset val="134"/>
      </rPr>
      <t>月</t>
    </r>
    <r>
      <rPr>
        <sz val="11"/>
        <color rgb="FF000000"/>
        <rFont val="Calibri"/>
        <charset val="134"/>
      </rPr>
      <t>12</t>
    </r>
    <r>
      <rPr>
        <sz val="11"/>
        <color rgb="FF000000"/>
        <rFont val="Calibri"/>
        <charset val="134"/>
      </rPr>
      <t>取消原</t>
    </r>
    <r>
      <rPr>
        <sz val="11"/>
        <color rgb="FF000000"/>
        <rFont val="Calibri"/>
        <charset val="134"/>
      </rPr>
      <t>PO # 41152</t>
    </r>
    <r>
      <rPr>
        <sz val="11"/>
        <color rgb="FF000000"/>
        <rFont val="Calibri"/>
        <charset val="134"/>
      </rPr>
      <t>, 改成</t>
    </r>
    <r>
      <rPr>
        <sz val="11"/>
        <color rgb="FF000000"/>
        <rFont val="Calibri"/>
        <charset val="134"/>
      </rPr>
      <t>42172</t>
    </r>
    <r>
      <rPr>
        <sz val="11"/>
        <color rgb="FF000000"/>
        <rFont val="Calibri"/>
        <charset val="134"/>
      </rPr>
      <t xml:space="preserve">）, </t>
    </r>
    <r>
      <rPr>
        <sz val="11"/>
        <color rgb="FF000000"/>
        <rFont val="Calibri"/>
        <charset val="134"/>
      </rPr>
      <t>req date:2025/5/20</t>
    </r>
    <r>
      <rPr>
        <sz val="11"/>
        <color rgb="FF000000"/>
        <rFont val="Calibri"/>
        <charset val="134"/>
      </rPr>
      <t>。</t>
    </r>
    <r>
      <rPr>
        <sz val="11"/>
        <color rgb="FF000000"/>
        <rFont val="Calibri"/>
        <charset val="134"/>
      </rPr>
      <t>PO250226214.RAC CIF 1200,POL-Beijiao,OOCL</t>
    </r>
  </si>
  <si>
    <t>Polyaire PO #42172</t>
  </si>
  <si>
    <t>CASMI70IB</t>
  </si>
  <si>
    <t>CASMI105IB</t>
  </si>
  <si>
    <t>CASMI125IB</t>
  </si>
  <si>
    <t>CASMI140IB</t>
  </si>
  <si>
    <t>CASMIFP</t>
  </si>
  <si>
    <t>PINADE20250227004</t>
  </si>
  <si>
    <t>RAC-192/
OOLU9792380</t>
  </si>
  <si>
    <t>MDAJB250331D0015</t>
  </si>
  <si>
    <r>
      <rPr>
        <sz val="11"/>
        <rFont val="Calibri"/>
        <charset val="134"/>
      </rPr>
      <t>Polyaire PO #41154</t>
    </r>
    <r>
      <rPr>
        <sz val="11"/>
        <rFont val="Calibri"/>
        <charset val="134"/>
      </rPr>
      <t xml:space="preserve">, </t>
    </r>
    <r>
      <rPr>
        <sz val="11"/>
        <rFont val="Calibri"/>
        <charset val="134"/>
      </rPr>
      <t>req date:2025/5/20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>PO250226215</t>
    </r>
  </si>
  <si>
    <t>Polyaire PO #41154, RAC CIF 1200, FOB Bejiao, OOCL</t>
  </si>
  <si>
    <t>Polyaire PO #41154</t>
  </si>
  <si>
    <t>PINFRE20250212002</t>
  </si>
  <si>
    <t>RAC-131/
FSCU8060920</t>
  </si>
  <si>
    <t>MDAJB250331D0013</t>
  </si>
  <si>
    <t>PO-00002564, RAC CIF 1200, POL-Beijiao, OOCL</t>
  </si>
  <si>
    <r>
      <rPr>
        <sz val="11"/>
        <color theme="1"/>
        <rFont val="Calibri"/>
        <charset val="134"/>
      </rPr>
      <t>req date</t>
    </r>
    <r>
      <rPr>
        <sz val="11"/>
        <color theme="1"/>
        <rFont val="Calibri"/>
        <charset val="134"/>
      </rPr>
      <t>：</t>
    </r>
    <r>
      <rPr>
        <sz val="11"/>
        <color theme="1"/>
        <rFont val="Calibri"/>
        <charset val="134"/>
      </rPr>
      <t>2025/5/1</t>
    </r>
  </si>
  <si>
    <t>PO250210190</t>
  </si>
  <si>
    <t>PINFRE20250212003</t>
  </si>
  <si>
    <t>RAC-132/
OOCU7076523</t>
  </si>
  <si>
    <t>MDAJB250331D0012</t>
  </si>
  <si>
    <t>PO-00002565, RAC CIF 1200, POL-Beijiao, OOCL</t>
  </si>
  <si>
    <r>
      <rPr>
        <sz val="11"/>
        <color theme="1"/>
        <rFont val="Calibri"/>
        <charset val="134"/>
      </rPr>
      <t>req date</t>
    </r>
    <r>
      <rPr>
        <sz val="11"/>
        <color theme="1"/>
        <rFont val="Calibri"/>
        <charset val="134"/>
      </rPr>
      <t>：</t>
    </r>
    <r>
      <rPr>
        <sz val="11"/>
        <color theme="1"/>
        <rFont val="Calibri"/>
        <charset val="134"/>
      </rPr>
      <t>2025/6/2</t>
    </r>
  </si>
  <si>
    <t>PO250210191</t>
  </si>
  <si>
    <t>PINMEL20250208006</t>
  </si>
  <si>
    <t>RAC-146/
TIIU5698877</t>
  </si>
  <si>
    <t>MDAJB250403D0010</t>
  </si>
  <si>
    <t>Chromogen PO 571576, 走客户货代, TSL</t>
  </si>
  <si>
    <t>PO250208147</t>
  </si>
  <si>
    <t>PINMEL20250208012</t>
  </si>
  <si>
    <t>RAC-152/
TXGU5676510</t>
  </si>
  <si>
    <t>Chromogen PO 571577, 走客户货代, TSL</t>
  </si>
  <si>
    <t>PO250208157</t>
  </si>
  <si>
    <t>PINSYD20250224003</t>
  </si>
  <si>
    <t>RAC-188/
CAAU8806033</t>
  </si>
  <si>
    <t>MDAJB250406D0003</t>
  </si>
  <si>
    <t>PO250220202, RAC CIF 1500, POL-Beijiao, ONE</t>
  </si>
  <si>
    <t>RAC简易展架-SYD（杭毅买单报关）</t>
  </si>
  <si>
    <t>PINMEL20250211031</t>
  </si>
  <si>
    <t>RAC-184/
OOLU9421380</t>
  </si>
  <si>
    <t>MDAJB250402D0009</t>
  </si>
  <si>
    <t>PO250208187, RAC CIF 1200, POL-Beijiao, OOCL</t>
  </si>
  <si>
    <r>
      <rPr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18</t>
    </r>
    <r>
      <rPr>
        <sz val="11"/>
        <color theme="1"/>
        <rFont val="Calibri"/>
        <charset val="134"/>
      </rPr>
      <t>应</t>
    </r>
    <r>
      <rPr>
        <sz val="11"/>
        <color theme="1"/>
        <rFont val="Calibri"/>
        <charset val="134"/>
      </rPr>
      <t>curtis</t>
    </r>
    <r>
      <rPr>
        <sz val="11"/>
        <color theme="1"/>
        <rFont val="Calibri"/>
        <charset val="134"/>
      </rPr>
      <t>要求提到</t>
    </r>
    <r>
      <rPr>
        <sz val="11"/>
        <color theme="1"/>
        <rFont val="Calibri"/>
        <charset val="134"/>
      </rPr>
      <t>ETD:4</t>
    </r>
    <r>
      <rPr>
        <sz val="11"/>
        <color theme="1"/>
        <rFont val="Calibri"/>
        <charset val="134"/>
      </rPr>
      <t>月初</t>
    </r>
  </si>
  <si>
    <t>PINMEL20250208010</t>
  </si>
  <si>
    <t>RAC-150/
OOLU9592274</t>
  </si>
  <si>
    <t>MDAJB250331D0018</t>
  </si>
  <si>
    <t>RAC CIF 1200, POL-Beijiao, OOCL</t>
  </si>
  <si>
    <t>PINMEL20250208013</t>
  </si>
  <si>
    <t>RAC-153/
OOCU7615712</t>
  </si>
  <si>
    <t>MDAJB250402D0010</t>
  </si>
  <si>
    <t>PINMEL20250211013</t>
  </si>
  <si>
    <t>RAC-168/
CAAU8803081</t>
  </si>
  <si>
    <t>MDAJB250403D0028</t>
  </si>
  <si>
    <t xml:space="preserve">PO250208177, RAC CIF 1500, POL-Beijiao, ONE </t>
  </si>
  <si>
    <t>PINBRI20250224002</t>
  </si>
  <si>
    <t>RAC-187/
CAAU8805335</t>
  </si>
  <si>
    <t>MDAJB250405D0004</t>
  </si>
  <si>
    <t xml:space="preserve">PO250220201, RAC CIF 1500, POL-Beijiao, ONE </t>
  </si>
  <si>
    <t>PINSYD20250114003</t>
  </si>
  <si>
    <t>RAC-089/
CBHU9465459</t>
  </si>
  <si>
    <t>MDAJB250403D0016</t>
  </si>
  <si>
    <t>RAC CIF 1100, POL-SHEKOU, OOCL</t>
  </si>
  <si>
    <t>PINBRI20250114005</t>
  </si>
  <si>
    <t>RAC-092/
CBHU9411597</t>
  </si>
  <si>
    <t>MDAJB250403D0017</t>
  </si>
  <si>
    <t>PINMEL20250211014</t>
  </si>
  <si>
    <t>RAC-169/
OOCU9139791</t>
  </si>
  <si>
    <t>MDAJB250403D0009</t>
  </si>
  <si>
    <t>PO250208178, RAC CIF 1400, POL-SHEKOU, COSCO</t>
  </si>
  <si>
    <t>2025.1.28</t>
  </si>
  <si>
    <t>PINMEL20250304001</t>
  </si>
  <si>
    <t>RAC-137/
OOCU7262960</t>
  </si>
  <si>
    <t>MDAJB250403D0018</t>
  </si>
  <si>
    <t>Polyaire PO #39648, REQ DATE: 2025/4/28. PO250304220. Same Day Delivery with Local PO 40676</t>
  </si>
  <si>
    <t>Polyaire PO #39648, RAC CIF 1100, POL-SHEKOU, OOCL</t>
  </si>
  <si>
    <t>Polyaire PO #39648</t>
  </si>
  <si>
    <t>Polyaire PO 40676, req date：2025/4/28,Local pick up</t>
  </si>
  <si>
    <t>PINMEL20250124001</t>
  </si>
  <si>
    <t>RAC-115/
CAAU8804663</t>
  </si>
  <si>
    <t>MDAJB250405D0005</t>
  </si>
  <si>
    <r>
      <rPr>
        <sz val="11"/>
        <color theme="1"/>
        <rFont val="Calibri"/>
        <charset val="134"/>
      </rPr>
      <t>Polyaire PO #39189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DATE RQD. 2025/3/21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4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Daniel</t>
    </r>
    <r>
      <rPr>
        <sz val="11"/>
        <color theme="1"/>
        <rFont val="Calibri"/>
        <charset val="134"/>
      </rPr>
      <t>确认改单。</t>
    </r>
    <r>
      <rPr>
        <sz val="11"/>
        <color theme="1"/>
        <rFont val="Calibri"/>
        <charset val="134"/>
      </rPr>
      <t>PO250119065</t>
    </r>
  </si>
  <si>
    <t>Polyaire PO #39189, RAC CIF 1500, POL-Beijiao, ONE</t>
  </si>
  <si>
    <t>Polyaire PO #39189</t>
  </si>
  <si>
    <t>PINMEL20250211010</t>
  </si>
  <si>
    <t>RAC-165/
ONEU5486680</t>
  </si>
  <si>
    <t>MDAJB250403D0014</t>
  </si>
  <si>
    <t>PO250208172, RAC CIF 1500, POL-Beijiao, ONE</t>
  </si>
  <si>
    <t>PINMEL20250211011</t>
  </si>
  <si>
    <t>RAC-166/
CAAU8803224</t>
  </si>
  <si>
    <t>MDAJB250403D0011</t>
  </si>
  <si>
    <t>PO250208173, RAC CIF 1500, POL-Beijiao, ONE</t>
  </si>
  <si>
    <t>2025.2.24</t>
  </si>
  <si>
    <t>PINMEL20250227005</t>
  </si>
  <si>
    <t>RAC-193/
CAAU8805211</t>
  </si>
  <si>
    <t>MDAJB250403D0015</t>
  </si>
  <si>
    <t>Polayire PO #41383, req date:2025/5/25.到货后澳洲本地pick up</t>
  </si>
  <si>
    <t>PO250225209, RAC CIF 1500, POL-Beijiao, ONE</t>
  </si>
  <si>
    <t>3月18应curtis要求提到ETD:4月初</t>
  </si>
  <si>
    <t>PINMEL20250208014</t>
  </si>
  <si>
    <t>RAC-154/
CAAU8804719</t>
  </si>
  <si>
    <t>MDAJB250403D0027</t>
  </si>
  <si>
    <t>RAC CIF 1500, POL-Beijiao, ONE</t>
  </si>
  <si>
    <t>PINMEL20250211022</t>
  </si>
  <si>
    <t>RAC-175/
CAAU8805320</t>
  </si>
  <si>
    <t>MDAJB250403D0013</t>
  </si>
  <si>
    <t>PO250208167, RAC CIF 1500, POL-Beijiao, ONE</t>
  </si>
  <si>
    <t>PINBRI20250211019</t>
  </si>
  <si>
    <t>RAC-136/
CAAU8792032</t>
  </si>
  <si>
    <t>MDAJB250403D0012</t>
  </si>
  <si>
    <r>
      <rPr>
        <sz val="11"/>
        <color theme="1"/>
        <rFont val="Calibri"/>
        <charset val="134"/>
      </rPr>
      <t>Polyaire PO #40057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REQ DATE: 2025/5/4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PO250205142</t>
    </r>
  </si>
  <si>
    <t>Polyaire PO #40057, RAC CIF 1500, FOB Bejiao, ONE</t>
  </si>
  <si>
    <t>Polyaire PO #40057 - 53 Acacia Ridge</t>
  </si>
  <si>
    <t>Polyaire PO #40057</t>
  </si>
  <si>
    <t>2025.3.3</t>
  </si>
  <si>
    <t>PINMEL20250303001</t>
  </si>
  <si>
    <t>MDAJZS10202504090505</t>
  </si>
  <si>
    <t>HUASHA</t>
  </si>
  <si>
    <t>EXW, 澳诚.已通知susu推排产到3月底。4.14已提货</t>
  </si>
  <si>
    <t>MULMID18C</t>
  </si>
  <si>
    <t>EXW, 澳诚(配遥控器+FOC线控器）</t>
  </si>
  <si>
    <t>MULMID12C</t>
  </si>
  <si>
    <t>Polyaire PO #38506,req date: 2025/4/14,Local pick up</t>
  </si>
  <si>
    <t>Polyaire PO #38506,req date: 2025/4/14,Local pick up..等RAC-100 的58台到齐后再通知客户pick up</t>
  </si>
  <si>
    <t>PINMEL20250211023</t>
  </si>
  <si>
    <t>RAC-176/
SNBU8276930</t>
  </si>
  <si>
    <t>MDAJB250413D0009</t>
  </si>
  <si>
    <t>PO250208181, RAC CIF 1100, POL-Beijiao, SNL</t>
  </si>
  <si>
    <t>2025.3.11</t>
  </si>
  <si>
    <t>PINMEL20250312002</t>
  </si>
  <si>
    <t>RAC-210/
TIIU6124512</t>
  </si>
  <si>
    <t>MDAJB250413D0004</t>
  </si>
  <si>
    <t>PO250311228, RAC CIF 1100, POL-Beijiao, SNL</t>
  </si>
  <si>
    <t>PINMEL20250312003</t>
  </si>
  <si>
    <t>RAC-211/
SNBU8347314</t>
  </si>
  <si>
    <t>MDAJB250413D0007</t>
  </si>
  <si>
    <t>PINMEL20250312004</t>
  </si>
  <si>
    <t>RAC-212/
SLPU5018569</t>
  </si>
  <si>
    <t>MDAJB250413D0008</t>
  </si>
  <si>
    <t>PINMEL20250312005</t>
  </si>
  <si>
    <t>RAC-213/
FCIU7306477</t>
  </si>
  <si>
    <t>MDAJB250413D0006</t>
  </si>
  <si>
    <t>PINMEL20250312006</t>
  </si>
  <si>
    <t>RAC-214/
TEMU8373855</t>
  </si>
  <si>
    <t>MDAJB250413D0005</t>
  </si>
  <si>
    <t>PINMEL20250211021</t>
  </si>
  <si>
    <t>RAC-174/
CSNU8837117</t>
  </si>
  <si>
    <t>MDAJB250412D0005</t>
  </si>
  <si>
    <t>PO250208166, RAC CIF 1200, POL-Beijiao, OOCL</t>
  </si>
  <si>
    <t>PINMEL20250124002</t>
  </si>
  <si>
    <t>RAC-116/
BEAU6227494</t>
  </si>
  <si>
    <t>MDAJB250410D0031</t>
  </si>
  <si>
    <t>Polyaire PO #39191, DATE RQD. 2025/4/17。3月4, Daniel确认改单。PO250119066</t>
  </si>
  <si>
    <t>Polyaire PO #39191, RAC CIF 1200, POL-Beijiao, OOCL</t>
  </si>
  <si>
    <t>Polyaire PO #39191 - 22 Dandenong South</t>
  </si>
  <si>
    <t>Polyaire PO #39191</t>
  </si>
  <si>
    <t>PINMEL20250312016</t>
  </si>
  <si>
    <t>RAC-224/
BMOU5149642</t>
  </si>
  <si>
    <t>MDAJB250411D0015</t>
  </si>
  <si>
    <t>PO250311234, RAC CIF 1200, POL-Beijiao, OOCL</t>
  </si>
  <si>
    <t>PINMEL20250312009</t>
  </si>
  <si>
    <t>RAC-217/
CSLU6141610</t>
  </si>
  <si>
    <t>MDAJB250413D0003</t>
  </si>
  <si>
    <t>PO250311228, RAC CIF 1200, POL-Beijiao, OOCL</t>
  </si>
  <si>
    <t>PINMEL20250211024</t>
  </si>
  <si>
    <t>RAC-177/
TGBU9828476</t>
  </si>
  <si>
    <t>MDAJB250410D0032</t>
  </si>
  <si>
    <t>PO250208186, RAC CIF 1200, POL-Beijiao, OOCL</t>
  </si>
  <si>
    <t>PINMEL20250312008</t>
  </si>
  <si>
    <t>RAC-216/
GCXU5521236</t>
  </si>
  <si>
    <t>MDAJB250414D0003</t>
  </si>
  <si>
    <t>PO250311228, RAC CIF 1500, POL-Beijiao, ONE</t>
  </si>
  <si>
    <t>PINBRI20250114006</t>
  </si>
  <si>
    <t>RAC-093/
CAAU8809855</t>
  </si>
  <si>
    <t>MDAJB250402D0005</t>
  </si>
  <si>
    <t>PINMEL20250211020</t>
  </si>
  <si>
    <t>RAC-173/
TXGU8125620</t>
  </si>
  <si>
    <t>MDAJB250406D0002</t>
  </si>
  <si>
    <t>PO250208179。Justin 办公室椅子+会议室椅子。Martin SO 1800, FOB NANSHA, TSL. 短装</t>
  </si>
  <si>
    <t>PINMEL20250211012</t>
  </si>
  <si>
    <t>RAC-167/
TGBU7787059</t>
  </si>
  <si>
    <t>MDAJB250410D0027</t>
  </si>
  <si>
    <t>PO250208175, RAC CIF 1400, POL-SHEKOU, COSCO</t>
  </si>
  <si>
    <t>PINMEL20250227006</t>
  </si>
  <si>
    <t>RAC-194/
RFCU4021460</t>
  </si>
  <si>
    <t>MDAJB250409D0044</t>
  </si>
  <si>
    <t>PO250225210, RAC CIF 1400, POL-SHEKOU, COSCO</t>
  </si>
  <si>
    <t>RAC_28_02_25 &amp; RAC_06_03_25</t>
  </si>
  <si>
    <t>PINMEL20250208007</t>
  </si>
  <si>
    <t>RAC-147/
BMOU4943323</t>
  </si>
  <si>
    <t>MDAJB250409D0041</t>
  </si>
  <si>
    <t>PINMEL20250208008</t>
  </si>
  <si>
    <t>RAC-148/
CSNU8073277</t>
  </si>
  <si>
    <t>MDAJB250409D0040</t>
  </si>
  <si>
    <t>PINMEL20250208011</t>
  </si>
  <si>
    <t>RAC-151/
FFAU2814499</t>
  </si>
  <si>
    <t>MDAJB250409D0043</t>
  </si>
  <si>
    <t>PINMEL20250312015</t>
  </si>
  <si>
    <t>RAC-223/
TCLU1466985</t>
  </si>
  <si>
    <t>MDAJB250411D0014</t>
  </si>
  <si>
    <t>PINMEL20250312014</t>
  </si>
  <si>
    <t>RAC-222/
SNBU8244846</t>
  </si>
  <si>
    <t>MDAJB250417D0002</t>
  </si>
  <si>
    <t>PO250311234, RAC CIF 1100, POL-Beijiao, SNL</t>
  </si>
  <si>
    <t>PINMEL20250312018</t>
  </si>
  <si>
    <t>RAC-226/
SNBU8267203</t>
  </si>
  <si>
    <t>MDAJB250417D0006</t>
  </si>
  <si>
    <t>PINMEL20250312029</t>
  </si>
  <si>
    <t>RAC-237/
UETU7198625</t>
  </si>
  <si>
    <t>MDAJB250417D0007</t>
  </si>
  <si>
    <t>PINMEL20250211026</t>
  </si>
  <si>
    <t>RAC-179/
TEMU7810708</t>
  </si>
  <si>
    <t>MDAJB250417D0001</t>
  </si>
  <si>
    <t>PO250208176, RAC CIF 1100, POL-Beijiao, SNL</t>
  </si>
  <si>
    <t>PINMEL20250208009</t>
  </si>
  <si>
    <t>PINMEL20250312013</t>
  </si>
  <si>
    <t>RAC-221/
BEAU4828310</t>
  </si>
  <si>
    <t>MDAJB250418D0001</t>
  </si>
  <si>
    <t>PINMEL20250312012</t>
  </si>
  <si>
    <t>RAC-220/
SNBU8223592</t>
  </si>
  <si>
    <t>MDAJB250418D0002</t>
  </si>
  <si>
    <t>PINMEL20250312030</t>
  </si>
  <si>
    <t>RAC-238/
CAAU8663375</t>
  </si>
  <si>
    <t>MDAJB250418D0006</t>
  </si>
  <si>
    <t>PO250311234. RAC CIF 1100, POL-Beijiao, SNL. 短装</t>
  </si>
  <si>
    <t>2025Q1 RAC免散配件.</t>
  </si>
  <si>
    <t>PINMEL20250312017</t>
  </si>
  <si>
    <t>RAC-225/
TIIU6319279</t>
  </si>
  <si>
    <t>MDAJB250421D0006</t>
  </si>
  <si>
    <t>PINMEL20250312031</t>
  </si>
  <si>
    <t>RAC-239/
WSDU4981620</t>
  </si>
  <si>
    <t>MDAJB250421D0011</t>
  </si>
  <si>
    <t>PINMEL20250312035</t>
  </si>
  <si>
    <t>RAC-243/
TCNU4893268</t>
  </si>
  <si>
    <t>MDAJB250421D0009</t>
  </si>
  <si>
    <t>PO250311234, RAC CIF 1500, POL-Beijiao, ONE</t>
  </si>
  <si>
    <t>短装</t>
  </si>
  <si>
    <t>2025.2.28</t>
  </si>
  <si>
    <t>PINBRI20250228001</t>
  </si>
  <si>
    <t>RAC-196/
TLLU4727798</t>
  </si>
  <si>
    <t>MDAJB250421D0012</t>
  </si>
  <si>
    <t>PO250228216. RAC CIF 1100, POL-Beijiao, SNL</t>
  </si>
  <si>
    <t>2025Q1 RAC免散配件</t>
  </si>
  <si>
    <t>PINMEL20250124003</t>
  </si>
  <si>
    <t>RAC-117/
NYKU4979724</t>
  </si>
  <si>
    <t>MDAJB250419D0004</t>
  </si>
  <si>
    <r>
      <rPr>
        <sz val="11"/>
        <color theme="1"/>
        <rFont val="Calibri"/>
        <charset val="134"/>
      </rPr>
      <t>Polyaire PO #39192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DATE RQD. 2025/4/11</t>
    </r>
    <r>
      <rPr>
        <sz val="11"/>
        <color theme="1"/>
        <rFont val="Calibri"/>
        <charset val="134"/>
      </rPr>
      <t>。</t>
    </r>
    <r>
      <rPr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>4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Daniel</t>
    </r>
    <r>
      <rPr>
        <sz val="11"/>
        <color theme="1"/>
        <rFont val="Calibri"/>
        <charset val="134"/>
      </rPr>
      <t>确认改单。</t>
    </r>
    <r>
      <rPr>
        <sz val="11"/>
        <color theme="1"/>
        <rFont val="Calibri"/>
        <charset val="134"/>
      </rPr>
      <t>PO250119062</t>
    </r>
  </si>
  <si>
    <t>Polyaire PO #39192, RAC CIF 1500, POL-Beijiao, ONE</t>
  </si>
  <si>
    <t>Polyaire PO #39192</t>
  </si>
  <si>
    <t>PINMEL20250312001</t>
  </si>
  <si>
    <t>RAC-209/
FCIU9818615</t>
  </si>
  <si>
    <t>MDAJB250416D0016</t>
  </si>
  <si>
    <t>PO250311228, RAC CIF 1400, POL-SHEKOU, COSCO</t>
  </si>
  <si>
    <t>PINMEL20250312036</t>
  </si>
  <si>
    <t>RAC-244/
TGBU7977790</t>
  </si>
  <si>
    <t>MDAJB250416D0017</t>
  </si>
  <si>
    <t>PINMEL20250312007</t>
  </si>
  <si>
    <t>RAC-215/
CSNU8782159</t>
  </si>
  <si>
    <t>MDAJB250416D0019</t>
  </si>
  <si>
    <t>PINMEL20250312010</t>
  </si>
  <si>
    <t>RAC-218/
FFAU2661580</t>
  </si>
  <si>
    <t>MDAJB250416D0018</t>
  </si>
  <si>
    <t>PINMEL20250312011</t>
  </si>
  <si>
    <t>RAC-219/
OOLU8805781</t>
  </si>
  <si>
    <t>MDAJB250416D0015</t>
  </si>
  <si>
    <t>PINMEL20250211025</t>
  </si>
  <si>
    <t>RAC-178/
GAOU7080668</t>
  </si>
  <si>
    <t>MDAJB250422D0003</t>
  </si>
  <si>
    <t>PO250208174, Martin SO 1600, FOB SHEKOU, TSL</t>
  </si>
  <si>
    <t>PINMEL20250312037</t>
  </si>
  <si>
    <t>RAC-245/
UETU7965244</t>
  </si>
  <si>
    <t>MDAJB250422D0002</t>
  </si>
  <si>
    <t>PO250311234, Martin SO 1600, FOB SHEKOU, TSL</t>
  </si>
  <si>
    <t>PINMEL20250312022</t>
  </si>
  <si>
    <t>RAC-230/
OOCU8198871</t>
  </si>
  <si>
    <t>MDAWB250422D0044</t>
  </si>
  <si>
    <t>PO250311234, RAC CIF 1280, POL-NANJING, OOCL</t>
  </si>
  <si>
    <t>PINMEL20250312028</t>
  </si>
  <si>
    <t>RAC-236/
OOCU6880413</t>
  </si>
  <si>
    <t>MDAWB250422D0043</t>
  </si>
  <si>
    <t>PINMEL20250312020</t>
  </si>
  <si>
    <t>RAC-228/
TIIU6416833</t>
  </si>
  <si>
    <t>MDAWB250422D0057</t>
  </si>
  <si>
    <t>PO250311234, RAC CIF 1600, POL-NANJING, COSCO</t>
  </si>
  <si>
    <t>PINMEL20250312021</t>
  </si>
  <si>
    <t>RAC-229/
FCIU9651092</t>
  </si>
  <si>
    <t>MDAWB250422D0056</t>
  </si>
  <si>
    <t>PINMEL20250312026</t>
  </si>
  <si>
    <t>RAC-234/
FFAU1777702</t>
  </si>
  <si>
    <t>MDAWB250424D0013</t>
  </si>
  <si>
    <t>PINMEL20250312027</t>
  </si>
  <si>
    <t>RAC-235/
OOLU9246158</t>
  </si>
  <si>
    <t>MDAWB250424D0023</t>
  </si>
  <si>
    <t>PINMEL20250312019</t>
  </si>
  <si>
    <t>RAC-227/
BEAU6239176</t>
  </si>
  <si>
    <t>MDAWB250422D0058</t>
  </si>
  <si>
    <t>Odisee PO 1376. PO250311234, RAC CIF 1600, POL-NANJING, COSCO</t>
  </si>
  <si>
    <t>PINMEL20250312023</t>
  </si>
  <si>
    <t>RAC-231/
CSNU8630665</t>
  </si>
  <si>
    <t>MDAWB250422D0059</t>
  </si>
  <si>
    <t>Odisee PO 1377, PO250311234, RAC CIF 1600, POL-NANJING, COSCO</t>
  </si>
  <si>
    <t>PINMEL20250312024</t>
  </si>
  <si>
    <t>RAC-232/
TCNU5588905</t>
  </si>
  <si>
    <t>MDAWB250422D0060</t>
  </si>
  <si>
    <t>Odisee PO 1378, PO250311234, RAC CIF 1600, POL-NANJING, COSCO</t>
  </si>
  <si>
    <t>PINMEL20250312025</t>
  </si>
  <si>
    <t>RAC-233/
TLLU7735267</t>
  </si>
  <si>
    <t>MDAWB250424D0028</t>
  </si>
  <si>
    <t>Odisee PO 1379, PO250311234, RAC CIF 1600, POL-NANJING, COSCO</t>
  </si>
  <si>
    <t>PINMEL20250312046</t>
  </si>
  <si>
    <t>RAC-254/
OOLU6930763</t>
  </si>
  <si>
    <t>MDAWB250422D0062</t>
  </si>
  <si>
    <t>RAC-243拼MBT-122/
SEGU5277337</t>
  </si>
  <si>
    <t>MDAJB250428D0008</t>
  </si>
  <si>
    <t>PO250311234, RAC-243 短装. Martin SO 1600, POL-NANSHA, ZIM</t>
  </si>
  <si>
    <t>RAC-173拼RAC-243拼MBT-123/
GAOU6440944</t>
  </si>
  <si>
    <t>MDAJB250428D0009</t>
  </si>
  <si>
    <t>PO250208179, RAC-173 短装. Martin SO 1650, POL-NANSHA, ZIM</t>
  </si>
  <si>
    <t>PO250311234, RAC-243 短装</t>
  </si>
  <si>
    <t>PINMEL20250227001</t>
  </si>
  <si>
    <t>RAC-189/
TSSU5165707</t>
  </si>
  <si>
    <t>MDAJB250424D0004</t>
  </si>
  <si>
    <t>Polyaire PO #41145, req date:2025/5/20, PO250226212</t>
  </si>
  <si>
    <t>Polyaire PO #41145 - 23 Truganina</t>
  </si>
  <si>
    <t>Polyaire PO #41145, Martion SO 1600, POL-NANSHA, TSL</t>
  </si>
  <si>
    <t>Polyaire PO #41145</t>
  </si>
  <si>
    <t>PINMEL20250312049</t>
  </si>
  <si>
    <t>RAC-257/
TCNU4822048</t>
  </si>
  <si>
    <t>MDAJB250429D0058</t>
  </si>
  <si>
    <t>RAC CIF 1500, POL-YANTIAN, ONE</t>
  </si>
  <si>
    <t>PINMEL20250211028</t>
  </si>
  <si>
    <t>RAC-181/
CAIU4955345</t>
  </si>
  <si>
    <t>MDAJB250430D0011</t>
  </si>
  <si>
    <t>PINMEL20250312064</t>
  </si>
  <si>
    <t>RAC-272/
FFAU1377223</t>
  </si>
  <si>
    <t>MDAWB250430D0012</t>
  </si>
  <si>
    <t>RAC CIF 1280, POL-NANJING, OOCL</t>
  </si>
  <si>
    <t>PINMEL20250312041</t>
  </si>
  <si>
    <t>RSJ-23/300RDN7-L2-C</t>
  </si>
  <si>
    <t>RAC-249/
GCXU6436205</t>
  </si>
  <si>
    <t>MDAWB250426D0014</t>
  </si>
  <si>
    <t>RAC CIF 1600, POL-NANJING, COSCO</t>
  </si>
  <si>
    <t>PINMEL20250312042</t>
  </si>
  <si>
    <t>RAC-250/
OOCU8961561</t>
  </si>
  <si>
    <t>MDAWB250430D0011</t>
  </si>
  <si>
    <t>PINMEL20250312043</t>
  </si>
  <si>
    <t>RAC-251/
SEGU6823643</t>
  </si>
  <si>
    <t>MDAWB250426D0015</t>
  </si>
  <si>
    <t>PINMEL20250312044</t>
  </si>
  <si>
    <t>RAC-252/
DFSU7022896</t>
  </si>
  <si>
    <t>MDAWB250426D0016</t>
  </si>
  <si>
    <t>PINMEL20250312045</t>
  </si>
  <si>
    <t>RAC-253/
UETU6452437</t>
  </si>
  <si>
    <t>MDAWB250428D0010</t>
  </si>
  <si>
    <t>PINMEL20250312047</t>
  </si>
  <si>
    <t>RAC-255/
TSSU5168882</t>
  </si>
  <si>
    <t>MDAJB250505D0001</t>
  </si>
  <si>
    <t>Martin SO 1600, POL-NANSHA, TSL</t>
  </si>
  <si>
    <t>PINMEL20250312033</t>
  </si>
  <si>
    <t>RAC-241/
BEAU6224725</t>
  </si>
  <si>
    <t>MDAJB250427D0017</t>
  </si>
  <si>
    <t>PINMEL20250312034</t>
  </si>
  <si>
    <t>RAC-242/
FCIU9916144</t>
  </si>
  <si>
    <t>MDAJB250427D0018</t>
  </si>
  <si>
    <t>PINMEL20250312032</t>
  </si>
  <si>
    <t>RAC-240/
BMOU4978090</t>
  </si>
  <si>
    <t>MDAJB250503D0022</t>
  </si>
  <si>
    <t>PINMEL20250211027</t>
  </si>
  <si>
    <t>RAC-180/
SNBU8423625</t>
  </si>
  <si>
    <t>MDAJB250506D0006</t>
  </si>
  <si>
    <t>PO250208180. RAC CIF 1100, POL-Beijiao, SNL</t>
  </si>
  <si>
    <t>PINMEL20250211032</t>
  </si>
  <si>
    <t>RAC-185/
DFSU7787150</t>
  </si>
  <si>
    <t>MDAJB250508D0002</t>
  </si>
  <si>
    <t>PO250208188. RAC CIF 1100, POL-Beijiao, SNL</t>
  </si>
  <si>
    <t>PINMEL20250312048</t>
  </si>
  <si>
    <t>RAC-256/
SNBU8224578</t>
  </si>
  <si>
    <t>MDAJB250504D0015</t>
  </si>
  <si>
    <t>PO250312236. RAC CIF 1100, POL-Beijiao, SNL</t>
  </si>
  <si>
    <t>PINMEL20250227002</t>
  </si>
  <si>
    <t>RAC-190/
SNBU8389726</t>
  </si>
  <si>
    <t>MDAJB250428D0053</t>
  </si>
  <si>
    <t>Polyaire PO #41147, req date:2025/5/20. RAC CIF 1100, FOB Beijiao, SNL</t>
  </si>
  <si>
    <t>Polyaire PO #41147, PO250226213</t>
  </si>
  <si>
    <t>Polyaire PO #41147</t>
  </si>
  <si>
    <t>PINMEL20250312052</t>
  </si>
  <si>
    <t>RAC-260/
SNBU8246535</t>
  </si>
  <si>
    <t>MDAJB250509D0007</t>
  </si>
  <si>
    <t>PINMEL20250312053</t>
  </si>
  <si>
    <t>RAC-261/
TGBU5132263</t>
  </si>
  <si>
    <t>MDAJB250508D0004</t>
  </si>
  <si>
    <t>PINMEL20250312054</t>
  </si>
  <si>
    <t>RAC-262/
BHCU5007125</t>
  </si>
  <si>
    <t>MDAJB250509D0003</t>
  </si>
  <si>
    <t>PINMEL20250312058</t>
  </si>
  <si>
    <t>RAC-266/
SLPU5010676</t>
  </si>
  <si>
    <t>MDAJB250509D0001</t>
  </si>
  <si>
    <t>PINMEL20250312060</t>
  </si>
  <si>
    <t>RAC-268/
FDCU0000649</t>
  </si>
  <si>
    <t>MDAJB250508D0003</t>
  </si>
  <si>
    <t>PINBRI20250228002</t>
  </si>
  <si>
    <t>RAC-197/
FFAU4728785</t>
  </si>
  <si>
    <t>MDAJB250507D0004</t>
  </si>
  <si>
    <t>PO250228217. RAC CIF 1100, POL-Beijiao, SNL</t>
  </si>
  <si>
    <t>RAC-149/
FFAU6092774</t>
  </si>
  <si>
    <t>MDAJB250508D0012</t>
  </si>
  <si>
    <t>Polayire PO #41382, req date:2025/5/25。原RAC-149 PO250208150, 2月26拆原RAC-149+178+179, 凑成这个柜</t>
  </si>
  <si>
    <t>Polayire PO #41382. RAC CIF 1200, POL-Beijiao, OOCL</t>
  </si>
  <si>
    <t>2025.2.11</t>
  </si>
  <si>
    <t>Polayire PO #41382</t>
  </si>
  <si>
    <t>PINMEL20250312065</t>
  </si>
  <si>
    <t>RAC-273/
CSNU7664280</t>
  </si>
  <si>
    <t>MDAWB250510D0003</t>
  </si>
  <si>
    <t>PO250312236. RAC CIF 1600, POL-NANJING, COSCO</t>
  </si>
  <si>
    <t>PINMEL20250312066</t>
  </si>
  <si>
    <t>RAC-274/
OOCU7876594</t>
  </si>
  <si>
    <t>MDAWB250512D0004</t>
  </si>
  <si>
    <t>PINMEL20250312067</t>
  </si>
  <si>
    <t>RAC-275/
CSNU7743543</t>
  </si>
  <si>
    <t>MDAWB250512D0005</t>
  </si>
  <si>
    <t>PINMEL20250312068</t>
  </si>
  <si>
    <t>RAC-276/
OOLU6829505</t>
  </si>
  <si>
    <t>MDAWB250512D0006</t>
  </si>
  <si>
    <t>PINMEL20250312040</t>
  </si>
  <si>
    <t>RSJ-23/300RDN7-L2-D</t>
  </si>
  <si>
    <t>RAC-248/
ONEU5076710</t>
  </si>
  <si>
    <t>MDAWB250514D0005</t>
  </si>
  <si>
    <t>PO250311234, RAC CIF 1500, POL-NANJING, ONE</t>
  </si>
  <si>
    <t>PINMEL20250312038</t>
  </si>
  <si>
    <t>RSJ-V28/235RDN7-L2</t>
  </si>
  <si>
    <t>RAC-246/
FFAU6279791</t>
  </si>
  <si>
    <t>MDAWB250513D0009</t>
  </si>
  <si>
    <t>PO250311234, RAC CIF 1400, POL-SHANGHAI, COSCO</t>
  </si>
  <si>
    <t>PINMEL20250312039</t>
  </si>
  <si>
    <t>RAC-247/
FFAU3102544</t>
  </si>
  <si>
    <t>MDAWB250513D0011</t>
  </si>
  <si>
    <t>PO250311234, RAC CIF 1400, POL-SHANGHAI, COSCO.放入2台RAC 235热水机样机：MHP235I-E1</t>
  </si>
  <si>
    <t>PINMEL20250312063</t>
  </si>
  <si>
    <t>RAC-271/
TGBU5037163</t>
  </si>
  <si>
    <t>MDAJB250515D0001</t>
  </si>
  <si>
    <t>PINMEL20250312070</t>
  </si>
  <si>
    <t>RAC-278/
CSNU7597048</t>
  </si>
  <si>
    <t>MDAJB250516D0006</t>
  </si>
  <si>
    <t>PO250312236. RAC CIF 1400, POL-SHEKOU, COSCO</t>
  </si>
  <si>
    <t>PINMEL20250211029</t>
  </si>
  <si>
    <t>RAC-182/
BEAU6054228</t>
  </si>
  <si>
    <t>MDAJB250514D0035</t>
  </si>
  <si>
    <t>PO250208168. RAC CIF 1400, POL-SHEKOU, COSCO</t>
  </si>
  <si>
    <t>PINMEL20250211030</t>
  </si>
  <si>
    <t>RAC-183/
CSNU7698742</t>
  </si>
  <si>
    <t>MDAJB250514D0036</t>
  </si>
  <si>
    <t>PO250208169. RAC CIF 1400, POL-SHEKOU, COSCO</t>
  </si>
  <si>
    <t>PINMEL20250312050</t>
  </si>
  <si>
    <t>RAC-258/
FCIU9577312</t>
  </si>
  <si>
    <t>MDAJB250514D0034</t>
  </si>
  <si>
    <t>PINMEL20250312051</t>
  </si>
  <si>
    <t>RAC-259/
UETU6427964</t>
  </si>
  <si>
    <t>MDAJB250514D0037</t>
  </si>
  <si>
    <t>2025.3.5</t>
  </si>
  <si>
    <t>PINMEL20250306001</t>
  </si>
  <si>
    <t>RAC-203/
TGHU6638880</t>
  </si>
  <si>
    <t>MDAJB250515D0004</t>
  </si>
  <si>
    <t>polyaire PO #41821, REQ DATE: 2025/6/5。RAC CIF 1200, FOB Beijiao, OOCL</t>
  </si>
  <si>
    <t>polyaire PO #41821, PO250305227</t>
  </si>
  <si>
    <t>polyaire PO #41821</t>
  </si>
  <si>
    <t>2025.3.27</t>
  </si>
  <si>
    <t>PINBRI20250401003</t>
  </si>
  <si>
    <t>RAC-316/
SNBU8345369</t>
  </si>
  <si>
    <t>MDAJB250516D0016</t>
  </si>
  <si>
    <t>到柜前提醒Edwin，避免爆仓。RAC CIF 1100, POL-Beijiao, SNL</t>
  </si>
  <si>
    <t>MFAB70WB</t>
  </si>
  <si>
    <t>2025.3.17</t>
  </si>
  <si>
    <t>PINADE20250317002</t>
  </si>
  <si>
    <t>RAC-282/
BEAU5775750</t>
  </si>
  <si>
    <t>MDAJB250515D0005</t>
  </si>
  <si>
    <t>Polyaire PO #42403 - 10 Gepps Cross</t>
  </si>
  <si>
    <t>RAC CIF 1200</t>
  </si>
  <si>
    <t>PINBRI20250401001</t>
  </si>
  <si>
    <t>RAC-314/
TIIU5689113</t>
  </si>
  <si>
    <t>MDAJB250524D0005</t>
  </si>
  <si>
    <t>到柜前提醒Edwin，避免爆仓.RAC CIF 1400,POL-BEJJIAO,COSCO</t>
  </si>
  <si>
    <t>MFAB90WB</t>
  </si>
  <si>
    <t>PINBRI20250401002</t>
  </si>
  <si>
    <t>RAC-315/
CSNU6139061</t>
  </si>
  <si>
    <t>MDAJB250522D0005</t>
  </si>
  <si>
    <t>2025.2.25</t>
  </si>
  <si>
    <t>Polayire PO #41383, req date:2025/5/25. Local pick up. 5/23已与Edwin确认客户已提走</t>
  </si>
  <si>
    <t>Polyaire PO #41150, req date:2025/5/27, Local pick up. 5/23已与Edwin确认客户已提走</t>
  </si>
  <si>
    <t>Polyaire PO #41150, req date:2025/5/27, Local pick up</t>
  </si>
  <si>
    <t>PINBRI20250401004</t>
  </si>
  <si>
    <t>RAC-317/
DFSU7784910</t>
  </si>
  <si>
    <t>MDAJB250524D0010</t>
  </si>
  <si>
    <t>到柜前提醒Edwin，避免爆仓. RAC CIF 1100,POL-BEJJIAO,SNL</t>
  </si>
  <si>
    <t>放入RAC简易展架 -美的牌（杭毅报关）</t>
  </si>
  <si>
    <t>买单报关费用1000RMB，补充在MDAJB250714D0004此票里</t>
  </si>
  <si>
    <t>2024/12/22拼了窗机出货（柜号：TXGU6734231）, 导致有剩余库存</t>
  </si>
  <si>
    <t>3/4 RAC SO被船司取消订舱,, 3月10通知短装, 原柜号：RAC-096</t>
  </si>
  <si>
    <r>
      <rPr>
        <sz val="11"/>
        <color rgb="FF000000"/>
        <rFont val="Calibri"/>
        <charset val="134"/>
      </rPr>
      <t>3/4 RAC SO</t>
    </r>
    <r>
      <rPr>
        <sz val="11"/>
        <color rgb="FF000000"/>
        <rFont val="Calibri"/>
        <charset val="134"/>
      </rPr>
      <t>被船司取消订舱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Calibri"/>
        <charset val="134"/>
      </rPr>
      <t xml:space="preserve">, 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Calibri"/>
        <charset val="134"/>
      </rPr>
      <t>月</t>
    </r>
    <r>
      <rPr>
        <sz val="11"/>
        <color rgb="FF000000"/>
        <rFont val="Calibri"/>
        <charset val="134"/>
      </rPr>
      <t>10</t>
    </r>
    <r>
      <rPr>
        <sz val="11"/>
        <color rgb="FF000000"/>
        <rFont val="Calibri"/>
        <charset val="134"/>
      </rPr>
      <t>通知短装, 原柜号：</t>
    </r>
    <r>
      <rPr>
        <sz val="11"/>
        <color rgb="FF000000"/>
        <rFont val="Calibri"/>
        <charset val="134"/>
      </rPr>
      <t>RAC-096</t>
    </r>
  </si>
  <si>
    <t>2025.2.21</t>
  </si>
  <si>
    <t>PINBRI20250306002</t>
  </si>
  <si>
    <t>RAC-198/
SNBU8367624</t>
  </si>
  <si>
    <t>MDAJB250526D0008</t>
  </si>
  <si>
    <t>Fourways PO-00002642。REQ DATE: 2025/7/2</t>
  </si>
  <si>
    <t>RAC CIF 1100,POL-BEJJIAO,SNL</t>
  </si>
  <si>
    <t>PO250305226</t>
  </si>
  <si>
    <t>RAC简易展架-comfee牌 5套（杭毅报关）</t>
  </si>
  <si>
    <t>买单报关费用800RMB，补充在MDAJB250714D0004此票里</t>
  </si>
  <si>
    <t>原RAC-238+原RAC-241 拼 MBT-210/
TXGU5778554</t>
  </si>
  <si>
    <t>MDAJB250526D0007</t>
  </si>
  <si>
    <t>PO250311234, RAC-238 短装. Martin SO 1600, POL-NANSHA, TSL</t>
  </si>
  <si>
    <t>PO250311234, RAC-238 短装. 放入RAC风管机样机</t>
  </si>
  <si>
    <t>PO250311234, RAC-241 短装 (DOA返修)</t>
  </si>
  <si>
    <t>2025.5.7</t>
  </si>
  <si>
    <t>PINMEL20250508001</t>
  </si>
  <si>
    <t>MDAJZS10202505280134</t>
  </si>
  <si>
    <t>HDB</t>
  </si>
  <si>
    <t>EXW, 澳诚。不需要SN和铭牌信息</t>
  </si>
  <si>
    <t>PINMEL20250312061</t>
  </si>
  <si>
    <t>RAC-269/
SNBU8333959</t>
  </si>
  <si>
    <t>MDAJB250529D0011</t>
  </si>
  <si>
    <t>PO250312236. 原ETD 5.10，RAC说最迟可以六月初出。RAC CIF 1100, POL-Beijiao, SNL</t>
  </si>
  <si>
    <t>PINMEL20250312055</t>
  </si>
  <si>
    <t>RAC-263/
SNBU8359932</t>
  </si>
  <si>
    <t>MDAJB250529D0010</t>
  </si>
  <si>
    <t>PO250312236. 原ETD 5.15，RAC说最迟可以六月初出。RAC CIF 1100, POL-Beijiao, SNL</t>
  </si>
  <si>
    <t>PINMEL20250312062</t>
  </si>
  <si>
    <t>RAC-270/
SNBU8214013</t>
  </si>
  <si>
    <t>MDAJB250528D0019</t>
  </si>
  <si>
    <t>2025.3.7</t>
  </si>
  <si>
    <t>PINSYD20250312072</t>
  </si>
  <si>
    <t>RAC-281/
SNBU8301870</t>
  </si>
  <si>
    <t>MDAJB250528D0020</t>
  </si>
  <si>
    <t>Polyaire PO #41959 - 81 Prestons</t>
  </si>
  <si>
    <t>RAC CIF 1100</t>
  </si>
  <si>
    <t>PO250313243</t>
  </si>
  <si>
    <t>PINBRI20250312073</t>
  </si>
  <si>
    <t>RAC-205/
BSIU9885550</t>
  </si>
  <si>
    <t>MDAJB250528D0021</t>
  </si>
  <si>
    <r>
      <rPr>
        <sz val="10"/>
        <rFont val="Calibri"/>
        <charset val="134"/>
      </rPr>
      <t>Polyaire PO #41961 - 52 Molendinar</t>
    </r>
    <r>
      <rPr>
        <sz val="11"/>
        <color rgb="FF000000"/>
        <rFont val="Calibri"/>
        <charset val="134"/>
      </rPr>
      <t xml:space="preserve">
Polyaire PO #41961</t>
    </r>
  </si>
  <si>
    <t>PO250312238</t>
  </si>
  <si>
    <t>Customer Req: Deliver with RAC-206</t>
  </si>
  <si>
    <t>PINBRI20250312074</t>
  </si>
  <si>
    <t>RAC-206/
SNBU8460510</t>
  </si>
  <si>
    <t>MDAJB250528D0022</t>
  </si>
  <si>
    <t>Polyaire PO #41961 - 52 Molendinar</t>
  </si>
  <si>
    <t>Customer Req: Deliver with RAC-205</t>
  </si>
  <si>
    <t>PINBRI20250312076</t>
  </si>
  <si>
    <t>RAC-208/
SNBU8280946</t>
  </si>
  <si>
    <t>MDAJB250528D0023</t>
  </si>
  <si>
    <t>Polyaire PO #41962 - 53 Acacia Ridge</t>
  </si>
  <si>
    <t>PINFRE20250317003</t>
  </si>
  <si>
    <t>RAC-283/
TGBU8078422</t>
  </si>
  <si>
    <t>MDAJB250528D0017</t>
  </si>
  <si>
    <t>Polyaire PO #42398 - 31 Wangara</t>
  </si>
  <si>
    <t>PINFRE20250212004</t>
  </si>
  <si>
    <t>RAC-133/
TXGU4090973</t>
  </si>
  <si>
    <t>MDAJB250527D0005</t>
  </si>
  <si>
    <t>PO-00002566</t>
  </si>
  <si>
    <t>PO250210192</t>
  </si>
  <si>
    <t>PINMEL20250312059</t>
  </si>
  <si>
    <t>RAC-267/
FFAU3409926</t>
  </si>
  <si>
    <t>MDAJB250528D0018</t>
  </si>
  <si>
    <t xml:space="preserve">PO250312236. </t>
  </si>
  <si>
    <t>2025.4.24</t>
  </si>
  <si>
    <t>PINMEL20250425001</t>
  </si>
  <si>
    <t>RAC-332/
OOCU9333528</t>
  </si>
  <si>
    <t>MDAWB250529D0005</t>
  </si>
  <si>
    <t>RAC CIF 1280</t>
  </si>
  <si>
    <t>PINMEL20250425002</t>
  </si>
  <si>
    <t>RAC-333/
FFAU3196203</t>
  </si>
  <si>
    <t>MDAWB250529D0009</t>
  </si>
  <si>
    <r>
      <rPr>
        <sz val="11"/>
        <color rgb="FF000000"/>
        <rFont val="Calibri"/>
        <charset val="134"/>
      </rPr>
      <t>PO250311234, </t>
    </r>
    <r>
      <rPr>
        <sz val="11"/>
        <color rgb="FF000000"/>
        <rFont val="Calibri"/>
        <charset val="134"/>
      </rPr>
      <t>原</t>
    </r>
    <r>
      <rPr>
        <sz val="11"/>
        <color rgb="FF000000"/>
        <rFont val="Calibri"/>
        <charset val="134"/>
      </rPr>
      <t>RAC-247</t>
    </r>
    <r>
      <rPr>
        <sz val="11"/>
        <color rgb="FF000000"/>
        <rFont val="Calibri"/>
        <charset val="134"/>
      </rPr>
      <t>返修短装</t>
    </r>
    <r>
      <rPr>
        <sz val="11"/>
        <color rgb="FF000000"/>
        <rFont val="Calibri"/>
        <charset val="134"/>
      </rPr>
      <t>, </t>
    </r>
    <r>
      <rPr>
        <sz val="11"/>
        <color rgb="FF000000"/>
        <rFont val="Calibri"/>
        <charset val="134"/>
      </rPr>
      <t>放入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Calibri"/>
        <charset val="134"/>
      </rPr>
      <t>台</t>
    </r>
    <r>
      <rPr>
        <sz val="11"/>
        <color rgb="FF000000"/>
        <rFont val="Calibri"/>
        <charset val="134"/>
      </rPr>
      <t>RAC 235</t>
    </r>
    <r>
      <rPr>
        <sz val="11"/>
        <color rgb="FF000000"/>
        <rFont val="Calibri"/>
        <charset val="134"/>
      </rPr>
      <t>热水机样机</t>
    </r>
  </si>
  <si>
    <t>PINMEL20250425003</t>
  </si>
  <si>
    <t>RAC-334/
TIIU4929992</t>
  </si>
  <si>
    <t>MDAWB250529D0004</t>
  </si>
  <si>
    <t>PINMEL20250425005</t>
  </si>
  <si>
    <t>RAC-336/
OOCU9681565</t>
  </si>
  <si>
    <t>MDAWB250529D0008</t>
  </si>
  <si>
    <t>PINMEL20250425007</t>
  </si>
  <si>
    <t>RAC-338/
OOCU7748295</t>
  </si>
  <si>
    <t>MDAWB250529D0006</t>
  </si>
  <si>
    <t>PINMEL20250425006</t>
  </si>
  <si>
    <t>RAC-337/
FFAU7077413</t>
  </si>
  <si>
    <t>MDAWB250530D0006</t>
  </si>
  <si>
    <t>RAC CIF 1600</t>
  </si>
  <si>
    <t>PINMEL20250425004</t>
  </si>
  <si>
    <t>RAC-335/
OOCU7268660</t>
  </si>
  <si>
    <t>MDAWB250530D0007</t>
  </si>
  <si>
    <t>2025.4.28</t>
  </si>
  <si>
    <t>PINMEL20250430001</t>
  </si>
  <si>
    <t>MDAJZS10202505300254</t>
  </si>
  <si>
    <t>Duncan</t>
  </si>
  <si>
    <t>EXW, 澳诚</t>
  </si>
  <si>
    <t>线控器120M</t>
  </si>
  <si>
    <t>PINMEL20250326017</t>
  </si>
  <si>
    <t>RAC-301/
CSNU8101580</t>
  </si>
  <si>
    <t>MDAJB250610D0005</t>
  </si>
  <si>
    <t>PINMEL20250312071</t>
  </si>
  <si>
    <t>RAC-279/
SEKU4666690</t>
  </si>
  <si>
    <t>MDAJB250612D0008</t>
  </si>
  <si>
    <t>PO250312236</t>
  </si>
  <si>
    <t>Polyaire PO #42098 本地Pick up</t>
  </si>
  <si>
    <t>PINBRI20250312075</t>
  </si>
  <si>
    <t>RAC-207/
OOCU7243908</t>
  </si>
  <si>
    <t>MDAJB250609D0003</t>
  </si>
  <si>
    <t>PO250312240</t>
  </si>
  <si>
    <t>PINSYD20250425021</t>
  </si>
  <si>
    <t>RAC-352/
CSNU7554386</t>
  </si>
  <si>
    <t>MDAWB250606D0009</t>
  </si>
  <si>
    <t>RAC CIF 1280. JD悉尼仓</t>
  </si>
  <si>
    <t>PINSYD20250425022</t>
  </si>
  <si>
    <t>RAC-353/
FCIU9897002</t>
  </si>
  <si>
    <t>MDAWB250607D0003</t>
  </si>
  <si>
    <t>PINSYD20250425023</t>
  </si>
  <si>
    <t>RAC-354/
CSNU7704486</t>
  </si>
  <si>
    <t>MDAWB250607D0004</t>
  </si>
  <si>
    <t>PINSYD20250425024</t>
  </si>
  <si>
    <t>RAC-355/
SELU4255187</t>
  </si>
  <si>
    <t>MDAWB250607D0005</t>
  </si>
  <si>
    <t>PINSYD20250425025</t>
  </si>
  <si>
    <t>RAC-356/
FFAU1584107</t>
  </si>
  <si>
    <t>MDAWB250607D0006</t>
  </si>
  <si>
    <t>PINSYD20250425026</t>
  </si>
  <si>
    <t>RAC-357/
TCKU7754600</t>
  </si>
  <si>
    <t>MDAWB250607D0007</t>
  </si>
  <si>
    <t>PINSYD20250425027</t>
  </si>
  <si>
    <t>RAC-358/
OOCU7313348</t>
  </si>
  <si>
    <t>MDAWB250607D0008</t>
  </si>
  <si>
    <t>PINSYD20250425029</t>
  </si>
  <si>
    <t>RAC-360/
TGBU4339636</t>
  </si>
  <si>
    <t>MDAWB250607D0009</t>
  </si>
  <si>
    <t>PINSYD20250425028</t>
  </si>
  <si>
    <t>RAC-359/
CSLU6064704</t>
  </si>
  <si>
    <t>MDAWB250609D0013</t>
  </si>
  <si>
    <t>RAC CIF 1600. JD悉尼仓</t>
  </si>
  <si>
    <t>2025.3.13</t>
  </si>
  <si>
    <t>PINMEL20250317001</t>
  </si>
  <si>
    <t>RAC-280/
BHCU4986815</t>
  </si>
  <si>
    <t>MDAJB250617D0004</t>
  </si>
  <si>
    <t>Polyaire PO #42234</t>
  </si>
  <si>
    <t>PO250314244</t>
  </si>
  <si>
    <t>PINSYD20250401005</t>
  </si>
  <si>
    <t>RAC-318/
SNBU8416858</t>
  </si>
  <si>
    <t>MDAJB250607D0009</t>
  </si>
  <si>
    <t>Local delivery</t>
  </si>
  <si>
    <t>Polyaire PO #41960, REQ DATE: 2025/7/7。Local Delivery - 51 Hendra</t>
  </si>
  <si>
    <r>
      <rPr>
        <sz val="11"/>
        <color rgb="FFFF0000"/>
        <rFont val="Calibri"/>
        <charset val="134"/>
      </rPr>
      <t>Polyaire PO #41960</t>
    </r>
    <r>
      <rPr>
        <sz val="11"/>
        <color rgb="FFFF0000"/>
        <rFont val="Calibri"/>
        <charset val="134"/>
      </rPr>
      <t xml:space="preserve">, </t>
    </r>
    <r>
      <rPr>
        <sz val="11"/>
        <color rgb="FFFF0000"/>
        <rFont val="Calibri"/>
        <charset val="134"/>
      </rPr>
      <t>REQ DATE: 2025/7/7</t>
    </r>
    <r>
      <rPr>
        <sz val="11"/>
        <color rgb="FFFF0000"/>
        <rFont val="Calibri"/>
        <charset val="134"/>
      </rPr>
      <t>。</t>
    </r>
    <r>
      <rPr>
        <sz val="11"/>
        <color rgb="FFFF0000"/>
        <rFont val="Calibri"/>
        <charset val="134"/>
      </rPr>
      <t>Local Delivery</t>
    </r>
  </si>
  <si>
    <t>Polyaire PO #41960, REQ DATE: 2025/7/7。Local Delivery</t>
  </si>
  <si>
    <t>PINMEL20250321001</t>
  </si>
  <si>
    <t>RAC-284/
SNBU8189348</t>
  </si>
  <si>
    <t>MDAJB250616D0011</t>
  </si>
  <si>
    <t>Polyaire PO #42367 - 22 Dandanong South</t>
  </si>
  <si>
    <t>Polyaire PO #42707 Local pick up</t>
  </si>
  <si>
    <t>PINFRE20250212005</t>
  </si>
  <si>
    <t>RAC-134/
CSNU6884362</t>
  </si>
  <si>
    <t>MDAJB250623D0002</t>
  </si>
  <si>
    <t>PO-00002569</t>
  </si>
  <si>
    <t>PO250210193</t>
  </si>
  <si>
    <t>2025.4.7</t>
  </si>
  <si>
    <t>PINBRI20250409001</t>
  </si>
  <si>
    <t>RAC-326/
CAIU9446968</t>
  </si>
  <si>
    <t>MDAJB250630D0025</t>
  </si>
  <si>
    <t>Polyaire PO #43474 - 52 Molendinar</t>
  </si>
  <si>
    <t>MFAB-26WC外纸箱1个, 原PO #36176 破损</t>
  </si>
  <si>
    <t>2025.5.27</t>
  </si>
  <si>
    <t>PINMEL20250528001</t>
  </si>
  <si>
    <t>MDAJZS10202507040238</t>
  </si>
  <si>
    <t>配遥控器+FOC线控器</t>
  </si>
  <si>
    <t>2025.5.28</t>
  </si>
  <si>
    <t>MDAJZS10202507040214</t>
  </si>
  <si>
    <t>YZ Modular</t>
  </si>
  <si>
    <t>2025.3.24</t>
  </si>
  <si>
    <t>PINMEL20250326001</t>
  </si>
  <si>
    <t>RAC-285/
CAAU8676238</t>
  </si>
  <si>
    <t>MDAJB250629D0010</t>
  </si>
  <si>
    <t>Polyaire PO #42781</t>
  </si>
  <si>
    <t>Polyaire PO #42863, local pick up</t>
  </si>
  <si>
    <t>PINBRI20250409002</t>
  </si>
  <si>
    <t>RAC-327/
CSNU6741145</t>
  </si>
  <si>
    <t>MDAJB250710D0009</t>
  </si>
  <si>
    <t>Polyaire PO #43475 - 53 Acacia Ridge</t>
  </si>
  <si>
    <t>PINSYD20250415001</t>
  </si>
  <si>
    <t>RAC-328/
OOCU7222994</t>
  </si>
  <si>
    <t>MDAJB250707D0004</t>
  </si>
  <si>
    <t>Polyaire PO #43470 - 81 Prestons</t>
  </si>
  <si>
    <t xml:space="preserve"> RAC CIF 1600</t>
  </si>
  <si>
    <t>2025.5.1</t>
  </si>
  <si>
    <t>PINFRE20250507001</t>
  </si>
  <si>
    <t>RAC-374/
OOCU8763273</t>
  </si>
  <si>
    <t>MDAJB250714D0012</t>
  </si>
  <si>
    <t>Polyaire PO #44505 - 31 Wangara</t>
  </si>
  <si>
    <t>RAC CIF 1176</t>
  </si>
  <si>
    <t>PINMEL20250312069</t>
  </si>
  <si>
    <t>RAC-277/
UETU7213381</t>
  </si>
  <si>
    <t>MDAJB250713D0007</t>
  </si>
  <si>
    <t>PINMEL20250312056</t>
  </si>
  <si>
    <t>RAC-264/
FCIU7241123</t>
  </si>
  <si>
    <t>MDAJB250711D0003</t>
  </si>
  <si>
    <t>放入RAC 9台新品样机-通知Justin</t>
  </si>
  <si>
    <t>PINMEL20250312057</t>
  </si>
  <si>
    <t>RAC-265/
TEMU8372524</t>
  </si>
  <si>
    <t>MDAJB250714D0011</t>
  </si>
  <si>
    <t>PINMEL20250326002</t>
  </si>
  <si>
    <t>RAC-286/
FFAU4718621</t>
  </si>
  <si>
    <t>MDAJB250716D0002</t>
  </si>
  <si>
    <t>PINMEL20250331001</t>
  </si>
  <si>
    <t>RAC-302/
SNBU8232146</t>
  </si>
  <si>
    <t>MDAJB250710D0010</t>
  </si>
  <si>
    <t>PINMEL20250331002</t>
  </si>
  <si>
    <t>RAC-303/
SNBU8346895</t>
  </si>
  <si>
    <t>MDAJB250716D0003</t>
  </si>
  <si>
    <t>RAC CIF 1100, POL-BEIJIAO, SNL</t>
  </si>
  <si>
    <t>因装柜时弄坏，短装1台</t>
  </si>
  <si>
    <t>2025.5.29</t>
  </si>
  <si>
    <t>PINBRI20250603002</t>
  </si>
  <si>
    <t>RAC-377拼MBT-208 &amp; MBT-209/
SNBU8320458</t>
  </si>
  <si>
    <t>MDAJB250713D0008</t>
  </si>
  <si>
    <r>
      <rPr>
        <sz val="11"/>
        <color rgb="FFFF0000"/>
        <rFont val="Calibri"/>
        <charset val="134"/>
      </rPr>
      <t xml:space="preserve">ab尾单. </t>
    </r>
    <r>
      <rPr>
        <sz val="11"/>
        <color rgb="FF000000"/>
        <rFont val="Calibri"/>
        <charset val="134"/>
      </rPr>
      <t>6/19 Edwin通知挪10台去VIC；</t>
    </r>
  </si>
  <si>
    <t>2025.6.17</t>
  </si>
  <si>
    <t>PINBRI20250623001</t>
  </si>
  <si>
    <t>2025.6.27</t>
  </si>
  <si>
    <t>PINMEL20250627001</t>
  </si>
  <si>
    <t>MDAJZS10202507140355</t>
  </si>
  <si>
    <t>MEIZONG</t>
  </si>
  <si>
    <t>Sample</t>
  </si>
  <si>
    <t>2025.4.23</t>
  </si>
  <si>
    <t>PINFRE20250425042</t>
  </si>
  <si>
    <t>RAC-330/
OOLU9776585</t>
  </si>
  <si>
    <t>MDAJB250713D0006</t>
  </si>
  <si>
    <t>Polyaire PO #44141 - 31 Wangara</t>
  </si>
  <si>
    <t>RAC CIF 1076</t>
  </si>
  <si>
    <t>PINADE20250425043</t>
  </si>
  <si>
    <t>RAC-331/
SLEU4943930</t>
  </si>
  <si>
    <t>MDAJB250714D0004</t>
  </si>
  <si>
    <t>Polyaire PO #44143 - 10 Gepps Cross</t>
  </si>
  <si>
    <t>发票里增加了1800RMB，为RAC-317&amp;198的RAC展架 杭毅买单报关费用</t>
  </si>
  <si>
    <t>PINMEL20250425010</t>
  </si>
  <si>
    <t>RAC-341/
OOCU7442094</t>
  </si>
  <si>
    <t>MDAWB250716D0006</t>
  </si>
  <si>
    <t>PINMEL20250425015</t>
  </si>
  <si>
    <t>RAC-346/
CSNU7407934</t>
  </si>
  <si>
    <t>MDAWB250718D0005</t>
  </si>
  <si>
    <t>PINSYD20250425035</t>
  </si>
  <si>
    <t>RAC-366/
CSNU6443752</t>
  </si>
  <si>
    <t>MDAWB250717D0001</t>
  </si>
  <si>
    <t>PINSYD20250425036</t>
  </si>
  <si>
    <t>RAC-367/
TGBU4886700</t>
  </si>
  <si>
    <t>MDAWB250718D0006</t>
  </si>
  <si>
    <t>PINMEL20250425008</t>
  </si>
  <si>
    <t>PINSYD20250425037</t>
  </si>
  <si>
    <t>RAC-368/
FSCU8592815</t>
  </si>
  <si>
    <t>MDAWB250717D0002</t>
  </si>
  <si>
    <t>RAC-339/
CSNU8065939</t>
  </si>
  <si>
    <t>MDAWB250716D0002</t>
  </si>
  <si>
    <t>去VIC热水机配件共两箱（2.702CBM）; RAC CIF 1256; 短装4台热水机</t>
  </si>
  <si>
    <t>PINMEL20250425009</t>
  </si>
  <si>
    <t>RAC-340/
CCLU7665761</t>
  </si>
  <si>
    <t>MDAWB250716D0009</t>
  </si>
  <si>
    <t>RAC CIF 1256</t>
  </si>
  <si>
    <t>PINMEL20250425014</t>
  </si>
  <si>
    <t>RAC-345/
FFAU3618269</t>
  </si>
  <si>
    <t>MDAWB250716D0008</t>
  </si>
  <si>
    <t>PINMEL20250425016</t>
  </si>
  <si>
    <t>RAC-347/
FBLU0175892</t>
  </si>
  <si>
    <t>MDAWB250717D0003</t>
  </si>
  <si>
    <t>PINMEL20250425017</t>
  </si>
  <si>
    <t>RAC-348/
OOCU7782160</t>
  </si>
  <si>
    <t>MDAWB250716D0007</t>
  </si>
  <si>
    <t>PINMEL20250326003</t>
  </si>
  <si>
    <t>RAC-287/
TGBU5128880</t>
  </si>
  <si>
    <t>MDAJB250719D0006</t>
  </si>
  <si>
    <t>PINMEL20250326004</t>
  </si>
  <si>
    <t>RAC-288/
SNBU8285697</t>
  </si>
  <si>
    <t>MDAJB250716D0012</t>
  </si>
  <si>
    <t>PINMEL20250618001</t>
  </si>
  <si>
    <t>MDAJZS10202507150072</t>
  </si>
  <si>
    <t>YUGUANG</t>
  </si>
  <si>
    <t>N</t>
  </si>
  <si>
    <t>不含运输费</t>
  </si>
  <si>
    <t>MULMID09C</t>
  </si>
  <si>
    <t>KJR-120M</t>
  </si>
  <si>
    <t>PINSYD20250425030</t>
  </si>
  <si>
    <t>RAC-361/
TEMU7997306</t>
  </si>
  <si>
    <t>MDAWB250721D0010</t>
  </si>
  <si>
    <t>去NSW热水机配件共一箱（1.792CBM)配件到墨尔本后本地邮寄到悉尼； RAC CIF 1600；短装4台热水机；</t>
  </si>
  <si>
    <t>PINMEL20250425011</t>
  </si>
  <si>
    <t>RAC-342/
TGBU8646435</t>
  </si>
  <si>
    <t>MDAWB250721D0004</t>
  </si>
  <si>
    <t>PINMEL20250425012</t>
  </si>
  <si>
    <t>RAC-343/
FCIU9850983</t>
  </si>
  <si>
    <t>MDAWB250721D0006</t>
  </si>
  <si>
    <t>PINMEL20250425013</t>
  </si>
  <si>
    <t>RAC-344/
FFAU6944530</t>
  </si>
  <si>
    <t>MDAWB250721D0005</t>
  </si>
  <si>
    <t>PINSYD20250425031</t>
  </si>
  <si>
    <t>RAC-362/
FSCU8512580</t>
  </si>
  <si>
    <t>MDAWB250721D0007</t>
  </si>
  <si>
    <t>PINSYD20250425032</t>
  </si>
  <si>
    <t>RAC-363/
OOCU8651838</t>
  </si>
  <si>
    <t>MDAWB250722D0003</t>
  </si>
  <si>
    <t>PINMEL20250425019</t>
  </si>
  <si>
    <t>RAC-350/
TCNU1735905</t>
  </si>
  <si>
    <t>MDAWB250722D0004</t>
  </si>
  <si>
    <t>PINSYD20250425033</t>
  </si>
  <si>
    <t>RAC-364/
CSNU7341415</t>
  </si>
  <si>
    <t>MDAWB250722D0005</t>
  </si>
  <si>
    <t>PINSYD20250425034</t>
  </si>
  <si>
    <t>RAC-365/
CSNU6260659</t>
  </si>
  <si>
    <t>MDAWB250722D0007</t>
  </si>
  <si>
    <t>PINMEL20250425018</t>
  </si>
  <si>
    <t>RAC-349/
TGBU7693772</t>
  </si>
  <si>
    <t>MDAWB250722D0006</t>
  </si>
  <si>
    <t>PINMEL20250603001</t>
  </si>
  <si>
    <t>RAC-385拼MBT-181/
TIIU4464724</t>
  </si>
  <si>
    <t>MDAJB250717D0007</t>
  </si>
  <si>
    <r>
      <rPr>
        <sz val="11"/>
        <color rgb="FFFF0000"/>
        <rFont val="Calibri"/>
        <charset val="134"/>
      </rPr>
      <t>抵扣</t>
    </r>
    <r>
      <rPr>
        <sz val="11"/>
        <color rgb="FFFF0000"/>
        <rFont val="Calibri"/>
        <charset val="134"/>
      </rPr>
      <t>Detention Fee (NYKU4823963) AUD192.5=CNY905</t>
    </r>
  </si>
  <si>
    <t>ab尾单</t>
  </si>
  <si>
    <t>PINFRE20250508002</t>
  </si>
  <si>
    <t>RAC-375/
TGBU9822776</t>
  </si>
  <si>
    <t>MDAJB250720D0006</t>
  </si>
  <si>
    <t>Polyaire PO #44721 - 31 Wangara</t>
  </si>
  <si>
    <t>2025.3.26</t>
  </si>
  <si>
    <t>PINMEL20250327001</t>
  </si>
  <si>
    <t>RAC-373/
TGBU9831192</t>
  </si>
  <si>
    <t>MDAJB250725D0023</t>
  </si>
  <si>
    <t>Polyaire PO #42911</t>
  </si>
  <si>
    <t>PINBRI20250306003</t>
  </si>
  <si>
    <t>RAC-199/
TIIU4856448</t>
  </si>
  <si>
    <t>MDAJB250725D0022</t>
  </si>
  <si>
    <t>Fourrways PO-00002643</t>
  </si>
  <si>
    <t>PO250305222</t>
  </si>
  <si>
    <t>放入1台CASN-XG20的透明内机</t>
  </si>
  <si>
    <t>PINMEL20250326015</t>
  </si>
  <si>
    <t>RAC-299/
OOCU9636843</t>
  </si>
  <si>
    <t>MDAWB250725D0004</t>
  </si>
  <si>
    <t>PINMEL20250326016</t>
  </si>
  <si>
    <t>RAC-300/
TRHU4404709</t>
  </si>
  <si>
    <t>MDAWB250725D0003</t>
  </si>
  <si>
    <t>PINMEL20250331006</t>
  </si>
  <si>
    <t>RAC-307/
TLLU7739365</t>
  </si>
  <si>
    <t>MDAWB250729D0012</t>
  </si>
  <si>
    <t>PINMEL20250331010</t>
  </si>
  <si>
    <t>RAC-311/
FFAU5577256</t>
  </si>
  <si>
    <t>MDAWB250729D0011</t>
  </si>
  <si>
    <t>PINMEL20250425020</t>
  </si>
  <si>
    <t>RAC-351/
FFAU3637968</t>
  </si>
  <si>
    <t>MDAWB250725D0005</t>
  </si>
  <si>
    <t>RAC CIF 1418</t>
  </si>
  <si>
    <t>PINSYD20250425038</t>
  </si>
  <si>
    <t>RAC-369/
NYKU5650918</t>
  </si>
  <si>
    <t>MDAWB250725D0006</t>
  </si>
  <si>
    <t>PINSYD20250425039</t>
  </si>
  <si>
    <t>RAC-370/
TCNU7999799</t>
  </si>
  <si>
    <t>MDAWB250725D0007</t>
  </si>
  <si>
    <t>PINMEL20250331007</t>
  </si>
  <si>
    <t>RAC-308/
TGBU5895250</t>
  </si>
  <si>
    <t>MDAWB250726D0006</t>
  </si>
  <si>
    <t>PINBRI20250425041</t>
  </si>
  <si>
    <t>RAC-372/
UETU5888051</t>
  </si>
  <si>
    <t>MDAWB250726D0007</t>
  </si>
  <si>
    <t>PINMEL20250331008</t>
  </si>
  <si>
    <t>RAC-309/
OOCU8904725</t>
  </si>
  <si>
    <t>MDAWB250728D0003</t>
  </si>
  <si>
    <t>PINMEL20250331009</t>
  </si>
  <si>
    <t>RAC-310/
UETU5196665</t>
  </si>
  <si>
    <t>MDAWB250728D0001</t>
  </si>
  <si>
    <t>PINBRI20250425040</t>
  </si>
  <si>
    <t>RAC-371/
CAAU9112715</t>
  </si>
  <si>
    <t>MDAWB250728D0002</t>
  </si>
  <si>
    <t>2025.5.23</t>
  </si>
  <si>
    <t>PINFRE20250523001</t>
  </si>
  <si>
    <t>RAC-376/
FFAU3039987</t>
  </si>
  <si>
    <t>MDAJB250801D0001</t>
  </si>
  <si>
    <t>Polyaire PO #45549 - 31 Wangara</t>
  </si>
  <si>
    <t>PINMEL20250331003</t>
  </si>
  <si>
    <t>RAC-304/
FFAU5950502</t>
  </si>
  <si>
    <t>MDAJB250728D0010</t>
  </si>
  <si>
    <t>PINMEL20250331004</t>
  </si>
  <si>
    <t>RAC-305/
CAAU8678307</t>
  </si>
  <si>
    <t>MDAJB250728D0009</t>
  </si>
  <si>
    <t>PINMEL20250331005</t>
  </si>
  <si>
    <t>RAC-306拼MBT-256/
SNBU8419543</t>
  </si>
  <si>
    <t>MDAJB250801D0002</t>
  </si>
  <si>
    <t>AG36短装59台，放入3台光哥的样机+QLD Somerset College学校工程单-5cbm</t>
  </si>
  <si>
    <t>RAC-303短装1台（因装柜时弄坏）</t>
  </si>
  <si>
    <t>PINMEL20250326008</t>
  </si>
  <si>
    <t>RAC-292/
TIIU5620971</t>
  </si>
  <si>
    <t>MDAWB250731D0004</t>
  </si>
  <si>
    <t>PINMEL20250326009</t>
  </si>
  <si>
    <t>RAC-293/
CSNU6644464</t>
  </si>
  <si>
    <t>MDAWB250731D0003</t>
  </si>
  <si>
    <t>PINMEL20250326007</t>
  </si>
  <si>
    <t>RAC-291/
MAGU5359976</t>
  </si>
  <si>
    <t>MDAWB250731D0007</t>
  </si>
  <si>
    <t>PINMEL20250326010</t>
  </si>
  <si>
    <t>RAC-294/
OOCU7487674</t>
  </si>
  <si>
    <t>MDAWB250731D0006</t>
  </si>
  <si>
    <t>PINMEL20250326011</t>
  </si>
  <si>
    <t>RAC-295/
OOLU9622337</t>
  </si>
  <si>
    <t>MDAWB250731D0005</t>
  </si>
  <si>
    <t>PINMEL20250326012</t>
  </si>
  <si>
    <t>RAC-296/
UETU5187560</t>
  </si>
  <si>
    <t>MDAWB250730D0003</t>
  </si>
  <si>
    <t>PINMEL20250326013</t>
  </si>
  <si>
    <t>RAC-297/
FFAU3113153</t>
  </si>
  <si>
    <t>MDAWB250730D0002</t>
  </si>
  <si>
    <t>PINMEL20250326014</t>
  </si>
  <si>
    <t>RAC-298/
TIIU6202580</t>
  </si>
  <si>
    <t>MDAWB250730D0004</t>
  </si>
  <si>
    <t>PINMEL20250506001</t>
  </si>
  <si>
    <t>RAC-329/
SNBU8276627</t>
  </si>
  <si>
    <t>MDAJB250805D0002</t>
  </si>
  <si>
    <t>Polyaire PO #44135 - 22 Dandenong South</t>
  </si>
  <si>
    <t>PINMEL20250326005</t>
  </si>
  <si>
    <t>RAC-289/
SNBU8464202</t>
  </si>
  <si>
    <t>MDAJB250814D0004</t>
  </si>
  <si>
    <t>PINMEL20250407004</t>
  </si>
  <si>
    <t>RAC-322/
OOCU7964340</t>
  </si>
  <si>
    <t>MDAWB250820D0001</t>
  </si>
  <si>
    <t>PINMEL20250407007</t>
  </si>
  <si>
    <t>PINMEL20250407005</t>
  </si>
  <si>
    <t>RAC-323/
CSNU5609052</t>
  </si>
  <si>
    <t>MDAWB250819D0003</t>
  </si>
  <si>
    <t>PINMEL20250407006</t>
  </si>
  <si>
    <t>RAC-324/
CSLU6294815</t>
  </si>
  <si>
    <t>MDAWB250819D0005</t>
  </si>
  <si>
    <t>PINMEL20250326006</t>
  </si>
  <si>
    <t>RAC-290/
SNBU8301015</t>
  </si>
  <si>
    <t>MDAJB250814D0014</t>
  </si>
  <si>
    <t>PINMEL20250407001</t>
  </si>
  <si>
    <t>RAC-319/
SNBU8200010</t>
  </si>
  <si>
    <t>MDAJB250814D0015</t>
  </si>
  <si>
    <t>PINMEL20250407002</t>
  </si>
  <si>
    <t>RAC-320/
SNBU8408256</t>
  </si>
  <si>
    <t>MDAJB250814D0013</t>
  </si>
  <si>
    <t>2025.7.16</t>
  </si>
  <si>
    <t>PINMEL20250716007</t>
  </si>
  <si>
    <t>2025.8.25</t>
  </si>
  <si>
    <t>CRD:8/17</t>
  </si>
  <si>
    <t>2025.7.28</t>
  </si>
  <si>
    <t>PINMEL20250728001</t>
  </si>
  <si>
    <t>MFAG35VB-N</t>
  </si>
  <si>
    <t>CRD:8/20</t>
  </si>
  <si>
    <t>MFAG35VB-W</t>
  </si>
  <si>
    <t>2025.8.27</t>
  </si>
  <si>
    <t>原PINMEL20250407003 （RAC-321），改成PO20250716 EXW所需</t>
  </si>
  <si>
    <t>PINBRI20250306004</t>
  </si>
  <si>
    <t>RAC-200</t>
  </si>
  <si>
    <t>2025.8.29</t>
  </si>
  <si>
    <t>2025.9.27</t>
  </si>
  <si>
    <t xml:space="preserve">Fourways PO-00002645  </t>
  </si>
  <si>
    <t>CRD:8/23</t>
  </si>
  <si>
    <t>PO250305223</t>
  </si>
  <si>
    <t>2025.7.11</t>
  </si>
  <si>
    <t>PINBRI20250716001</t>
  </si>
  <si>
    <t>MFAG20VB-N</t>
  </si>
  <si>
    <t>RAC-387拼MBT-257</t>
  </si>
  <si>
    <t>PO250715026</t>
  </si>
  <si>
    <t>MFAG20VB-W</t>
  </si>
  <si>
    <t>MFAG26VB-N</t>
  </si>
  <si>
    <t>MFAG26VB-W</t>
  </si>
  <si>
    <t>PINBRI20250716003</t>
  </si>
  <si>
    <t>RAC-389</t>
  </si>
  <si>
    <t>PO250715029</t>
  </si>
  <si>
    <t>CRD:8/26</t>
  </si>
  <si>
    <t>MFAG50VB-N</t>
  </si>
  <si>
    <t>MFAG50VB-W</t>
  </si>
  <si>
    <t>RAC-306拼MBT-290</t>
  </si>
  <si>
    <t>2025.9.17</t>
  </si>
  <si>
    <r>
      <rPr>
        <sz val="11"/>
        <color rgb="FFFF0000"/>
        <rFont val="Calibri"/>
        <charset val="134"/>
      </rPr>
      <t>RAC培训架+RAC展架&amp;道具+A7风管机；</t>
    </r>
    <r>
      <rPr>
        <sz val="11"/>
        <color rgb="FF000000"/>
        <rFont val="Calibri"/>
        <charset val="134"/>
      </rPr>
      <t>RAC-306短装. Martin SO</t>
    </r>
  </si>
  <si>
    <t>CRD:7/20</t>
  </si>
  <si>
    <t>PINMEL20250407003</t>
  </si>
  <si>
    <t>其中31台，7月16调至PO20250716 EXW所用. 需要安排从合肥中转到顺德拼柜；原柜序：RAC-321</t>
  </si>
  <si>
    <t>PINBRI20250716002</t>
  </si>
  <si>
    <t>RAC-388</t>
  </si>
  <si>
    <t>2025.8.31</t>
  </si>
  <si>
    <t>2025.9.12</t>
  </si>
  <si>
    <t>PO250715028</t>
  </si>
  <si>
    <t>Martin SO</t>
  </si>
  <si>
    <t>配套短装26VB，放入RAC展架 + RAC展架道具 + Prime Guard 防腐耐用-展示道具（展架+支架）-佑顺报关</t>
  </si>
  <si>
    <t>PINBRI20250716004</t>
  </si>
  <si>
    <t>RAC-390</t>
  </si>
  <si>
    <t>2025.9.5</t>
  </si>
  <si>
    <t>2025.10.4</t>
  </si>
  <si>
    <t>RAC CIF $1100,  POL-BEIJIAO, SNL</t>
  </si>
  <si>
    <t>CRD:8/29</t>
  </si>
  <si>
    <t>PO250715025</t>
  </si>
  <si>
    <t>MFAG70VB-N</t>
  </si>
  <si>
    <t>MFAG70VB-W</t>
  </si>
  <si>
    <t>DUCMI70IC</t>
  </si>
  <si>
    <t>PINBRI20250716005</t>
  </si>
  <si>
    <t>RAC-391</t>
  </si>
  <si>
    <t>PO250715027</t>
  </si>
  <si>
    <t>MFAG90VB-N</t>
  </si>
  <si>
    <t>MFAG90VB-W</t>
  </si>
  <si>
    <t>PINBRI20250716006</t>
  </si>
  <si>
    <t>RAC-392</t>
  </si>
  <si>
    <t>PO250715030</t>
  </si>
  <si>
    <t>DUCMI105IHC</t>
  </si>
  <si>
    <t>UCMI105OC</t>
  </si>
  <si>
    <t>DUCMI125IHC</t>
  </si>
  <si>
    <t>UCMI125OC</t>
  </si>
  <si>
    <t>DUCMI140IHC</t>
  </si>
  <si>
    <t>UCMI140OC</t>
  </si>
  <si>
    <t>DUCMI170IHC</t>
  </si>
  <si>
    <t>UCMI170OC</t>
  </si>
  <si>
    <t>RAC-325</t>
  </si>
  <si>
    <t>2025.9.6</t>
  </si>
  <si>
    <t>2025.9.22</t>
  </si>
  <si>
    <r>
      <rPr>
        <sz val="11"/>
        <color rgb="FFFF0000"/>
        <rFont val="Calibri"/>
        <charset val="134"/>
      </rPr>
      <t>短装；</t>
    </r>
    <r>
      <rPr>
        <sz val="11"/>
        <color rgb="FF000000"/>
        <rFont val="Calibri"/>
        <charset val="134"/>
      </rPr>
      <t>RAC CIF 1400, POL-SHANGHAI, COSCO</t>
    </r>
  </si>
  <si>
    <t>2025.8.28</t>
  </si>
  <si>
    <t>Polyaire PO #45758</t>
  </si>
  <si>
    <t>PINMEL20250717004</t>
  </si>
  <si>
    <t>RAC-396</t>
  </si>
  <si>
    <t>2025.9.7</t>
  </si>
  <si>
    <t>PO250716036</t>
  </si>
  <si>
    <t>PINMEL20250717005</t>
  </si>
  <si>
    <t>PO250716038</t>
  </si>
  <si>
    <t>PINMEL20250717006</t>
  </si>
  <si>
    <t>PO250716039</t>
  </si>
  <si>
    <t>PINMEL20250717007</t>
  </si>
  <si>
    <t>PO250716040</t>
  </si>
  <si>
    <t>RAC-397</t>
  </si>
  <si>
    <t>PINMEL20250717008</t>
  </si>
  <si>
    <t>PO250716041</t>
  </si>
  <si>
    <t>PINMEL20250717009</t>
  </si>
  <si>
    <t>PO250716042</t>
  </si>
  <si>
    <t>PINMEL20250717010</t>
  </si>
  <si>
    <t>PO250716043</t>
  </si>
  <si>
    <t>2025.6.19</t>
  </si>
  <si>
    <t>PINSYD20250625001</t>
  </si>
  <si>
    <t>MFEZ20VA-N</t>
  </si>
  <si>
    <t>RAC-378</t>
  </si>
  <si>
    <t>2025.9.10</t>
  </si>
  <si>
    <t>Polyaire PO #46874 - 81 Prestons</t>
  </si>
  <si>
    <t>MFEZ20VA-W</t>
  </si>
  <si>
    <t>PO250731083</t>
  </si>
  <si>
    <t>MFEZ26VA-N</t>
  </si>
  <si>
    <t>MFEZ26VA-W</t>
  </si>
  <si>
    <t>MFEZ35VA-N</t>
  </si>
  <si>
    <t>MFEZ35VA-W</t>
  </si>
  <si>
    <t>MFEZ50VA-N</t>
  </si>
  <si>
    <t>MFEZ50VA-W</t>
  </si>
  <si>
    <t>MFEZ60VA-N</t>
  </si>
  <si>
    <t>MFEZ60VA-W</t>
  </si>
  <si>
    <t>MFEZ70VA-N</t>
  </si>
  <si>
    <t>MFEZ70VA-W</t>
  </si>
  <si>
    <t>PINBRI20250625003</t>
  </si>
  <si>
    <t>RAC-380</t>
  </si>
  <si>
    <t>Polyaire PO #46882 - 51 Hendra</t>
  </si>
  <si>
    <t>PO250731085</t>
  </si>
  <si>
    <t>MFEZ80VA-N</t>
  </si>
  <si>
    <t>MFEZ80VA-W</t>
  </si>
  <si>
    <t>UCMI70OC</t>
  </si>
  <si>
    <t>DUCMI90IC</t>
  </si>
  <si>
    <t>UCMI90OC</t>
  </si>
  <si>
    <t>PINBRI20250625004</t>
  </si>
  <si>
    <t>RAC-381</t>
  </si>
  <si>
    <t>Polyaire PO #46883 - 52 Molendinar</t>
  </si>
  <si>
    <t>PO250731086</t>
  </si>
  <si>
    <t>PINBRI20250625006</t>
  </si>
  <si>
    <t>RAC-383</t>
  </si>
  <si>
    <t>Polyaire PO #46885 - 53 Acacia Ridge</t>
  </si>
  <si>
    <t>PO250731088</t>
  </si>
  <si>
    <t>RAC-398</t>
  </si>
  <si>
    <t>2025.9.15</t>
  </si>
  <si>
    <t>PINMEL20250717011</t>
  </si>
  <si>
    <t>PO250716044</t>
  </si>
  <si>
    <t>PINMEL20250717012</t>
  </si>
  <si>
    <t>PO250716045</t>
  </si>
  <si>
    <t>PINMEL20250717013</t>
  </si>
  <si>
    <t>PO250716046</t>
  </si>
  <si>
    <t>PINMEL20250717014</t>
  </si>
  <si>
    <t>PO250716047</t>
  </si>
  <si>
    <t>RAC-399</t>
  </si>
  <si>
    <t>PINMEL20250717015</t>
  </si>
  <si>
    <t>PO250716048</t>
  </si>
  <si>
    <t>PINMEL20250717016</t>
  </si>
  <si>
    <t>PO250716050</t>
  </si>
  <si>
    <t>PINMEL20250717017</t>
  </si>
  <si>
    <t>PO250716049</t>
  </si>
  <si>
    <t>RAC-400</t>
  </si>
  <si>
    <t>2025.7.17</t>
  </si>
  <si>
    <t>PINMEL20250717018</t>
  </si>
  <si>
    <t>PO250717053</t>
  </si>
  <si>
    <t>PINMEL20250717019</t>
  </si>
  <si>
    <t>PO250717054</t>
  </si>
  <si>
    <t>PINMEL20250717020</t>
  </si>
  <si>
    <t>PO250717055</t>
  </si>
  <si>
    <t>2025.8.8</t>
  </si>
  <si>
    <t>PINMEL20250813001</t>
  </si>
  <si>
    <t>PO250808065 (RAC新品订单不满柜补单)</t>
  </si>
  <si>
    <t>2025.7.21</t>
  </si>
  <si>
    <t>PINMEL20250722001</t>
  </si>
  <si>
    <t>RAC-413</t>
  </si>
  <si>
    <t>PO250722058</t>
  </si>
  <si>
    <t>MULMI0619B</t>
  </si>
  <si>
    <t>PINMEL20250722002</t>
  </si>
  <si>
    <t>RAC-414</t>
  </si>
  <si>
    <t>PO250722059</t>
  </si>
  <si>
    <t>PINMEL20250722003</t>
  </si>
  <si>
    <t>RAC-415</t>
  </si>
  <si>
    <t>PO250722060</t>
  </si>
  <si>
    <t>PINMEL20250722004</t>
  </si>
  <si>
    <t>RAC-416</t>
  </si>
  <si>
    <t>PO250722061</t>
  </si>
  <si>
    <t>PINMEL20250722005</t>
  </si>
  <si>
    <t>RAC-417</t>
  </si>
  <si>
    <t>PO250722062</t>
  </si>
  <si>
    <t>PINMEL20250722006</t>
  </si>
  <si>
    <t>RAC-418</t>
  </si>
  <si>
    <t>PO250722063</t>
  </si>
  <si>
    <t>PINSYD20250625002</t>
  </si>
  <si>
    <t>RAC-379</t>
  </si>
  <si>
    <t>PO250731084</t>
  </si>
  <si>
    <t>PINBRI20250625005</t>
  </si>
  <si>
    <t>RAC-382</t>
  </si>
  <si>
    <t>PO250731087</t>
  </si>
  <si>
    <t>PINBRI20250625007</t>
  </si>
  <si>
    <t>RAC-384</t>
  </si>
  <si>
    <t>PO250731089</t>
  </si>
  <si>
    <t>2025.5.20</t>
  </si>
  <si>
    <t>2025.9.20</t>
  </si>
  <si>
    <r>
      <rPr>
        <sz val="11"/>
        <color rgb="FF000000"/>
        <rFont val="Calibri"/>
        <charset val="134"/>
      </rPr>
      <t>P</t>
    </r>
    <r>
      <rPr>
        <sz val="11"/>
        <color rgb="FF000000"/>
        <rFont val="Calibri"/>
        <charset val="134"/>
      </rPr>
      <t>olyaire</t>
    </r>
  </si>
  <si>
    <t>Polyaire PO #45376</t>
  </si>
  <si>
    <t>2025.8.13</t>
  </si>
  <si>
    <t>PINMEL20250814001</t>
  </si>
  <si>
    <t>SYP</t>
  </si>
  <si>
    <t>MFAG80VB-N</t>
  </si>
  <si>
    <t>MFAG80VB-W</t>
  </si>
  <si>
    <t>2025.6.25</t>
  </si>
  <si>
    <t>PINFRE20250626001</t>
  </si>
  <si>
    <t>RAC-386</t>
  </si>
  <si>
    <t>Polyaire PO #47157 - 31 Wangara</t>
  </si>
  <si>
    <t>PO250731091</t>
  </si>
  <si>
    <t>最后一次下ab尾单</t>
  </si>
  <si>
    <t>PINADE20250717001</t>
  </si>
  <si>
    <t>RAC-393</t>
  </si>
  <si>
    <t>2025.9.25</t>
  </si>
  <si>
    <t>Polyaire PO #48042 - 10 Gepps Cross</t>
  </si>
  <si>
    <t>PO250716032</t>
  </si>
  <si>
    <t>PINFRE20250717003</t>
  </si>
  <si>
    <t>RAC-395</t>
  </si>
  <si>
    <t>Polyaire PO #48045 - 31 Wangara</t>
  </si>
  <si>
    <t>PO250716034</t>
  </si>
  <si>
    <t>2025.7.14</t>
  </si>
  <si>
    <t>2025.8.22</t>
  </si>
  <si>
    <t>PINMEL20250825001</t>
  </si>
  <si>
    <t>MFEP26VA-N</t>
  </si>
  <si>
    <t>RAC-430</t>
  </si>
  <si>
    <t>MFEP35VA-N</t>
  </si>
  <si>
    <t>MFEP51VA-N</t>
  </si>
  <si>
    <t>MFEP80VA-N</t>
  </si>
  <si>
    <t>PINMEL20250825002</t>
  </si>
  <si>
    <t>RAC-431</t>
  </si>
  <si>
    <t>PINMEL20250825003</t>
  </si>
  <si>
    <t>RAC-432</t>
  </si>
  <si>
    <t>PINMEL20250825004</t>
  </si>
  <si>
    <t>RAC-433</t>
  </si>
  <si>
    <t>PINMEL20250825005</t>
  </si>
  <si>
    <t>RAC-434</t>
  </si>
  <si>
    <t>PINMEL20250825006</t>
  </si>
  <si>
    <t>RAC-435</t>
  </si>
  <si>
    <t>PINMEL20250825007</t>
  </si>
  <si>
    <t>RAC-436</t>
  </si>
  <si>
    <t>PINBRI20250825017</t>
  </si>
  <si>
    <t>RAC-446拼MBT-292 &amp; MBT-294</t>
  </si>
  <si>
    <t>放入RAC-388短装配套26VB</t>
  </si>
  <si>
    <t>PINBRI20250306005</t>
  </si>
  <si>
    <t>RAC-201</t>
  </si>
  <si>
    <t>2025.10.1</t>
  </si>
  <si>
    <t>Fourways PO-00002646</t>
  </si>
  <si>
    <t>PO250305224</t>
  </si>
  <si>
    <t>PINMEL20250722007</t>
  </si>
  <si>
    <t>RAC-419</t>
  </si>
  <si>
    <t>2025.10.7</t>
  </si>
  <si>
    <t>PO250722064</t>
  </si>
  <si>
    <t>PINMEL20250722008</t>
  </si>
  <si>
    <t>RAC-420</t>
  </si>
  <si>
    <t>PO250722065</t>
  </si>
  <si>
    <t>PINMEL20250722009</t>
  </si>
  <si>
    <t>RAC-421</t>
  </si>
  <si>
    <t>PO250722066</t>
  </si>
  <si>
    <t>PINMEL20250722010</t>
  </si>
  <si>
    <t>RAC-422</t>
  </si>
  <si>
    <t>PO250722067</t>
  </si>
  <si>
    <t>PINMEL20250722011</t>
  </si>
  <si>
    <t>RAC-423</t>
  </si>
  <si>
    <t>PO250722068</t>
  </si>
  <si>
    <t>PINMEL20250722012</t>
  </si>
  <si>
    <t>RAC-424</t>
  </si>
  <si>
    <t>PO250722069</t>
  </si>
  <si>
    <t>PINMEL20250722013</t>
  </si>
  <si>
    <t>RAC-425</t>
  </si>
  <si>
    <t>PO250722070</t>
  </si>
  <si>
    <t>PINFRE20250212006</t>
  </si>
  <si>
    <t>RAC-135</t>
  </si>
  <si>
    <t>2025.10.15</t>
  </si>
  <si>
    <t>PO-00002570</t>
  </si>
  <si>
    <t>PO250210194</t>
  </si>
  <si>
    <t>2025.8.6</t>
  </si>
  <si>
    <t>PINFRE20250811002</t>
  </si>
  <si>
    <t>RAC-427</t>
  </si>
  <si>
    <t>Polyaire PO #49468 - 31 Wangara</t>
  </si>
  <si>
    <t>PO250806061</t>
  </si>
  <si>
    <t>PINMEL20250825008</t>
  </si>
  <si>
    <t>RAC-437</t>
  </si>
  <si>
    <t>PINMEL20250825009</t>
  </si>
  <si>
    <t>RAC-438</t>
  </si>
  <si>
    <t>PINMEL20250825010</t>
  </si>
  <si>
    <t>RAC-439</t>
  </si>
  <si>
    <t>PINMEL20250825011</t>
  </si>
  <si>
    <t>RAC-440</t>
  </si>
  <si>
    <t>PINMEL20250825012</t>
  </si>
  <si>
    <t>RAC-441</t>
  </si>
  <si>
    <t>PINMEL20250825013</t>
  </si>
  <si>
    <t>RAC-442</t>
  </si>
  <si>
    <t>PINMEL20250825014</t>
  </si>
  <si>
    <t>RAC-443</t>
  </si>
  <si>
    <t>PINMEL20250825015</t>
  </si>
  <si>
    <t>RAC-444</t>
  </si>
  <si>
    <t>PINMEL20250825016</t>
  </si>
  <si>
    <t>MULMID07C</t>
  </si>
  <si>
    <t>RAC-445拼MBT-293</t>
  </si>
  <si>
    <t>PINBRI20250825018</t>
  </si>
  <si>
    <t>RAC-447</t>
  </si>
  <si>
    <t>PINBRI20250825019</t>
  </si>
  <si>
    <t>RAC-448</t>
  </si>
  <si>
    <t>PINBRI20250825020</t>
  </si>
  <si>
    <t>RAC-449</t>
  </si>
  <si>
    <t>PINADE20250717002</t>
  </si>
  <si>
    <t>RAC-394</t>
  </si>
  <si>
    <t>2025.10.20</t>
  </si>
  <si>
    <t>Polyaire PO #48044 - 10 Gepps Cross</t>
  </si>
  <si>
    <t>PO250716033</t>
  </si>
  <si>
    <t>PINFRE20250811003</t>
  </si>
  <si>
    <t>RAC-428</t>
  </si>
  <si>
    <t>2025.10.22</t>
  </si>
  <si>
    <t>Polyaire PO #49470 - 31 Wangara</t>
  </si>
  <si>
    <t>PO250806062</t>
  </si>
  <si>
    <t>PINADE20250811001</t>
  </si>
  <si>
    <t>RAC-426</t>
  </si>
  <si>
    <t>2025.10.27</t>
  </si>
  <si>
    <t>Polyaire PO #49460 - 10 Gepps Cross</t>
  </si>
  <si>
    <t>PO250806060</t>
  </si>
  <si>
    <t>PINFRE20250811004</t>
  </si>
  <si>
    <t>RAC-429</t>
  </si>
  <si>
    <t>2025.10.29</t>
  </si>
  <si>
    <t>Polyaire PO #49472 - 31 Wangara</t>
  </si>
  <si>
    <t>PO250806063</t>
  </si>
  <si>
    <t>PINBRI20250306006</t>
  </si>
  <si>
    <t>RAC-202</t>
  </si>
  <si>
    <t>2025.11.1</t>
  </si>
  <si>
    <t>Fourrways PO-00002647</t>
  </si>
  <si>
    <t>PO250305225</t>
  </si>
  <si>
    <t>ETD</t>
  </si>
  <si>
    <t>2024.11.27</t>
  </si>
  <si>
    <t>PI-MDA-20241127</t>
  </si>
  <si>
    <t>MDV-V200WN1 (AU)</t>
  </si>
  <si>
    <t>MBT-011/
BHCU4975791</t>
  </si>
  <si>
    <t>MDCAS2501030020</t>
  </si>
  <si>
    <r>
      <rPr>
        <sz val="11"/>
        <rFont val="Calibri"/>
        <charset val="134"/>
      </rPr>
      <t>MBT CIF CNY 18500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POL-BEIJIAO</t>
    </r>
  </si>
  <si>
    <t xml:space="preserve">MIH36GHN18 </t>
  </si>
  <si>
    <r>
      <rPr>
        <sz val="11"/>
        <rFont val="Calibri"/>
        <charset val="134"/>
      </rPr>
      <t>RM23A</t>
    </r>
    <r>
      <rPr>
        <sz val="11"/>
        <rFont val="Calibri"/>
        <charset val="134"/>
      </rPr>
      <t>遥控器</t>
    </r>
    <r>
      <rPr>
        <sz val="11"/>
        <rFont val="Calibri"/>
        <charset val="134"/>
      </rPr>
      <t>+</t>
    </r>
    <r>
      <rPr>
        <sz val="11"/>
        <rFont val="Calibri"/>
        <charset val="134"/>
      </rPr>
      <t>水泵</t>
    </r>
    <r>
      <rPr>
        <sz val="11"/>
        <rFont val="Calibri"/>
        <charset val="134"/>
      </rPr>
      <t>+</t>
    </r>
    <r>
      <rPr>
        <sz val="11"/>
        <rFont val="Calibri"/>
        <charset val="134"/>
      </rPr>
      <t>左右摆风</t>
    </r>
    <r>
      <rPr>
        <sz val="11"/>
        <rFont val="Calibri"/>
        <charset val="134"/>
      </rPr>
      <t>+wifi</t>
    </r>
    <r>
      <rPr>
        <sz val="11"/>
        <rFont val="Calibri"/>
        <charset val="134"/>
      </rPr>
      <t>内置</t>
    </r>
  </si>
  <si>
    <t>MIH45GHN18</t>
  </si>
  <si>
    <t>MIH71GHN18</t>
  </si>
  <si>
    <r>
      <rPr>
        <sz val="11"/>
        <rFont val="Calibri"/>
        <charset val="134"/>
      </rPr>
      <t>EEV</t>
    </r>
    <r>
      <rPr>
        <sz val="11"/>
        <rFont val="Calibri"/>
        <charset val="134"/>
      </rPr>
      <t>线</t>
    </r>
  </si>
  <si>
    <t>MBT-012/
BSIU9877805</t>
  </si>
  <si>
    <r>
      <rPr>
        <sz val="11"/>
        <rFont val="Calibri"/>
        <charset val="134"/>
      </rPr>
      <t>RM23A</t>
    </r>
    <r>
      <rPr>
        <sz val="11"/>
        <rFont val="Calibri"/>
        <charset val="134"/>
      </rPr>
      <t>遥控器</t>
    </r>
  </si>
  <si>
    <t>MBT-013/
BSIU9886643</t>
  </si>
  <si>
    <t>MBT-014/
FCIU7307262</t>
  </si>
  <si>
    <t>MBT-015/
FDCU0006143</t>
  </si>
  <si>
    <t>MBT-006/
FFAU4399308</t>
  </si>
  <si>
    <t>MDCAS2501010082</t>
  </si>
  <si>
    <t>MIH80GHN18</t>
  </si>
  <si>
    <t>MBT-007/
SEKU5869860</t>
  </si>
  <si>
    <t>MBT-008/
TLLU7977152</t>
  </si>
  <si>
    <t>MBT-009/
TRHU4075007</t>
  </si>
  <si>
    <t>MBT-010/
TRHU4076615</t>
  </si>
  <si>
    <t>PI-MDA-PO 20241209</t>
  </si>
  <si>
    <t>MBT-061/
SEKU5875879</t>
  </si>
  <si>
    <t>MDCAS2501140013</t>
  </si>
  <si>
    <r>
      <rPr>
        <sz val="11"/>
        <rFont val="Calibri"/>
        <charset val="134"/>
      </rPr>
      <t>RM23A</t>
    </r>
    <r>
      <rPr>
        <sz val="11"/>
        <rFont val="Calibri"/>
        <charset val="134"/>
      </rPr>
      <t>遥控器</t>
    </r>
    <r>
      <rPr>
        <sz val="11"/>
        <rFont val="Calibri"/>
        <charset val="134"/>
      </rPr>
      <t>+</t>
    </r>
    <r>
      <rPr>
        <sz val="11"/>
        <rFont val="Calibri"/>
        <charset val="134"/>
      </rPr>
      <t>水泵</t>
    </r>
    <r>
      <rPr>
        <sz val="11"/>
        <rFont val="Calibri"/>
        <charset val="134"/>
      </rPr>
      <t>+</t>
    </r>
    <r>
      <rPr>
        <sz val="11"/>
        <rFont val="Calibri"/>
        <charset val="134"/>
      </rPr>
      <t>左右摆风</t>
    </r>
    <r>
      <rPr>
        <sz val="11"/>
        <rFont val="Calibri"/>
        <charset val="134"/>
      </rPr>
      <t>+wifi</t>
    </r>
    <r>
      <rPr>
        <sz val="11"/>
        <rFont val="Calibri"/>
        <charset val="134"/>
      </rPr>
      <t>内置，</t>
    </r>
    <r>
      <rPr>
        <sz val="11"/>
        <rFont val="Calibri"/>
        <charset val="134"/>
      </rPr>
      <t>MBT CIF CNY 18500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POL-BEIJIAO</t>
    </r>
  </si>
  <si>
    <t>PI-MDA-PO 20241212</t>
  </si>
  <si>
    <t>MBT-062/
TSSU5055736</t>
  </si>
  <si>
    <t>MBT-063/
TSSU5014439</t>
  </si>
  <si>
    <t>2024.12.17</t>
  </si>
  <si>
    <t>PI-MDA-PO 20241217</t>
  </si>
  <si>
    <t>RM12F1</t>
  </si>
  <si>
    <t>MDCAS2501100015P</t>
  </si>
  <si>
    <t>MDV-V230WN1(AU)</t>
  </si>
  <si>
    <t>MBT-001/
TGHU6579284</t>
  </si>
  <si>
    <t>MDCAS2501270001</t>
  </si>
  <si>
    <r>
      <rPr>
        <sz val="11"/>
        <rFont val="Calibri"/>
        <charset val="134"/>
      </rPr>
      <t>MBT CIF CNY 18500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POL-BEIJIAO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 xml:space="preserve"> Odisee PO 1169</t>
    </r>
  </si>
  <si>
    <t>MIH200T1HN18(S)</t>
  </si>
  <si>
    <r>
      <rPr>
        <sz val="11"/>
        <rFont val="Calibri"/>
        <charset val="134"/>
      </rPr>
      <t>在内机盒子里加</t>
    </r>
    <r>
      <rPr>
        <sz val="11"/>
        <rFont val="Calibri"/>
        <charset val="134"/>
      </rPr>
      <t>86T</t>
    </r>
    <r>
      <rPr>
        <sz val="11"/>
        <rFont val="Calibri"/>
        <charset val="134"/>
      </rPr>
      <t>线控器，原</t>
    </r>
    <r>
      <rPr>
        <sz val="11"/>
        <rFont val="Calibri"/>
        <charset val="134"/>
      </rPr>
      <t>36</t>
    </r>
    <r>
      <rPr>
        <sz val="11"/>
        <rFont val="Calibri"/>
        <charset val="134"/>
      </rPr>
      <t>套</t>
    </r>
    <r>
      <rPr>
        <sz val="11"/>
        <rFont val="Calibri"/>
        <charset val="134"/>
      </rPr>
      <t>/</t>
    </r>
    <r>
      <rPr>
        <sz val="11"/>
        <rFont val="Calibri"/>
        <charset val="134"/>
      </rPr>
      <t>柜，装柜问题，导致</t>
    </r>
    <r>
      <rPr>
        <sz val="11"/>
        <rFont val="Calibri"/>
        <charset val="134"/>
      </rPr>
      <t>28</t>
    </r>
    <r>
      <rPr>
        <sz val="11"/>
        <rFont val="Calibri"/>
        <charset val="134"/>
      </rPr>
      <t>套</t>
    </r>
    <r>
      <rPr>
        <sz val="11"/>
        <rFont val="Calibri"/>
        <charset val="134"/>
      </rPr>
      <t>/</t>
    </r>
    <r>
      <rPr>
        <sz val="11"/>
        <rFont val="Calibri"/>
        <charset val="134"/>
      </rPr>
      <t>柜，短装部分走</t>
    </r>
    <r>
      <rPr>
        <sz val="11"/>
        <rFont val="Calibri"/>
        <charset val="134"/>
      </rPr>
      <t>DDP</t>
    </r>
  </si>
  <si>
    <t>MBT-002/
ONEU1697690</t>
  </si>
  <si>
    <r>
      <rPr>
        <sz val="11"/>
        <rFont val="Calibri"/>
        <charset val="134"/>
      </rPr>
      <t>MBT CIF CNY 18500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POL-BEIJIAO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 xml:space="preserve"> Odisee PO 1170</t>
    </r>
  </si>
  <si>
    <t>MBT-003/
KKFU7869930</t>
  </si>
  <si>
    <r>
      <rPr>
        <sz val="11"/>
        <rFont val="Calibri"/>
        <charset val="134"/>
      </rPr>
      <t>MBT CIF CNY 18500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POL-BEIJIAO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Polyaire PO 40414</t>
    </r>
  </si>
  <si>
    <t>MBT-004/
GCXU5227617</t>
  </si>
  <si>
    <r>
      <rPr>
        <sz val="11"/>
        <rFont val="Calibri"/>
        <charset val="134"/>
      </rPr>
      <t>MBT CIF CNY 18500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POL-BEIJIAO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Polyaire PO 40415</t>
    </r>
  </si>
  <si>
    <t>MDCAS2501260036</t>
  </si>
  <si>
    <r>
      <rPr>
        <sz val="11"/>
        <rFont val="Calibri"/>
        <charset val="134"/>
      </rPr>
      <t>在内机盒子里加</t>
    </r>
    <r>
      <rPr>
        <sz val="11"/>
        <rFont val="Calibri"/>
        <charset val="134"/>
      </rPr>
      <t>86T</t>
    </r>
    <r>
      <rPr>
        <sz val="11"/>
        <rFont val="Calibri"/>
        <charset val="134"/>
      </rPr>
      <t>线控器</t>
    </r>
  </si>
  <si>
    <t>RAC的货</t>
  </si>
  <si>
    <t>MDV-V235WN1(AU)-A</t>
  </si>
  <si>
    <t>MBT-030/
SNBU8275317</t>
  </si>
  <si>
    <t>MDCAS2502070003</t>
  </si>
  <si>
    <t>MIH28GHN18-A</t>
  </si>
  <si>
    <r>
      <rPr>
        <sz val="11"/>
        <rFont val="Calibri"/>
        <charset val="134"/>
      </rPr>
      <t>内机包装含</t>
    </r>
    <r>
      <rPr>
        <sz val="11"/>
        <rFont val="Calibri"/>
        <charset val="134"/>
      </rPr>
      <t>PQE+EEV</t>
    </r>
    <r>
      <rPr>
        <sz val="11"/>
        <rFont val="Calibri"/>
        <charset val="134"/>
      </rPr>
      <t>线</t>
    </r>
  </si>
  <si>
    <t>MIH36GHN18-A</t>
  </si>
  <si>
    <t>MIH45GHN18-A</t>
  </si>
  <si>
    <t>MIH56GHN18-A</t>
  </si>
  <si>
    <t>MIH80GHN18-A</t>
  </si>
  <si>
    <t>MBT-031/
SNBU8303764</t>
  </si>
  <si>
    <t>MBT-032/
SNBU8203385</t>
  </si>
  <si>
    <t>MBT-033/
SNBU8266911</t>
  </si>
  <si>
    <t>MBT-034/
SNBU8285450</t>
  </si>
  <si>
    <t>By Air: TNT 396019724</t>
  </si>
  <si>
    <t>2025.3.6</t>
  </si>
  <si>
    <t>MDCASS21202502180240</t>
  </si>
  <si>
    <r>
      <rPr>
        <sz val="11"/>
        <rFont val="Calibri"/>
        <charset val="134"/>
      </rPr>
      <t>MBT Filed test</t>
    </r>
    <r>
      <rPr>
        <sz val="11"/>
        <rFont val="Calibri"/>
        <charset val="134"/>
      </rPr>
      <t>。空运费用</t>
    </r>
    <r>
      <rPr>
        <sz val="11"/>
        <rFont val="Calibri"/>
        <charset val="134"/>
      </rPr>
      <t>MBT</t>
    </r>
    <r>
      <rPr>
        <sz val="11"/>
        <rFont val="Calibri"/>
        <charset val="134"/>
      </rPr>
      <t>承担</t>
    </r>
  </si>
  <si>
    <t>MBT Filed test</t>
  </si>
  <si>
    <t>MBT-005/
GAOU7023225</t>
  </si>
  <si>
    <t>MDCAS2502170015</t>
  </si>
  <si>
    <r>
      <rPr>
        <sz val="11"/>
        <rFont val="Calibri"/>
        <charset val="134"/>
      </rPr>
      <t>MBT CIF CNY 18500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POL-BEIJIAO, Odisee PO 1171</t>
    </r>
  </si>
  <si>
    <t>MBT-016/
TLLU8703705</t>
  </si>
  <si>
    <r>
      <rPr>
        <sz val="11"/>
        <rFont val="Calibri"/>
        <charset val="134"/>
      </rPr>
      <t>MBT CIF CNY 18500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POL-BEIJIAO,Odisee PO 1172</t>
    </r>
  </si>
  <si>
    <t>MBT-017/
GAOU6999038</t>
  </si>
  <si>
    <t>MDCAS2502170032</t>
  </si>
  <si>
    <t>2024.12.6</t>
  </si>
  <si>
    <t>PI-MDA-PO 20241206</t>
  </si>
  <si>
    <t>FQH-05</t>
  </si>
  <si>
    <t>MBT-018/
SEKU4077529</t>
  </si>
  <si>
    <t>MBT-019/
TRHU8020867</t>
  </si>
  <si>
    <t>MBT-020/
TXGU7370598</t>
  </si>
  <si>
    <t>MBT-083/
TSSU5017340</t>
  </si>
  <si>
    <t>MBT-048/
TXGU6558472</t>
  </si>
  <si>
    <t>MBT-049/
TRHU8864030</t>
  </si>
  <si>
    <t>MBT-050/
TXGU7110538</t>
  </si>
  <si>
    <t>MSC-70D2N8-A</t>
  </si>
  <si>
    <t>MSC-90D2N8-A</t>
  </si>
  <si>
    <t>MSC-120D2N8-A</t>
  </si>
  <si>
    <t>MSC-160D2N8-A</t>
  </si>
  <si>
    <t>MBT-023/
CSLU6027568</t>
  </si>
  <si>
    <t>MDCAS2502210019</t>
  </si>
  <si>
    <t>MBT CIF CNY 18500，POL-BEIJIAO。 放入MBT Quality Claim整机+配件</t>
  </si>
  <si>
    <t>在内机盒子里加86T线控器</t>
  </si>
  <si>
    <t>MBT-024/
SNBU8295078</t>
  </si>
  <si>
    <t>MDCAS2502210029</t>
  </si>
  <si>
    <r>
      <rPr>
        <sz val="11"/>
        <rFont val="Calibri"/>
        <charset val="134"/>
      </rPr>
      <t>2</t>
    </r>
    <r>
      <rPr>
        <sz val="11"/>
        <rFont val="Calibri"/>
        <charset val="134"/>
      </rPr>
      <t>月</t>
    </r>
    <r>
      <rPr>
        <sz val="11"/>
        <rFont val="Calibri"/>
        <charset val="134"/>
      </rPr>
      <t>24</t>
    </r>
    <r>
      <rPr>
        <sz val="11"/>
        <rFont val="Calibri"/>
        <charset val="134"/>
      </rPr>
      <t>号，</t>
    </r>
    <r>
      <rPr>
        <sz val="11"/>
        <rFont val="Calibri"/>
        <charset val="134"/>
      </rPr>
      <t>MBT</t>
    </r>
    <r>
      <rPr>
        <sz val="11"/>
        <rFont val="Calibri"/>
        <charset val="134"/>
      </rPr>
      <t>调整过装柜方案改成</t>
    </r>
    <r>
      <rPr>
        <sz val="11"/>
        <rFont val="Calibri"/>
        <charset val="134"/>
      </rPr>
      <t>32</t>
    </r>
    <r>
      <rPr>
        <sz val="11"/>
        <rFont val="Calibri"/>
        <charset val="134"/>
      </rPr>
      <t>套</t>
    </r>
    <r>
      <rPr>
        <sz val="11"/>
        <rFont val="Calibri"/>
        <charset val="134"/>
      </rPr>
      <t>/</t>
    </r>
    <r>
      <rPr>
        <sz val="11"/>
        <rFont val="Calibri"/>
        <charset val="134"/>
      </rPr>
      <t>柜</t>
    </r>
    <r>
      <rPr>
        <sz val="11"/>
        <rFont val="Calibri"/>
        <charset val="134"/>
      </rPr>
      <t>,,MBT CIF CNY 18500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POL-BEIJIAO</t>
    </r>
  </si>
  <si>
    <t>MBT-025/
SNBU8278682</t>
  </si>
  <si>
    <r>
      <rPr>
        <sz val="11"/>
        <rFont val="Calibri"/>
        <charset val="134"/>
      </rPr>
      <t>2</t>
    </r>
    <r>
      <rPr>
        <sz val="11"/>
        <rFont val="Calibri"/>
        <charset val="134"/>
      </rPr>
      <t>月</t>
    </r>
    <r>
      <rPr>
        <sz val="11"/>
        <rFont val="Calibri"/>
        <charset val="134"/>
      </rPr>
      <t>24</t>
    </r>
    <r>
      <rPr>
        <sz val="11"/>
        <rFont val="Calibri"/>
        <charset val="134"/>
      </rPr>
      <t>号，</t>
    </r>
    <r>
      <rPr>
        <sz val="11"/>
        <rFont val="Calibri"/>
        <charset val="134"/>
      </rPr>
      <t>MBT</t>
    </r>
    <r>
      <rPr>
        <sz val="11"/>
        <rFont val="Calibri"/>
        <charset val="134"/>
      </rPr>
      <t>调整过装柜方案改成</t>
    </r>
    <r>
      <rPr>
        <sz val="11"/>
        <rFont val="Calibri"/>
        <charset val="134"/>
      </rPr>
      <t>32</t>
    </r>
    <r>
      <rPr>
        <sz val="11"/>
        <rFont val="Calibri"/>
        <charset val="134"/>
      </rPr>
      <t>套</t>
    </r>
    <r>
      <rPr>
        <sz val="11"/>
        <rFont val="Calibri"/>
        <charset val="134"/>
      </rPr>
      <t>/</t>
    </r>
    <r>
      <rPr>
        <sz val="11"/>
        <rFont val="Calibri"/>
        <charset val="134"/>
      </rPr>
      <t>柜</t>
    </r>
    <r>
      <rPr>
        <sz val="11"/>
        <rFont val="Calibri"/>
        <charset val="134"/>
      </rPr>
      <t>,MBT CIF CNY 18500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POL-BEIJIAO</t>
    </r>
  </si>
  <si>
    <t>MBT-026/
SNBU8351926</t>
  </si>
  <si>
    <t>MBT-027/
SNBU8371630</t>
  </si>
  <si>
    <t>2月24号，MBT调整过装柜方案改成32套/柜，MBT送的15箱 PQE线,MBT CIF CNY 18500，POL-BEIJIAO</t>
  </si>
  <si>
    <t>MBT-028/
SNBU8389644</t>
  </si>
  <si>
    <t>MBT-029/
SNBU8206677</t>
  </si>
  <si>
    <t>FQH-04</t>
  </si>
  <si>
    <t>By Air: DHL 5085368525</t>
  </si>
  <si>
    <t>MDCAS2502270001</t>
  </si>
  <si>
    <r>
      <rPr>
        <sz val="11"/>
        <rFont val="Calibri"/>
        <charset val="134"/>
      </rPr>
      <t>MBT-049</t>
    </r>
    <r>
      <rPr>
        <sz val="11"/>
        <rFont val="Calibri"/>
        <charset val="134"/>
      </rPr>
      <t>短装，空运费用</t>
    </r>
    <r>
      <rPr>
        <sz val="11"/>
        <rFont val="Calibri"/>
        <charset val="134"/>
      </rPr>
      <t>MBT</t>
    </r>
    <r>
      <rPr>
        <sz val="11"/>
        <rFont val="Calibri"/>
        <charset val="134"/>
      </rPr>
      <t>承担</t>
    </r>
  </si>
  <si>
    <t>MBT-035/
TIIU4296180</t>
  </si>
  <si>
    <t>MDCAS2502240035</t>
  </si>
  <si>
    <r>
      <rPr>
        <sz val="11"/>
        <rFont val="Calibri"/>
        <charset val="134"/>
      </rPr>
      <t>Martin SO  1200,POL-NANSHA, TSL(</t>
    </r>
    <r>
      <rPr>
        <sz val="11"/>
        <rFont val="Calibri"/>
        <charset val="134"/>
      </rPr>
      <t>大船晚到，原本</t>
    </r>
    <r>
      <rPr>
        <sz val="11"/>
        <rFont val="Calibri"/>
        <charset val="134"/>
      </rPr>
      <t>ETD 3.1)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 xml:space="preserve"> Odisee  PO 1303</t>
    </r>
  </si>
  <si>
    <t>MBT-036/
TIIU4449648</t>
  </si>
  <si>
    <t>MDCAS2502240033</t>
  </si>
  <si>
    <r>
      <rPr>
        <sz val="11"/>
        <rFont val="Calibri"/>
        <charset val="134"/>
      </rPr>
      <t>Martin SO  1200,POL-NANSHA, TSL(</t>
    </r>
    <r>
      <rPr>
        <sz val="11"/>
        <rFont val="Calibri"/>
        <charset val="134"/>
      </rPr>
      <t>大船晚到，原本</t>
    </r>
    <r>
      <rPr>
        <sz val="11"/>
        <rFont val="Calibri"/>
        <charset val="134"/>
      </rPr>
      <t>ETD 3.1)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 xml:space="preserve"> Odisee  PO 1304</t>
    </r>
  </si>
  <si>
    <t>MBT-037/
TCKU7953263</t>
  </si>
  <si>
    <t>MDCAS2502240037</t>
  </si>
  <si>
    <r>
      <rPr>
        <sz val="11"/>
        <rFont val="Calibri"/>
        <charset val="134"/>
      </rPr>
      <t>Martin SO  1200,POL-NANSHA, TSL(</t>
    </r>
    <r>
      <rPr>
        <sz val="11"/>
        <rFont val="Calibri"/>
        <charset val="134"/>
      </rPr>
      <t>大船晚到，原本</t>
    </r>
    <r>
      <rPr>
        <sz val="11"/>
        <rFont val="Calibri"/>
        <charset val="134"/>
      </rPr>
      <t>ETD 3.1)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 xml:space="preserve"> Odisee  PO 1305</t>
    </r>
  </si>
  <si>
    <t>MBT-038/
TEMU7940928</t>
  </si>
  <si>
    <t>MDCAS2502240038</t>
  </si>
  <si>
    <r>
      <rPr>
        <sz val="11"/>
        <rFont val="Calibri"/>
        <charset val="134"/>
      </rPr>
      <t>EA-PO-0002 14</t>
    </r>
    <r>
      <rPr>
        <sz val="11"/>
        <rFont val="Calibri"/>
        <charset val="134"/>
      </rPr>
      <t>台</t>
    </r>
  </si>
  <si>
    <r>
      <rPr>
        <sz val="11"/>
        <rFont val="Calibri"/>
        <charset val="134"/>
      </rPr>
      <t>Martin SO  1200,POL-NANSHA, TSL(</t>
    </r>
    <r>
      <rPr>
        <sz val="11"/>
        <rFont val="Calibri"/>
        <charset val="134"/>
      </rPr>
      <t>大船晚到，原本</t>
    </r>
    <r>
      <rPr>
        <sz val="11"/>
        <rFont val="Calibri"/>
        <charset val="134"/>
      </rPr>
      <t>ETD 3.1)</t>
    </r>
  </si>
  <si>
    <t>EA-PO-0002</t>
  </si>
  <si>
    <r>
      <rPr>
        <sz val="11"/>
        <rFont val="Calibri"/>
        <charset val="134"/>
      </rPr>
      <t>EA-PO-0002 20</t>
    </r>
    <r>
      <rPr>
        <sz val="11"/>
        <rFont val="Calibri"/>
        <charset val="134"/>
      </rPr>
      <t>台</t>
    </r>
  </si>
  <si>
    <t>MBT-039/
GAOU6738857</t>
  </si>
  <si>
    <t>MDCAS2502240039</t>
  </si>
  <si>
    <t>MBT-051/
GAOU7074346</t>
  </si>
  <si>
    <t>MDCAS2503030051</t>
  </si>
  <si>
    <t>Martin SO  900,POL-NANSHA, TSL</t>
  </si>
  <si>
    <t>MBT-055/
GAOU7071809</t>
  </si>
  <si>
    <t>MDCAS2503030046</t>
  </si>
  <si>
    <t>Odisee PO 1382</t>
  </si>
  <si>
    <t>MBT-056/
GAOU6962912</t>
  </si>
  <si>
    <t>MDCAS2503030047</t>
  </si>
  <si>
    <t>Odisee PO 1383</t>
  </si>
  <si>
    <t>MBT-057/
TSSU5153619</t>
  </si>
  <si>
    <t>MDCAS2503030049</t>
  </si>
  <si>
    <t>Odisee PO 1384</t>
  </si>
  <si>
    <t>MBT-058/
TSSU5007105</t>
  </si>
  <si>
    <t>MDCAS2503030050</t>
  </si>
  <si>
    <t>MBT-059/
TIIU5089567</t>
  </si>
  <si>
    <t>MDCAS2503030048</t>
  </si>
  <si>
    <t>By Air: DHL 2682776530</t>
  </si>
  <si>
    <t>MDCASS21202503110022</t>
  </si>
  <si>
    <r>
      <rPr>
        <sz val="11"/>
        <rFont val="Calibri"/>
        <charset val="134"/>
      </rPr>
      <t>补充</t>
    </r>
    <r>
      <rPr>
        <sz val="11"/>
        <rFont val="Calibri"/>
        <charset val="134"/>
      </rPr>
      <t>MDCAS2501030020</t>
    </r>
    <r>
      <rPr>
        <sz val="11"/>
        <rFont val="Calibri"/>
        <charset val="134"/>
      </rPr>
      <t>里</t>
    </r>
    <r>
      <rPr>
        <sz val="11"/>
        <rFont val="Calibri"/>
        <charset val="134"/>
      </rPr>
      <t>MIH71GHN18</t>
    </r>
    <r>
      <rPr>
        <sz val="11"/>
        <rFont val="Calibri"/>
        <charset val="134"/>
      </rPr>
      <t>漏放的遥控器，空运费用</t>
    </r>
    <r>
      <rPr>
        <sz val="11"/>
        <rFont val="Calibri"/>
        <charset val="134"/>
      </rPr>
      <t>MBT</t>
    </r>
    <r>
      <rPr>
        <sz val="11"/>
        <rFont val="Calibri"/>
        <charset val="134"/>
      </rPr>
      <t>承担</t>
    </r>
  </si>
  <si>
    <t>MBT-053/
TLLU8699307</t>
  </si>
  <si>
    <t>MDCAS2503050009</t>
  </si>
  <si>
    <t>FQH-06</t>
  </si>
  <si>
    <t>MBT-060/
GAOU7022213</t>
  </si>
  <si>
    <t>MDCAS2503030045</t>
  </si>
  <si>
    <t>MBT-087 拼 RAC-097/
TCLU8435862</t>
  </si>
  <si>
    <t>MDCAS2503130008P</t>
  </si>
  <si>
    <r>
      <rPr>
        <sz val="11"/>
        <rFont val="Calibri"/>
        <charset val="134"/>
      </rPr>
      <t>3/4 RAC SO</t>
    </r>
    <r>
      <rPr>
        <sz val="11"/>
        <rFont val="Calibri"/>
        <charset val="134"/>
      </rPr>
      <t>被船司取消订舱，</t>
    </r>
    <r>
      <rPr>
        <sz val="11"/>
        <rFont val="Calibri"/>
        <charset val="134"/>
      </rPr>
      <t>RAC CIF 1089,FOB SHEKOU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COSCO</t>
    </r>
  </si>
  <si>
    <t>MSC-200D2N8-A</t>
  </si>
  <si>
    <t>MBT-041/
SLVU4763984</t>
  </si>
  <si>
    <t>MDCAS2503130010</t>
  </si>
  <si>
    <t>Martin SO  1250, POL-NANSHA,SLS 14XLFD</t>
  </si>
  <si>
    <t>MBT-042/
BSIU8345686</t>
  </si>
  <si>
    <t>MDCAS2503130011</t>
  </si>
  <si>
    <t>MBT-043/
PCIU9235325</t>
  </si>
  <si>
    <t>MDCAS2503110029</t>
  </si>
  <si>
    <t>Odisee PO 1506。Martin SO  1250, POL-NANSHA,PIL 14XLFD</t>
  </si>
  <si>
    <t>MBT-044/
PIDU4183474</t>
  </si>
  <si>
    <t>MDCAS2503110030</t>
  </si>
  <si>
    <t>Odisee PO 1507。Martin SO  1250, POL-NANSHA,PIL 14XLFD</t>
  </si>
  <si>
    <t>MBT-054/
PCIU9249611</t>
  </si>
  <si>
    <t>MDCAS2503110032</t>
  </si>
  <si>
    <t>Martin SO  1250, POL-NANSHA,PIL 14XLFD</t>
  </si>
  <si>
    <t>MBT-045/
GAOU7514872</t>
  </si>
  <si>
    <t>MDCAS2503110031</t>
  </si>
  <si>
    <t>Odisee PO 1508。Martin SO  1250, POL-NANSHA,PIL 14XLFD</t>
  </si>
  <si>
    <t>MBT-046/
TIIU4472308</t>
  </si>
  <si>
    <t>MDCAS2503170047</t>
  </si>
  <si>
    <t>Odisee PO 1509。Martin SO  1650，POL-NANSHA,TSL</t>
  </si>
  <si>
    <t>MBT-047/
MAGU5622378</t>
  </si>
  <si>
    <t>MDCAS2503170046</t>
  </si>
  <si>
    <t>Polyaire PO 43434</t>
  </si>
  <si>
    <t>Polyaire PO 43434。Martin SO  1650，POL-NANSHA,TSL</t>
  </si>
  <si>
    <t>Polyaire PO 43434。内机包装含PQE+EEV线</t>
  </si>
  <si>
    <t>MBT-052/
SEKU6003530</t>
  </si>
  <si>
    <t>MDCAS2503170045</t>
  </si>
  <si>
    <r>
      <rPr>
        <sz val="11"/>
        <rFont val="Calibri"/>
        <charset val="134"/>
      </rPr>
      <t>Martin SO  1650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</si>
  <si>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PI-MDA-20250120</t>
  </si>
  <si>
    <t>MBT-068/
GAOU6733670</t>
  </si>
  <si>
    <t>MDCAS2503170042</t>
  </si>
  <si>
    <r>
      <rPr>
        <sz val="11"/>
        <rFont val="Calibri"/>
        <charset val="134"/>
      </rPr>
      <t>PO250120071,Odisee PO 1380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>Martin SO  1650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</si>
  <si>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MIH36GHN18</t>
  </si>
  <si>
    <t>MBT-069/
TSSU5161189</t>
  </si>
  <si>
    <t>MDCAS2503170040</t>
  </si>
  <si>
    <r>
      <rPr>
        <sz val="11"/>
        <rFont val="Calibri"/>
        <charset val="134"/>
      </rPr>
      <t>PO250120072,Odisee PO 1381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>Martin SO  1650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</si>
  <si>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MBT-070/
TRHU8010323</t>
  </si>
  <si>
    <t>MDCAS2503170041</t>
  </si>
  <si>
    <r>
      <rPr>
        <sz val="11"/>
        <rFont val="Calibri"/>
        <charset val="134"/>
      </rPr>
      <t>PO250120073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>Martin SO  1650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</si>
  <si>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MBT-071/
TIIU5078834</t>
  </si>
  <si>
    <t>MDCAS2503170043</t>
  </si>
  <si>
    <r>
      <rPr>
        <sz val="11"/>
        <rFont val="Calibri"/>
        <charset val="134"/>
      </rPr>
      <t>PO250120074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>Martin SO  1650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</si>
  <si>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MBT-072/
TXGU6827139</t>
  </si>
  <si>
    <t>MDCAS2503170044</t>
  </si>
  <si>
    <r>
      <rPr>
        <sz val="11"/>
        <rFont val="Calibri"/>
        <charset val="134"/>
      </rPr>
      <t>PO250120075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>Martin SO  1650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</si>
  <si>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MBT-073/
MAGU5599365</t>
  </si>
  <si>
    <t>MDCAS2503170038</t>
  </si>
  <si>
    <r>
      <rPr>
        <sz val="11"/>
        <rFont val="Calibri"/>
        <charset val="134"/>
      </rPr>
      <t>PO250120076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>Martin SO  1650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</si>
  <si>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MBT-074/
TEMU7935222</t>
  </si>
  <si>
    <t>MDCAS2503180006</t>
  </si>
  <si>
    <r>
      <rPr>
        <sz val="11"/>
        <rFont val="Calibri"/>
        <charset val="134"/>
      </rPr>
      <t>PO250120077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>Martin SO  1650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</si>
  <si>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MBT-075/
TLLU8598359</t>
  </si>
  <si>
    <t>MDCAS2503170039</t>
  </si>
  <si>
    <r>
      <rPr>
        <sz val="11"/>
        <rFont val="Calibri"/>
        <charset val="134"/>
      </rPr>
      <t>PO250120078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>Martin SO  1650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</si>
  <si>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MBT-076/
GAOU6740520</t>
  </si>
  <si>
    <t>MDCAS2503180008</t>
  </si>
  <si>
    <r>
      <rPr>
        <sz val="11"/>
        <rFont val="Calibri"/>
        <charset val="134"/>
      </rPr>
      <t>PO250120079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>Martin SO  1650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</si>
  <si>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MBT-040/
NLLU4114039</t>
  </si>
  <si>
    <t>MDCAS2503130009</t>
  </si>
  <si>
    <t>EA</t>
  </si>
  <si>
    <t>2月24MBT通知外机未完成，无法出货,Martin SO  1250, POL-NANSHA,SLS 14XLFD</t>
  </si>
  <si>
    <t>MBT-088 拼 RAC-204/
JXLU6390272</t>
  </si>
  <si>
    <t>MDCAS2503120010</t>
  </si>
  <si>
    <r>
      <rPr>
        <sz val="11"/>
        <rFont val="Calibri"/>
        <charset val="134"/>
      </rPr>
      <t>Martin SO  1250, POL-NANSHA,ZIM 14XLFD</t>
    </r>
    <r>
      <rPr>
        <sz val="11"/>
        <rFont val="Calibri"/>
        <charset val="134"/>
      </rPr>
      <t>。</t>
    </r>
    <r>
      <rPr>
        <sz val="11"/>
        <rFont val="Calibri"/>
        <charset val="134"/>
      </rPr>
      <t>MBT_18_12_24</t>
    </r>
  </si>
  <si>
    <r>
      <rPr>
        <sz val="11"/>
        <rFont val="Calibri"/>
        <charset val="134"/>
      </rPr>
      <t>MBT-049</t>
    </r>
    <r>
      <rPr>
        <sz val="11"/>
        <rFont val="Calibri"/>
        <charset val="134"/>
      </rPr>
      <t>短装</t>
    </r>
  </si>
  <si>
    <r>
      <rPr>
        <sz val="11"/>
        <rFont val="Calibri"/>
        <charset val="134"/>
      </rPr>
      <t>MBT-048</t>
    </r>
    <r>
      <rPr>
        <sz val="11"/>
        <rFont val="Calibri"/>
        <charset val="134"/>
      </rPr>
      <t>短装</t>
    </r>
  </si>
  <si>
    <t>放入特殊处理的VEU试用内机+Quality Claim整机</t>
  </si>
  <si>
    <t>MBT-077/
TLLU8880439</t>
  </si>
  <si>
    <t>MDCAS2503240034</t>
  </si>
  <si>
    <r>
      <rPr>
        <sz val="11"/>
        <rFont val="Calibri"/>
        <charset val="134"/>
      </rPr>
      <t>PO250120080.Martin SO  2000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</si>
  <si>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RM23A遥控器+水泵+左右摆风+wifi内置。MBT-063短装</t>
  </si>
  <si>
    <t>MBT-078/
TXGU7362910</t>
  </si>
  <si>
    <t>MDCAS2503240040</t>
  </si>
  <si>
    <r>
      <rPr>
        <sz val="11"/>
        <rFont val="Calibri"/>
        <charset val="134"/>
      </rPr>
      <t>PO250120081.Martin SO  2000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</si>
  <si>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RM23A遥控器+水泵+左右摆风+wifi内置。MBT-061短装</t>
  </si>
  <si>
    <t>MBT-079/
CAAU9442553</t>
  </si>
  <si>
    <t>MDCAS2503240039</t>
  </si>
  <si>
    <r>
      <rPr>
        <sz val="11"/>
        <rFont val="Calibri"/>
        <charset val="134"/>
      </rPr>
      <t>PO250120082.Martin SO  2000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</si>
  <si>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MBT-080/
TXGU5798611</t>
  </si>
  <si>
    <t>MDCAS2503240037</t>
  </si>
  <si>
    <r>
      <rPr>
        <sz val="11"/>
        <rFont val="Calibri"/>
        <charset val="134"/>
      </rPr>
      <t>PO250120083.Martin SO  2000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</si>
  <si>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MBT-081/
GAOU6775790</t>
  </si>
  <si>
    <t>MDCAS2503240038</t>
  </si>
  <si>
    <r>
      <rPr>
        <sz val="11"/>
        <rFont val="Calibri"/>
        <charset val="134"/>
      </rPr>
      <t>PO250120084.Martin SO  2000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</si>
  <si>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MBT-082/
TSSU5120765</t>
  </si>
  <si>
    <t>MDCAS2503240041</t>
  </si>
  <si>
    <r>
      <rPr>
        <sz val="11"/>
        <rFont val="Calibri"/>
        <charset val="134"/>
      </rPr>
      <t>PO250120085.Martin SO  2000</t>
    </r>
    <r>
      <rPr>
        <sz val="11"/>
        <rFont val="Calibri"/>
        <charset val="134"/>
      </rPr>
      <t>，</t>
    </r>
    <r>
      <rPr>
        <sz val="11"/>
        <rFont val="Calibri"/>
        <charset val="134"/>
      </rPr>
      <t>POL-NANSHA,TSL</t>
    </r>
  </si>
  <si>
    <t>MBT-066/
TSSU5155442</t>
  </si>
  <si>
    <t>MDCAS2503250013</t>
  </si>
  <si>
    <t>PO250120069.Martin SO  2000，POL-NANSHA,TSL</t>
  </si>
  <si>
    <t>WDC3-86T</t>
  </si>
  <si>
    <r>
      <rPr>
        <sz val="11"/>
        <rFont val="Calibri"/>
        <charset val="134"/>
      </rPr>
      <t>86T</t>
    </r>
    <r>
      <rPr>
        <sz val="11"/>
        <rFont val="Calibri"/>
        <charset val="134"/>
      </rPr>
      <t>线控器装在内机盒子里</t>
    </r>
  </si>
  <si>
    <t>MBT-064/
TCKU6757728</t>
  </si>
  <si>
    <t>MDCAS2503250011</t>
  </si>
  <si>
    <t>PO250120067。Martin SO  2000，POL-NANSHA,TSL</t>
  </si>
  <si>
    <t>MBT-065/
TRHU8857792</t>
  </si>
  <si>
    <t>MDCAS2503250012</t>
  </si>
  <si>
    <t>PO250120068。Martin SO  2000，POL-NANSHA,TSL</t>
  </si>
  <si>
    <t>MBT-067/
TRHU8937136</t>
  </si>
  <si>
    <t>MDCAS2503240044</t>
  </si>
  <si>
    <t>PO250120070.Martin SO  2000，POL-NANSHA,TSL</t>
  </si>
  <si>
    <t>MBT-085/
TIIU5698368</t>
  </si>
  <si>
    <t>MDCAS2503240035</t>
  </si>
  <si>
    <t>由原来36套改装成28套，MBT走DDP。2月24号，MBT调整过装柜方案改成32套/柜。Martin SO  2000，POL-NANSHA,TSL</t>
  </si>
  <si>
    <t>MBT-089/
TSSU5156691</t>
  </si>
  <si>
    <t>MDCAS2503240036</t>
  </si>
  <si>
    <t>Martin SO  2000，POL-NANSHA,TSL。由原来36套改装成28套，MBT走DDP。2月24号，MBT调整过装柜方案改成32套/柜</t>
  </si>
  <si>
    <t>由原来36套改装成28套，MBT走DDP。2月24号，MBT调整过装柜方案改成32套/柜.</t>
  </si>
  <si>
    <r>
      <rPr>
        <sz val="11"/>
        <rFont val="Calibri"/>
        <charset val="134"/>
      </rPr>
      <t>MBT-049</t>
    </r>
    <r>
      <rPr>
        <sz val="11"/>
        <rFont val="Calibri"/>
        <charset val="134"/>
      </rPr>
      <t>短装</t>
    </r>
    <r>
      <rPr>
        <sz val="11"/>
        <rFont val="Calibri"/>
        <charset val="134"/>
      </rPr>
      <t>.MBT-088</t>
    </r>
    <r>
      <rPr>
        <sz val="11"/>
        <rFont val="Calibri"/>
        <charset val="134"/>
      </rPr>
      <t>短装</t>
    </r>
  </si>
  <si>
    <t>MBT-086 拼RAC-191/
OOCU7884516</t>
  </si>
  <si>
    <t>MDCAS2504020016P</t>
  </si>
  <si>
    <t>Polyaire PO #41152，req date:2025/5/20</t>
  </si>
  <si>
    <t>MBT-022/
CAAU8805839</t>
  </si>
  <si>
    <t>MDCAS2504010030</t>
  </si>
  <si>
    <t xml:space="preserve">放入MBT Quality Claim 整机。MBT CIF CNY 12305.41   对应柜1-4短装部分。未经出货允许，MBT安排出去了 </t>
  </si>
  <si>
    <t>由原来36套改装成28套，MBT走DDP。2月24号，MBT调整过装柜方案改成32套/柜</t>
  </si>
  <si>
    <t>PI-MDA-PO 20250311</t>
  </si>
  <si>
    <t>MBT-092/
CAAU8803163</t>
  </si>
  <si>
    <t>MDCAS2504070007</t>
  </si>
  <si>
    <r>
      <rPr>
        <sz val="11"/>
        <color rgb="FF000000"/>
        <rFont val="Calibri"/>
        <charset val="134"/>
      </rPr>
      <t>PO250312235.MBT CIF CNY 11689.89, POL-BEIJIAO</t>
    </r>
    <r>
      <rPr>
        <sz val="11"/>
        <color rgb="FFFF0000"/>
        <rFont val="Calibri"/>
        <charset val="134"/>
      </rPr>
      <t>(MBT</t>
    </r>
    <r>
      <rPr>
        <sz val="11"/>
        <color rgb="FFFF0000"/>
        <rFont val="宋体"/>
        <charset val="134"/>
      </rPr>
      <t>负责</t>
    </r>
    <r>
      <rPr>
        <sz val="11"/>
        <color rgb="FFFF0000"/>
        <rFont val="Calibri"/>
        <charset val="134"/>
      </rPr>
      <t>CIF</t>
    </r>
    <r>
      <rPr>
        <sz val="11"/>
        <color rgb="FFFF0000"/>
        <rFont val="宋体"/>
        <charset val="134"/>
      </rPr>
      <t>费用及澳洲当地的清关及相关费用</t>
    </r>
    <r>
      <rPr>
        <sz val="11"/>
        <color rgb="FFFF0000"/>
        <rFont val="Calibri"/>
        <charset val="134"/>
      </rPr>
      <t>)</t>
    </r>
  </si>
  <si>
    <t>MBT-093/
CAAU8803190</t>
  </si>
  <si>
    <r>
      <rPr>
        <sz val="11"/>
        <color rgb="FF000000"/>
        <rFont val="Calibri"/>
        <charset val="134"/>
      </rPr>
      <t>PO250312235.MBT CIF CNY 11689.89, POL-BEIJIAO</t>
    </r>
    <r>
      <rPr>
        <sz val="11"/>
        <color rgb="FFFF0000"/>
        <rFont val="Calibri"/>
        <charset val="134"/>
      </rPr>
      <t>(MBT负责CIF费用及澳洲当地的清关及相关费用)</t>
    </r>
  </si>
  <si>
    <t>MBT-094/
CAAU8803630</t>
  </si>
  <si>
    <t>MBT-090/
TRHU6611794</t>
  </si>
  <si>
    <t>MDCAS2504080001</t>
  </si>
  <si>
    <t>PO250312235.Martin  SO 1800, POL-NANSHA，TSL</t>
  </si>
  <si>
    <t>MBT-091/
MAGU5608580</t>
  </si>
  <si>
    <t>MDCAS2504080003</t>
  </si>
  <si>
    <t>PO250312235.Martin  SO 1800, POL-NANSHA,TSL</t>
  </si>
  <si>
    <t>MBT-084/
TXGU5684820</t>
  </si>
  <si>
    <t>MDCAS2504140009</t>
  </si>
  <si>
    <t>PO250120070. Martin SO  1800, POL-NANSHA, TSL</t>
  </si>
  <si>
    <t>RM23A遥控器+水泵+左右摆风+wifi内置。MBT-085短装</t>
  </si>
  <si>
    <t>RM23A遥控器+水泵+左右摆风+wifi内置,MBT-077 短装一台</t>
  </si>
  <si>
    <t>3月20Gary通知3/28完货，赶不上3月尾船期</t>
  </si>
  <si>
    <t>MBT-089短装</t>
  </si>
  <si>
    <t>86T线控器装在内机盒子里。MBT-089短装</t>
  </si>
  <si>
    <t>MBT-195/
GAOU7074979</t>
  </si>
  <si>
    <t>MDCAS2504140011</t>
  </si>
  <si>
    <t xml:space="preserve"> Martin SO  1800, POL-NANSHA, TSL。 放入 MBT Quality Claim整机。Q1剩余库存.3月20Gary通知3/28完货，赶不上3月尾船期.</t>
  </si>
  <si>
    <t>Q1剩余库存.86T线控器装在内机盒子里.</t>
  </si>
  <si>
    <t>PO250312235.MBT-092 短装</t>
  </si>
  <si>
    <t>PO250312235.MBT-093 短装</t>
  </si>
  <si>
    <t>PO250312235.MBT-094 短装</t>
  </si>
  <si>
    <t>PO250312235. MBT-090短装</t>
  </si>
  <si>
    <t xml:space="preserve">PO250312235. MBT-091短装 </t>
  </si>
  <si>
    <t>MBT-100/
CSNU7011162</t>
  </si>
  <si>
    <t>MDCAS2504220020</t>
  </si>
  <si>
    <r>
      <rPr>
        <sz val="11"/>
        <color rgb="FF000000"/>
        <rFont val="Calibri"/>
        <charset val="134"/>
      </rPr>
      <t>MBT CIF  1900, POL-BEIJIAO, OOCL</t>
    </r>
    <r>
      <rPr>
        <sz val="11"/>
        <color rgb="FFFF0000"/>
        <rFont val="Calibri"/>
        <charset val="134"/>
      </rPr>
      <t>(MBT负责CIF费用及澳洲当地的清关及相关费用)</t>
    </r>
  </si>
  <si>
    <t>5/13 Curtis通知0carbon订单取消</t>
  </si>
  <si>
    <t>5/19 Curtis通知留给客户EA</t>
  </si>
  <si>
    <t>MIH71GHN18-A</t>
  </si>
  <si>
    <t>MBT-101/
CSNU8401798</t>
  </si>
  <si>
    <t>DLZ</t>
  </si>
  <si>
    <t>5/12 Curtis通知留给客户DLZ PO 2400. 直接派送到客户仓库</t>
  </si>
  <si>
    <t>MBT-102/
OOCU8832224</t>
  </si>
  <si>
    <t>MBT-103/
OOLU6967947</t>
  </si>
  <si>
    <t>MDCAS2504220022</t>
  </si>
  <si>
    <r>
      <rPr>
        <sz val="11"/>
        <color rgb="FF000000"/>
        <rFont val="Calibri"/>
        <charset val="134"/>
      </rPr>
      <t>MBT CIF  1900, POL-BEIJIAO,COSCO</t>
    </r>
    <r>
      <rPr>
        <sz val="11"/>
        <color rgb="FFFF0000"/>
        <rFont val="Calibri"/>
        <charset val="134"/>
      </rPr>
      <t>(MBT负责CIF费用及澳洲当地的清关及相关费用)</t>
    </r>
  </si>
  <si>
    <t>MBT-112/
CAAU8772993</t>
  </si>
  <si>
    <t>MDCAS2504270059</t>
  </si>
  <si>
    <t>MBT CIF  1900, POL-BEIJIAO,ONE</t>
  </si>
  <si>
    <t>5/19 Curtis通知留给客户Odisee</t>
  </si>
  <si>
    <t>MBT-113/
CAAU8777172</t>
  </si>
  <si>
    <t>MBT-114/
CAAU8777315</t>
  </si>
  <si>
    <t>By Air: TNT 146522111</t>
  </si>
  <si>
    <t>MDCASS21202504280034</t>
  </si>
  <si>
    <t>4/28确定空运</t>
  </si>
  <si>
    <t>MBT-123拼RAC-173拼RAC-243/
GAOU6440944</t>
  </si>
  <si>
    <t>MDCAS2504280020</t>
  </si>
  <si>
    <t>Martin SO  $1650 ,POL-NANSHA, ZIM</t>
  </si>
  <si>
    <t>拼RAC 85台内机</t>
  </si>
  <si>
    <t>ZIMUGZH0521405</t>
  </si>
  <si>
    <t>MBT-122拼RAC-243/
SEGU5277337</t>
  </si>
  <si>
    <t>MDCAS2504280024</t>
  </si>
  <si>
    <t>拼RAC 80台内机</t>
  </si>
  <si>
    <t>ZIMUGZH0524938</t>
  </si>
  <si>
    <t>MBT-119拼MBT-118拼MBT-120/
ZCSU7938421</t>
  </si>
  <si>
    <t>MDCAS2504290010</t>
  </si>
  <si>
    <t>Cold Bear</t>
  </si>
  <si>
    <t>Martin SO  1650,POL-NANSHA, ZIM。未按出货安排装柜</t>
  </si>
  <si>
    <t>PO250312235</t>
  </si>
  <si>
    <t>5/19 Curtis通知留给客户Cold Bear</t>
  </si>
  <si>
    <t>PI-MDA-PO 20250312</t>
  </si>
  <si>
    <t>原MBT-118</t>
  </si>
  <si>
    <t>原MBT-119</t>
  </si>
  <si>
    <t>原MBT-120</t>
  </si>
  <si>
    <t>原MBT-121</t>
  </si>
  <si>
    <t>MBT-104/
TCLU6322980</t>
  </si>
  <si>
    <t>MDCAS2504300024</t>
  </si>
  <si>
    <t>MBT CIF  1900, FOB SHEKOU, COSCO(MBT负责CIF费用及澳洲当地的清关及相关费用)</t>
  </si>
  <si>
    <t>MBT-095/
TSSU5046523</t>
  </si>
  <si>
    <t>MDCAS2504280013</t>
  </si>
  <si>
    <t>0carbon</t>
  </si>
  <si>
    <t>Martin SO  1600,POL-NANSHA, TSL</t>
  </si>
  <si>
    <t>5/19 Curtis通知留给客户0carbon</t>
  </si>
  <si>
    <t>MBT-096/
TCKU7953915</t>
  </si>
  <si>
    <t>MDCAS2504280012</t>
  </si>
  <si>
    <t>Odisee PO 1510.  Martin SO  1600,POL-NANSHA, TSL</t>
  </si>
  <si>
    <t>Odisee 1510.</t>
  </si>
  <si>
    <t>MBT-097/
GAOU6773740</t>
  </si>
  <si>
    <t>MDCAS2504280018</t>
  </si>
  <si>
    <t>FQH-03</t>
  </si>
  <si>
    <t>MBT-105/
TSSU5198233</t>
  </si>
  <si>
    <t>MDCAS2504280003</t>
  </si>
  <si>
    <t>原MBT-107短装2台</t>
  </si>
  <si>
    <t>MBT-106/
TSSU5150029</t>
  </si>
  <si>
    <t>MDCAS2504280004</t>
  </si>
  <si>
    <t>原MBT-107拼MBT-140/
GAOU6964474</t>
  </si>
  <si>
    <t>MDCAS2504290034</t>
  </si>
  <si>
    <t>NCG &amp; AGM</t>
  </si>
  <si>
    <t>Martin SO  1600,POL-NANSHA, TSL。未按出货安排装柜。原MBT-140</t>
  </si>
  <si>
    <t>86T线控器装在内机盒子里</t>
  </si>
  <si>
    <t>PO250312235. 5/19 Curtis通知留给客户NCG &amp; AGM</t>
  </si>
  <si>
    <t>原MBT-108+原MBT-141/
TEMU7946274</t>
  </si>
  <si>
    <t>MDCAS2504290022</t>
  </si>
  <si>
    <t>Aus Solar</t>
  </si>
  <si>
    <t>Martin SO  1600,POL-NANSHA, TSL。未按出货安排装柜</t>
  </si>
  <si>
    <r>
      <rPr>
        <sz val="11"/>
        <color rgb="FF000000"/>
        <rFont val="Calibri"/>
        <charset val="134"/>
      </rPr>
      <t>86T</t>
    </r>
    <r>
      <rPr>
        <sz val="11"/>
        <color rgb="FF000000"/>
        <rFont val="Calibri"/>
        <charset val="134"/>
      </rPr>
      <t>线控器装在内机盒子里</t>
    </r>
  </si>
  <si>
    <t>5/19 Curtis通知留给客户Aus Solar</t>
  </si>
  <si>
    <t>MBT-124/
TLLU8859236</t>
  </si>
  <si>
    <t>MDCAS2504290008</t>
  </si>
  <si>
    <t>HAS</t>
  </si>
  <si>
    <t>Martin SO  1600,POL-NANSHA, TSL. 5/19 Curtis通知留给客户HAS</t>
  </si>
  <si>
    <t>PI-MDA-PO 20250225</t>
  </si>
  <si>
    <t>FQH-05A</t>
  </si>
  <si>
    <t>这部分是50W核销配件里面的</t>
  </si>
  <si>
    <t>FQH-06A</t>
  </si>
  <si>
    <t>FQH-03A</t>
  </si>
  <si>
    <t>FQH-04A</t>
  </si>
  <si>
    <t>MBT-126/
TLLU8859051</t>
  </si>
  <si>
    <t>MDCAS2504290007</t>
  </si>
  <si>
    <t>Martin SO  1600,POL-NANSHA, TSL.</t>
  </si>
  <si>
    <t>加入MBT50W核销配件</t>
  </si>
  <si>
    <t xml:space="preserve">                            </t>
  </si>
  <si>
    <t>MBT-127/
TXGU8292191</t>
  </si>
  <si>
    <t>MDCAS2504290006</t>
  </si>
  <si>
    <t>5/19 Curtis通知留给客户Polyaire</t>
  </si>
  <si>
    <t>MBT-098/
TXGU7108649</t>
  </si>
  <si>
    <t>MDCAS2504290027</t>
  </si>
  <si>
    <t>Martin SO  1600,POL-NANSHA, TSL.未按出货安排装柜</t>
  </si>
  <si>
    <t>PO250312235. 短装113 pcs</t>
  </si>
  <si>
    <t>MBT-125/
TSSU5047556</t>
  </si>
  <si>
    <t>MDCAS2504300034</t>
  </si>
  <si>
    <t>放入 MBT quality Claim+路沿坡+扫地机+卷膜+MBT双肩包+RAC免散-NSW</t>
  </si>
  <si>
    <t>MBT-116拼MBT-121/
TXGU7108309</t>
  </si>
  <si>
    <t>MDCAS2505050001</t>
  </si>
  <si>
    <t>PO250312235. Martin SO 1650, POL-NANSHA, TSL</t>
  </si>
  <si>
    <t>已计划走FOB</t>
  </si>
  <si>
    <t>MBT-115拼MBT-139/
TSSU5171248</t>
  </si>
  <si>
    <t>MDCAS2505050004</t>
  </si>
  <si>
    <t>原MBT-139。Martin SO  $1600 ,POL-NANSHA, TSL。712BK5033940.</t>
  </si>
  <si>
    <t>原MBT-115. 5/19 Curtis通知留给客户Odisee</t>
  </si>
  <si>
    <t>原MBT-115</t>
  </si>
  <si>
    <t>MBT-140/
BHCU5010005</t>
  </si>
  <si>
    <t>MDCAS2505050005</t>
  </si>
  <si>
    <t>原MBT-140已出，经查是挪用了MBT-145的货。Martin SO  $1600 ,POL-NANSHA, TSL。SO:712BK5033828</t>
  </si>
  <si>
    <t>原MBT-116 原MBT-121（10pcs） 原MBT-117. 5/19 Curtis通知留给客户Chromagen</t>
  </si>
  <si>
    <t>MBT-117拼MBT-119拼MBT-120拼MBT-121/
TRHU4083255</t>
  </si>
  <si>
    <t>MDCAS2505050002</t>
  </si>
  <si>
    <t>PO250312235. 原MBT-117. Martin SO  $1600 ,POL-NANSHA, TSL</t>
  </si>
  <si>
    <t>原MBT-117. 抽了24台71内机到柜118</t>
  </si>
  <si>
    <t>原MBT-120. 5/19 Curtis通知留给客户Chromagen</t>
  </si>
  <si>
    <t>原MBT-117</t>
  </si>
  <si>
    <t>2025.4.1</t>
  </si>
  <si>
    <t>MBT-110/
CAAU8772653</t>
  </si>
  <si>
    <t>MDCAS2505060023</t>
  </si>
  <si>
    <t>MBT-111/
CAAU8773032</t>
  </si>
  <si>
    <t>5/19 Curtis通知留给客户Chromagen</t>
  </si>
  <si>
    <t>2025.4.11</t>
  </si>
  <si>
    <t>PI-MDA-PO 20250411-SP</t>
  </si>
  <si>
    <t>DXFQT5-02</t>
  </si>
  <si>
    <t>By Air: TNT 162031875</t>
  </si>
  <si>
    <t>MDCAZS21202505140177</t>
  </si>
  <si>
    <t>已起飞</t>
  </si>
  <si>
    <t>DXFQT6-02</t>
  </si>
  <si>
    <t>MBT-109/
ONEU0633480</t>
  </si>
  <si>
    <t>MDCAS2505090011</t>
  </si>
  <si>
    <r>
      <rPr>
        <sz val="11"/>
        <color rgb="FF000000"/>
        <rFont val="Calibri"/>
        <charset val="134"/>
      </rPr>
      <t>MBT CIF  1900, POL-BEIJIAO,ONE</t>
    </r>
    <r>
      <rPr>
        <sz val="11"/>
        <color rgb="FFFF0000"/>
        <rFont val="Calibri"/>
        <charset val="134"/>
      </rPr>
      <t>(MBT负责CIF费用及澳洲当地的清关及相关费用)</t>
    </r>
  </si>
  <si>
    <t>MBT-132/
TRHU8132384</t>
  </si>
  <si>
    <t>MDCAS2505140005</t>
  </si>
  <si>
    <t>86T线控器装在内机盒子里。Martin SO  $1600 ,POL-NANSHA, TSL. SO 712BK5035304</t>
  </si>
  <si>
    <r>
      <rPr>
        <sz val="11"/>
        <color rgb="FF000000"/>
        <rFont val="Calibri"/>
        <charset val="134"/>
      </rPr>
      <t>upgrate</t>
    </r>
    <r>
      <rPr>
        <sz val="11"/>
        <color rgb="FF000000"/>
        <rFont val="Calibri"/>
        <charset val="134"/>
      </rPr>
      <t>地台板</t>
    </r>
  </si>
  <si>
    <t>N/A</t>
  </si>
  <si>
    <t>MBT以为是单独下单，另外打包的，但随柜的86T没有在CI中体现金额</t>
  </si>
  <si>
    <t>MBT-133/
TXGU6905144</t>
  </si>
  <si>
    <t>MDCAS2505140004</t>
  </si>
  <si>
    <t>86T线控器装在内机盒子里。Martin SO  $1600 ,POL-NANSHA, TSL. SO 712BK5035305</t>
  </si>
  <si>
    <t>MBT-134/
SEKU5874173</t>
  </si>
  <si>
    <t>MDCAS2505140002</t>
  </si>
  <si>
    <t>PO250312235。Martin SO  $1600 ,POL-NANSHA, TSL. SO 712BK5035369</t>
  </si>
  <si>
    <t>原MBT-130 原MBT-134</t>
  </si>
  <si>
    <t>MBT-136/
CAIU4969987</t>
  </si>
  <si>
    <t>MDCAS2505150017</t>
  </si>
  <si>
    <t>Martin SO  $1600, POL-NANSHA, TSL. SO 712BK5035293</t>
  </si>
  <si>
    <t>MBT-144/
SEKU6003612</t>
  </si>
  <si>
    <t>MDCAS2505140001</t>
  </si>
  <si>
    <t>Martin SO  $1600, POL-NANSHA, TSL. SO 712BK5035376</t>
  </si>
  <si>
    <t>MBT-196/
TXGU8955144</t>
  </si>
  <si>
    <t>MDCAS2505140009</t>
  </si>
  <si>
    <t>原MBT-116. Martin SO  $1600, POL-NANSHA, TSL. SO 712BK5035299</t>
  </si>
  <si>
    <t>PI-MDA-PO 20250401</t>
  </si>
  <si>
    <t>价格不包含Q1支持 原MBT-127</t>
  </si>
  <si>
    <t>原MBT-124</t>
  </si>
  <si>
    <t>原MBT-122</t>
  </si>
  <si>
    <t>原MBT-123</t>
  </si>
  <si>
    <t>价格不包含Q1支持 原MBT-125</t>
  </si>
  <si>
    <t>价格不包含Q1支持 原MBT-126</t>
  </si>
  <si>
    <t>原MBT-128</t>
  </si>
  <si>
    <t>原MBT-129</t>
  </si>
  <si>
    <t>原MBT-130</t>
  </si>
  <si>
    <t>原MBT-134</t>
  </si>
  <si>
    <t>原MBT-135</t>
  </si>
  <si>
    <t>MBT-199/
SEKU5872294</t>
  </si>
  <si>
    <t>MDCAS2505140008</t>
  </si>
  <si>
    <t>原MBT-118。Martin SO  $1600, POL-NANSHA, TSL. SO 712BK5035300</t>
  </si>
  <si>
    <t>价格不包含Q1支持 原MBT-127 MBT-124</t>
  </si>
  <si>
    <t>原MBT-127 原MBT-124 原MBT-122</t>
  </si>
  <si>
    <t>MBT-200/
TXGU6638650</t>
  </si>
  <si>
    <t>MDCAS2505140010</t>
  </si>
  <si>
    <t>PO250312235  原MBT-128. Martin SO 1650, POL-NANSHA, TSL. SO 712BK5035301</t>
  </si>
  <si>
    <t>原MBT-123 原MBT-125 原MBT-126</t>
  </si>
  <si>
    <t>价格不包含Q1支持 原MBT-123 原MBT-125 原MBT-126</t>
  </si>
  <si>
    <t>MBT-201/
TIIU5318489</t>
  </si>
  <si>
    <t>MDCAS2505140007</t>
  </si>
  <si>
    <t>原MBT-124 原MBT-128. Martin SO 1600, POL-NANSHA, TSL. SO 712BK5035302</t>
  </si>
  <si>
    <t>原MBT-124 原MBT-128</t>
  </si>
  <si>
    <t>PO250312235 原MBT-129</t>
  </si>
  <si>
    <t>MBT-202/
TIIU6816296</t>
  </si>
  <si>
    <t>MDCAS2505140006</t>
  </si>
  <si>
    <t>价格不包含Q1支持 原MBT-123 原MBT-125 原MBT-126。Martin SO 1600, POL-NANSHA, TSL. SO 712BK5035361</t>
  </si>
  <si>
    <t>PO250312235 原MBT-130</t>
  </si>
  <si>
    <t>MBT-205/
TLLU7977975</t>
  </si>
  <si>
    <t>MDCAS2505140011</t>
  </si>
  <si>
    <t>原MBT-117. Martin SO  $1600, POL-NANSHA, TSL. SO 712BK5035307</t>
  </si>
  <si>
    <t>原MBT-098 短装</t>
  </si>
  <si>
    <t>原MBT-120(30pcs) 原MBT-119 (30pcs) 原MBT-118 (15pcs)</t>
  </si>
  <si>
    <t>MBT-131/
TSSU5011445</t>
  </si>
  <si>
    <t>MDCAS2505140012</t>
  </si>
  <si>
    <t>86T线控器装在内机盒子里. Martin SO 1600, POL-NANSHA, TSL. SO 712BK5035303</t>
  </si>
  <si>
    <t>MBT-135/
TSSU5179110</t>
  </si>
  <si>
    <t>MDCAS2505220011</t>
  </si>
  <si>
    <t xml:space="preserve">PO250312235. 原ETD 5.23 (原CRD是5.16) </t>
  </si>
  <si>
    <t>Martin SO  $1600, POL-NANSHA, TSL712BK5040190</t>
  </si>
  <si>
    <t>原MBT-130 原MBT-135</t>
  </si>
  <si>
    <t>MBT-137/
TCKU7561529</t>
  </si>
  <si>
    <t>MDCAS2505230020</t>
  </si>
  <si>
    <t>86T线控器装在内机盒子里 。Martin SO  $1600, POL-NANSHA, TSL 712BK5040207</t>
  </si>
  <si>
    <t>MBT-138/
TCKU7562021</t>
  </si>
  <si>
    <t>MDCAS2505230018</t>
  </si>
  <si>
    <t>86T线控器装在内机盒子里。Martin SO  $1600, POL-NANSHA, TSL 712BK5040208</t>
  </si>
  <si>
    <t>MBT-142/
GAOU7000322</t>
  </si>
  <si>
    <t>MDCAS2505220012</t>
  </si>
  <si>
    <t>86T线控器装在内机盒子里。Martin SO  $1600, POL-NANSHA, TSL 712BK5040213</t>
  </si>
  <si>
    <t>MBT-143/
TXGU5979800</t>
  </si>
  <si>
    <t>MDCAS2505220013</t>
  </si>
  <si>
    <t>86T线控器装在内机盒子里。Martin SO  $1600, POL-NANSHA, TSL 712BK5040215</t>
  </si>
  <si>
    <t>MBT-150/
TSSU5071439</t>
  </si>
  <si>
    <t>MDCAS2505230012</t>
  </si>
  <si>
    <t>86T线控器装在内机盒子里。这个柜子原ETD 5.30（5/6 Edwin通知调整）</t>
  </si>
  <si>
    <t>upgrate地台板。Martin SO  $1600, POL-NANSHA, TSL 712BK5040216</t>
  </si>
  <si>
    <t>MBT-151/
TSSU5039519</t>
  </si>
  <si>
    <t>MDCAS2505230016</t>
  </si>
  <si>
    <t>upgrate地台板。Martin SO  $1600, POL-NANSHA, TSL 712BK5040219</t>
  </si>
  <si>
    <t>MBT-099拼MBT-145/
MAGU5627955</t>
  </si>
  <si>
    <t>MDCAS2505230017</t>
  </si>
  <si>
    <t>库存Martin SO 1600, POL-SHEKOU, TSL. 721BK5040543
4/15 MBT通知由于物料供应问题，延迟出货时间至5/10。
5/15装柜时发现部分未货好（物料无及时到），Mandy和Justin确认要求返空，等下一水和235外机再一起出</t>
  </si>
  <si>
    <r>
      <rPr>
        <sz val="11"/>
        <color rgb="FF000000"/>
        <rFont val="Calibri"/>
        <charset val="134"/>
      </rPr>
      <t>库存.</t>
    </r>
    <r>
      <rPr>
        <sz val="11"/>
        <color rgb="FF000000"/>
        <rFont val="Calibri"/>
        <charset val="134"/>
      </rPr>
      <t xml:space="preserve"> Martin SO 1600, POL-SHEKOU, TSL. 721BK5040543</t>
    </r>
  </si>
  <si>
    <t>PI-MDA-PO 20250423</t>
  </si>
  <si>
    <t>MBT-210拼RAC-238拼RAC-241/
TXGU5778554</t>
  </si>
  <si>
    <t>MDCAS2505260013</t>
  </si>
  <si>
    <t>原ETD 5.17. 已抽25个出来给Polyaire. 已抽50个安排空运. Martin SO  $1600, POL-NANSHA, TSL 712BK5040200</t>
  </si>
  <si>
    <t>PI-MDA-PO 20250326</t>
  </si>
  <si>
    <t>4/23 MBT通知需用新编码下单。范工下单</t>
  </si>
  <si>
    <t>FQH-02A</t>
  </si>
  <si>
    <t>PI-MDA-PO 20250424</t>
  </si>
  <si>
    <t>RM23A</t>
  </si>
  <si>
    <t>MBT 核销配件21万支持。有货好时间通知mina和silver</t>
  </si>
  <si>
    <r>
      <rPr>
        <sz val="11"/>
        <color rgb="FF000000"/>
        <rFont val="Calibri"/>
        <charset val="134"/>
      </rPr>
      <t xml:space="preserve">原MBT-141. </t>
    </r>
    <r>
      <rPr>
        <sz val="11"/>
        <color rgb="FF000000"/>
        <rFont val="Calibri"/>
        <charset val="134"/>
      </rPr>
      <t>RAC_01_05_25 &amp; RAC_03_04_25 &amp;短装免散</t>
    </r>
  </si>
  <si>
    <t>原MBT-140.价格不包含Q1支持</t>
  </si>
  <si>
    <t>原MBT-139</t>
  </si>
  <si>
    <t>原MBT-140</t>
  </si>
  <si>
    <t>MBT-156/
TCKU7947759</t>
  </si>
  <si>
    <t>MDCAS2505290036</t>
  </si>
  <si>
    <t>upgrate地台板. Martin SO 1510, POL-NANSHA, TSL. SO 712BK5042554</t>
  </si>
  <si>
    <t xml:space="preserve">PO250312235. </t>
  </si>
  <si>
    <t>MBT-157/
TSSU5166787</t>
  </si>
  <si>
    <t>MDCAS2505290037</t>
  </si>
  <si>
    <t>upgrate地台板. Martin SO 1510, POL-NANSHA, TSL. SO 712BK5042555</t>
  </si>
  <si>
    <t>MBT-147/
TLLU8015472</t>
  </si>
  <si>
    <t>MDCAS2505290035</t>
  </si>
  <si>
    <t>PO250312235. 原ETD 5.30. MBT-147. Martin SO 1510, POL-NANSHA, TSL. SO 712BK5042556</t>
  </si>
  <si>
    <t>MBT-147. MBT-148</t>
  </si>
  <si>
    <t>MBT-149</t>
  </si>
  <si>
    <t>MBT-148/
TSSU5126043</t>
  </si>
  <si>
    <t>MDCAS2505290040</t>
  </si>
  <si>
    <t>PO250312235. 原ETD 5.30. MBT-148. Martin SO 1510, POL-NANSHA, TSL. SO 712BK5042557</t>
  </si>
  <si>
    <t>MBT-148. MBT-147</t>
  </si>
  <si>
    <t>MBT-185</t>
  </si>
  <si>
    <t>MBT-148</t>
  </si>
  <si>
    <t>原MBT-186数量。价格不包含Q1支持</t>
  </si>
  <si>
    <t>MBT-149/
TXGU8957363</t>
  </si>
  <si>
    <t>MDCAS2505290039</t>
  </si>
  <si>
    <t>原ETD 5.30. MBT-149. Martin SO 1510, POL-NANSHA, TSL. SO 712BK5042558</t>
  </si>
  <si>
    <t>MBT-168. 短装内机5台到MBT-168</t>
  </si>
  <si>
    <t>PO250313242。这个柜子原ETD 6.6（5/6 Edwin通知调整） MBT-168</t>
  </si>
  <si>
    <t>MBT-168/
TXGU8278568</t>
  </si>
  <si>
    <t>MDCAS2505290038</t>
  </si>
  <si>
    <t>原MBT-186数量，PO250313242. Martin SO 1510, POL-NANSHA, TSL. SO 712BK5042560</t>
  </si>
  <si>
    <t>PO250313242。这个柜子原ETD 6.6（5/6 Edwin通知调整） MBT-168. MBT-169</t>
  </si>
  <si>
    <t xml:space="preserve">MBT-168. MBT-169. </t>
  </si>
  <si>
    <t>MBT-160/
TRHU8715268</t>
  </si>
  <si>
    <t>MDCAS2506090014</t>
  </si>
  <si>
    <t>86T线控器装在内机盒子里。</t>
  </si>
  <si>
    <t>upgrate地台板. Martin SO 1510</t>
  </si>
  <si>
    <t>MBT-161/
BSIU9954590</t>
  </si>
  <si>
    <t>MDCAS2506090013</t>
  </si>
  <si>
    <t>By air: TNT 179937757</t>
  </si>
  <si>
    <t>MDCASS21202506060161</t>
  </si>
  <si>
    <t>6/6确认安排空运. 从MBT-210中抽出</t>
  </si>
  <si>
    <t>MBT-146/
CAIU4419384</t>
  </si>
  <si>
    <t>MDCAB2506130004</t>
  </si>
  <si>
    <t>Polyaire PO #46650. Martin SO 1210</t>
  </si>
  <si>
    <t>价格不包含Q1支持</t>
  </si>
  <si>
    <t>MBT-152/
TEMU6771633</t>
  </si>
  <si>
    <t>MDCAB2506130007</t>
  </si>
  <si>
    <t>Polyaire PO #46654</t>
  </si>
  <si>
    <t>Martin SO 1210</t>
  </si>
  <si>
    <t>MBT-153/
JXLU4673648</t>
  </si>
  <si>
    <t>MDCAB2506130008</t>
  </si>
  <si>
    <t>AGM</t>
  </si>
  <si>
    <t xml:space="preserve">AGM PO0167. </t>
  </si>
  <si>
    <t>实际装柜15台45-R</t>
  </si>
  <si>
    <t>MBT-154/
ZCSU7170138</t>
  </si>
  <si>
    <t>MDCAB2506160002</t>
  </si>
  <si>
    <t>实际装入40台28-A和10台28-R</t>
  </si>
  <si>
    <t>MBT-158/
ZCSU7248874</t>
  </si>
  <si>
    <t>MDCAB2506130005</t>
  </si>
  <si>
    <t>MBT-145/
JXLU4680462</t>
  </si>
  <si>
    <t>MDCAS2506130008</t>
  </si>
  <si>
    <t>放入4w核销配件+50w核销短装. 原要求装200外机，实装230外机（从MBT-169扣减数量）</t>
  </si>
  <si>
    <t>经查，应该是MBT的MO 引用匹配不准确，MBT-145的235外机已被MBT-140挪用</t>
  </si>
  <si>
    <t>短装分歧管+分歧盒</t>
  </si>
  <si>
    <t>MBT-118短装 Martin SO 1500</t>
  </si>
  <si>
    <t>MBT-185/ 
TSSU5070983</t>
  </si>
  <si>
    <t>MDCAB2506270004</t>
  </si>
  <si>
    <r>
      <rPr>
        <sz val="11"/>
        <color rgb="FF000000"/>
        <rFont val="Calibri"/>
        <charset val="134"/>
      </rPr>
      <t xml:space="preserve">短装2pcs. </t>
    </r>
    <r>
      <rPr>
        <sz val="11"/>
        <color rgb="FF000000"/>
        <rFont val="Calibri"/>
        <charset val="134"/>
      </rPr>
      <t>PO250313242 1台 MBT-185 + 10台 原MBT-166 + MBT-184 + MBT-141</t>
    </r>
  </si>
  <si>
    <t xml:space="preserve">原MBT-186+MBT-155. </t>
  </si>
  <si>
    <r>
      <rPr>
        <sz val="11"/>
        <color rgb="FF000000"/>
        <rFont val="Calibri"/>
        <charset val="134"/>
      </rPr>
      <t xml:space="preserve">MBT-210短装. </t>
    </r>
    <r>
      <rPr>
        <sz val="11"/>
        <color rgb="FF000000"/>
        <rFont val="Calibri"/>
        <charset val="134"/>
      </rPr>
      <t>放入35个86T/MBT_30_04_25 B/quality claim配件-共0.9cbm</t>
    </r>
  </si>
  <si>
    <r>
      <rPr>
        <sz val="11"/>
        <color rgb="FF000000"/>
        <rFont val="Calibri"/>
        <charset val="134"/>
      </rPr>
      <t xml:space="preserve">MBT-210短装. </t>
    </r>
    <r>
      <rPr>
        <sz val="11"/>
        <color rgb="FF000000"/>
        <rFont val="Calibri"/>
        <charset val="134"/>
      </rPr>
      <t>放入2台咖啡机+打印纸+贴纸+配件袋+Polo衫</t>
    </r>
  </si>
  <si>
    <t>MBT-136短装</t>
  </si>
  <si>
    <r>
      <rPr>
        <sz val="11"/>
        <color rgb="FF000000"/>
        <rFont val="Calibri"/>
        <charset val="134"/>
      </rPr>
      <t>多装12pcs（来自MBT-190的8pcs/186的4pcs）</t>
    </r>
    <r>
      <rPr>
        <sz val="11"/>
        <color rgb="FF000000"/>
        <rFont val="Calibri"/>
        <charset val="134"/>
      </rPr>
      <t>.5/15装柜时发现部分未货好（物料无及时到）. MBT-099短装</t>
    </r>
  </si>
  <si>
    <t>MBT-184/
TSSU5213235</t>
  </si>
  <si>
    <t>MDCAB2506270003</t>
  </si>
  <si>
    <t>MBT-168. Martin SO 1500</t>
  </si>
  <si>
    <r>
      <rPr>
        <sz val="11"/>
        <color rgb="FF000000"/>
        <rFont val="Calibri"/>
        <charset val="134"/>
      </rPr>
      <t>原</t>
    </r>
    <r>
      <rPr>
        <sz val="11"/>
        <color rgb="FF000000"/>
        <rFont val="Calibri"/>
        <charset val="134"/>
      </rPr>
      <t>MBT-194</t>
    </r>
    <r>
      <rPr>
        <sz val="11"/>
        <color rgb="FF000000"/>
        <rFont val="Calibri"/>
        <charset val="134"/>
      </rPr>
      <t>数量，价格不包含Q1支持</t>
    </r>
  </si>
  <si>
    <t>放入quality claim内机（28内机3pcs + 36/45/80内机各1pcs）</t>
  </si>
  <si>
    <t>原MBT-194数量，价格不包含Q1支持</t>
  </si>
  <si>
    <t>MBT-187/
GAOU6757728</t>
  </si>
  <si>
    <t>MDCAB2506300004</t>
  </si>
  <si>
    <t>Polyaire PO #47743 原Polyaire PO 42928. Martin SO 1500</t>
  </si>
  <si>
    <r>
      <rPr>
        <sz val="11"/>
        <color rgb="FF000000"/>
        <rFont val="Calibri"/>
        <charset val="134"/>
      </rPr>
      <t xml:space="preserve">补单数量，价格不包含Q1支持。 </t>
    </r>
    <r>
      <rPr>
        <sz val="11"/>
        <color rgb="FF000000"/>
        <rFont val="Calibri"/>
        <charset val="134"/>
      </rPr>
      <t xml:space="preserve">短装60pcs 28内机. </t>
    </r>
  </si>
  <si>
    <t>补单数量，价格不包含Q1支持</t>
  </si>
  <si>
    <t>多装15pcs（来自MBT-186/188/189/190/194）</t>
  </si>
  <si>
    <t>MBT-171/
TRHU6615608</t>
  </si>
  <si>
    <t>MDCAB2506300006</t>
  </si>
  <si>
    <t xml:space="preserve"> SPT PO 0108</t>
  </si>
  <si>
    <t>Martin SO 1500</t>
  </si>
  <si>
    <t>MBT-172/
TSSU5190171</t>
  </si>
  <si>
    <t>MDCAB2506300003</t>
  </si>
  <si>
    <t>6.27 MBT说80机没有成功中转，Curtis确认换36、56机填满</t>
  </si>
  <si>
    <t>多装5pcs（来自MBT-190）</t>
  </si>
  <si>
    <t>短装12pcs</t>
  </si>
  <si>
    <t>MBT-173/
CAAU8039040</t>
  </si>
  <si>
    <t>MDCAB2506300002</t>
  </si>
  <si>
    <t>AGM PO 167</t>
  </si>
  <si>
    <t>多装16pcs（来自MBT-190）</t>
  </si>
  <si>
    <t>短装16pcs</t>
  </si>
  <si>
    <t>MBT-174/
TSSU5264314</t>
  </si>
  <si>
    <t>MDCAB2506300005</t>
  </si>
  <si>
    <t>Airconex</t>
  </si>
  <si>
    <t>短装7pcs</t>
  </si>
  <si>
    <t>MBT-176/
TRHU8678502</t>
  </si>
  <si>
    <t>MDCAB2506300001</t>
  </si>
  <si>
    <t>Has Energy</t>
  </si>
  <si>
    <t>Has Energy PO00015</t>
  </si>
  <si>
    <t>多装20pcs（来自MBT-187）</t>
  </si>
  <si>
    <t>多装38pcs（来自MBT-175）</t>
  </si>
  <si>
    <t>MBT-159/
UETU7953270</t>
  </si>
  <si>
    <t>MDCAB2506300009</t>
  </si>
  <si>
    <r>
      <rPr>
        <sz val="11"/>
        <color rgb="FF000000"/>
        <rFont val="Calibri"/>
        <charset val="134"/>
      </rPr>
      <t>价格不包</t>
    </r>
    <r>
      <rPr>
        <sz val="11"/>
        <color rgb="FF000000"/>
        <rFont val="Calibri"/>
        <charset val="134"/>
      </rPr>
      <t>含Q</t>
    </r>
    <r>
      <rPr>
        <sz val="11"/>
        <color rgb="FF000000"/>
        <rFont val="Calibri"/>
        <charset val="134"/>
      </rPr>
      <t>1支</t>
    </r>
  </si>
  <si>
    <t>MBT-162/
UETU7808754</t>
  </si>
  <si>
    <t>MDCAB2506300008</t>
  </si>
  <si>
    <t>确保八月中之前到</t>
  </si>
  <si>
    <t>MBT-163/
TSSU5164953</t>
  </si>
  <si>
    <t>MDCAB2506300007</t>
  </si>
  <si>
    <t>MBT-164/
TIIU4447239</t>
  </si>
  <si>
    <t>MDCAB2506270001</t>
  </si>
  <si>
    <t>NCG</t>
  </si>
  <si>
    <t>短装1pcs</t>
  </si>
  <si>
    <t>MBT-165/
TSSU5097686</t>
  </si>
  <si>
    <t>MDCAB2506270002</t>
  </si>
  <si>
    <t>多装1pcs-来自MBT-164</t>
  </si>
  <si>
    <t>MBT-207/
GAOU6957921</t>
  </si>
  <si>
    <t>MDCAB2507010001</t>
  </si>
  <si>
    <t xml:space="preserve">upgrate地台板。原MBT-108 </t>
  </si>
  <si>
    <r>
      <rPr>
        <sz val="11"/>
        <color rgb="FF000000"/>
        <rFont val="Calibri"/>
        <charset val="134"/>
      </rPr>
      <t>短装10pcs.</t>
    </r>
    <r>
      <rPr>
        <sz val="11"/>
        <color rgb="FF000000"/>
        <rFont val="Calibri"/>
        <charset val="134"/>
      </rPr>
      <t xml:space="preserve"> 原MBT-140. </t>
    </r>
  </si>
  <si>
    <t>原 MBT-184. Martin SO 1500</t>
  </si>
  <si>
    <t>原MBT-194</t>
  </si>
  <si>
    <t xml:space="preserve">原MBT-141. </t>
  </si>
  <si>
    <t>原MBT-118. Quality claim配件(MO-V76673)</t>
  </si>
  <si>
    <t>原MBT-141</t>
  </si>
  <si>
    <t>原MBT-175. 价格不包含Q1支持</t>
  </si>
  <si>
    <t>MBT-170/
FFAU6254788</t>
  </si>
  <si>
    <t>MDCAB2507150001</t>
  </si>
  <si>
    <t>MBT CIF 1600</t>
  </si>
  <si>
    <t>MBT-177/
OOCU8415302</t>
  </si>
  <si>
    <t>MBT-178/
CSNU5640802</t>
  </si>
  <si>
    <t>MDCAB2507160001</t>
  </si>
  <si>
    <t>MBT-179/
TLLU5741260</t>
  </si>
  <si>
    <t>Odisee PO-1953</t>
  </si>
  <si>
    <t>MBT-183/
TXGU4243239</t>
  </si>
  <si>
    <t>Odisee PO-1955</t>
  </si>
  <si>
    <t xml:space="preserve">MBT CIF 1600. </t>
  </si>
  <si>
    <t>原订单15pcs，实际多装5pcs，从MBT-175中扣减相应数量</t>
  </si>
  <si>
    <t>MBT-180/
UETU7196915</t>
  </si>
  <si>
    <t>MDCAB2507170003</t>
  </si>
  <si>
    <t>短装1pc. Odisee PO-1954</t>
  </si>
  <si>
    <t>MBT-182/
UETU7213463</t>
  </si>
  <si>
    <t>Odisee PO-2073</t>
  </si>
  <si>
    <t>PI-MDA-PO 20250507</t>
  </si>
  <si>
    <t>MVi-260WV2GN1(A)</t>
  </si>
  <si>
    <t>MBT-208 &amp; MBT-209拼RAC-377/
SNBU8320458</t>
  </si>
  <si>
    <t>MDCAB2507170001P</t>
  </si>
  <si>
    <t>Compact</t>
  </si>
  <si>
    <t>PO00000457 &amp; PO00000458. 6/5客户确认改PO. 按无牌下单生产</t>
  </si>
  <si>
    <t>MV6-R335WV2GN1</t>
  </si>
  <si>
    <t>6/5 客户邮件确认取消这个型号下单</t>
  </si>
  <si>
    <t>PO00000459. 按无牌下单生产</t>
  </si>
  <si>
    <t>2025.5.15</t>
  </si>
  <si>
    <t>PI-MDA-PO250515001-July</t>
  </si>
  <si>
    <t>MBT-211/
CAAU6157953</t>
  </si>
  <si>
    <t>MDCAB2507210017</t>
  </si>
  <si>
    <t xml:space="preserve">NCG PO #HW24062025. </t>
  </si>
  <si>
    <t>MBT-212/
OOCU7407350</t>
  </si>
  <si>
    <t xml:space="preserve">Odisee PO-2075. 确保九月初到. </t>
  </si>
  <si>
    <t>MBT-213/
DFSU7577791</t>
  </si>
  <si>
    <t xml:space="preserve">Odisee PO-2076. 确保九月初到. </t>
  </si>
  <si>
    <t>MBT-214/
FSCU9349517</t>
  </si>
  <si>
    <t>Chromagen/Fengchen/HDA/Airpro</t>
  </si>
  <si>
    <t>MBT-215/
OOCU7644921</t>
  </si>
  <si>
    <t xml:space="preserve">Odisee PO-2072 &amp; 2079. 确保九月中之前到. </t>
  </si>
  <si>
    <t>MBT-166/
TXGU7361024</t>
  </si>
  <si>
    <t>MDCAB2507140003</t>
  </si>
  <si>
    <t>HDA</t>
  </si>
  <si>
    <t>原MBT-140. Martin SO 2500</t>
  </si>
  <si>
    <t>MBT-185短装2pcs</t>
  </si>
  <si>
    <t>MBT-187短装60pcs. MBT-176多装20pcs，扣减相应数量. 原Polyaire PO 42928</t>
  </si>
  <si>
    <t>放入纸箱+配件架+Polo衫+展架+3台KWHA样机-24.2cbm</t>
  </si>
  <si>
    <t>+RAC展架的商检费用800RMB</t>
  </si>
  <si>
    <t>MBT-188/
TRHU8694503</t>
  </si>
  <si>
    <t>MDCAB2507140001</t>
  </si>
  <si>
    <t>Polyaire PO 43049  - 22 Dandanong South.</t>
  </si>
  <si>
    <t>Martin SO 2500</t>
  </si>
  <si>
    <t>7/11 客户确认改PO数量为0</t>
  </si>
  <si>
    <t>MBT-189/
TXGU6726405</t>
  </si>
  <si>
    <t>MDCAB2507140002</t>
  </si>
  <si>
    <t>Polyaire PO 43050  - 22 Dandanong South.</t>
  </si>
  <si>
    <t>MBT-216/
TXGU6734479</t>
  </si>
  <si>
    <t>MDCAB2507210006</t>
  </si>
  <si>
    <t>Odisee PO-2077.确保九月中之前到</t>
  </si>
  <si>
    <t>MBT-217/
TLLU7991280</t>
  </si>
  <si>
    <t>MDCAB2507210005</t>
  </si>
  <si>
    <t>Odisee PO-2078. 确保九月中之前到</t>
  </si>
  <si>
    <t>MBT-218/
GAOU6728695</t>
  </si>
  <si>
    <t>MDCAB2507210004</t>
  </si>
  <si>
    <t>确保九月中之前到</t>
  </si>
  <si>
    <t>MBT-219/
TSSU5123830</t>
  </si>
  <si>
    <t>MDCAB2507210012</t>
  </si>
  <si>
    <t>MBT-222/
TSSU5151874</t>
  </si>
  <si>
    <t>MDCAB2507210015</t>
  </si>
  <si>
    <t>MBT-223/
TRHU4282853</t>
  </si>
  <si>
    <t>MDCAB2507210007</t>
  </si>
  <si>
    <t>MBT-224/
TSSU5187331</t>
  </si>
  <si>
    <t>MDCAB2507210008</t>
  </si>
  <si>
    <t>MBT-225/
TSSU5050950</t>
  </si>
  <si>
    <t>MDCAB2507210009</t>
  </si>
  <si>
    <t>MBT-186/
TXGU7370026</t>
  </si>
  <si>
    <t>MDCAB2507210010</t>
  </si>
  <si>
    <t>Polyaire PO# 43326</t>
  </si>
  <si>
    <t>因为MBT-185有多装数量，导致MBT-186客单有4pcs缺口，抽取4pcs的Q3订单填补</t>
  </si>
  <si>
    <t>原MBT-098多装数量，导致有缺口。从MBT-210里抽出来10个</t>
  </si>
  <si>
    <t>MBT-194/
TEMU7773590</t>
  </si>
  <si>
    <t>MDCAB2507210011</t>
  </si>
  <si>
    <t>Polyaire PO 43330</t>
  </si>
  <si>
    <t>2025.6.13</t>
  </si>
  <si>
    <t>PI-MDA PO 20250613-B</t>
  </si>
  <si>
    <t>MBT-175/
TCKU7946829</t>
  </si>
  <si>
    <t>MDCAB2507210003</t>
  </si>
  <si>
    <r>
      <rPr>
        <sz val="11"/>
        <color rgb="FF000000"/>
        <rFont val="Calibri"/>
        <charset val="134"/>
      </rPr>
      <t xml:space="preserve">短装1pc. </t>
    </r>
    <r>
      <rPr>
        <sz val="11"/>
        <color rgb="FF000000"/>
        <rFont val="Calibri"/>
        <charset val="134"/>
      </rPr>
      <t xml:space="preserve">安装需要，范工下单. </t>
    </r>
    <r>
      <rPr>
        <sz val="11"/>
        <color rgb="FF000000"/>
        <rFont val="Calibri"/>
        <charset val="134"/>
      </rPr>
      <t xml:space="preserve">MBT_13_06_25. </t>
    </r>
    <r>
      <rPr>
        <sz val="11"/>
        <color rgb="FF000000"/>
        <rFont val="Calibri"/>
        <charset val="134"/>
      </rPr>
      <t>Martin SO 2500</t>
    </r>
  </si>
  <si>
    <t>PI-MDA PO 20250619</t>
  </si>
  <si>
    <t>MIH28Q4CHN18</t>
  </si>
  <si>
    <t>RMIT 项目使用</t>
  </si>
  <si>
    <t>T-MBQ4-03F</t>
  </si>
  <si>
    <t xml:space="preserve">MBT-147. </t>
  </si>
  <si>
    <t>MBT-147 MBT-148. 原MBT-117拼MBT-120短装.</t>
  </si>
  <si>
    <t>MBT-176多装38pcs，扣减相应数量. MBT-149 MBT-155</t>
  </si>
  <si>
    <t>价格不包含Q1支持 原MBT-139</t>
  </si>
  <si>
    <t>MBT-147 MBT-148</t>
  </si>
  <si>
    <t>MBT-149 MBT-185 MBT-186 MBT-155. MBT-175. MBT-144. MBT-181，原102pcs，MBT-183多装5pcs。</t>
  </si>
  <si>
    <t>价格不包含Q1支持 MBT-185. MBT-139</t>
  </si>
  <si>
    <t>原MBT-130 原MBT-134. 原MBT-134短装. 原MBT-139</t>
  </si>
  <si>
    <t>MBT-168短装</t>
  </si>
  <si>
    <t>MBT-190/
TXGU5976550</t>
  </si>
  <si>
    <t>MDCAB2507210001</t>
  </si>
  <si>
    <r>
      <rPr>
        <sz val="11"/>
        <color rgb="FF000000"/>
        <rFont val="Calibri"/>
        <charset val="134"/>
      </rPr>
      <t xml:space="preserve">MBT-207短装. </t>
    </r>
    <r>
      <rPr>
        <sz val="11"/>
        <color rgb="FF000000"/>
        <rFont val="Calibri"/>
        <charset val="134"/>
      </rPr>
      <t>+MBT_03_06_25 &amp; Quality claim整机（200外机 + 28/36内机各1pcs）</t>
    </r>
  </si>
  <si>
    <t>MBT-172&amp;173共多装21pcs，扣减相应数量. 价格不包含Q1支持</t>
  </si>
  <si>
    <t>MBT-098多装数量，导致有缺口。从MBT-210里抽出来5个</t>
  </si>
  <si>
    <t>PI-MDA-PO250515002-August</t>
  </si>
  <si>
    <t>MBT-226/
ONEU6097337</t>
  </si>
  <si>
    <t>MDCAB2507300001</t>
  </si>
  <si>
    <t>MBT CIF 1850</t>
  </si>
  <si>
    <t>7/28 MBT通知被甩柜导致船期延迟，已换SO</t>
  </si>
  <si>
    <t>MBT-227/
ONEU6103281</t>
  </si>
  <si>
    <t>MBT-228/
ONEU6097044</t>
  </si>
  <si>
    <t>MBT-229/
ONEU6100425</t>
  </si>
  <si>
    <t>MBT-230/
ONEU6103379</t>
  </si>
  <si>
    <t>MBT-220/
TSSU5008436</t>
  </si>
  <si>
    <t>MDCAB2507210013</t>
  </si>
  <si>
    <t>Martin SO 2500, POL-NANSHA, TSL.712BK5057870</t>
  </si>
  <si>
    <t>MBT-221/
GAOU6762880</t>
  </si>
  <si>
    <t>MDCAB2507210014</t>
  </si>
  <si>
    <t>Martin SO 2500, POL-NANSHA, TSL.712BK5057875</t>
  </si>
  <si>
    <t>原订单100pcs，因为MBT-185有多装数量，导致MBT-186客单有4pcs缺口，扣减相应数量</t>
  </si>
  <si>
    <t>MBT-181拼RAC-385/
TIIU4464724</t>
  </si>
  <si>
    <t>MDCAB2507210016</t>
  </si>
  <si>
    <t xml:space="preserve">MBT-169. MBT-145柜装错外机型号，从此柜扣减相应数量. </t>
  </si>
  <si>
    <t>MBT-184. Martin SO 2500</t>
  </si>
  <si>
    <t>MBT-174短装</t>
  </si>
  <si>
    <t>价格不包含Q1支持. MBT-175. MBT-186. MBT-139. MBT-181</t>
  </si>
  <si>
    <r>
      <rPr>
        <sz val="11"/>
        <color rgb="FF000000"/>
        <rFont val="Calibri"/>
        <charset val="134"/>
      </rPr>
      <t>MBT-149 MBT-155.</t>
    </r>
    <r>
      <rPr>
        <sz val="11"/>
        <color rgb="FFFF0000"/>
        <rFont val="Calibri"/>
        <charset val="134"/>
      </rPr>
      <t xml:space="preserve"> </t>
    </r>
  </si>
  <si>
    <t>原MBT-186. MBT-175. MBT-181. 价格不包含Q1支持</t>
  </si>
  <si>
    <t>MBT-173短装.</t>
  </si>
  <si>
    <t>MBT-231/
TRHU8860559</t>
  </si>
  <si>
    <t>MDCAB2507280002</t>
  </si>
  <si>
    <t>Martin SO 2300</t>
  </si>
  <si>
    <t>MBT-232/
TRHU4281292</t>
  </si>
  <si>
    <t>MDCAB2507280003</t>
  </si>
  <si>
    <t>MBT-233/
TSSU5003650</t>
  </si>
  <si>
    <t>MDCAB2507280004</t>
  </si>
  <si>
    <t>MBT-234/
GCXU6502204</t>
  </si>
  <si>
    <t>MDCAB2507280005</t>
  </si>
  <si>
    <t>MBT-235/
TCKU7560121</t>
  </si>
  <si>
    <t>MDCAB2507280006</t>
  </si>
  <si>
    <t>MBT-236/
TSSU5157424</t>
  </si>
  <si>
    <t>MDCAB2507280011</t>
  </si>
  <si>
    <t xml:space="preserve">短装1pc. +RAC X8空壳样机*1 &amp; EZ2空壳样机*1+卷膜sample. </t>
  </si>
  <si>
    <t>MBT-237/
TRHU8448937</t>
  </si>
  <si>
    <t>MDCAB2507280007</t>
  </si>
  <si>
    <t>MBT-238/
TSSU5237772</t>
  </si>
  <si>
    <t>MDCAB2507280009</t>
  </si>
  <si>
    <t>MBT-239/
TIIU4106994</t>
  </si>
  <si>
    <t>MDCAB2507280010</t>
  </si>
  <si>
    <t>MBT-240/
TSSU5031950</t>
  </si>
  <si>
    <t>MDCAB2507280008</t>
  </si>
  <si>
    <t>SPT PO# 00113</t>
  </si>
  <si>
    <t>2025.7.10</t>
  </si>
  <si>
    <t>PI-MDA-PO 20250710</t>
  </si>
  <si>
    <t>MIH100Q4HN18</t>
  </si>
  <si>
    <t>MBT-256拼RAC-306/
SNBU8419543</t>
  </si>
  <si>
    <t>MDCAB2508040005P</t>
  </si>
  <si>
    <t>Somerset College</t>
  </si>
  <si>
    <t>QLD Somerset College学校工程单，客户要求安装日期：9月10日（更新为9月20日）</t>
  </si>
  <si>
    <t>MIH112Q4HN18</t>
  </si>
  <si>
    <t>PO250710022</t>
  </si>
  <si>
    <t>MIH140Q4HN18</t>
  </si>
  <si>
    <t>MIH71Q4HN18</t>
  </si>
  <si>
    <t>MIH56Q4CHN18</t>
  </si>
  <si>
    <t>MIH45Q4CHN18</t>
  </si>
  <si>
    <t>MIH36Q4CHN18</t>
  </si>
  <si>
    <t>MIH112T1HN18</t>
  </si>
  <si>
    <t>MV8-450WV2RN1E(MA)</t>
  </si>
  <si>
    <t>T-MBQ4-01F</t>
  </si>
  <si>
    <t>FQZHW-02N1E</t>
  </si>
  <si>
    <t>TC3-7</t>
  </si>
  <si>
    <t>WDC3-120T</t>
  </si>
  <si>
    <t>PI-MDA-PO250515003-September</t>
  </si>
  <si>
    <t>MBT-243</t>
  </si>
  <si>
    <t>2025.8.20</t>
  </si>
  <si>
    <t>2025.9.13</t>
  </si>
  <si>
    <t>MBT CIF 2250, MSC</t>
  </si>
  <si>
    <t>完工</t>
  </si>
  <si>
    <t>MBT-244</t>
  </si>
  <si>
    <t>MBT-245</t>
  </si>
  <si>
    <t>MBT-246</t>
  </si>
  <si>
    <t>Martin SO 2900</t>
  </si>
  <si>
    <t>MBT-247</t>
  </si>
  <si>
    <t>工厂抽出2台56内机改机给售后.</t>
  </si>
  <si>
    <t>MBT-249</t>
  </si>
  <si>
    <t>MBT-250</t>
  </si>
  <si>
    <t>AUS SOLAR</t>
  </si>
  <si>
    <t>MBT-251</t>
  </si>
  <si>
    <t>MBT-252</t>
  </si>
  <si>
    <t>MBT-253</t>
  </si>
  <si>
    <t>工厂抽出3台36内机改机给售后.</t>
  </si>
  <si>
    <t>MBT-254</t>
  </si>
  <si>
    <t>MBT-290拼RAC-306</t>
  </si>
  <si>
    <t>MBT_30_05_25+Quality claim 5-6月质保配件</t>
  </si>
  <si>
    <t>2025.6.30</t>
  </si>
  <si>
    <t>PI-MDA-PO 20250630</t>
  </si>
  <si>
    <t>MV8M-140WV2RN8</t>
  </si>
  <si>
    <t>Coolzone</t>
  </si>
  <si>
    <t>PO07791. 三相电.</t>
  </si>
  <si>
    <t>MBT-180短装</t>
  </si>
  <si>
    <t>MBT-236短装</t>
  </si>
  <si>
    <t>7/24 MBT通知当时订单取消不成功，需要安排出货.
6/18 Justin开会确认取消这部分订单. 
原MBT-167. 86T线控器装在内机盒子里</t>
  </si>
  <si>
    <t>PI-MDA-PO 20250710B</t>
  </si>
  <si>
    <t>MBT-257拼RAC-387</t>
  </si>
  <si>
    <t>2025.8.18</t>
  </si>
  <si>
    <t>2025.9.26</t>
  </si>
  <si>
    <t>PO250710023. Compact PO00000540, Req date: 2025/9/18. 按无牌下单生产</t>
  </si>
  <si>
    <t>MBT-255</t>
  </si>
  <si>
    <t>2025.9.4</t>
  </si>
  <si>
    <t>2025.9.19</t>
  </si>
  <si>
    <r>
      <rPr>
        <sz val="11"/>
        <color rgb="FF000000"/>
        <rFont val="Calibri"/>
        <charset val="134"/>
      </rPr>
      <t>工厂抽出3台28内机改机给售后.</t>
    </r>
    <r>
      <rPr>
        <sz val="11"/>
        <color rgb="FF000000"/>
        <rFont val="Calibri"/>
        <charset val="134"/>
      </rPr>
      <t xml:space="preserve"> MBT-154短装</t>
    </r>
  </si>
  <si>
    <t>MBT-153短装</t>
  </si>
  <si>
    <r>
      <rPr>
        <sz val="11"/>
        <color rgb="FF000000"/>
        <rFont val="Calibri"/>
        <charset val="134"/>
      </rPr>
      <t>工厂抽出3台80内机改机给售后.</t>
    </r>
    <r>
      <rPr>
        <sz val="11"/>
        <color rgb="FF000000"/>
        <rFont val="Calibri"/>
        <charset val="134"/>
      </rPr>
      <t xml:space="preserve"> MBT-172短装</t>
    </r>
  </si>
  <si>
    <t>MBT-176短装</t>
  </si>
  <si>
    <t>TBC-工厂售后改机，待输出装柜方案</t>
  </si>
  <si>
    <t>TBC</t>
  </si>
  <si>
    <t>工厂售后改机</t>
  </si>
  <si>
    <t>2025.7.8</t>
  </si>
  <si>
    <t>PI-MDA-PO 20250708-1</t>
  </si>
  <si>
    <t>MBT-258</t>
  </si>
  <si>
    <t>PO250715024.价格不包含Q3支持</t>
  </si>
  <si>
    <t>MBT-259</t>
  </si>
  <si>
    <t>MBT-260</t>
  </si>
  <si>
    <t>MBT-261</t>
  </si>
  <si>
    <t>MBT-262</t>
  </si>
  <si>
    <t>PI-MDA-PO 20250708-2</t>
  </si>
  <si>
    <t>MBT-263</t>
  </si>
  <si>
    <t>PO250715031.价格不包含Q3支持</t>
  </si>
  <si>
    <t>MBT-265</t>
  </si>
  <si>
    <t>MBT-266</t>
  </si>
  <si>
    <t>MBT-267</t>
  </si>
  <si>
    <t>MBT-241</t>
  </si>
  <si>
    <t>2025.9.18</t>
  </si>
  <si>
    <t>SPT PO# 00114.</t>
  </si>
  <si>
    <t>PI-MDA-PO 20250813</t>
  </si>
  <si>
    <t>8/13 Justin确认延迟出货. 价格不包含Q3支持</t>
  </si>
  <si>
    <t>TBA</t>
  </si>
  <si>
    <t>MBT-242</t>
  </si>
  <si>
    <t>MBT-248</t>
  </si>
  <si>
    <t>MBT-264</t>
  </si>
  <si>
    <t>PI-MDA-PO 20250708B-1</t>
  </si>
  <si>
    <t>MBT-268</t>
  </si>
  <si>
    <t>PO250716035.价格不包含Q3支持</t>
  </si>
  <si>
    <t>工厂检讨计划中</t>
  </si>
  <si>
    <t>MBT-269</t>
  </si>
  <si>
    <t>MBT-270</t>
  </si>
  <si>
    <t>MBT-271</t>
  </si>
  <si>
    <t>MBT-272</t>
  </si>
  <si>
    <t>MBT-273</t>
  </si>
  <si>
    <t>MBT-274</t>
  </si>
  <si>
    <t>MBT-282</t>
  </si>
  <si>
    <t>PO250715035.价格不包含Q3支持</t>
  </si>
  <si>
    <t>MBT-283</t>
  </si>
  <si>
    <t>MBT-284</t>
  </si>
  <si>
    <t>MBT-285</t>
  </si>
  <si>
    <t>MBT-286</t>
  </si>
  <si>
    <t>PI-MDA-PO 20250728</t>
  </si>
  <si>
    <t>MV8-335WV2RN1E(MA)</t>
  </si>
  <si>
    <t>MBT-291（不满，拼柜）</t>
  </si>
  <si>
    <t>for new office &amp; showroom. 算到总建设费用核销</t>
  </si>
  <si>
    <t>MIH90FASHN18</t>
  </si>
  <si>
    <t xml:space="preserve">PO250731090. </t>
  </si>
  <si>
    <t>MIH140FASHN18</t>
  </si>
  <si>
    <t>2025.7.31</t>
  </si>
  <si>
    <t>PI-MDA-PO 20250731</t>
  </si>
  <si>
    <t>MBT-292拼RAC-446</t>
  </si>
  <si>
    <t>Compact PO00000537, 按无牌下单生产. PO250731082.</t>
  </si>
  <si>
    <t>PI-MDA-PO 20250818</t>
  </si>
  <si>
    <t>AHUKZ-01F</t>
  </si>
  <si>
    <t>MBT-294拼RAC-446</t>
  </si>
  <si>
    <t>Compact PO00000558, 按无牌下单生产</t>
  </si>
  <si>
    <t>PI-MDA-PO20250818A</t>
  </si>
  <si>
    <t>MIH36T3HN18</t>
  </si>
  <si>
    <t>MBT-293拼RAC-445</t>
  </si>
  <si>
    <t>有部分内机是展厅使用</t>
  </si>
  <si>
    <t>MIH56T3HN18</t>
  </si>
  <si>
    <t>MIH71T3HN18</t>
  </si>
  <si>
    <t>MIH112T3HN18</t>
  </si>
  <si>
    <t>MIH22T2HN18</t>
  </si>
  <si>
    <t>MIH28T2HN18</t>
  </si>
  <si>
    <t>MIH36T2HN18</t>
  </si>
  <si>
    <t>MIH45T2HN18</t>
  </si>
  <si>
    <t>MIH56T2HN18</t>
  </si>
  <si>
    <t>MIH71T2HN18</t>
  </si>
  <si>
    <t>MIH80T2HN18</t>
  </si>
  <si>
    <t>MIH90T2HN18</t>
  </si>
  <si>
    <t>MIH112T2HN18</t>
  </si>
  <si>
    <t>MIH140T2HN18</t>
  </si>
  <si>
    <t>MIH56T1HN18</t>
  </si>
  <si>
    <t>MIH71T1HN18</t>
  </si>
  <si>
    <t>MIH80T1HN18</t>
  </si>
  <si>
    <t>MIH90T1HN18</t>
  </si>
  <si>
    <t>MIH125T1HN18</t>
  </si>
  <si>
    <t>MIH140T1HN18</t>
  </si>
  <si>
    <t>MIH160T1HN18</t>
  </si>
  <si>
    <t>MV6-280WV2GN1</t>
  </si>
  <si>
    <t>TBC-待输出拼柜方案</t>
  </si>
  <si>
    <t>Compact PO00000585, 按无牌下单生产. 待Edwin跟客户确认能否接受用MV8-280WV2RN1E(MA)代替</t>
  </si>
  <si>
    <t>PO Date</t>
  </si>
  <si>
    <t>Midea Department</t>
  </si>
  <si>
    <t>BL No</t>
  </si>
  <si>
    <t>Container #</t>
  </si>
  <si>
    <t>Sea freight cost</t>
  </si>
  <si>
    <t>Terms</t>
  </si>
  <si>
    <t>Shipping Company</t>
  </si>
  <si>
    <t>Vessel Voy #</t>
  </si>
  <si>
    <t>Warehouse address</t>
  </si>
  <si>
    <t>PO#</t>
  </si>
  <si>
    <t>清关</t>
  </si>
  <si>
    <t>GST</t>
  </si>
  <si>
    <t>卸柜费用(AUD)</t>
  </si>
  <si>
    <t>CCL Docs</t>
  </si>
  <si>
    <t>tax invoice send</t>
  </si>
  <si>
    <t>tax payment</t>
  </si>
  <si>
    <t>EDO send</t>
  </si>
  <si>
    <t>Delivery Date</t>
  </si>
  <si>
    <r>
      <rPr>
        <sz val="11"/>
        <color theme="1"/>
        <rFont val="Calibri"/>
        <charset val="134"/>
      </rPr>
      <t>还柜</t>
    </r>
    <r>
      <rPr>
        <sz val="11"/>
        <color theme="1"/>
        <rFont val="Calibri"/>
        <charset val="134"/>
      </rPr>
      <t>Y/N</t>
    </r>
  </si>
  <si>
    <t>LFD</t>
  </si>
  <si>
    <t>2023.9.12</t>
  </si>
  <si>
    <t>ZIMUIAU3028180</t>
  </si>
  <si>
    <t>ZCSU7532999</t>
  </si>
  <si>
    <t>ZIM</t>
  </si>
  <si>
    <t>SUI SHUN FENG JI 968 231225</t>
  </si>
  <si>
    <t>Unit 2 60 Dulacca Street Acacia Ridge QLD 4110</t>
  </si>
  <si>
    <t>Polyaire 12439</t>
  </si>
  <si>
    <t>6sets of Training Rack Wrongly Loaded in by RAC</t>
  </si>
  <si>
    <t>2023.11.20</t>
  </si>
  <si>
    <t>712310681045</t>
  </si>
  <si>
    <t>TSSU5163181</t>
  </si>
  <si>
    <t>TSL</t>
  </si>
  <si>
    <t>TS VANCOUVER/2306S</t>
  </si>
  <si>
    <t>Syd Warehouse</t>
  </si>
  <si>
    <t>2023.9.22</t>
  </si>
  <si>
    <t>ZIMUIAU3028182</t>
  </si>
  <si>
    <t>ZCSU6984356</t>
  </si>
  <si>
    <t>Vic-Mel</t>
  </si>
  <si>
    <t>Mel Warehouse</t>
  </si>
  <si>
    <t>ZIMUGZH0351951</t>
  </si>
  <si>
    <t>ZCSU7632581</t>
  </si>
  <si>
    <t xml:space="preserve"> </t>
  </si>
  <si>
    <t>ZIM GANGES 1/S</t>
  </si>
  <si>
    <t>ZIMUGZH0351952</t>
  </si>
  <si>
    <t>ZCSU6797458</t>
  </si>
  <si>
    <t>2023.10.10</t>
  </si>
  <si>
    <t>ZIMUIAU3028181</t>
  </si>
  <si>
    <t>ZCSU6604292</t>
  </si>
  <si>
    <t>SHUN YI 818/231226</t>
  </si>
  <si>
    <t>2023.12.8</t>
  </si>
  <si>
    <t>ZIMUGZH0353919</t>
  </si>
  <si>
    <t>ZCSU7049105</t>
  </si>
  <si>
    <t>ZIMUGZH0351956</t>
  </si>
  <si>
    <t>ZCSU7232970</t>
  </si>
  <si>
    <t>712310678380</t>
  </si>
  <si>
    <t>FFAU4387082</t>
  </si>
  <si>
    <t>2023.10.17</t>
  </si>
  <si>
    <t>ZIMUIAU3028183</t>
  </si>
  <si>
    <t>UETU5272451</t>
  </si>
  <si>
    <t>GAO LAN 813/231226</t>
  </si>
  <si>
    <t>71/NSW - 71 Padstow 50 GIBSON AVENUE Padstow NSW 2211 changed to 6 Avalli Road, Prestons, NSW 2170</t>
  </si>
  <si>
    <t>Polyaire 14578</t>
  </si>
  <si>
    <t>delayed ETA from 1/19 to 1/29</t>
  </si>
  <si>
    <t>2023.10.20</t>
  </si>
  <si>
    <t>COSU8045938370</t>
  </si>
  <si>
    <t>OOLU6882120</t>
  </si>
  <si>
    <t>COSCO</t>
  </si>
  <si>
    <t>JIN RONG 02 / 078S</t>
  </si>
  <si>
    <t>61 Conquest Way, Wangara WA 6065</t>
  </si>
  <si>
    <t>Polyaire 14809</t>
  </si>
  <si>
    <t>2pcs of UCMI105OB for aftersales units, Delivery rejected by Polyaire due to Maersk didn't deliver after approval provided</t>
  </si>
  <si>
    <t>2024.2.3</t>
  </si>
  <si>
    <t>SZCK30090100</t>
  </si>
  <si>
    <t>PCIU8558072</t>
  </si>
  <si>
    <t>PIL</t>
  </si>
  <si>
    <t>TS HOCHIMINH 2308S</t>
  </si>
  <si>
    <t>OOLU2731653561</t>
  </si>
  <si>
    <t>OOCU7951147</t>
  </si>
  <si>
    <t>OOCL</t>
  </si>
  <si>
    <t>CMA CGM MONTMARTRE 0FMEXW1MA</t>
  </si>
  <si>
    <t>Polyaire 17927</t>
  </si>
  <si>
    <t>2023.11.6</t>
  </si>
  <si>
    <t>COSU8045938400</t>
  </si>
  <si>
    <t>FSCU8884988</t>
  </si>
  <si>
    <t>JIN LONG 689 329S</t>
  </si>
  <si>
    <t>11-13 White Road, Gepps Cross SA 5094</t>
  </si>
  <si>
    <t>Polyaire 10285</t>
  </si>
  <si>
    <t>2023.11.15</t>
  </si>
  <si>
    <t>COSU8045938401</t>
  </si>
  <si>
    <t>OOLU9349794</t>
  </si>
  <si>
    <t>Polyaire 16392</t>
  </si>
  <si>
    <t>2023.11.23</t>
  </si>
  <si>
    <t>712410076277</t>
  </si>
  <si>
    <t>TSSU5110052</t>
  </si>
  <si>
    <t>TS SHEKOU 2401S</t>
  </si>
  <si>
    <t>QLD Warehouse</t>
  </si>
  <si>
    <t>SAI ORD00000178</t>
  </si>
  <si>
    <t>2024.1.4</t>
  </si>
  <si>
    <t>712410074419</t>
  </si>
  <si>
    <t>TRHU8701813</t>
  </si>
  <si>
    <t>Odisee PO0051</t>
  </si>
  <si>
    <t>2024.1.9</t>
  </si>
  <si>
    <t>712410074464</t>
  </si>
  <si>
    <t>TRHU8015855</t>
  </si>
  <si>
    <t xml:space="preserve"> Saving Earth</t>
  </si>
  <si>
    <t>Odisee PO0069</t>
  </si>
  <si>
    <t>712410083831</t>
  </si>
  <si>
    <t>TSSU5000733</t>
  </si>
  <si>
    <t>Part for Odisee Short-loaded</t>
  </si>
  <si>
    <t>2024.1.17</t>
  </si>
  <si>
    <t>COSU6378228180</t>
  </si>
  <si>
    <t>OOLU9706150</t>
  </si>
  <si>
    <t>COSCO HONG KONG 184S</t>
  </si>
  <si>
    <t>TGHU6924225</t>
  </si>
  <si>
    <t>CAAU6128066</t>
  </si>
  <si>
    <t>Odisee PO0070</t>
  </si>
  <si>
    <t>CSNU6622758</t>
  </si>
  <si>
    <t>712410076406</t>
  </si>
  <si>
    <t>TSSU5079194</t>
  </si>
  <si>
    <t>2024.1.12</t>
  </si>
  <si>
    <t>712410102792</t>
  </si>
  <si>
    <t>TEMU7935496</t>
  </si>
  <si>
    <t>KOTA LIMA 0015S</t>
  </si>
  <si>
    <t>712410102815</t>
  </si>
  <si>
    <t>TSSU5087374</t>
  </si>
  <si>
    <t>OOLU2146640990</t>
  </si>
  <si>
    <t>OOCU8176764</t>
  </si>
  <si>
    <t>COSCO HONG KONG / 184S</t>
  </si>
  <si>
    <t>CSLU6099819</t>
  </si>
  <si>
    <t>CBHU9564889</t>
  </si>
  <si>
    <t>COSU6378228181</t>
  </si>
  <si>
    <t>BSIU9525430</t>
  </si>
  <si>
    <t>OOCL KUALA LUMPUR 169S</t>
  </si>
  <si>
    <t>2024.2.17</t>
  </si>
  <si>
    <t>HLCUZS12403APYG5</t>
  </si>
  <si>
    <t>HAMU1378237</t>
  </si>
  <si>
    <t>HPL</t>
  </si>
  <si>
    <t>WIDE JULIET 2289S</t>
  </si>
  <si>
    <t>HAMU1369153</t>
  </si>
  <si>
    <t>HAMU1364167</t>
  </si>
  <si>
    <t>HAMU1358652</t>
  </si>
  <si>
    <t>HAMU1358570</t>
  </si>
  <si>
    <t>2023.12.21</t>
  </si>
  <si>
    <t>SNLEBJALA20906</t>
  </si>
  <si>
    <t>WSDU4982210</t>
  </si>
  <si>
    <t>SNL</t>
  </si>
  <si>
    <t>DAFENG3023 240301S</t>
  </si>
  <si>
    <t>WSDU4982251</t>
  </si>
  <si>
    <t>COSU6378601300</t>
  </si>
  <si>
    <t>OOLU9842579</t>
  </si>
  <si>
    <t>COSU6377952890</t>
  </si>
  <si>
    <t>CSNU6609864</t>
  </si>
  <si>
    <t>GONG RONG 806S</t>
  </si>
  <si>
    <t>COSU6378600810</t>
  </si>
  <si>
    <t>TEMU6053641</t>
  </si>
  <si>
    <t>712410136940</t>
  </si>
  <si>
    <t>TEMU8976885</t>
  </si>
  <si>
    <t>YM ETERNITY 120S</t>
  </si>
  <si>
    <t>2024.1.6</t>
  </si>
  <si>
    <t>HLCUZS12403ARWM6</t>
  </si>
  <si>
    <t>HAMU1359258</t>
  </si>
  <si>
    <t>TIAN SHUN HE 2401S</t>
  </si>
  <si>
    <t>Odisee PO0093</t>
  </si>
  <si>
    <t>HLCUZS12403ARWL5</t>
  </si>
  <si>
    <t>HAMU1378900</t>
  </si>
  <si>
    <t>712410155200</t>
  </si>
  <si>
    <t>TSSU5114865</t>
  </si>
  <si>
    <t>KOTA MAKMUR 0318S</t>
  </si>
  <si>
    <t>2024.2.22</t>
  </si>
  <si>
    <t xml:space="preserve">712410171156
</t>
  </si>
  <si>
    <t>GAOU6731220</t>
  </si>
  <si>
    <t>Part forOdisee PO 0141</t>
  </si>
  <si>
    <t xml:space="preserve">712410171163
</t>
  </si>
  <si>
    <t>TEMU7847008</t>
  </si>
  <si>
    <t>Part for Odisee PO 0122</t>
  </si>
  <si>
    <t>712410155217</t>
  </si>
  <si>
    <t>TIIU4454937</t>
  </si>
  <si>
    <t>ZIMUGZH0379364</t>
  </si>
  <si>
    <t>ZCSU7140220</t>
  </si>
  <si>
    <t>MARIANNA I/8/S</t>
  </si>
  <si>
    <t>2024.2.23</t>
  </si>
  <si>
    <t>712410174652</t>
  </si>
  <si>
    <t>TRHU8707447</t>
  </si>
  <si>
    <t>NORTHERN DISCOVERY 24003S</t>
  </si>
  <si>
    <t>712410176946</t>
  </si>
  <si>
    <t>TCNU6590893</t>
  </si>
  <si>
    <t>Odisee PO 0122+Odisee PO0093</t>
  </si>
  <si>
    <t>2024.1.30</t>
  </si>
  <si>
    <t>HUSP40020500</t>
  </si>
  <si>
    <t>PCIU9370500</t>
  </si>
  <si>
    <t>Odisee PO 0123</t>
  </si>
  <si>
    <t>CGZMF240300645</t>
  </si>
  <si>
    <t>TLLU3365098</t>
  </si>
  <si>
    <t>CTS</t>
  </si>
  <si>
    <t>ARBS Samples</t>
  </si>
  <si>
    <t>2024.1.25</t>
  </si>
  <si>
    <t>OOLU2147185530</t>
  </si>
  <si>
    <t>GCXU5457857</t>
  </si>
  <si>
    <t>GONG HUA V.240403</t>
  </si>
  <si>
    <t>Polyaire PO#: 19841</t>
  </si>
  <si>
    <t>712410173112</t>
  </si>
  <si>
    <t>TCKU7567466</t>
  </si>
  <si>
    <t>TS CHENNAI 2402S</t>
  </si>
  <si>
    <t>712410176960</t>
  </si>
  <si>
    <t>MAGU5620082</t>
  </si>
  <si>
    <t>712410179602</t>
  </si>
  <si>
    <t>TEMU7738310</t>
  </si>
  <si>
    <t>712410179626</t>
  </si>
  <si>
    <t>TEMU7955390</t>
  </si>
  <si>
    <t>ZIMUGZH0380497</t>
  </si>
  <si>
    <t>TEMU7418132</t>
  </si>
  <si>
    <t>DANUBE 5/S</t>
  </si>
  <si>
    <t>ZIMUGZH0380755</t>
  </si>
  <si>
    <t>FSCU8096970</t>
  </si>
  <si>
    <t>COSU6381013610</t>
  </si>
  <si>
    <t>CCLU7453612</t>
  </si>
  <si>
    <t>HENG JI 36 176S</t>
  </si>
  <si>
    <t>CSNU7037845</t>
  </si>
  <si>
    <t>712410175932</t>
  </si>
  <si>
    <t>CAIU4967475</t>
  </si>
  <si>
    <t>712410191895</t>
  </si>
  <si>
    <t>TCKU6750446</t>
  </si>
  <si>
    <t>ZIMUGZH0385802</t>
  </si>
  <si>
    <t>SEGU5330977</t>
  </si>
  <si>
    <t>GANGES 3/S</t>
  </si>
  <si>
    <t>ZIMUGZH0385804</t>
  </si>
  <si>
    <t>GAOU6455219</t>
  </si>
  <si>
    <t>2024.2.8</t>
  </si>
  <si>
    <t>COSU6381867090</t>
  </si>
  <si>
    <t>SEGU6663400</t>
  </si>
  <si>
    <t>GONG HUA 352S</t>
  </si>
  <si>
    <t>Polyaire PO#: 20627</t>
  </si>
  <si>
    <t>712410219278</t>
  </si>
  <si>
    <t>TCKU7564045</t>
  </si>
  <si>
    <t>KOTA GADANG 0224S</t>
  </si>
  <si>
    <t>YMJAA221015681</t>
  </si>
  <si>
    <t>YMMU6719067</t>
  </si>
  <si>
    <t>YML</t>
  </si>
  <si>
    <t>YMJAA221015731</t>
  </si>
  <si>
    <t>YMLU8930882</t>
  </si>
  <si>
    <t>OOLU2147185550</t>
  </si>
  <si>
    <t>OOCU8759313</t>
  </si>
  <si>
    <t>Polyaire PO#: 19855</t>
  </si>
  <si>
    <t>721410484722</t>
  </si>
  <si>
    <t>TLLU8816893</t>
  </si>
  <si>
    <t>EVER USEFUL 176S</t>
  </si>
  <si>
    <t>2024.3.11</t>
  </si>
  <si>
    <t>712410274239</t>
  </si>
  <si>
    <t>TLLU7974702</t>
  </si>
  <si>
    <t>YM ETERNITY 121S</t>
  </si>
  <si>
    <t>2024.3.7</t>
  </si>
  <si>
    <t>COSU6383261220</t>
  </si>
  <si>
    <t>OOCU7561977</t>
  </si>
  <si>
    <t>JOGELA 194S</t>
  </si>
  <si>
    <t>OOLU2147378680</t>
  </si>
  <si>
    <t>OOCU6523334</t>
  </si>
  <si>
    <t>COSCO SINGAPORE 179S</t>
  </si>
  <si>
    <t>712410266142</t>
  </si>
  <si>
    <t>TXGU7367188</t>
  </si>
  <si>
    <t>2024.2.26</t>
  </si>
  <si>
    <t>712410261314</t>
  </si>
  <si>
    <t>TRHU4082027</t>
  </si>
  <si>
    <t>Polyaire PO#: 21627</t>
  </si>
  <si>
    <t>721410610756</t>
  </si>
  <si>
    <t xml:space="preserve">TXGU5748570 </t>
  </si>
  <si>
    <t>TIAN SHUN HE 2402S</t>
  </si>
  <si>
    <t>712410283811</t>
  </si>
  <si>
    <t>TXGU7374274</t>
  </si>
  <si>
    <t>KOTA MAKMUR 0319S</t>
  </si>
  <si>
    <t>712410281008</t>
  </si>
  <si>
    <t>TSSU5122705</t>
  </si>
  <si>
    <t>712410283828</t>
  </si>
  <si>
    <t>TSSU5172521</t>
  </si>
  <si>
    <t>Saving Earth - 1/22 Rockfield Way, Ravenhall</t>
  </si>
  <si>
    <t>712410285440</t>
  </si>
  <si>
    <t>TRHU8448881</t>
  </si>
  <si>
    <t>2024.1.29</t>
  </si>
  <si>
    <t>712410280995</t>
  </si>
  <si>
    <t>TRHU4083698</t>
  </si>
  <si>
    <t>2024.2.28</t>
  </si>
  <si>
    <t>COSU6383434030</t>
  </si>
  <si>
    <t>CBHU9025465</t>
  </si>
  <si>
    <t>CSCL ATLANTIC OCEAN 053W</t>
  </si>
  <si>
    <t>Polyaire PO#: 21766</t>
  </si>
  <si>
    <t>2024.4.29</t>
  </si>
  <si>
    <t>ZIMUGZH0391193</t>
  </si>
  <si>
    <t>TIIU4521444</t>
  </si>
  <si>
    <t>MARIANNA I 9/S</t>
  </si>
  <si>
    <t>ZIMUGZH0390330</t>
  </si>
  <si>
    <t>ZCSU7746711</t>
  </si>
  <si>
    <t>DANUBE 6/S</t>
  </si>
  <si>
    <t>2024.3.26</t>
  </si>
  <si>
    <t>MEDUQS234555</t>
  </si>
  <si>
    <t>MSMU4411670</t>
  </si>
  <si>
    <t>MSC</t>
  </si>
  <si>
    <t>MARIANNA I - KQ419A</t>
  </si>
  <si>
    <t>SAVING EARTH - 1/22 Rockfield Way, Ravenhall</t>
  </si>
  <si>
    <t>MEDUQS234563</t>
  </si>
  <si>
    <t>MSMU8743170</t>
  </si>
  <si>
    <t>MEDUQS213559</t>
  </si>
  <si>
    <t>TCNU8143894</t>
  </si>
  <si>
    <t>2024.2.12</t>
  </si>
  <si>
    <t>COSU6384267980</t>
  </si>
  <si>
    <t>GCXU5476559</t>
  </si>
  <si>
    <t>JIN RONG 02 092S</t>
  </si>
  <si>
    <t>Polyaire PO#: 20772</t>
  </si>
  <si>
    <t>721410696736</t>
  </si>
  <si>
    <t>GAOU7093984</t>
  </si>
  <si>
    <t>TS SYDNEY 2403S</t>
  </si>
  <si>
    <t>ZIMUGZH0387230</t>
  </si>
  <si>
    <t>TIIU4521660</t>
  </si>
  <si>
    <t>ZIMUGZH0389575</t>
  </si>
  <si>
    <t>TCNU5802112</t>
  </si>
  <si>
    <t>COSU6382252130</t>
  </si>
  <si>
    <t>FFAU2608590</t>
  </si>
  <si>
    <t>CSCL MERCURY 092W</t>
  </si>
  <si>
    <t>COSU6385086220</t>
  </si>
  <si>
    <t>SEKU4561955</t>
  </si>
  <si>
    <t>HONG AN TAI 188 388S</t>
  </si>
  <si>
    <t>2024.5.7</t>
  </si>
  <si>
    <t>OOLU2148622760</t>
  </si>
  <si>
    <t>CSNU6009582</t>
  </si>
  <si>
    <t>OOCL KUALA LUMPUR 171S</t>
  </si>
  <si>
    <t>3/3-5 Weddel Court, Laverton North</t>
  </si>
  <si>
    <t>CSNU7744339</t>
  </si>
  <si>
    <t>712410321803</t>
  </si>
  <si>
    <t>FFAU4382964</t>
  </si>
  <si>
    <t>TS CHENNAI 2403S</t>
  </si>
  <si>
    <t>712410321841</t>
  </si>
  <si>
    <t>SEKU4079141</t>
  </si>
  <si>
    <t>712410321773</t>
  </si>
  <si>
    <t>TRHU8009739</t>
  </si>
  <si>
    <t>712410321834</t>
  </si>
  <si>
    <t>TXGU7374968</t>
  </si>
  <si>
    <t>712410321827</t>
  </si>
  <si>
    <t>TRHU8709671</t>
  </si>
  <si>
    <t>712410346103</t>
  </si>
  <si>
    <t>TXGU5977772</t>
  </si>
  <si>
    <t>KOTA GADANG 0225S</t>
  </si>
  <si>
    <t>/</t>
  </si>
  <si>
    <t>SNLEBJALA22102</t>
  </si>
  <si>
    <t>WSDU4982360</t>
  </si>
  <si>
    <t>DAFENG3026 240531S</t>
  </si>
  <si>
    <t>721410696644</t>
  </si>
  <si>
    <t xml:space="preserve">GAOU6735987 </t>
  </si>
  <si>
    <t>ULCGZ2405009</t>
  </si>
  <si>
    <t>YMLU8762958</t>
  </si>
  <si>
    <t>TS SYDNEY/2403S</t>
  </si>
  <si>
    <t>712410321742</t>
  </si>
  <si>
    <t>TRHU8022303</t>
  </si>
  <si>
    <t>2024.4.17</t>
  </si>
  <si>
    <t>712410372560</t>
  </si>
  <si>
    <t>TLLU8716847</t>
  </si>
  <si>
    <t>TS COLOMBO 2405S</t>
  </si>
  <si>
    <t>Polyaire PO#: 24172</t>
  </si>
  <si>
    <t>721410799185</t>
  </si>
  <si>
    <t>TEMU7769559</t>
  </si>
  <si>
    <t>EVER USEFUL 177S</t>
  </si>
  <si>
    <t>TXGU6748554</t>
  </si>
  <si>
    <t>MEDUQS250049</t>
  </si>
  <si>
    <t>MSDU5496819</t>
  </si>
  <si>
    <t>DANUBE - 6S</t>
  </si>
  <si>
    <t>MEDUQS250031</t>
  </si>
  <si>
    <t>MSMU5921663</t>
  </si>
  <si>
    <t>Saving Earth 1/22 Rockfield Way, Ravenhall VIC 3023</t>
  </si>
  <si>
    <t>Odisee BO019</t>
  </si>
  <si>
    <t>712410372652</t>
  </si>
  <si>
    <t>CAIU4647912</t>
  </si>
  <si>
    <t xml:space="preserve">1/162 Australis Drive, Derrimut, VIC </t>
  </si>
  <si>
    <t>Chromogen PO#: 505185</t>
  </si>
  <si>
    <t>2024.5.15</t>
  </si>
  <si>
    <t>712410382019</t>
  </si>
  <si>
    <t>TLLU8716533</t>
  </si>
  <si>
    <t>Chromogen PO#: 507523</t>
  </si>
  <si>
    <t>2024.4.19</t>
  </si>
  <si>
    <t>712410382033</t>
  </si>
  <si>
    <t>TRHU8715360</t>
  </si>
  <si>
    <t>2024.5.17</t>
  </si>
  <si>
    <t>712410382026</t>
  </si>
  <si>
    <t>TXGU5775046</t>
  </si>
  <si>
    <t>2024.5.9</t>
  </si>
  <si>
    <t>712410382002</t>
  </si>
  <si>
    <t>TSSU5157912</t>
  </si>
  <si>
    <t>2024.3.15</t>
  </si>
  <si>
    <t>COSU6385478480</t>
  </si>
  <si>
    <t>OOCU7353382</t>
  </si>
  <si>
    <t>OOCL TAIPEI 076W</t>
  </si>
  <si>
    <t>Polyaire PO#: 22669</t>
  </si>
  <si>
    <t>2024.4.26</t>
  </si>
  <si>
    <t>COSU6385500750</t>
  </si>
  <si>
    <t>CBHU9172131</t>
  </si>
  <si>
    <t>XIN YA ZHOU 162W</t>
  </si>
  <si>
    <t>11 Spencer Street, Cockburn Central WA 6164</t>
  </si>
  <si>
    <t>Polyaire PO #23400</t>
  </si>
  <si>
    <t>COSU6383028650</t>
  </si>
  <si>
    <t>CSLU6288577</t>
  </si>
  <si>
    <t>CMA CGM KIMBERLEY 0MEHTW1MA</t>
  </si>
  <si>
    <t>Polyaire PO#: 21624</t>
  </si>
  <si>
    <t>OOLU2148622951</t>
  </si>
  <si>
    <t>FSCU8718478</t>
  </si>
  <si>
    <t>COSCO SINGAPORE 180S</t>
  </si>
  <si>
    <t>OOLU2148622950</t>
  </si>
  <si>
    <t>CSNU7895211</t>
  </si>
  <si>
    <t>GAO LAN 811 V.240527</t>
  </si>
  <si>
    <t>FCIU9949087</t>
  </si>
  <si>
    <t>COSU6385945860</t>
  </si>
  <si>
    <t>BSIU9400854</t>
  </si>
  <si>
    <t>GONG RONG 834S</t>
  </si>
  <si>
    <t>HLCUZS12406AVMT0</t>
  </si>
  <si>
    <t>BEAU4728990</t>
  </si>
  <si>
    <t>WIDE JULIET 2301S</t>
  </si>
  <si>
    <t>FANU3533545</t>
  </si>
  <si>
    <t>HLBU1845326</t>
  </si>
  <si>
    <t>HLBU3195030</t>
  </si>
  <si>
    <t>HLXU8503723</t>
  </si>
  <si>
    <t>UACU5330105</t>
  </si>
  <si>
    <t>712410372553</t>
  </si>
  <si>
    <t>TXGU7367383</t>
  </si>
  <si>
    <t>Unit 1, 7 Resources Court, Molendinar QLD 4214</t>
  </si>
  <si>
    <t>Polyaire PO#: 24197</t>
  </si>
  <si>
    <t>712410372492</t>
  </si>
  <si>
    <t>TLLU8582840</t>
  </si>
  <si>
    <t>Polyaire PO#: 24195</t>
  </si>
  <si>
    <t>712410391363</t>
  </si>
  <si>
    <t>TLLU8616745</t>
  </si>
  <si>
    <t>YM ETERNITY 122S</t>
  </si>
  <si>
    <t>712410391554</t>
  </si>
  <si>
    <t>TRHU8698345</t>
  </si>
  <si>
    <t>2024.4.23</t>
  </si>
  <si>
    <t>712410391585</t>
  </si>
  <si>
    <t>TRHU8932176</t>
  </si>
  <si>
    <t>YM ETERNITY YENT122S</t>
  </si>
  <si>
    <t>712410391578</t>
  </si>
  <si>
    <t>TIIU5086491</t>
  </si>
  <si>
    <t>SNLESKALA22509</t>
  </si>
  <si>
    <t>TCNU3920311</t>
  </si>
  <si>
    <t>Unit 1/40 Nestor Dr, Meadowbrook, QLD 4131</t>
  </si>
  <si>
    <t>2024.3.13</t>
  </si>
  <si>
    <t>MEDUQS268066</t>
  </si>
  <si>
    <t>MEDU9494000</t>
  </si>
  <si>
    <t>Polyaire- 50 Gibson Avenue, Padstow NSW 2211</t>
  </si>
  <si>
    <t>Polyaire PO#: 22387</t>
  </si>
  <si>
    <t>2024.3.19</t>
  </si>
  <si>
    <t>COSU6384984810</t>
  </si>
  <si>
    <t>TGBU9210451</t>
  </si>
  <si>
    <t>BEIJING 102W</t>
  </si>
  <si>
    <t>Polyaire PO#: 22754</t>
  </si>
  <si>
    <t>2024.3.21</t>
  </si>
  <si>
    <t>712410414321</t>
  </si>
  <si>
    <t>TIIU4445540</t>
  </si>
  <si>
    <t>KOTA MAKMUR 0320S</t>
  </si>
  <si>
    <t>9-15 Arkwright Drive, Dandenong South VIC 3175</t>
  </si>
  <si>
    <t>Polyaire PO#: 22948</t>
  </si>
  <si>
    <t>2024.5.20</t>
  </si>
  <si>
    <t>712410426799</t>
  </si>
  <si>
    <t>TSSU5104189</t>
  </si>
  <si>
    <t>7 Ordish Road, Dandenong South VIC 3175</t>
  </si>
  <si>
    <t>712410414345</t>
  </si>
  <si>
    <t>TLLU7585362</t>
  </si>
  <si>
    <t>712410414369</t>
  </si>
  <si>
    <t>FFAU4398214</t>
  </si>
  <si>
    <t>712410414413</t>
  </si>
  <si>
    <t>TRHU8675864</t>
  </si>
  <si>
    <t>712410414864</t>
  </si>
  <si>
    <t>TXGU6722760</t>
  </si>
  <si>
    <t>712410415502</t>
  </si>
  <si>
    <t>TSSU5117524</t>
  </si>
  <si>
    <t>712410415526</t>
  </si>
  <si>
    <t>TLLU7958907</t>
  </si>
  <si>
    <t>712410415519</t>
  </si>
  <si>
    <t>TXGU5795736</t>
  </si>
  <si>
    <t>2024.5.24</t>
  </si>
  <si>
    <t>712410444410</t>
  </si>
  <si>
    <t>TCKU7567173</t>
  </si>
  <si>
    <t>PINOCCHIO 24027S</t>
  </si>
  <si>
    <t>185-189 Boundary Rd, Laverton North VIC 3026</t>
  </si>
  <si>
    <t>Chromogen PO#: 518469</t>
  </si>
  <si>
    <t>712410444441</t>
  </si>
  <si>
    <t>FFAU1628139</t>
  </si>
  <si>
    <t>712410445639</t>
  </si>
  <si>
    <t>MAGU5600281</t>
  </si>
  <si>
    <t>712410445769</t>
  </si>
  <si>
    <t>TSSU5031293</t>
  </si>
  <si>
    <t>712410443109</t>
  </si>
  <si>
    <t>TRHU6613689</t>
  </si>
  <si>
    <t>712410443017</t>
  </si>
  <si>
    <t>TSSU5039463</t>
  </si>
  <si>
    <t>17-23 Redwood Drive, Dingley Village</t>
  </si>
  <si>
    <t>712410444434</t>
  </si>
  <si>
    <t>TCKU7948570</t>
  </si>
  <si>
    <t>712410456161</t>
  </si>
  <si>
    <t>TIIU5316819</t>
  </si>
  <si>
    <t>721410897065</t>
  </si>
  <si>
    <t>TLLU8700692</t>
  </si>
  <si>
    <t>TIAN SHUN HE 2403S</t>
  </si>
  <si>
    <t>TXGU6722483</t>
  </si>
  <si>
    <t>COSU6388653960</t>
  </si>
  <si>
    <t>TCNU6916613</t>
  </si>
  <si>
    <t>JIN LONG 689 392S</t>
  </si>
  <si>
    <t>6 Avalli Road, Prestons NSW 2170</t>
  </si>
  <si>
    <t>Polyaire PO#: 22951</t>
  </si>
  <si>
    <t>COSU6388653980</t>
  </si>
  <si>
    <t>CSNU6661271</t>
  </si>
  <si>
    <t>1/220 Bradman St, Acacia Ridge QLD 4110</t>
  </si>
  <si>
    <t>Polyaire PO#: 22953</t>
  </si>
  <si>
    <t>OOLU2149984650</t>
  </si>
  <si>
    <t>CSNU7152664</t>
  </si>
  <si>
    <t>OOCL KUALA LUMPUR 172S</t>
  </si>
  <si>
    <t>FCIU9933630</t>
  </si>
  <si>
    <t>OOCU7291629</t>
  </si>
  <si>
    <t>TLLU7793448</t>
  </si>
  <si>
    <t>SNLEBJALA22617</t>
  </si>
  <si>
    <t>SNBU8215283</t>
  </si>
  <si>
    <t>DAFENG3028 240705S</t>
  </si>
  <si>
    <t>SNLEBJALA22616</t>
  </si>
  <si>
    <t>TCNU6254749</t>
  </si>
  <si>
    <t>SNLEBJALA22618</t>
  </si>
  <si>
    <t>SLPU5012468</t>
  </si>
  <si>
    <t>721410948804</t>
  </si>
  <si>
    <t>TRHU8858335</t>
  </si>
  <si>
    <t>YM SUCCESS 177S</t>
  </si>
  <si>
    <t>TRHU8509919</t>
  </si>
  <si>
    <t>721410977408</t>
  </si>
  <si>
    <t xml:space="preserve">TSSU5183151 </t>
  </si>
  <si>
    <t>KOTA GADANG 0226S</t>
  </si>
  <si>
    <t>TRHU8451015</t>
  </si>
  <si>
    <t>2024.6.26</t>
  </si>
  <si>
    <t>712410490561</t>
  </si>
  <si>
    <t>TSSU5081340</t>
  </si>
  <si>
    <t>712410490615</t>
  </si>
  <si>
    <t>GAOU6966311</t>
  </si>
  <si>
    <r>
      <rPr>
        <sz val="11"/>
        <color theme="1"/>
        <rFont val="Calibri"/>
        <charset val="134"/>
      </rPr>
      <t>re-direction fee</t>
    </r>
    <r>
      <rPr>
        <sz val="11"/>
        <color theme="1"/>
        <rFont val="Calibri"/>
        <charset val="134"/>
      </rPr>
      <t>：</t>
    </r>
    <r>
      <rPr>
        <sz val="11"/>
        <color theme="1"/>
        <rFont val="Calibri"/>
        <charset val="134"/>
      </rPr>
      <t>$450.00 ++ (GST,FUEL)</t>
    </r>
  </si>
  <si>
    <t>712410490516</t>
  </si>
  <si>
    <t>TRHU8926553</t>
  </si>
  <si>
    <t>re-direction fee:$450.00 ++(GSTFUEL)</t>
  </si>
  <si>
    <t>2024.6.24</t>
  </si>
  <si>
    <t>712410505661</t>
  </si>
  <si>
    <t>TRHU8943020</t>
  </si>
  <si>
    <t>712410505630</t>
  </si>
  <si>
    <t>TRHU8930018</t>
  </si>
  <si>
    <t>712410505654</t>
  </si>
  <si>
    <t>TSSU5131311</t>
  </si>
  <si>
    <t>39B Apex Drive, Truganina</t>
  </si>
  <si>
    <t>re-direction fee</t>
  </si>
  <si>
    <t>712410490455</t>
  </si>
  <si>
    <t>TSSU5082264</t>
  </si>
  <si>
    <t>712410490622</t>
  </si>
  <si>
    <t>TXGU6878711</t>
  </si>
  <si>
    <t>OOLU2741906100</t>
  </si>
  <si>
    <t>CSNU7066289</t>
  </si>
  <si>
    <t>HUAN BAO 668 V.240628</t>
  </si>
  <si>
    <t>Polyaire PO#: 22949</t>
  </si>
  <si>
    <t>2024.6.8</t>
  </si>
  <si>
    <t>COSU6391885600</t>
  </si>
  <si>
    <t>CSNU8023975</t>
  </si>
  <si>
    <t>HENG JI 36 199S</t>
  </si>
  <si>
    <t>Polyaire PO#:26840</t>
  </si>
  <si>
    <t>712410531905</t>
  </si>
  <si>
    <t>TSSU5018753</t>
  </si>
  <si>
    <t>YM ETERNITY 123S</t>
  </si>
  <si>
    <t>712410531929</t>
  </si>
  <si>
    <t>TRHU8933871</t>
  </si>
  <si>
    <t>712410535606</t>
  </si>
  <si>
    <t>TIIU4496803</t>
  </si>
  <si>
    <t>712410531899</t>
  </si>
  <si>
    <t>TSSU5034245</t>
  </si>
  <si>
    <t>712410535576</t>
  </si>
  <si>
    <t>TRHU8673223</t>
  </si>
  <si>
    <t>2024.3.28</t>
  </si>
  <si>
    <t>712410531950</t>
  </si>
  <si>
    <t>TIIU5319865</t>
  </si>
  <si>
    <t>2024.6.19</t>
  </si>
  <si>
    <t>712410490523</t>
  </si>
  <si>
    <t>TRHU8179993</t>
  </si>
  <si>
    <t>TS COLOMBO 2406S</t>
  </si>
  <si>
    <t>Unit 3, 1-5 apex drive, Truganina</t>
  </si>
  <si>
    <t>Chromogen PO#: 523175</t>
  </si>
  <si>
    <t>2024.5.21</t>
  </si>
  <si>
    <t>ZIMUGZH0426924</t>
  </si>
  <si>
    <t>JXLU6318874</t>
  </si>
  <si>
    <t>MSC BREMERHAVEN V 42/S</t>
  </si>
  <si>
    <t>Polyaire PO#: 25923</t>
  </si>
  <si>
    <t>ZIMUGZH0426923</t>
  </si>
  <si>
    <t>JXLU6318684</t>
  </si>
  <si>
    <t>Polyaire PO#: 25920</t>
  </si>
  <si>
    <t>ZIMUGZH0428283</t>
  </si>
  <si>
    <t>JXLU6318365</t>
  </si>
  <si>
    <t>ZIMUGZH0426930</t>
  </si>
  <si>
    <t>BSIU8309328</t>
  </si>
  <si>
    <t>2/95 Jedda RD Preatons NSW</t>
  </si>
  <si>
    <t>ZIMUGZH0426928</t>
  </si>
  <si>
    <t>JXLU6316742</t>
  </si>
  <si>
    <t>ZIMUGZH0429188</t>
  </si>
  <si>
    <t>JXLU6318093</t>
  </si>
  <si>
    <t>GANGES 5/S</t>
  </si>
  <si>
    <t>ZIMUGZH0428293</t>
  </si>
  <si>
    <t>TCNU6812732</t>
  </si>
  <si>
    <t>8 phoenix court, Braeside</t>
  </si>
  <si>
    <t>ZIMUGZH0429174</t>
  </si>
  <si>
    <t>TCNU8998415</t>
  </si>
  <si>
    <t>ZIMUGZH0428294</t>
  </si>
  <si>
    <t>BMOU4508584</t>
  </si>
  <si>
    <t>Saving earth 1/22  Rockfield Way, Ravenhall</t>
  </si>
  <si>
    <t>712410566143</t>
  </si>
  <si>
    <t>TXGU7356481</t>
  </si>
  <si>
    <t>KOTA MAKMUR 0321S</t>
  </si>
  <si>
    <t>712410564019</t>
  </si>
  <si>
    <t>MAGU5593963</t>
  </si>
  <si>
    <t>712410560943</t>
  </si>
  <si>
    <t>GAOU6762909</t>
  </si>
  <si>
    <t>712410564781</t>
  </si>
  <si>
    <t>CAAU6942621</t>
  </si>
  <si>
    <t>HLCUZS12407BAVZ7</t>
  </si>
  <si>
    <t>GESU6311977</t>
  </si>
  <si>
    <t>FENG NIAN 598 240802</t>
  </si>
  <si>
    <t>HLCUZS12407BAVY6</t>
  </si>
  <si>
    <t>TEMU7088215</t>
  </si>
  <si>
    <r>
      <rPr>
        <sz val="11"/>
        <color theme="1"/>
        <rFont val="Calibri"/>
        <charset val="134"/>
      </rPr>
      <t>23 Truganina, 5 Carmen StTruganina VIC 3029</t>
    </r>
    <r>
      <rPr>
        <sz val="11"/>
        <color theme="1"/>
        <rFont val="Calibri"/>
        <charset val="134"/>
      </rPr>
      <t>，</t>
    </r>
    <r>
      <rPr>
        <sz val="11"/>
        <color theme="1"/>
        <rFont val="Calibri"/>
        <charset val="134"/>
      </rPr>
      <t>Australia</t>
    </r>
  </si>
  <si>
    <t>Polyaire PO#: 25927</t>
  </si>
  <si>
    <t>721411103462</t>
  </si>
  <si>
    <t>TXGU6846571</t>
  </si>
  <si>
    <t>WIDE JULIET 2307S</t>
  </si>
  <si>
    <t>HLCUZS12407BAVS0</t>
  </si>
  <si>
    <t>HLBU1927131</t>
  </si>
  <si>
    <t>Polyaire PO#: 25924</t>
  </si>
  <si>
    <t>CAAU6942046</t>
  </si>
  <si>
    <t>HLCUEUR2407AVWI2</t>
  </si>
  <si>
    <t>TGBU5532634</t>
  </si>
  <si>
    <t>Polyaire PO#: 25937</t>
  </si>
  <si>
    <t>OOLU2150914710</t>
  </si>
  <si>
    <t>TRHU7535575</t>
  </si>
  <si>
    <t>GAO LAN 811 V.240724</t>
  </si>
  <si>
    <t>14 Boom Street, Gnangara W.A 6077</t>
  </si>
  <si>
    <t>Polyaire PO#: 25933</t>
  </si>
  <si>
    <t>ad hoc charge $65+ GST</t>
  </si>
  <si>
    <t>ZIMUGZH0425723</t>
  </si>
  <si>
    <t>JXLU6318730</t>
  </si>
  <si>
    <t>Polyaire PO#: 26117</t>
  </si>
  <si>
    <t>COSU6391886600</t>
  </si>
  <si>
    <t>OOLU9377991</t>
  </si>
  <si>
    <t>SUI SHUN FENG JI 282 734S</t>
  </si>
  <si>
    <t>ZIMUGZH0433419</t>
  </si>
  <si>
    <t>JXLU6321482</t>
  </si>
  <si>
    <t>MSC ODESSA V 28/S</t>
  </si>
  <si>
    <t>COSU6391886170</t>
  </si>
  <si>
    <t>OOCU7858076</t>
  </si>
  <si>
    <t>ZHONG SHENG HAI 18 221S</t>
  </si>
  <si>
    <t>Polyaire PO#: 25925</t>
  </si>
  <si>
    <t>ZIMUGZH0433422</t>
  </si>
  <si>
    <t>JXLU6321815</t>
  </si>
  <si>
    <t>OOLU2150914670</t>
  </si>
  <si>
    <t>OOCU9041927</t>
  </si>
  <si>
    <t>Polyaire PO#: 25916</t>
  </si>
  <si>
    <t>ZIMUGZH0432873</t>
  </si>
  <si>
    <t>JXLU6321477</t>
  </si>
  <si>
    <t>MSC SYDNEY VI 38/S</t>
  </si>
  <si>
    <t>ZIMUGZH0432872</t>
  </si>
  <si>
    <t>JXLU6321456</t>
  </si>
  <si>
    <t>OOLU2744715520</t>
  </si>
  <si>
    <t>SEGU4023359</t>
  </si>
  <si>
    <t>WU XIANG 16 2432E</t>
  </si>
  <si>
    <t>721411103387</t>
  </si>
  <si>
    <t>TSSU5188195</t>
  </si>
  <si>
    <r>
      <rPr>
        <sz val="11"/>
        <color theme="1"/>
        <rFont val="Calibri"/>
        <charset val="134"/>
      </rPr>
      <t>mainfreight</t>
    </r>
    <r>
      <rPr>
        <sz val="11"/>
        <color theme="1"/>
        <rFont val="Calibri"/>
        <charset val="134"/>
      </rPr>
      <t>在没有我们确认下，</t>
    </r>
    <r>
      <rPr>
        <sz val="11"/>
        <color theme="1"/>
        <rFont val="Calibri"/>
        <charset val="134"/>
      </rPr>
      <t>9/11</t>
    </r>
    <r>
      <rPr>
        <sz val="11"/>
        <color theme="1"/>
        <rFont val="Calibri"/>
        <charset val="134"/>
      </rPr>
      <t>派送，导致仓库勉强接纳</t>
    </r>
    <r>
      <rPr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个柜子。</t>
    </r>
    <r>
      <rPr>
        <sz val="11"/>
        <color theme="1"/>
        <rFont val="Calibri"/>
        <charset val="134"/>
      </rPr>
      <t>9/17</t>
    </r>
    <r>
      <rPr>
        <sz val="11"/>
        <color theme="1"/>
        <rFont val="Calibri"/>
        <charset val="134"/>
      </rPr>
      <t>通知还柜，</t>
    </r>
    <r>
      <rPr>
        <sz val="11"/>
        <color theme="1"/>
        <rFont val="Calibri"/>
        <charset val="134"/>
      </rPr>
      <t>9/18mainfreight</t>
    </r>
    <r>
      <rPr>
        <sz val="11"/>
        <color theme="1"/>
        <rFont val="Calibri"/>
        <charset val="134"/>
      </rPr>
      <t>提空柜由于马士基的柜子挡着，产生</t>
    </r>
    <r>
      <rPr>
        <sz val="11"/>
        <color theme="1"/>
        <rFont val="Calibri"/>
        <charset val="134"/>
      </rPr>
      <t>handling charges for movement:$125.00  plus gst</t>
    </r>
  </si>
  <si>
    <t>713410211736</t>
  </si>
  <si>
    <t>TCKU7946731</t>
  </si>
  <si>
    <t>HUAN BAO 68 243111WCS</t>
  </si>
  <si>
    <r>
      <rPr>
        <sz val="11"/>
        <color theme="1"/>
        <rFont val="Calibri"/>
        <charset val="134"/>
      </rPr>
      <t>马士基</t>
    </r>
    <r>
      <rPr>
        <sz val="11"/>
        <color theme="1"/>
        <rFont val="Calibri"/>
        <charset val="134"/>
      </rPr>
      <t>9/12</t>
    </r>
    <r>
      <rPr>
        <sz val="11"/>
        <color theme="1"/>
        <rFont val="Calibri"/>
        <charset val="134"/>
      </rPr>
      <t>派送，仓库一共接了</t>
    </r>
    <r>
      <rPr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条柜子。</t>
    </r>
  </si>
  <si>
    <t>713410211729</t>
  </si>
  <si>
    <t>TXGU6910156</t>
  </si>
  <si>
    <r>
      <rPr>
        <sz val="11"/>
        <color theme="1"/>
        <rFont val="Calibri"/>
        <charset val="134"/>
      </rPr>
      <t>马士基</t>
    </r>
    <r>
      <rPr>
        <sz val="11"/>
        <color theme="1"/>
        <rFont val="Calibri"/>
        <charset val="134"/>
      </rPr>
      <t>9/12</t>
    </r>
    <r>
      <rPr>
        <sz val="11"/>
        <color theme="1"/>
        <rFont val="Calibri"/>
        <charset val="134"/>
      </rPr>
      <t>派送，仓库一共接了</t>
    </r>
    <r>
      <rPr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条柜子</t>
    </r>
  </si>
  <si>
    <t>HLCUZS12408ATPT5</t>
  </si>
  <si>
    <t>HLBU1937510</t>
  </si>
  <si>
    <t>FENG NIAN 598 240816</t>
  </si>
  <si>
    <t>HLCUZS12408ATSI0</t>
  </si>
  <si>
    <t>HLBU2487340</t>
  </si>
  <si>
    <t>HLCUZS12408ATSH0</t>
  </si>
  <si>
    <t>HLBU2558845</t>
  </si>
  <si>
    <t>712410640553</t>
  </si>
  <si>
    <t>TSSU5069370</t>
  </si>
  <si>
    <t>TS GUANGZHOU 2415S</t>
  </si>
  <si>
    <t>CARTAGE WAITING TIME</t>
  </si>
  <si>
    <t>COSU6393555040</t>
  </si>
  <si>
    <t>BEAU5659702</t>
  </si>
  <si>
    <t>SUI SHUN FENG JI 282 740S</t>
  </si>
  <si>
    <t>OOLU2744715910</t>
  </si>
  <si>
    <t>OOCU8918884</t>
  </si>
  <si>
    <t>2024.7.1</t>
  </si>
  <si>
    <t>712410655519</t>
  </si>
  <si>
    <t>TSSU5116472</t>
  </si>
  <si>
    <t>KOTA GADANG 0227S</t>
  </si>
  <si>
    <t>712410576791</t>
  </si>
  <si>
    <t>WFHU5141823</t>
  </si>
  <si>
    <t>2024.7.16</t>
  </si>
  <si>
    <t>712410576807</t>
  </si>
  <si>
    <t>TSSU5109663</t>
  </si>
  <si>
    <t>712410655526</t>
  </si>
  <si>
    <t>TSSU5160541</t>
  </si>
  <si>
    <t>HLCUZS12408AVAY6</t>
  </si>
  <si>
    <t>TEMU8170858</t>
  </si>
  <si>
    <t>FENG NIAN 598 240823</t>
  </si>
  <si>
    <t>HLCUZS12408AVAX5</t>
  </si>
  <si>
    <t>FBLU0120138</t>
  </si>
  <si>
    <t>Aussie Greenmarks ,4 Freight Road ,Ravenhall.</t>
  </si>
  <si>
    <t>HLCUZS12408AVBH0</t>
  </si>
  <si>
    <t>SEGU4876881</t>
  </si>
  <si>
    <t>JAT Logistics c/o Evitech ,185-189 Boundary Road ,Laverton North</t>
  </si>
  <si>
    <t>2024/9/27公众假期，支付费用给司机9/26提柜</t>
  </si>
  <si>
    <t>SNLEBJALA23431</t>
  </si>
  <si>
    <t>SNBU8347470</t>
  </si>
  <si>
    <t>DAFENG3028 240830S</t>
  </si>
  <si>
    <t xml:space="preserve">JATT LOGISTICS c/o Odisee
185-189 Boundary Road
Laverton North </t>
  </si>
  <si>
    <t>SNLEBJALA23429</t>
  </si>
  <si>
    <t>UETU5572422</t>
  </si>
  <si>
    <t>JATT LOGISTICS c/o Odisee 185-189 Boundary Road Laverton North</t>
  </si>
  <si>
    <t>HLCUZS12408AUVT6</t>
  </si>
  <si>
    <t>CAIU8523355</t>
  </si>
  <si>
    <t>TIAN SHUN HE 2404S</t>
  </si>
  <si>
    <t>712410655779</t>
  </si>
  <si>
    <t>TRHU8708021</t>
  </si>
  <si>
    <t>712410655533</t>
  </si>
  <si>
    <t>TXGU5727201</t>
  </si>
  <si>
    <t>712410655809</t>
  </si>
  <si>
    <t>GAOU6738538</t>
  </si>
  <si>
    <t>因爆仓，Edwin 已获批柜子产生仓储费</t>
  </si>
  <si>
    <t>712410655786</t>
  </si>
  <si>
    <t>FFAU1631277</t>
  </si>
  <si>
    <t>712410655540</t>
  </si>
  <si>
    <t>TXGU8127495</t>
  </si>
  <si>
    <t>SNLEBJALA23427</t>
  </si>
  <si>
    <t>TCNU3376933</t>
  </si>
  <si>
    <t>SNLEBJALA23540</t>
  </si>
  <si>
    <t>SNBU8216818</t>
  </si>
  <si>
    <t>DAFENG3028 240906S</t>
  </si>
  <si>
    <t>SNLEBJALA23536</t>
  </si>
  <si>
    <t>SNBU8165747</t>
  </si>
  <si>
    <t xml:space="preserve">1/22 Rockfield Way, Ravenhall </t>
  </si>
  <si>
    <t>additional yard storage charges</t>
  </si>
  <si>
    <t>SNLEBJALA23537</t>
  </si>
  <si>
    <t>SLPU5000467</t>
  </si>
  <si>
    <t xml:space="preserve"> Puneet 0415 641 218</t>
  </si>
  <si>
    <t>2024.7.9</t>
  </si>
  <si>
    <t>OOLU2151859860</t>
  </si>
  <si>
    <t>OOCU7849325</t>
  </si>
  <si>
    <t>GONG HUA V.240830
P</t>
  </si>
  <si>
    <t>Polyaire PO#: 28427</t>
  </si>
  <si>
    <t>2024.7.19</t>
  </si>
  <si>
    <t>OOLU2151859930</t>
  </si>
  <si>
    <t>TGBU4715610</t>
  </si>
  <si>
    <t>Polyaire PO#: 29123</t>
  </si>
  <si>
    <r>
      <rPr>
        <sz val="11"/>
        <color theme="1"/>
        <rFont val="Calibri"/>
        <charset val="134"/>
      </rPr>
      <t>Jay Sun</t>
    </r>
    <r>
      <rPr>
        <sz val="11"/>
        <color theme="1"/>
        <rFont val="Calibri"/>
        <charset val="134"/>
      </rPr>
      <t>修改过收货地址</t>
    </r>
  </si>
  <si>
    <t>OOLU2152493850</t>
  </si>
  <si>
    <t>TCKU6740129</t>
  </si>
  <si>
    <t>OOCL CANADA 108S</t>
  </si>
  <si>
    <t>COSU6396433820</t>
  </si>
  <si>
    <t>TXGU8042715</t>
  </si>
  <si>
    <t>TSSU5125704</t>
  </si>
  <si>
    <t>TXGU8232510</t>
  </si>
  <si>
    <t>CSNU6755703</t>
  </si>
  <si>
    <t>FFAU2802332</t>
  </si>
  <si>
    <t>CAIU8814366</t>
  </si>
  <si>
    <t>OOCU7343086</t>
  </si>
  <si>
    <t>SNLEBJALA23432</t>
  </si>
  <si>
    <t>SLPU5007796</t>
  </si>
  <si>
    <t>SNLEBJALA23428</t>
  </si>
  <si>
    <t>TCNU3394346</t>
  </si>
  <si>
    <t>SNLEBJALA23430</t>
  </si>
  <si>
    <t>SNBU8310357</t>
  </si>
  <si>
    <t>仓库爆仓，已通知会延迟还柜，故此多收detention fee</t>
  </si>
  <si>
    <t>OOLU2152343190</t>
  </si>
  <si>
    <t>CSLU6073270</t>
  </si>
  <si>
    <t>XIANG FU 3 V.240913000000</t>
  </si>
  <si>
    <t>OOLU2152343180</t>
  </si>
  <si>
    <t>FSCU8692500</t>
  </si>
  <si>
    <t>OOCL ITALY 139S</t>
  </si>
  <si>
    <t>OOLU2151859900</t>
  </si>
  <si>
    <t>TCLU8435688</t>
  </si>
  <si>
    <t>Polyaire PO#: 27812</t>
  </si>
  <si>
    <t>HLCUZS12409ARCD6</t>
  </si>
  <si>
    <t>TCLU5766050</t>
  </si>
  <si>
    <t>EVER USEFUL 179S</t>
  </si>
  <si>
    <t>Polyaire PO#: 28398</t>
  </si>
  <si>
    <r>
      <rPr>
        <sz val="11"/>
        <color theme="1"/>
        <rFont val="Calibri"/>
        <charset val="134"/>
      </rPr>
      <t>10/29</t>
    </r>
    <r>
      <rPr>
        <sz val="11"/>
        <color theme="1"/>
        <rFont val="Calibri"/>
        <charset val="134"/>
      </rPr>
      <t>号问能否还柜，说</t>
    </r>
    <r>
      <rPr>
        <sz val="11"/>
        <color theme="1"/>
        <rFont val="Calibri"/>
        <charset val="134"/>
      </rPr>
      <t>28</t>
    </r>
    <r>
      <rPr>
        <sz val="11"/>
        <color theme="1"/>
        <rFont val="Calibri"/>
        <charset val="134"/>
      </rPr>
      <t>号已通知还柜，</t>
    </r>
    <r>
      <rPr>
        <sz val="11"/>
        <color theme="1"/>
        <rFont val="Calibri"/>
        <charset val="134"/>
      </rPr>
      <t>29</t>
    </r>
    <r>
      <rPr>
        <sz val="11"/>
        <color theme="1"/>
        <rFont val="Calibri"/>
        <charset val="134"/>
      </rPr>
      <t>已经提走了</t>
    </r>
  </si>
  <si>
    <t>SNLESKALA23867</t>
  </si>
  <si>
    <t>SNBU8205789</t>
  </si>
  <si>
    <t>SNLESKALA23866</t>
  </si>
  <si>
    <t xml:space="preserve">SNBU8291832 </t>
  </si>
  <si>
    <t>OOLU2152306190</t>
  </si>
  <si>
    <t>CSNU7191969</t>
  </si>
  <si>
    <t>MING YANG 938 V.240918</t>
  </si>
  <si>
    <t>Polyaire PO#: 30026</t>
  </si>
  <si>
    <r>
      <rPr>
        <sz val="11"/>
        <color theme="1"/>
        <rFont val="Calibri"/>
        <charset val="134"/>
      </rPr>
      <t>因原地址满柜，</t>
    </r>
    <r>
      <rPr>
        <sz val="11"/>
        <color theme="1"/>
        <rFont val="Calibri"/>
        <charset val="134"/>
      </rPr>
      <t>Jay</t>
    </r>
    <r>
      <rPr>
        <sz val="11"/>
        <color theme="1"/>
        <rFont val="Calibri"/>
        <charset val="134"/>
      </rPr>
      <t>换了接柜地址</t>
    </r>
  </si>
  <si>
    <t>SNLESKALA23869</t>
  </si>
  <si>
    <t>SNBU8223571</t>
  </si>
  <si>
    <t>SNLESKALA23868</t>
  </si>
  <si>
    <t>SNBU8392139</t>
  </si>
  <si>
    <t>4 Freight Road Ravenhall VIC 3023</t>
  </si>
  <si>
    <t>712410697052</t>
  </si>
  <si>
    <t>TSSU5087965</t>
  </si>
  <si>
    <t>TS NAGOYA 2416S</t>
  </si>
  <si>
    <t>原计划10/23派送，在未得到确认的情况下22号送至目的地</t>
  </si>
  <si>
    <t>712410696987</t>
  </si>
  <si>
    <t>TXGU5738187</t>
  </si>
  <si>
    <t>SNLESKALA23903</t>
  </si>
  <si>
    <t>TCNU3392045</t>
  </si>
  <si>
    <t>WIDE JULIET 2313S</t>
  </si>
  <si>
    <t>SNLESKALA23909</t>
  </si>
  <si>
    <t>TEMU8275735</t>
  </si>
  <si>
    <t>SNLESKALA23908</t>
  </si>
  <si>
    <t>SNBU8361565</t>
  </si>
  <si>
    <t>原定10/29派送，无通知提前一天送达</t>
  </si>
  <si>
    <t>SNLESKALA23907</t>
  </si>
  <si>
    <t>SNBU8246330</t>
  </si>
  <si>
    <r>
      <rPr>
        <sz val="11"/>
        <color theme="1"/>
        <rFont val="Calibri"/>
        <charset val="134"/>
      </rPr>
      <t>原定</t>
    </r>
    <r>
      <rPr>
        <sz val="11"/>
        <color theme="1"/>
        <rFont val="Calibri"/>
        <charset val="134"/>
      </rPr>
      <t>10/29</t>
    </r>
    <r>
      <rPr>
        <sz val="11"/>
        <color theme="1"/>
        <rFont val="Calibri"/>
        <charset val="134"/>
      </rPr>
      <t>派送，无通知提前一天送达</t>
    </r>
  </si>
  <si>
    <t>SNLESKALA23904</t>
  </si>
  <si>
    <t>SNBU8200365</t>
  </si>
  <si>
    <t>SNLESKALA23906</t>
  </si>
  <si>
    <t>SNBU8373680</t>
  </si>
  <si>
    <t>SNLESKALA23905</t>
  </si>
  <si>
    <t>TCNU7333729</t>
  </si>
  <si>
    <t>HLCUNK2240820456</t>
  </si>
  <si>
    <t>HAMU2391824</t>
  </si>
  <si>
    <t xml:space="preserve"> DA XIN 77 B2438E</t>
  </si>
  <si>
    <t>712410697076</t>
  </si>
  <si>
    <t>TXGU6830718</t>
  </si>
  <si>
    <t>COSU6397963301</t>
  </si>
  <si>
    <t>FFAU2446247</t>
  </si>
  <si>
    <t>GAO LAN 816/138S</t>
  </si>
  <si>
    <t>Chromogen PO 535784</t>
  </si>
  <si>
    <r>
      <rPr>
        <sz val="11"/>
        <color theme="1"/>
        <rFont val="Calibri"/>
        <charset val="134"/>
      </rPr>
      <t>10/15</t>
    </r>
    <r>
      <rPr>
        <sz val="11"/>
        <color theme="1"/>
        <rFont val="Calibri"/>
        <charset val="134"/>
      </rPr>
      <t>发</t>
    </r>
    <r>
      <rPr>
        <sz val="11"/>
        <color theme="1"/>
        <rFont val="Calibri"/>
        <charset val="134"/>
      </rPr>
      <t>walter</t>
    </r>
  </si>
  <si>
    <t>COSU6397963300</t>
  </si>
  <si>
    <t>FSCU8829091</t>
  </si>
  <si>
    <t>Chromogen PO 535781</t>
  </si>
  <si>
    <t>OOLU2152306460</t>
  </si>
  <si>
    <t>CSNU7410120</t>
  </si>
  <si>
    <t>MING YANG 938 V.240918
P</t>
  </si>
  <si>
    <t>Polyaire PO#: 29126</t>
  </si>
  <si>
    <t>发了派送计划给delia，没有按原指示通知</t>
  </si>
  <si>
    <t>SNLESKALA23901</t>
  </si>
  <si>
    <t>SNBU8234724</t>
  </si>
  <si>
    <t>Polyaire PO#: 28383</t>
  </si>
  <si>
    <t>2024.8.27</t>
  </si>
  <si>
    <t>712410760602</t>
  </si>
  <si>
    <t>TIIU5052758</t>
  </si>
  <si>
    <t>KOTA LOCENG 0150S</t>
  </si>
  <si>
    <t>同天送了两次</t>
  </si>
  <si>
    <t>2024.7.4</t>
  </si>
  <si>
    <t>712410760985</t>
  </si>
  <si>
    <t>TCKU7567553</t>
  </si>
  <si>
    <t>2024.8.26</t>
  </si>
  <si>
    <t>712410760992</t>
  </si>
  <si>
    <t>GAOU7091831</t>
  </si>
  <si>
    <t>712410760121</t>
  </si>
  <si>
    <t>GAOU6777576</t>
  </si>
  <si>
    <t>712410761005</t>
  </si>
  <si>
    <t>TSSU5180379</t>
  </si>
  <si>
    <t>712410761012</t>
  </si>
  <si>
    <t>TLLU7593497</t>
  </si>
  <si>
    <t>712410697120</t>
  </si>
  <si>
    <t>TEMU6293236</t>
  </si>
  <si>
    <t>712410697083</t>
  </si>
  <si>
    <t>TEMU7956647</t>
  </si>
  <si>
    <t>712410697069</t>
  </si>
  <si>
    <t>TSSU5044454</t>
  </si>
  <si>
    <t>OOLU2152697010</t>
  </si>
  <si>
    <t>TRHU5960338</t>
  </si>
  <si>
    <t>HUI HONG XIN 06</t>
  </si>
  <si>
    <t>polyaire PO #31487</t>
  </si>
  <si>
    <t>客户换了派送地址</t>
  </si>
  <si>
    <t>712410760053</t>
  </si>
  <si>
    <t>SEKU6009673</t>
  </si>
  <si>
    <t>OOLU2152343880</t>
  </si>
  <si>
    <t>OOCU6443943</t>
  </si>
  <si>
    <t>CSCL MERCURY 094W</t>
  </si>
  <si>
    <t>Polyaire PO#: 30027</t>
  </si>
  <si>
    <t>SNLESKALA23902</t>
  </si>
  <si>
    <t>TLLU4730364</t>
  </si>
  <si>
    <t>Polyaire PO#: 28389</t>
  </si>
  <si>
    <t>SNLEBJAXA24149</t>
  </si>
  <si>
    <t>BSIU9880028</t>
  </si>
  <si>
    <t>DAFENG3028 241014S</t>
  </si>
  <si>
    <t>SNLEBJAXA24152</t>
  </si>
  <si>
    <t>BEAU4823175</t>
  </si>
  <si>
    <t>712410769384</t>
  </si>
  <si>
    <t>BSIU9954373</t>
  </si>
  <si>
    <t>TS JAKARTA 2412S</t>
  </si>
  <si>
    <t>712410769162</t>
  </si>
  <si>
    <t>TSSU5024993</t>
  </si>
  <si>
    <t>SNLEBJAXA24147</t>
  </si>
  <si>
    <t>BSIU9880706</t>
  </si>
  <si>
    <t>SNLEBJAXA24150</t>
  </si>
  <si>
    <t>BSIU9879813</t>
  </si>
  <si>
    <t>Aussie Greenmarks 4 Freight Road Ravenhal</t>
  </si>
  <si>
    <t>odisee</t>
  </si>
  <si>
    <t>SNLEBJAXA24151</t>
  </si>
  <si>
    <t>BEAU4685311</t>
  </si>
  <si>
    <t>1/34 Rockfield Way, Ravenhall</t>
  </si>
  <si>
    <r>
      <rPr>
        <sz val="11"/>
        <color theme="1"/>
        <rFont val="Calibri"/>
        <charset val="134"/>
      </rPr>
      <t>odisee</t>
    </r>
    <r>
      <rPr>
        <sz val="11"/>
        <color theme="1"/>
        <rFont val="Calibri"/>
        <charset val="134"/>
      </rPr>
      <t>换了一个地址，产生费用odisee承担。</t>
    </r>
    <r>
      <rPr>
        <sz val="11"/>
        <color theme="1"/>
        <rFont val="Calibri"/>
        <charset val="134"/>
      </rPr>
      <t>03853434-AUD 20.12</t>
    </r>
    <r>
      <rPr>
        <sz val="11"/>
        <color theme="1"/>
        <rFont val="Calibri"/>
        <charset val="134"/>
      </rPr>
      <t>。</t>
    </r>
  </si>
  <si>
    <t>SNLEBJAXA24146</t>
  </si>
  <si>
    <t>BSIU9880590</t>
  </si>
  <si>
    <t>SNLEBJAXA24148</t>
  </si>
  <si>
    <t>BHCU4986029</t>
  </si>
  <si>
    <t>712410769230</t>
  </si>
  <si>
    <t>TSSU5039967</t>
  </si>
  <si>
    <t>恶劣天气，司机码头取不到柜子，运输费MD承担。2024/11/15通知11/19收走2个旧柜子再派送此柜子，11/18说打电话到仓库发现没完全卸完，从11/18开始计算48h，导致有一个旧柜子需要11/20提走后才送这个柜子，11/20问派送时间，又说11/21上午才能派送，产生2天仓储费。</t>
  </si>
  <si>
    <t>712410769216</t>
  </si>
  <si>
    <t>TCKU7948924</t>
  </si>
  <si>
    <t>712410769155</t>
  </si>
  <si>
    <t>BSIU9954795</t>
  </si>
  <si>
    <t>2024.9.10</t>
  </si>
  <si>
    <t>712410787913</t>
  </si>
  <si>
    <t>TIIU5699620</t>
  </si>
  <si>
    <t>TS PUSAN 2417S</t>
  </si>
  <si>
    <t>712410788019</t>
  </si>
  <si>
    <t>BHCU5008651</t>
  </si>
  <si>
    <t>OOLU2152696940</t>
  </si>
  <si>
    <t>OOLU9327326</t>
  </si>
  <si>
    <t>polyaire PO #31489</t>
  </si>
  <si>
    <t>712410771752</t>
  </si>
  <si>
    <t>CAIU4968126</t>
  </si>
  <si>
    <t>712410770649</t>
  </si>
  <si>
    <t>BSIU9826156</t>
  </si>
  <si>
    <t>2024.9.11</t>
  </si>
  <si>
    <t>TEMU8972811</t>
  </si>
  <si>
    <t>712410771219</t>
  </si>
  <si>
    <t>TCKU7952143</t>
  </si>
  <si>
    <t>2024//11/20</t>
  </si>
  <si>
    <t>712410770984</t>
  </si>
  <si>
    <t>TLLU7874410</t>
  </si>
  <si>
    <t>712410771028</t>
  </si>
  <si>
    <t>TRHU4084971</t>
  </si>
  <si>
    <r>
      <rPr>
        <sz val="11"/>
        <color theme="1"/>
        <rFont val="Calibri"/>
        <charset val="134"/>
      </rPr>
      <t>2024/11/18</t>
    </r>
    <r>
      <rPr>
        <sz val="11"/>
        <color theme="1"/>
        <rFont val="Calibri"/>
        <charset val="134"/>
      </rPr>
      <t>收到delivery plan，</t>
    </r>
    <r>
      <rPr>
        <sz val="11"/>
        <color theme="1"/>
        <rFont val="Calibri"/>
        <charset val="134"/>
      </rPr>
      <t>11/19</t>
    </r>
    <r>
      <rPr>
        <sz val="11"/>
        <color theme="1"/>
        <rFont val="Calibri"/>
        <charset val="134"/>
      </rPr>
      <t>早上改收货地址</t>
    </r>
  </si>
  <si>
    <t>712410771073</t>
  </si>
  <si>
    <t>TXGU6556870</t>
  </si>
  <si>
    <t>712410771264</t>
  </si>
  <si>
    <t>BSIU9739508</t>
  </si>
  <si>
    <t>712410771608</t>
  </si>
  <si>
    <t>SEKU4078567</t>
  </si>
  <si>
    <t>JAT Logistics,185-189 Boundary Rd, Laverton North</t>
  </si>
  <si>
    <r>
      <rPr>
        <sz val="11"/>
        <color theme="1"/>
        <rFont val="Calibri"/>
        <charset val="134"/>
      </rPr>
      <t>2024/11/18</t>
    </r>
    <r>
      <rPr>
        <sz val="11"/>
        <color theme="1"/>
        <rFont val="Calibri"/>
        <charset val="134"/>
      </rPr>
      <t>出派送计划，</t>
    </r>
    <r>
      <rPr>
        <sz val="11"/>
        <color theme="1"/>
        <rFont val="Calibri"/>
        <charset val="134"/>
      </rPr>
      <t>odisee11/19</t>
    </r>
    <r>
      <rPr>
        <sz val="11"/>
        <color theme="1"/>
        <rFont val="Calibri"/>
        <charset val="134"/>
      </rPr>
      <t>改地址，愿意承担额外费用，派送日期改到</t>
    </r>
    <r>
      <rPr>
        <sz val="11"/>
        <color theme="1"/>
        <rFont val="Calibri"/>
        <charset val="134"/>
      </rPr>
      <t>11/22</t>
    </r>
    <r>
      <rPr>
        <sz val="11"/>
        <color theme="1"/>
        <rFont val="Calibri"/>
        <charset val="134"/>
      </rPr>
      <t>，超出一天仓储费</t>
    </r>
    <r>
      <rPr>
        <sz val="11"/>
        <color theme="1"/>
        <rFont val="Calibri"/>
        <charset val="134"/>
      </rPr>
      <t>odisee</t>
    </r>
    <r>
      <rPr>
        <sz val="11"/>
        <color theme="1"/>
        <rFont val="Calibri"/>
        <charset val="134"/>
      </rPr>
      <t>承担</t>
    </r>
    <r>
      <rPr>
        <sz val="11"/>
        <color theme="1"/>
        <rFont val="Calibri"/>
        <charset val="134"/>
      </rPr>
      <t>Total = $440 + fuel</t>
    </r>
  </si>
  <si>
    <t>712410771738</t>
  </si>
  <si>
    <t>TIIU4440682</t>
  </si>
  <si>
    <t>2024//11/21</t>
  </si>
  <si>
    <t>712410771066</t>
  </si>
  <si>
    <t>TEMU7729279</t>
  </si>
  <si>
    <r>
      <rPr>
        <sz val="11"/>
        <color theme="1"/>
        <rFont val="Calibri"/>
        <charset val="134"/>
      </rPr>
      <t>JAT Logistics</t>
    </r>
    <r>
      <rPr>
        <sz val="11"/>
        <color theme="1"/>
        <rFont val="Calibri"/>
        <charset val="134"/>
      </rPr>
      <t>，</t>
    </r>
    <r>
      <rPr>
        <sz val="11"/>
        <color theme="1"/>
        <rFont val="Calibri"/>
        <charset val="134"/>
      </rPr>
      <t>185-189 Boundary road, Laverton North</t>
    </r>
  </si>
  <si>
    <r>
      <rPr>
        <sz val="11"/>
        <color theme="1"/>
        <rFont val="Calibri"/>
        <charset val="134"/>
      </rPr>
      <t>2024/11/18</t>
    </r>
    <r>
      <rPr>
        <sz val="11"/>
        <color theme="1"/>
        <rFont val="Calibri"/>
        <charset val="134"/>
      </rPr>
      <t>出派送计划，</t>
    </r>
    <r>
      <rPr>
        <sz val="11"/>
        <color theme="1"/>
        <rFont val="Calibri"/>
        <charset val="134"/>
      </rPr>
      <t>11/20</t>
    </r>
    <r>
      <rPr>
        <sz val="11"/>
        <color theme="1"/>
        <rFont val="Calibri"/>
        <charset val="134"/>
      </rPr>
      <t>改到</t>
    </r>
    <r>
      <rPr>
        <sz val="11"/>
        <color theme="1"/>
        <rFont val="Calibri"/>
        <charset val="134"/>
      </rPr>
      <t>11/22</t>
    </r>
    <r>
      <rPr>
        <sz val="11"/>
        <color theme="1"/>
        <rFont val="Calibri"/>
        <charset val="134"/>
      </rPr>
      <t>派送</t>
    </r>
  </si>
  <si>
    <t>712410787968</t>
  </si>
  <si>
    <t>TIIU6816085</t>
  </si>
  <si>
    <t>polyaire PO #31491</t>
  </si>
  <si>
    <t>712410787999</t>
  </si>
  <si>
    <t>712410789610</t>
  </si>
  <si>
    <t>TCKU7956323</t>
  </si>
  <si>
    <t>712410788156</t>
  </si>
  <si>
    <t>TSSU5161050</t>
  </si>
  <si>
    <t>polyaire PO #31490</t>
  </si>
  <si>
    <r>
      <rPr>
        <sz val="11"/>
        <color theme="1"/>
        <rFont val="Calibri"/>
        <charset val="134"/>
      </rPr>
      <t>2024/11/25</t>
    </r>
    <r>
      <rPr>
        <sz val="11"/>
        <color theme="1"/>
        <rFont val="Calibri"/>
        <charset val="134"/>
      </rPr>
      <t>发派送安排（</t>
    </r>
    <r>
      <rPr>
        <sz val="11"/>
        <color theme="1"/>
        <rFont val="Calibri"/>
        <charset val="134"/>
      </rPr>
      <t>27</t>
    </r>
    <r>
      <rPr>
        <sz val="11"/>
        <color theme="1"/>
        <rFont val="Calibri"/>
        <charset val="134"/>
      </rPr>
      <t>号），客户满柜接不了，取消了，</t>
    </r>
    <r>
      <rPr>
        <sz val="11"/>
        <color theme="1"/>
        <rFont val="Calibri"/>
        <charset val="134"/>
      </rPr>
      <t>26</t>
    </r>
    <r>
      <rPr>
        <sz val="11"/>
        <color theme="1"/>
        <rFont val="Calibri"/>
        <charset val="134"/>
      </rPr>
      <t>号说</t>
    </r>
    <r>
      <rPr>
        <sz val="11"/>
        <color theme="1"/>
        <rFont val="Calibri"/>
        <charset val="134"/>
      </rPr>
      <t>29</t>
    </r>
    <r>
      <rPr>
        <sz val="11"/>
        <color theme="1"/>
        <rFont val="Calibri"/>
        <charset val="134"/>
      </rPr>
      <t>号能接，最后</t>
    </r>
    <r>
      <rPr>
        <sz val="11"/>
        <color theme="1"/>
        <rFont val="Calibri"/>
        <charset val="134"/>
      </rPr>
      <t>27</t>
    </r>
    <r>
      <rPr>
        <sz val="11"/>
        <color theme="1"/>
        <rFont val="Calibri"/>
        <charset val="134"/>
      </rPr>
      <t>号安排</t>
    </r>
    <r>
      <rPr>
        <sz val="11"/>
        <color theme="1"/>
        <rFont val="Calibri"/>
        <charset val="134"/>
      </rPr>
      <t>28</t>
    </r>
    <r>
      <rPr>
        <sz val="11"/>
        <color theme="1"/>
        <rFont val="Calibri"/>
        <charset val="134"/>
      </rPr>
      <t>号运去我们仓库</t>
    </r>
  </si>
  <si>
    <t>2024.9.20</t>
  </si>
  <si>
    <t>712410789559</t>
  </si>
  <si>
    <t>TSSU5194515</t>
  </si>
  <si>
    <t>HKGSZE24100748</t>
  </si>
  <si>
    <t>TCKU7558994</t>
  </si>
  <si>
    <t>HUAN BAO 18/244361WCS</t>
  </si>
  <si>
    <t>Chromogen PO 535958</t>
  </si>
  <si>
    <r>
      <rPr>
        <sz val="11"/>
        <color theme="1"/>
        <rFont val="Calibri"/>
        <charset val="134"/>
      </rPr>
      <t>2024/11/6</t>
    </r>
    <r>
      <rPr>
        <sz val="11"/>
        <color theme="1"/>
        <rFont val="Calibri"/>
        <charset val="134"/>
      </rPr>
      <t>发walter</t>
    </r>
  </si>
  <si>
    <t>MAGU5625248</t>
  </si>
  <si>
    <t>Chromogen PO 535957</t>
  </si>
  <si>
    <t>UETU5722327</t>
  </si>
  <si>
    <t>Chromogen PO537018</t>
  </si>
  <si>
    <t>TSSU5000610</t>
  </si>
  <si>
    <t>Chromogen PO:538265</t>
  </si>
  <si>
    <t>2024.9.30</t>
  </si>
  <si>
    <t>712410834884</t>
  </si>
  <si>
    <t>TSSU5054370</t>
  </si>
  <si>
    <t>TS GUANGZHOU 2419S</t>
  </si>
  <si>
    <t>polyaire PO #32314</t>
  </si>
  <si>
    <t>SNLEBJAXA24357</t>
  </si>
  <si>
    <t>DFSU7623454</t>
  </si>
  <si>
    <t>RAC CIF</t>
  </si>
  <si>
    <t>EVER ENVOY 191S</t>
  </si>
  <si>
    <t>polyaire PO #32840</t>
  </si>
  <si>
    <t>客户满柜接不了，12月11号修改派送到我们仓库，卸柜费客户承担</t>
  </si>
  <si>
    <t>712410834853</t>
  </si>
  <si>
    <t>TEMU7732740</t>
  </si>
  <si>
    <t>polyaire PO #32214</t>
  </si>
  <si>
    <t>MF12月10发派送计划给客户，确定12月11派送，但12月11无派送且通知，12月12上午11点送达客户仓库，客户不满意，因为仓位紧张。12月16客户要求紧急还柜，MF安排了</t>
  </si>
  <si>
    <t>712410836406</t>
  </si>
  <si>
    <t>TSSU5063562</t>
  </si>
  <si>
    <t>MF运营团队延误导致无法12月10派送这个柜子，不产生任何费用</t>
  </si>
  <si>
    <t>2024.9.6</t>
  </si>
  <si>
    <t>HLCUZS12410ATPK0</t>
  </si>
  <si>
    <t>UACU5641806</t>
  </si>
  <si>
    <t>YM ESSENCE 090S</t>
  </si>
  <si>
    <t>Gate 5 21/221 Hedley Ave, Hendra QLD 4011</t>
  </si>
  <si>
    <t>SNLEBJAXA24359</t>
  </si>
  <si>
    <t>BHCU4985336</t>
  </si>
  <si>
    <t>polyaire PO #32842</t>
  </si>
  <si>
    <t>12月16日，MF的运输团队把原本Polyaire的柜子送到MD的SYD仓库</t>
  </si>
  <si>
    <t>HLCUZS12410ATPQ6</t>
  </si>
  <si>
    <t>HLXU8542566</t>
  </si>
  <si>
    <t>polyaire PO #31906</t>
  </si>
  <si>
    <t>HLCUZS12410ATPJ9</t>
  </si>
  <si>
    <t>TCLU6669630</t>
  </si>
  <si>
    <t>polyaire PO #31905</t>
  </si>
  <si>
    <t>客户提供gate code，mainfreight关门时关不到，联系了我们</t>
  </si>
  <si>
    <t>SNLEBJAXA24361</t>
  </si>
  <si>
    <t>BSIU9877410</t>
  </si>
  <si>
    <t>polyaire PO #32188</t>
  </si>
  <si>
    <t>SNLEBJAXA24360</t>
  </si>
  <si>
    <t>BSIU9882606</t>
  </si>
  <si>
    <t>polyaire PO #32916</t>
  </si>
  <si>
    <t>HLCUZS12411ATHL0</t>
  </si>
  <si>
    <t>HLBU2212430</t>
  </si>
  <si>
    <t>FENG NIAN 598 241125</t>
  </si>
  <si>
    <t>BSIU9814155</t>
  </si>
  <si>
    <t>2024.11.15</t>
  </si>
  <si>
    <t>TSSU5184604</t>
  </si>
  <si>
    <t>FOB - Shining Ocean</t>
  </si>
  <si>
    <t>ZHONG GU NAN CHANG 24002S</t>
  </si>
  <si>
    <t>TSSU5070495</t>
  </si>
  <si>
    <t>HLCUZS12411ATUG1</t>
  </si>
  <si>
    <t>HAMU3545349</t>
  </si>
  <si>
    <t>FULI329 241211</t>
  </si>
  <si>
    <t>2024.11.12</t>
  </si>
  <si>
    <t>HLCUZS12412AQBT5</t>
  </si>
  <si>
    <t>TGBU6061945</t>
  </si>
  <si>
    <t>COSU6404585770</t>
  </si>
  <si>
    <t>OOCU7646586</t>
  </si>
  <si>
    <t>DONG SHUN 68 406S</t>
  </si>
  <si>
    <t>Polyaire PO #32317</t>
  </si>
  <si>
    <t>COSU6403795310</t>
  </si>
  <si>
    <t>TXGU8235859</t>
  </si>
  <si>
    <t>JIN RONG 02 166S</t>
  </si>
  <si>
    <t>￥495.00</t>
  </si>
  <si>
    <t>MF 1月14通知此柜子没能在13号派送，14日才派送</t>
  </si>
  <si>
    <t>COSU6403794990</t>
  </si>
  <si>
    <t>OOCU7124690</t>
  </si>
  <si>
    <t>COSU6403794960</t>
  </si>
  <si>
    <t>FFAU3196543</t>
  </si>
  <si>
    <t>￥550.00</t>
  </si>
  <si>
    <t>COSU6403795110</t>
  </si>
  <si>
    <t>CSNU6246239</t>
  </si>
  <si>
    <t>OOLU2154800590</t>
  </si>
  <si>
    <t>TCNU6576920</t>
  </si>
  <si>
    <t>FENG NIAN 362 V.241219</t>
  </si>
  <si>
    <t>Polyaire PO #32839</t>
  </si>
  <si>
    <t>2025//1/14</t>
  </si>
  <si>
    <t>1月23 polyaire改派送地址，James确认不会产生额外费用。2月3收到OOCL账单，由于1月17discharge，货柜的免费使用日从17号开始计算，1月30为最后一个免费日，产生了一天滞留费AUD308，滞留费Mainfreight承担</t>
  </si>
  <si>
    <t>OOLU2154994820</t>
  </si>
  <si>
    <t>OOLU9226640</t>
  </si>
  <si>
    <t>3/43 Mulgul Road, Malaga, WA 6090</t>
  </si>
  <si>
    <t>Fourways PO-00002375</t>
  </si>
  <si>
    <t>delivery schedule 没有抄送给MD</t>
  </si>
  <si>
    <t>712411043421</t>
  </si>
  <si>
    <t>FFAU4381947</t>
  </si>
  <si>
    <t>TSL，RAC 1月舱位补贴：CNY54300，for 29x40HQ</t>
  </si>
  <si>
    <t>TS OSAKA 2501S</t>
  </si>
  <si>
    <t>Polyaire PO #35145</t>
  </si>
  <si>
    <t>MF把iris邮箱写错，iris没有收到delivery schedule</t>
  </si>
  <si>
    <t>TXGU6734231</t>
  </si>
  <si>
    <t>TS SYDNEY 2407S</t>
  </si>
  <si>
    <t>TSSU5099014</t>
  </si>
  <si>
    <t>Unit 2, 31 Dixon Stree,Yatala QLD 4207</t>
  </si>
  <si>
    <t>Fourways PO-00002334</t>
  </si>
  <si>
    <t>TLLU8855821</t>
  </si>
  <si>
    <t>Polyaire PO #37264</t>
  </si>
  <si>
    <t>2025/1/29 Adrianna说柜子已空，但MF到场，柜子还锁着，MF返程。Mainfreight收取AUD 212.06，2月19已发邮件通知销售处理</t>
  </si>
  <si>
    <t>GAOU6740052</t>
  </si>
  <si>
    <t>SEKU6007747</t>
  </si>
  <si>
    <t>Fourways PO-00002331</t>
  </si>
  <si>
    <t>712310700487</t>
  </si>
  <si>
    <t>GAOU6386186</t>
  </si>
  <si>
    <t>TS OSAKA/2401S</t>
  </si>
  <si>
    <t>712310700586</t>
  </si>
  <si>
    <t>GAOU6771752</t>
  </si>
  <si>
    <t>712310700630</t>
  </si>
  <si>
    <t>TSSU5001257</t>
  </si>
  <si>
    <t>712310700470</t>
  </si>
  <si>
    <t>TSSU5154385</t>
  </si>
  <si>
    <t>712310700531</t>
  </si>
  <si>
    <t>TSSU5150311</t>
  </si>
  <si>
    <t>OOLU2155112890</t>
  </si>
  <si>
    <t>OOCU7656970</t>
  </si>
  <si>
    <t>YUE JIANG 518 V.241225</t>
  </si>
  <si>
    <t>Polyaire PO #34597</t>
  </si>
  <si>
    <t>Polyaire未确认派送，1.30就把柜子派送到客户仓库，无任何额外费用。MF发delivery schedule未通知相应的负责人。2月3MF因延迟无法派送，改成2月4早上派送</t>
  </si>
  <si>
    <t>OOLU2155507140</t>
  </si>
  <si>
    <t>TGBU4948334</t>
  </si>
  <si>
    <t>COSCO ROTTERDAM 198S</t>
  </si>
  <si>
    <t>Polyaire PO #34610</t>
  </si>
  <si>
    <t>GCXU6516147</t>
  </si>
  <si>
    <t>KOTA LAWA 0091S</t>
  </si>
  <si>
    <t>Polyaire PO #35645</t>
  </si>
  <si>
    <t>OOLU2155507170</t>
  </si>
  <si>
    <t>SEGU4359390</t>
  </si>
  <si>
    <t>OOCL KUALA LUMPUR 177S</t>
  </si>
  <si>
    <t>Polyaire PO #34615</t>
  </si>
  <si>
    <t>HKGSZE25010184</t>
  </si>
  <si>
    <t>TSSU5205250</t>
  </si>
  <si>
    <t>Chromogen PO 541635</t>
  </si>
  <si>
    <t>GAOU7075297</t>
  </si>
  <si>
    <t>Chromogen PO 538404</t>
  </si>
  <si>
    <t>TXGU7367887</t>
  </si>
  <si>
    <t>Chromogen PO 541637</t>
  </si>
  <si>
    <t>TIIU5317991</t>
  </si>
  <si>
    <t>Chromogen PO 538266</t>
  </si>
  <si>
    <t>GAOU7076396</t>
  </si>
  <si>
    <t>Chromogen PO 540479</t>
  </si>
  <si>
    <t>TSSU5187537</t>
  </si>
  <si>
    <t>TSSU5090845</t>
  </si>
  <si>
    <t>TLLU7962065</t>
  </si>
  <si>
    <t>TSSU5161466</t>
  </si>
  <si>
    <t>FFAU4399308</t>
  </si>
  <si>
    <t>CNY 18500</t>
  </si>
  <si>
    <t>MBT CIF</t>
  </si>
  <si>
    <t>先到我们仓库，Odisee后取</t>
  </si>
  <si>
    <t>TLLU7977152</t>
  </si>
  <si>
    <t>TRHU4076615</t>
  </si>
  <si>
    <t>TXGU5682452</t>
  </si>
  <si>
    <t>TSSU5163833</t>
  </si>
  <si>
    <t>TSSU5184142</t>
  </si>
  <si>
    <t>SEKU5869860</t>
  </si>
  <si>
    <t>TRHU4075007</t>
  </si>
  <si>
    <t>TXGU5663067</t>
  </si>
  <si>
    <t>TXGU5674591</t>
  </si>
  <si>
    <t>TSSU5198439</t>
  </si>
  <si>
    <t>UETU7956561</t>
  </si>
  <si>
    <t>SNLEBJAXA25283</t>
  </si>
  <si>
    <t>BSIU9886643</t>
  </si>
  <si>
    <t>TAIZUN288 250103S</t>
  </si>
  <si>
    <t>FCIU7307262</t>
  </si>
  <si>
    <t>BHCU4975791</t>
  </si>
  <si>
    <t>FDCU0006143</t>
  </si>
  <si>
    <t>BSIU9877805</t>
  </si>
  <si>
    <t>OOLU2155460520</t>
  </si>
  <si>
    <t>CAIU7096310</t>
  </si>
  <si>
    <t>HONG XIN 29 V.250110</t>
  </si>
  <si>
    <t>Fourways PO-00002376</t>
  </si>
  <si>
    <t>OOLU2155364730</t>
  </si>
  <si>
    <t>BEAU5767760</t>
  </si>
  <si>
    <t>OOCL NORFOLK 287S</t>
  </si>
  <si>
    <t>Polyaire PO #35643</t>
  </si>
  <si>
    <t>2月5Iris追派送计划，James只发给MD team，未发给客户</t>
  </si>
  <si>
    <t>OOLU2154824760</t>
  </si>
  <si>
    <t>CSNU6091332</t>
  </si>
  <si>
    <t>FENG NIAN 26 V.241218</t>
  </si>
  <si>
    <t>Polyaire PO #34598</t>
  </si>
  <si>
    <t>TSSU5204090</t>
  </si>
  <si>
    <t>ZHONG GU CHENG DU 25001S</t>
  </si>
  <si>
    <t>2月14卸柜，发现柜子有洞，已通知mainfreight</t>
  </si>
  <si>
    <t>TRHU8671370</t>
  </si>
  <si>
    <t>2月18收这个柜子，因有一辆车挡住，导致收不到，Mainfreight需要收取费用</t>
  </si>
  <si>
    <t>SNLEBJAXA25384</t>
  </si>
  <si>
    <t>FSCU7105661</t>
  </si>
  <si>
    <t>Polyaire PO #34622</t>
  </si>
  <si>
    <t>SNLEBJAXA25385</t>
  </si>
  <si>
    <t>SLPU5000261</t>
  </si>
  <si>
    <t>Polyaire PO #34624</t>
  </si>
  <si>
    <t>HKGSZE25010286</t>
  </si>
  <si>
    <t>BSIU9985610</t>
  </si>
  <si>
    <t>Great Logistics</t>
  </si>
  <si>
    <t>SUI HANG 906/000025010814</t>
  </si>
  <si>
    <t>Chromogen PO 544039</t>
  </si>
  <si>
    <t>BMOU4748287</t>
  </si>
  <si>
    <t>Chromogen PO 538267</t>
  </si>
  <si>
    <t>HKGSZE25010332</t>
  </si>
  <si>
    <t>PCIU9517627</t>
  </si>
  <si>
    <t>YUE XIANG 9/000025011015</t>
  </si>
  <si>
    <t>Chromogen PO 565494</t>
  </si>
  <si>
    <t>PIDU4246314</t>
  </si>
  <si>
    <t>Chromogen PO 565493</t>
  </si>
  <si>
    <t>OOLU2155625160</t>
  </si>
  <si>
    <t>OOCU7310863</t>
  </si>
  <si>
    <t>本应2月20日收空柜，客户21号询问，mainfreight保证21号收，并承认是因为操作问题导致延迟收柜</t>
  </si>
  <si>
    <t>712510024314</t>
  </si>
  <si>
    <t>FFAU6975336</t>
  </si>
  <si>
    <t>TS XIAMEN 2501S</t>
  </si>
  <si>
    <t>712510002404</t>
  </si>
  <si>
    <t>TSSU5207058</t>
  </si>
  <si>
    <t>Polyaire PO #34623</t>
  </si>
  <si>
    <t>712510002459</t>
  </si>
  <si>
    <t>TSSU5210093</t>
  </si>
  <si>
    <t>Polyaire PO #35647</t>
  </si>
  <si>
    <t>712510002428</t>
  </si>
  <si>
    <t>TSSU5094835</t>
  </si>
  <si>
    <t>Polyaire PO #36834</t>
  </si>
  <si>
    <t>2月18，Simon改仓库地址</t>
  </si>
  <si>
    <t>712510002411</t>
  </si>
  <si>
    <t>FFAU4647240</t>
  </si>
  <si>
    <t>Polyaire PO #36831</t>
  </si>
  <si>
    <t>mainfreight派送延迟</t>
  </si>
  <si>
    <t>712510018702</t>
  </si>
  <si>
    <t>TRHU8122215</t>
  </si>
  <si>
    <t>Polyaire PO #36836</t>
  </si>
  <si>
    <t>mainfreight 2月18发delivery schedule没有发给客户</t>
  </si>
  <si>
    <t>712510018665</t>
  </si>
  <si>
    <t>TXGU6866990</t>
  </si>
  <si>
    <t>712510024352</t>
  </si>
  <si>
    <t>TSSU5116615</t>
  </si>
  <si>
    <t>712510030308</t>
  </si>
  <si>
    <t>SEKU5875879</t>
  </si>
  <si>
    <t>TSSU5014439</t>
  </si>
  <si>
    <t>712510023720</t>
  </si>
  <si>
    <t>TLLU8575245</t>
  </si>
  <si>
    <t>712510023713</t>
  </si>
  <si>
    <t>TSSU5133401</t>
  </si>
  <si>
    <t>TSSU5055736</t>
  </si>
  <si>
    <t>COSU6406728100</t>
  </si>
  <si>
    <t>CSNU6849588</t>
  </si>
  <si>
    <t>GONG HE 757S</t>
  </si>
  <si>
    <t>Polyaire PO #36821</t>
  </si>
  <si>
    <t>OOLU2155985050</t>
  </si>
  <si>
    <t>OOCU8904319</t>
  </si>
  <si>
    <t>COSCO HONG KONG 193S</t>
  </si>
  <si>
    <t>68‑74 National Boulevard, Campbellfield, Victoria 3061</t>
  </si>
  <si>
    <t>NCE PO N542486</t>
  </si>
  <si>
    <t>SNLFSKALA20502</t>
  </si>
  <si>
    <t>SNBU8363594</t>
  </si>
  <si>
    <t>XIN LAN ZHOU 2501S</t>
  </si>
  <si>
    <t>CSNU6022732</t>
  </si>
  <si>
    <t>COSU6406728010</t>
  </si>
  <si>
    <t>CSNU8982429</t>
  </si>
  <si>
    <t>FENG NIAN 361 177S</t>
  </si>
  <si>
    <t>2月27日Edwin与Stefano沟通派送去我们dandenong仓库</t>
  </si>
  <si>
    <t>OOLU2155890210</t>
  </si>
  <si>
    <t>TGBU4113628</t>
  </si>
  <si>
    <t>PHEN BASIN 111S</t>
  </si>
  <si>
    <t>Polyaire PO #36818</t>
  </si>
  <si>
    <t>2月7andrew通知改地址及联系人方式</t>
  </si>
  <si>
    <t>OOLU2155890140</t>
  </si>
  <si>
    <t>TEMU8531272</t>
  </si>
  <si>
    <t>Fourways PO-00002377</t>
  </si>
  <si>
    <t>ONEYHKGF11349300</t>
  </si>
  <si>
    <t>TGHU6579284</t>
  </si>
  <si>
    <t>ONE</t>
  </si>
  <si>
    <t>GOOD PROSPECT 504S</t>
  </si>
  <si>
    <t>Odisee PO 1169</t>
  </si>
  <si>
    <t>ONEU1697690</t>
  </si>
  <si>
    <t>Odisee PO 1170</t>
  </si>
  <si>
    <t>KKFU7869930</t>
  </si>
  <si>
    <t>Polyaire PO 40414</t>
  </si>
  <si>
    <t>GCXU5227617</t>
  </si>
  <si>
    <t>Polyaire PO 40415</t>
  </si>
  <si>
    <t>2025.11.27</t>
  </si>
  <si>
    <t>SNLFBJAXA20603</t>
  </si>
  <si>
    <t>SNBU8203385</t>
  </si>
  <si>
    <t>DAFENG3025 250207S</t>
  </si>
  <si>
    <t>HLCUZS12501ATAA0</t>
  </si>
  <si>
    <t>UASU1038057</t>
  </si>
  <si>
    <t>FULI329 250207</t>
  </si>
  <si>
    <t>SNBU8303764</t>
  </si>
  <si>
    <t>SNBU8275317</t>
  </si>
  <si>
    <t>SNBU8266911</t>
  </si>
  <si>
    <t>SNBU8285450</t>
  </si>
  <si>
    <t>3月6，MF未按派送计划，将柜子派送到Dandenong</t>
  </si>
  <si>
    <t>HLCUZS12501ATAB2</t>
  </si>
  <si>
    <t>HAMU4094147</t>
  </si>
  <si>
    <t>COSU6409549950</t>
  </si>
  <si>
    <t>BSIU9634338</t>
  </si>
  <si>
    <t>FU LI 358 506S</t>
  </si>
  <si>
    <t>COSU6409478550</t>
  </si>
  <si>
    <t>FFAU3378614</t>
  </si>
  <si>
    <t>SI LU 188 275S</t>
  </si>
  <si>
    <t>COSU6409474950</t>
  </si>
  <si>
    <t>BMOU5040163</t>
  </si>
  <si>
    <t>OOCL KUALA LUMPUR 178S</t>
  </si>
  <si>
    <t>OOLU2156530620</t>
  </si>
  <si>
    <t>CSLU6027568</t>
  </si>
  <si>
    <t>COSCO ROTTERDAM 199S</t>
  </si>
  <si>
    <r>
      <rPr>
        <sz val="11"/>
        <color theme="1"/>
        <rFont val="Calibri"/>
        <charset val="134"/>
      </rPr>
      <t>原确定</t>
    </r>
    <r>
      <rPr>
        <sz val="11"/>
        <color theme="1"/>
        <rFont val="Calibri"/>
        <charset val="134"/>
      </rPr>
      <t>3/17</t>
    </r>
    <r>
      <rPr>
        <sz val="11"/>
        <color theme="1"/>
        <rFont val="Calibri"/>
        <charset val="134"/>
      </rPr>
      <t>派送，司机原因，改成</t>
    </r>
    <r>
      <rPr>
        <sz val="11"/>
        <color theme="1"/>
        <rFont val="Calibri"/>
        <charset val="134"/>
      </rPr>
      <t>3/18</t>
    </r>
    <r>
      <rPr>
        <sz val="11"/>
        <color theme="1"/>
        <rFont val="Calibri"/>
        <charset val="134"/>
      </rPr>
      <t>派送</t>
    </r>
  </si>
  <si>
    <t>2025.12.10</t>
  </si>
  <si>
    <t>OOLU2156456840</t>
  </si>
  <si>
    <t>OOLU9514517</t>
  </si>
  <si>
    <t>712510089962</t>
  </si>
  <si>
    <t>TLLU8703705</t>
  </si>
  <si>
    <t>KOTA LAWA 0092S</t>
  </si>
  <si>
    <t>Odisee PO 1172</t>
  </si>
  <si>
    <t>712510092924</t>
  </si>
  <si>
    <t>BHCU5014910</t>
  </si>
  <si>
    <t>712510089955</t>
  </si>
  <si>
    <t>TSSU5017340</t>
  </si>
  <si>
    <t>TRHU8864030</t>
  </si>
  <si>
    <t>MF 8am到仓库后无人在场，等到了9:15.产生了等待费</t>
  </si>
  <si>
    <t>GAOU7023225</t>
  </si>
  <si>
    <t>Odisee PO 1171</t>
  </si>
  <si>
    <t>TRHU8020867</t>
  </si>
  <si>
    <t>GAOU6999038</t>
  </si>
  <si>
    <t>SEKU4077529</t>
  </si>
  <si>
    <t>TXGU6558472</t>
  </si>
  <si>
    <t>TXGU7110538</t>
  </si>
  <si>
    <t>TXGU7370598</t>
  </si>
  <si>
    <t>COSU6409474830</t>
  </si>
  <si>
    <t>TRHU5539859</t>
  </si>
  <si>
    <t>FU LI 358 504S</t>
  </si>
  <si>
    <t>HLCUZS12501ATGG5</t>
  </si>
  <si>
    <t>TCNU6168450</t>
  </si>
  <si>
    <t>OOLU2156596630</t>
  </si>
  <si>
    <t>OOCU7979083</t>
  </si>
  <si>
    <t>COSCO SINGAPORE 188S</t>
  </si>
  <si>
    <t>RAC</t>
  </si>
  <si>
    <t>COSU6410379540</t>
  </si>
  <si>
    <t>CSNU8599723</t>
  </si>
  <si>
    <t>COSU6410379560</t>
  </si>
  <si>
    <t>CSNU8773368</t>
  </si>
  <si>
    <t>HLCUZS12502AQCN0</t>
  </si>
  <si>
    <t>HAMU2530133</t>
  </si>
  <si>
    <t>HUI HONG XIN 08 250226</t>
  </si>
  <si>
    <t>HLCUZS12502AQCK7</t>
  </si>
  <si>
    <t>HAMU4116591</t>
  </si>
  <si>
    <t>HLCUZS12502AQCO1</t>
  </si>
  <si>
    <t>HAMU4114921</t>
  </si>
  <si>
    <t>HLCUZS12502AQCI5</t>
  </si>
  <si>
    <t>HAMU4117638</t>
  </si>
  <si>
    <t>HLCUZS12502AQCP2</t>
  </si>
  <si>
    <t>HAMU4116396</t>
  </si>
  <si>
    <t>FENG NIAN 598 250228</t>
  </si>
  <si>
    <t>HLCUZS12502AQCM0</t>
  </si>
  <si>
    <t>HAMU4116550</t>
  </si>
  <si>
    <t>COSU6410379550</t>
  </si>
  <si>
    <t>OOLU9534658</t>
  </si>
  <si>
    <t>COSU6410379530</t>
  </si>
  <si>
    <t>FFAU3192086</t>
  </si>
  <si>
    <t>原定11AM – 1PM派送，1:30PM 通知延迟派送，约2:30送达</t>
  </si>
  <si>
    <t>HLCUZS12502AQBR9</t>
  </si>
  <si>
    <t>TCNU3249230</t>
  </si>
  <si>
    <t>EVER ENVOY 193S</t>
  </si>
  <si>
    <t>HLCUZS12502AQBQ8</t>
  </si>
  <si>
    <t>HAMU2918793</t>
  </si>
  <si>
    <t>MBT</t>
  </si>
  <si>
    <t>SNLFBJAXA20809</t>
  </si>
  <si>
    <t>SNBU8371630</t>
  </si>
  <si>
    <t>DAFENG3031 250224S</t>
  </si>
  <si>
    <t>SNBU8389644</t>
  </si>
  <si>
    <t>HLCUZS12502AQBV3</t>
  </si>
  <si>
    <t>UACU6034664</t>
  </si>
  <si>
    <t>HLCUZS12502AQBW4</t>
  </si>
  <si>
    <t>HAMU2891882</t>
  </si>
  <si>
    <t>SNBU8206677</t>
  </si>
  <si>
    <t>3/28MF通知延迟1小时派送</t>
  </si>
  <si>
    <t>SNBU8351926</t>
  </si>
  <si>
    <t>HLCUZS12502AQBT0</t>
  </si>
  <si>
    <t>HAMU1976305</t>
  </si>
  <si>
    <t>HLCUZS12502AQBU1</t>
  </si>
  <si>
    <t>HLXU8095149</t>
  </si>
  <si>
    <t>HLCUZS12502AQBS0</t>
  </si>
  <si>
    <t>FANU1811966</t>
  </si>
  <si>
    <t>OOLU2156776600</t>
  </si>
  <si>
    <t>DFSU7517257</t>
  </si>
  <si>
    <t>VANCOUVER 040S</t>
  </si>
  <si>
    <t>SNBU8278682</t>
  </si>
  <si>
    <t>SNBU8295078</t>
  </si>
  <si>
    <t>2025.1.17</t>
  </si>
  <si>
    <t>COSU6411709780</t>
  </si>
  <si>
    <t>TGBU7698835</t>
  </si>
  <si>
    <t>COSCO HONG KONG 194S</t>
  </si>
  <si>
    <t>712510140656</t>
  </si>
  <si>
    <t>TLLU8017496</t>
  </si>
  <si>
    <t>KOTA LOCENG 0153S</t>
  </si>
  <si>
    <t>由于MF的堆场有台推料机塞塞住，导致派送延迟</t>
  </si>
  <si>
    <t>712510116316</t>
  </si>
  <si>
    <t>TEMU7940928</t>
  </si>
  <si>
    <t>MF 31号派送到错误的仓库，并无产生费用</t>
  </si>
  <si>
    <t>2025.12.6</t>
  </si>
  <si>
    <t>712510147723</t>
  </si>
  <si>
    <t>GAOU6962912</t>
  </si>
  <si>
    <t>712510147747</t>
  </si>
  <si>
    <t>TSSU5153619</t>
  </si>
  <si>
    <t>712510147761</t>
  </si>
  <si>
    <t>TSSU5007105</t>
  </si>
  <si>
    <t>712510140397</t>
  </si>
  <si>
    <t>TRHU8925670</t>
  </si>
  <si>
    <t>712510116323</t>
  </si>
  <si>
    <t>GAOU6738857</t>
  </si>
  <si>
    <t>712510147655</t>
  </si>
  <si>
    <t>GAOU7074346</t>
  </si>
  <si>
    <t>712510147778</t>
  </si>
  <si>
    <t>TIIU5089567</t>
  </si>
  <si>
    <t>712510115401</t>
  </si>
  <si>
    <t>TIIU4296180</t>
  </si>
  <si>
    <t>Odisee  PO 1303</t>
  </si>
  <si>
    <t>TIIU4449648</t>
  </si>
  <si>
    <t>Odisee  PO 1304</t>
  </si>
  <si>
    <t>712510116309</t>
  </si>
  <si>
    <t>TCKU7953263</t>
  </si>
  <si>
    <t>Odisee  PO 1305</t>
  </si>
  <si>
    <t>712510147709</t>
  </si>
  <si>
    <t>GAOU7071809</t>
  </si>
  <si>
    <t>712510115388</t>
  </si>
  <si>
    <t>BHCU5015985</t>
  </si>
  <si>
    <t>COSU6411708610</t>
  </si>
  <si>
    <t>CSNU8573499</t>
  </si>
  <si>
    <t>COSU6411708620</t>
  </si>
  <si>
    <t>CSNU6041265</t>
  </si>
  <si>
    <t>COSU6411708700</t>
  </si>
  <si>
    <t>CSLU6079031</t>
  </si>
  <si>
    <t>712510137687</t>
  </si>
  <si>
    <t>TXGU5784109</t>
  </si>
  <si>
    <t>ZHONG GU CHENG DU 25002S</t>
  </si>
  <si>
    <t>712510140359</t>
  </si>
  <si>
    <t>GAOU7023924</t>
  </si>
  <si>
    <t>712510137717</t>
  </si>
  <si>
    <t>TSSU5103876</t>
  </si>
  <si>
    <t>712510140304</t>
  </si>
  <si>
    <t>BSIU9817128</t>
  </si>
  <si>
    <t>712510140298</t>
  </si>
  <si>
    <t>TSSU5057560</t>
  </si>
  <si>
    <t>warehouse 1/1-11 Gilbertson Rd Laverton North VIC 3026</t>
  </si>
  <si>
    <t>712510140366</t>
  </si>
  <si>
    <t>TIIU4455640</t>
  </si>
  <si>
    <t>712510137700</t>
  </si>
  <si>
    <t>TSSU5170386</t>
  </si>
  <si>
    <t>712510147785</t>
  </si>
  <si>
    <t>GAOU7022213</t>
  </si>
  <si>
    <t>712510147662</t>
  </si>
  <si>
    <t>TLLU8699307</t>
  </si>
  <si>
    <t>712510137663</t>
  </si>
  <si>
    <t>TIIU6817008</t>
  </si>
  <si>
    <t>原4/4派送，因运输团队原因，导致4/7派送</t>
  </si>
  <si>
    <t>COSU6411708770</t>
  </si>
  <si>
    <t>TIIU5489882</t>
  </si>
  <si>
    <t>SAMAL 2CP3VS1NC</t>
  </si>
  <si>
    <t>COSU6411726600</t>
  </si>
  <si>
    <t>TCLU8435862</t>
  </si>
  <si>
    <t>XIANG FU 3 780S</t>
  </si>
  <si>
    <t>COSU6411709640</t>
  </si>
  <si>
    <t>TIIU6365103</t>
  </si>
  <si>
    <t>ONEYHKGF32362800</t>
  </si>
  <si>
    <t>FDCU0396170</t>
  </si>
  <si>
    <t>HUAN BAO 88 V.250318</t>
  </si>
  <si>
    <t>2/95 Jedda RD Prestons NSW 2170</t>
  </si>
  <si>
    <t>MF没有按我们的指引把delivery schedule发送给客户了，柜号信息也不准确。4/9 MF告知前一晚未在码头取柜，需要改期到4/10派送</t>
  </si>
  <si>
    <t>HKGSZE25030060</t>
  </si>
  <si>
    <t>PCIU8713353</t>
  </si>
  <si>
    <t>SUI GANG 906/000025022803</t>
  </si>
  <si>
    <t>PCIU9146167</t>
  </si>
  <si>
    <t>PCIU9367595</t>
  </si>
  <si>
    <t>TEMU8408653</t>
  </si>
  <si>
    <t>SLSNSAUCR00448</t>
  </si>
  <si>
    <t>SLVU4763984</t>
  </si>
  <si>
    <t>SLS</t>
  </si>
  <si>
    <t>TS MUNDRA / 2502S</t>
  </si>
  <si>
    <t>SLSNSAUCR00449</t>
  </si>
  <si>
    <t>BSIU8345686</t>
  </si>
  <si>
    <t>ONEYHKGF32355300</t>
  </si>
  <si>
    <t>TGBU9700130</t>
  </si>
  <si>
    <t>ONEYHKGF30846600</t>
  </si>
  <si>
    <t>FFAU1863483</t>
  </si>
  <si>
    <t>4.17 MF通知延迟4小时派送</t>
  </si>
  <si>
    <t>ONEYHKGF32359700</t>
  </si>
  <si>
    <t>ONEU1702728</t>
  </si>
  <si>
    <t>ONEYHKGF32361700</t>
  </si>
  <si>
    <t>ONEU0091199</t>
  </si>
  <si>
    <t>ONEYHKGF32357500</t>
  </si>
  <si>
    <t>ONEU0963619</t>
  </si>
  <si>
    <t>ONEYHKGF30881500</t>
  </si>
  <si>
    <t>ONEU5150904</t>
  </si>
  <si>
    <t>HUAN BAO 88 V.250313</t>
  </si>
  <si>
    <t>ONEYHKGF30847700</t>
  </si>
  <si>
    <t>ONEU1009210</t>
  </si>
  <si>
    <t>ONEYHKGF32354900</t>
  </si>
  <si>
    <t>TRHU4612493</t>
  </si>
  <si>
    <t>ONEYHKGF32358600</t>
  </si>
  <si>
    <t>TGCU5197170</t>
  </si>
  <si>
    <t>4.17 MF通知延迟4小时派送，另下午通知改4.22送，不会收取viayard charges</t>
  </si>
  <si>
    <t>ONEYHKGF32360600</t>
  </si>
  <si>
    <t>TCLU6318147</t>
  </si>
  <si>
    <t>ONEYHKGF32356400</t>
  </si>
  <si>
    <t>NYKU4823963</t>
  </si>
  <si>
    <t>2 Camino Crescent, Cranbourne West, VIC 3977</t>
  </si>
  <si>
    <t>SPT PO0016</t>
  </si>
  <si>
    <t>4.15 客户仓库原因由4.16改期至4.17。 4.17 MF下午柜量太大，通知客户改期4.22早上派送。船公司发了延迟还柜的费用账单共AUD192.5，RAC承担费用,后续货款中抵扣</t>
  </si>
  <si>
    <t>OOLU2156808290</t>
  </si>
  <si>
    <t>OOCU8292023</t>
  </si>
  <si>
    <t>COSU6412344470</t>
  </si>
  <si>
    <t>SEKU4683980</t>
  </si>
  <si>
    <t>OOCL MIAMI 103S</t>
  </si>
  <si>
    <t>COSU6412344300</t>
  </si>
  <si>
    <t>DFSU6846242</t>
  </si>
  <si>
    <t>Odisee PO 1177</t>
  </si>
  <si>
    <t>4.18 collect，MF收取额外费用：TOTAL= $219.7455。22号派送不产生费用，Storage start 4.25。MF 12:15告知延迟2小时派送（实际4.23派送的）</t>
  </si>
  <si>
    <t>COSU6412344160</t>
  </si>
  <si>
    <t>FFAU2657384</t>
  </si>
  <si>
    <t>Odisee PO 1376</t>
  </si>
  <si>
    <t>Storage starts on 25/04</t>
  </si>
  <si>
    <t>HKGSZE25030469</t>
  </si>
  <si>
    <t>TIIU4447373</t>
  </si>
  <si>
    <t>HUAN BAO 68/251271WCS</t>
  </si>
  <si>
    <t>Chromogen PO 568284</t>
  </si>
  <si>
    <t>TSSU5108055</t>
  </si>
  <si>
    <t>Chromogen PO 568282</t>
  </si>
  <si>
    <t>TSSU5213929</t>
  </si>
  <si>
    <t>Chromogen PO 568283</t>
  </si>
  <si>
    <t>2025.2.8</t>
  </si>
  <si>
    <t>HLCUZS12503ASMW3</t>
  </si>
  <si>
    <t>HLBU2702567</t>
  </si>
  <si>
    <t>FENG NIAN 598 250321</t>
  </si>
  <si>
    <t>HLCUZS12503ASXT5</t>
  </si>
  <si>
    <t>SEKU6414470</t>
  </si>
  <si>
    <t>HLCUZS12503AUNY6</t>
  </si>
  <si>
    <t>BEAU4193137</t>
  </si>
  <si>
    <t>TIAN SHUN HE 2502S</t>
  </si>
  <si>
    <t>HLCUZS12503ASXW9</t>
  </si>
  <si>
    <t>SEGU5124575</t>
  </si>
  <si>
    <t>SPT PO0015</t>
  </si>
  <si>
    <t>Storage starts on 30/04（4.28 MF无法派送），原改为4.29送，MF未提前告知安排了4.28派送</t>
  </si>
  <si>
    <t>712510205850</t>
  </si>
  <si>
    <t>FFAU4387781</t>
  </si>
  <si>
    <t>YM ETERNITY 128S</t>
  </si>
  <si>
    <t>712510205904</t>
  </si>
  <si>
    <t>TXGU5811082</t>
  </si>
  <si>
    <t>TRHU5341333</t>
  </si>
  <si>
    <t>SPT PO0010</t>
  </si>
  <si>
    <t>SLSNSAUCR00447</t>
  </si>
  <si>
    <t>NLLU4114039</t>
  </si>
  <si>
    <t>ZHONG GU NAN CHANG / 25005S</t>
  </si>
  <si>
    <t>原定23号派送，11：30电话联系被告知安排错误，需24号派送</t>
  </si>
  <si>
    <t>HUA500718200</t>
  </si>
  <si>
    <t>PCIU9235325</t>
  </si>
  <si>
    <t>ZHONG GU NAN CHANG 25005S</t>
  </si>
  <si>
    <t>Odisee PO 1506</t>
  </si>
  <si>
    <t>HUA500688400</t>
  </si>
  <si>
    <t>PCIU9249611</t>
  </si>
  <si>
    <t>ZIMUGZH0518806</t>
  </si>
  <si>
    <t>JXLU6390272</t>
  </si>
  <si>
    <t>EA JERSEY 147/S</t>
  </si>
  <si>
    <t>原定24号派送，11：30电话联系被告知安排错误，需23号派送。但实际23号没有派送，24号派送</t>
  </si>
  <si>
    <t>HUA500718300</t>
  </si>
  <si>
    <t>PIDU4183474</t>
  </si>
  <si>
    <t>Odisee PO 1507</t>
  </si>
  <si>
    <t>HUA500718400</t>
  </si>
  <si>
    <t>GAOU7514872</t>
  </si>
  <si>
    <t>Odisee PO 1508</t>
  </si>
  <si>
    <t>712510187248</t>
  </si>
  <si>
    <t>TRHU8010323</t>
  </si>
  <si>
    <t>712510180911</t>
  </si>
  <si>
    <t>TIIU4472308</t>
  </si>
  <si>
    <t>Odisee PO 1509</t>
  </si>
  <si>
    <t>MF 邮件确认25日派送不收额外费用</t>
  </si>
  <si>
    <t>712510187309</t>
  </si>
  <si>
    <t>MAGU5622378</t>
  </si>
  <si>
    <t>712510186319</t>
  </si>
  <si>
    <t>GAOU6733670</t>
  </si>
  <si>
    <t>712510187255</t>
  </si>
  <si>
    <t>TSSU5161189</t>
  </si>
  <si>
    <t>712510186326</t>
  </si>
  <si>
    <t>TIIU5078834</t>
  </si>
  <si>
    <t>712510187224</t>
  </si>
  <si>
    <t>TXGU6827139</t>
  </si>
  <si>
    <t>712510181802</t>
  </si>
  <si>
    <t>MAGU5599365</t>
  </si>
  <si>
    <t>712510194178</t>
  </si>
  <si>
    <t>TEMU7935222</t>
  </si>
  <si>
    <t>712510194185</t>
  </si>
  <si>
    <t>TLLU8598359</t>
  </si>
  <si>
    <t>712510187286</t>
  </si>
  <si>
    <t>SEKU6003530</t>
  </si>
  <si>
    <t>712510194192</t>
  </si>
  <si>
    <t>GAOU6740520</t>
  </si>
  <si>
    <t>HLCUZS12503ASLK5</t>
  </si>
  <si>
    <t>CAAU6240899</t>
  </si>
  <si>
    <t>Storage starts on 1/5</t>
  </si>
  <si>
    <t>HLCUZS12503ASXV8</t>
  </si>
  <si>
    <t>UETU5434465</t>
  </si>
  <si>
    <t>已通知MF，5月2下午4点先取走这个柜子再派送CBHU9465459</t>
  </si>
  <si>
    <t>OOLU2157811510</t>
  </si>
  <si>
    <t>CBHU9465459</t>
  </si>
  <si>
    <t>OOCL ITALY 144S</t>
  </si>
  <si>
    <t>Storage starts on 30/04. 原4.28派送，Syd仓库未有托盘卸货，会产生仓储费，Delivery is confirmed for 5/5 Monday 8-10am. Edwin说就让他们按这个时间送。已告知 Justin的了。他们周三和MF开会会谈本案例。</t>
  </si>
  <si>
    <t>COSU6412526710</t>
  </si>
  <si>
    <t>CSNU8314190</t>
  </si>
  <si>
    <t>YONGSHUNXIANG 591E</t>
  </si>
  <si>
    <t xml:space="preserve">warehouse 1/1-11 Gilbertson Rd Laverton North VIC 3026
</t>
  </si>
  <si>
    <t>Odisee PO 1375</t>
  </si>
  <si>
    <t>COSU6412526880</t>
  </si>
  <si>
    <t>CSNU8792727</t>
  </si>
  <si>
    <t>Odisee PO 1374</t>
  </si>
  <si>
    <t>原4.28派送，MF告知派不了，改4.29早上派</t>
  </si>
  <si>
    <t>COSU6412526940</t>
  </si>
  <si>
    <t>CSLU6257745</t>
  </si>
  <si>
    <t>COSU6412527020</t>
  </si>
  <si>
    <t>FCIU9828505</t>
  </si>
  <si>
    <t>COSU6414133020</t>
  </si>
  <si>
    <t>OOCU7357161</t>
  </si>
  <si>
    <t>COSCO ROTTERDAM 200S</t>
  </si>
  <si>
    <t>712510200312</t>
  </si>
  <si>
    <t>TSSU5156691</t>
  </si>
  <si>
    <t>712510201241</t>
  </si>
  <si>
    <t>GAOU6775790</t>
  </si>
  <si>
    <t>712510201227</t>
  </si>
  <si>
    <t>CAAU9442553</t>
  </si>
  <si>
    <t>712510201296</t>
  </si>
  <si>
    <t>TSSU5157297</t>
  </si>
  <si>
    <t>712510199906</t>
  </si>
  <si>
    <t>TSSU5124821</t>
  </si>
  <si>
    <t>712510202712</t>
  </si>
  <si>
    <t>TSSU5190227</t>
  </si>
  <si>
    <t>712510201173</t>
  </si>
  <si>
    <t>TLLU8880439</t>
  </si>
  <si>
    <t>712510200503</t>
  </si>
  <si>
    <t>TIIU5698368</t>
  </si>
  <si>
    <t>712510201234</t>
  </si>
  <si>
    <t>TXGU5798611</t>
  </si>
  <si>
    <t>712510201210</t>
  </si>
  <si>
    <t>TXGU7362910</t>
  </si>
  <si>
    <t>712510201333</t>
  </si>
  <si>
    <t>TSSU5120765</t>
  </si>
  <si>
    <t>712510201135</t>
  </si>
  <si>
    <t>TSSU5155442</t>
  </si>
  <si>
    <t>712510201142</t>
  </si>
  <si>
    <t>TRHU8937136</t>
  </si>
  <si>
    <t>712510201104</t>
  </si>
  <si>
    <t>TCKU6757728</t>
  </si>
  <si>
    <t>712510201111</t>
  </si>
  <si>
    <t>TRHU8857792</t>
  </si>
  <si>
    <t>OOLU2157581330</t>
  </si>
  <si>
    <t>CSNU8029551</t>
  </si>
  <si>
    <t>PHEN BASIN 113S</t>
  </si>
  <si>
    <t>Fourways PO-00002563</t>
  </si>
  <si>
    <t>MF弄错柜子，当日告知客户取消派送，实际正常派送</t>
  </si>
  <si>
    <t>HLCUZS12503ASSH0</t>
  </si>
  <si>
    <t>CAAU5680717</t>
  </si>
  <si>
    <t>FENG NIAN 598 250328</t>
  </si>
  <si>
    <t>Polayire PO #41383</t>
  </si>
  <si>
    <t>产生了weekend surcharge $177+fuel charge</t>
  </si>
  <si>
    <t>HLCUZS12503ASSI1</t>
  </si>
  <si>
    <t>HAMU2125486</t>
  </si>
  <si>
    <t>HLCUZS12503ASMU0</t>
  </si>
  <si>
    <t>FDCU0335540</t>
  </si>
  <si>
    <t>NCE PO #N542610</t>
  </si>
  <si>
    <t>4.24 客户要求改派送地址到新西仓</t>
  </si>
  <si>
    <t>OOLU2157730330</t>
  </si>
  <si>
    <t>FSCU8060920</t>
  </si>
  <si>
    <t>OOCL NEW ZEALAND 152S</t>
  </si>
  <si>
    <t>33 McDowell Street, Welshpool, WA 6106</t>
  </si>
  <si>
    <t>Fourways PO-00002564</t>
  </si>
  <si>
    <t>Storage starts on 05/05，客户仓库着火，在筹建新仓库，storage：886.39 + detention fee：4235客户愿意支付</t>
  </si>
  <si>
    <t>OOLU2157730320</t>
  </si>
  <si>
    <t>OOCU7076523</t>
  </si>
  <si>
    <t>Fourways PO-00002565</t>
  </si>
  <si>
    <t>Storage starts on 05/06，客户仓库着火，在筹建新仓库，storage：847.8 + detention fee：3850客户愿意支付</t>
  </si>
  <si>
    <t>COSU6414130370</t>
  </si>
  <si>
    <t>OOCU9139791</t>
  </si>
  <si>
    <t>OOLU2157811480</t>
  </si>
  <si>
    <t>OOCU7262960</t>
  </si>
  <si>
    <t>MF的派送计划又发给客户（我们没提供客户邮箱），5.13船公司官网更新Container Triangulation Start</t>
  </si>
  <si>
    <t>OOLU2157807370</t>
  </si>
  <si>
    <t>OOCU7884516</t>
  </si>
  <si>
    <t>ONEYZHOF10796600</t>
  </si>
  <si>
    <t>CAAU8806033</t>
  </si>
  <si>
    <t>YUE JIANG 98 V.250407000000</t>
  </si>
  <si>
    <t>4.30 collected. Edwin已通知MF arrange delivery on 7/5 at 8-10am</t>
  </si>
  <si>
    <t>HLCUZS12503ASSJ2</t>
  </si>
  <si>
    <t>FANU1935150</t>
  </si>
  <si>
    <t>MF 派送通知的邮件里，MD的邮箱是错的，而且直接把通知发给polyaire客户了。yard storage for this container begins 09/05</t>
  </si>
  <si>
    <t>HKGSZE25040179</t>
  </si>
  <si>
    <t>TIIU5698877</t>
  </si>
  <si>
    <t>HUAN BAO 22/251511WCS</t>
  </si>
  <si>
    <t>Chromogen PO 571576</t>
  </si>
  <si>
    <t>TXGU5676510</t>
  </si>
  <si>
    <t>Chromogen PO 571577</t>
  </si>
  <si>
    <t>ONEYZHOF10780600</t>
  </si>
  <si>
    <t>ONEU5486680</t>
  </si>
  <si>
    <t>GSL MELITA 514S</t>
  </si>
  <si>
    <t>ONEYZHOF10785400</t>
  </si>
  <si>
    <t>CAAU8805211</t>
  </si>
  <si>
    <t>Polyaire PO #41383</t>
  </si>
  <si>
    <t>ONEYZHOF10820800</t>
  </si>
  <si>
    <t>CAAU8803190</t>
  </si>
  <si>
    <t>CAAU8803630</t>
  </si>
  <si>
    <t>ONEYZHOF10346400</t>
  </si>
  <si>
    <t>CAAU8804663</t>
  </si>
  <si>
    <t>MF的派送计划又发给客户（我们没提供客户邮箱）。Storage start date 12/05.</t>
  </si>
  <si>
    <t>ONEYZHOF10779700</t>
  </si>
  <si>
    <t>CAAU8803081</t>
  </si>
  <si>
    <t>CHENG XIANG 398 V.250409000000</t>
  </si>
  <si>
    <t>CAAU8803163</t>
  </si>
  <si>
    <t>ONEYZHOF10778600</t>
  </si>
  <si>
    <t>CAAU8803224</t>
  </si>
  <si>
    <t>712510249434</t>
  </si>
  <si>
    <t>MAGU5608580</t>
  </si>
  <si>
    <t>KOTA LAWA 0093S</t>
  </si>
  <si>
    <t>712510235369</t>
  </si>
  <si>
    <t>TRHU6611794</t>
  </si>
  <si>
    <t>ONEYZHOF10772700</t>
  </si>
  <si>
    <t>CAAU8805320</t>
  </si>
  <si>
    <t>ONEYZHOF10791800</t>
  </si>
  <si>
    <t>CAAU8804719</t>
  </si>
  <si>
    <t>712510272463</t>
  </si>
  <si>
    <t>TXGU8125620</t>
  </si>
  <si>
    <t>有Justin办公椅</t>
  </si>
  <si>
    <t>OOLU2157811460</t>
  </si>
  <si>
    <t>CBHU9411597</t>
  </si>
  <si>
    <t>COSU6413882730</t>
  </si>
  <si>
    <t>TGBU7787059</t>
  </si>
  <si>
    <t>COSCO SINGAPORE 189S</t>
  </si>
  <si>
    <t>COSU6413883010</t>
  </si>
  <si>
    <t>CSNU8073277</t>
  </si>
  <si>
    <t>COSU6413882900</t>
  </si>
  <si>
    <t>BMOU4943323</t>
  </si>
  <si>
    <t>COSU6413882870</t>
  </si>
  <si>
    <t>FFAU2814499</t>
  </si>
  <si>
    <t>COSU6413882840</t>
  </si>
  <si>
    <t>RFCU4021460</t>
  </si>
  <si>
    <t>OOLU2157812310</t>
  </si>
  <si>
    <t>OOLU9592274</t>
  </si>
  <si>
    <t>OOLU2157812350</t>
  </si>
  <si>
    <t>OOCU7615712</t>
  </si>
  <si>
    <t>OOLU2157812340</t>
  </si>
  <si>
    <t>OOLU9421380</t>
  </si>
  <si>
    <t>HLCUZS12503ASOQ8</t>
  </si>
  <si>
    <t>TCKU6558834</t>
  </si>
  <si>
    <t>ONEYZHOF10788700</t>
  </si>
  <si>
    <t>CAAU8792032</t>
  </si>
  <si>
    <t>ONEYZHOF10786500</t>
  </si>
  <si>
    <t>CAAU8805335</t>
  </si>
  <si>
    <t>ONEYHKGF37541501</t>
  </si>
  <si>
    <t>CAAU8805839</t>
  </si>
  <si>
    <t>HUAN BAO 88 V.250403</t>
  </si>
  <si>
    <t>SNLFBJAXA21520</t>
  </si>
  <si>
    <t>TIIU6124512</t>
  </si>
  <si>
    <t>DAFENG3031 250414S</t>
  </si>
  <si>
    <t>船公司直接把TAX INVOICE发给MF</t>
  </si>
  <si>
    <t>SNLFBJAXA21521</t>
  </si>
  <si>
    <t>TEMU8373855</t>
  </si>
  <si>
    <t>SNLFBJAXA21523</t>
  </si>
  <si>
    <t>FCIU7306477</t>
  </si>
  <si>
    <t>SNLFBJAXA21519</t>
  </si>
  <si>
    <t>SNBU8347314</t>
  </si>
  <si>
    <t>SNLFBJAXA21522</t>
  </si>
  <si>
    <t>SLPU5018569</t>
  </si>
  <si>
    <t>SNLFBJAXA21518</t>
  </si>
  <si>
    <t>SNBU8276930</t>
  </si>
  <si>
    <t>SNLFBJAXA21627</t>
  </si>
  <si>
    <t>SNBU8267203</t>
  </si>
  <si>
    <t>TAIZUN288 250418S</t>
  </si>
  <si>
    <t>SNLFBJAXA21624</t>
  </si>
  <si>
    <t>UETU7198625</t>
  </si>
  <si>
    <t>SNLFBJAXA21628</t>
  </si>
  <si>
    <t>SNBU8223592</t>
  </si>
  <si>
    <t>SNLFBJAXA21630</t>
  </si>
  <si>
    <t>CAAU8663375</t>
  </si>
  <si>
    <t>SNLFBJAXA21626</t>
  </si>
  <si>
    <t>BEAU4828310</t>
  </si>
  <si>
    <t>SNLFBJAXA21629</t>
  </si>
  <si>
    <t>TEMU7810708</t>
  </si>
  <si>
    <t>SNLFBJAXA21625</t>
  </si>
  <si>
    <t>SNBU8244846</t>
  </si>
  <si>
    <t>SNLFBJAXA21631</t>
  </si>
  <si>
    <t>TIIU6319279</t>
  </si>
  <si>
    <t>DAFENG3031 250421S</t>
  </si>
  <si>
    <t>SNLFBJAXA21632</t>
  </si>
  <si>
    <t>WSDU4981620</t>
  </si>
  <si>
    <t>721510498100</t>
  </si>
  <si>
    <t>UETU7965244</t>
  </si>
  <si>
    <t>WIDE JULIET 2337S</t>
  </si>
  <si>
    <t>721510498087</t>
  </si>
  <si>
    <t>GAOU7080668</t>
  </si>
  <si>
    <t>ONEYZHOF10361800</t>
  </si>
  <si>
    <t>CAAU8809855</t>
  </si>
  <si>
    <t>EVER ULYSSES 0166S</t>
  </si>
  <si>
    <t>712510285487</t>
  </si>
  <si>
    <t>TXGU5684820</t>
  </si>
  <si>
    <t>KOTA LOCENG 0154S</t>
  </si>
  <si>
    <t>712510285579</t>
  </si>
  <si>
    <t>GAOU7074979</t>
  </si>
  <si>
    <t>COSU6414780140</t>
  </si>
  <si>
    <t>OOLU8805781</t>
  </si>
  <si>
    <t xml:space="preserve">COSCO HONG KONG 195S </t>
  </si>
  <si>
    <t>COSU6414779830</t>
  </si>
  <si>
    <t>FCIU9818615</t>
  </si>
  <si>
    <t xml:space="preserve">COSU6414779670 </t>
  </si>
  <si>
    <t>TGBU7977790</t>
  </si>
  <si>
    <t>COSU6414779910</t>
  </si>
  <si>
    <t>FFAU2661580</t>
  </si>
  <si>
    <t>COSCO HONG KONG 195S</t>
  </si>
  <si>
    <t>COSU6414779490</t>
  </si>
  <si>
    <t>CSNU8782159</t>
  </si>
  <si>
    <t>OOLU2158121810</t>
  </si>
  <si>
    <t>CSNU8837117</t>
  </si>
  <si>
    <t>OOLU2158052620</t>
  </si>
  <si>
    <t>BEAU6227494</t>
  </si>
  <si>
    <t>5.29 OOCL有approval. 5.30官网更新Container Triangulation Start</t>
  </si>
  <si>
    <t>OOLU2158081700</t>
  </si>
  <si>
    <t>TGBU9828476</t>
  </si>
  <si>
    <t>OOLU2158081740</t>
  </si>
  <si>
    <t>TCLU1466985</t>
  </si>
  <si>
    <t>OOLU2158081710</t>
  </si>
  <si>
    <t>BMOU5149642</t>
  </si>
  <si>
    <t>OOLU2158081690</t>
  </si>
  <si>
    <t>CSLU6141610</t>
  </si>
  <si>
    <t>5.29船公司官网更新Container Triangulation Start</t>
  </si>
  <si>
    <t>ONEYZHOF11532900</t>
  </si>
  <si>
    <t>GCXU5521236</t>
  </si>
  <si>
    <t>CHENG XIANG 398 V.250416000000</t>
  </si>
  <si>
    <t>ZIMUGZH0524910</t>
  </si>
  <si>
    <t>ZCSU7938421</t>
  </si>
  <si>
    <t>GANGES 10/S</t>
  </si>
  <si>
    <t>MF通知有waiting time 1h on 19/05</t>
  </si>
  <si>
    <t>GAOU6440944</t>
  </si>
  <si>
    <t>SEGU5277337</t>
  </si>
  <si>
    <t>5.19MF发delivery schedule的时候标题手误打错柜号，造成confusion</t>
  </si>
  <si>
    <t>SNLFBJAXA21633</t>
  </si>
  <si>
    <t>TLLU4727798</t>
  </si>
  <si>
    <t>DAFENG3031  250421S</t>
  </si>
  <si>
    <t>OOLU2157730390</t>
  </si>
  <si>
    <t>OOLU9792380</t>
  </si>
  <si>
    <t>ONEYZHOF11533300</t>
  </si>
  <si>
    <t>NYKU4979724</t>
  </si>
  <si>
    <t>YUE JIANG 98 V.250421000000</t>
  </si>
  <si>
    <t>ONEYZHOF12963400</t>
  </si>
  <si>
    <t>TCNU4893268</t>
  </si>
  <si>
    <t>712510312244</t>
  </si>
  <si>
    <t>TLLU8859051</t>
  </si>
  <si>
    <t>TS MUNDRA 2503S</t>
  </si>
  <si>
    <t>712510301323</t>
  </si>
  <si>
    <t>TXGU8292191</t>
  </si>
  <si>
    <t>712510312138</t>
  </si>
  <si>
    <t>TLLU8859236</t>
  </si>
  <si>
    <t>712510313012</t>
  </si>
  <si>
    <t>TEMU7946274</t>
  </si>
  <si>
    <t>712510312930</t>
  </si>
  <si>
    <t>TXGU7108649</t>
  </si>
  <si>
    <t>需要查验（5/27 10:30），到仓库后不能拆封号。5/27 MF送错柜子到西仓，原因未查出，查验时间重新定于6月2日9:15am</t>
  </si>
  <si>
    <t>712510313029</t>
  </si>
  <si>
    <t>GAOU6964474</t>
  </si>
  <si>
    <t>712510307653</t>
  </si>
  <si>
    <t>GAOU6773740</t>
  </si>
  <si>
    <t>5.29MF通知：waiting time-Charged 1 hour (over free time) + fuel, at terminal (DP WORLD terminal) on 26/05</t>
  </si>
  <si>
    <t>712510307578</t>
  </si>
  <si>
    <t>TSSU5046523</t>
  </si>
  <si>
    <t>712510307738</t>
  </si>
  <si>
    <t>TCKU7953915</t>
  </si>
  <si>
    <t>Odisee PO 1510</t>
  </si>
  <si>
    <t>712510312992</t>
  </si>
  <si>
    <t>TSSU5150029</t>
  </si>
  <si>
    <t>712510341053</t>
  </si>
  <si>
    <t>TSSU5198233</t>
  </si>
  <si>
    <t>712510313487</t>
  </si>
  <si>
    <t>TSSU5165707</t>
  </si>
  <si>
    <t>地址应为5 Carmen St, Truganina VIC 3029</t>
  </si>
  <si>
    <t>COSU6414643840</t>
  </si>
  <si>
    <t>TIIU6416833</t>
  </si>
  <si>
    <t>HUAIHAIHONGYUN B532E</t>
  </si>
  <si>
    <t>COSU6414643150</t>
  </si>
  <si>
    <t>BEAU6239176</t>
  </si>
  <si>
    <t>COSU6414716190</t>
  </si>
  <si>
    <t>OOLU6930763</t>
  </si>
  <si>
    <t>COSU6414642860</t>
  </si>
  <si>
    <t>OOLU9246158</t>
  </si>
  <si>
    <t>ONEYZHOF12799400</t>
  </si>
  <si>
    <t>CAAU8772993</t>
  </si>
  <si>
    <r>
      <rPr>
        <sz val="10"/>
        <color rgb="FF000000"/>
        <rFont val="Calibri"/>
        <charset val="134"/>
      </rPr>
      <t>WIDE ALPHA 517S</t>
    </r>
  </si>
  <si>
    <t>CAAU8777172</t>
  </si>
  <si>
    <t>CAAU8777315</t>
  </si>
  <si>
    <t>ONEYZHOF13303700</t>
  </si>
  <si>
    <t>TCNU4822048</t>
  </si>
  <si>
    <t>ONEYZHOF13309600</t>
  </si>
  <si>
    <t>CAIU4955345</t>
  </si>
  <si>
    <t>OOLU2758617080</t>
  </si>
  <si>
    <t>OOCU6880413</t>
  </si>
  <si>
    <t>ZHONG YI ZE TAI 25033</t>
  </si>
  <si>
    <t>5.29 Container Triangulation Start</t>
  </si>
  <si>
    <t>OOLU2758617690</t>
  </si>
  <si>
    <t>OOCU8198871</t>
  </si>
  <si>
    <t>COSU6415332930</t>
  </si>
  <si>
    <t>OOLU6967947</t>
  </si>
  <si>
    <t>JIN RONG 01 231S</t>
  </si>
  <si>
    <t>COSU6415787720</t>
  </si>
  <si>
    <t>BEAU6224725</t>
  </si>
  <si>
    <t>OOCL KUALA LUMPUR 180S</t>
  </si>
  <si>
    <t>COSU6415787690</t>
  </si>
  <si>
    <t>FCIU9916144</t>
  </si>
  <si>
    <t>COSU641538089</t>
  </si>
  <si>
    <t>TCLU6322980</t>
  </si>
  <si>
    <t>OOCL KUALA LUMPUR 180</t>
  </si>
  <si>
    <t>COSU6415787840</t>
  </si>
  <si>
    <t>BMOU4978090</t>
  </si>
  <si>
    <t>712510341473</t>
  </si>
  <si>
    <t>TSSU5168882</t>
  </si>
  <si>
    <t>TS MELBOURNE 2502S</t>
  </si>
  <si>
    <t>712510341411</t>
  </si>
  <si>
    <t>TXGU7108309</t>
  </si>
  <si>
    <t>712510340223</t>
  </si>
  <si>
    <t>TRHU4083255</t>
  </si>
  <si>
    <t>6/3通知-Waiting time：Charged 45 mins (over free time) + fuel</t>
  </si>
  <si>
    <t>712510340230</t>
  </si>
  <si>
    <t>TSSU5047556</t>
  </si>
  <si>
    <t>6/3通知-Waiting time：Charged 15 mins (over free time) + fuel</t>
  </si>
  <si>
    <t>712510340278</t>
  </si>
  <si>
    <t>BHCU5010005</t>
  </si>
  <si>
    <t>712510340254</t>
  </si>
  <si>
    <t>TSSU5171248</t>
  </si>
  <si>
    <t>OOLU2158238570</t>
  </si>
  <si>
    <t>CSNU7011162</t>
  </si>
  <si>
    <t>MF将派送地址写错，写成DLZ客户地址</t>
  </si>
  <si>
    <t>CSNU8401798</t>
  </si>
  <si>
    <t>71-73 Ricketts Road, Mount Waverley VIC 3149</t>
  </si>
  <si>
    <t>DLZ PO 2400</t>
  </si>
  <si>
    <t>6.10官网更新Container Triangulation Start</t>
  </si>
  <si>
    <t>OOCU8832224</t>
  </si>
  <si>
    <t>COSU6414643090</t>
  </si>
  <si>
    <t>FCIU9651092</t>
  </si>
  <si>
    <t>COSU6414644860</t>
  </si>
  <si>
    <t>CSNU8630665</t>
  </si>
  <si>
    <t>Odisee PO 1377</t>
  </si>
  <si>
    <t>MF将派送日期写错，写成2/05</t>
  </si>
  <si>
    <t>COSU6414704490</t>
  </si>
  <si>
    <t>TCNU5588905</t>
  </si>
  <si>
    <t>Odisee PO 1378</t>
  </si>
  <si>
    <t>COSU6414642840</t>
  </si>
  <si>
    <t>FFAU1777702</t>
  </si>
  <si>
    <t>COSU6414703940</t>
  </si>
  <si>
    <t>TLLU7735267</t>
  </si>
  <si>
    <t>Odisee PO 1379</t>
  </si>
  <si>
    <t>ONEYZHOF12948700</t>
  </si>
  <si>
    <t>CAAU8772653</t>
  </si>
  <si>
    <t>CHRISTA SCHULTE 518S</t>
  </si>
  <si>
    <t>CAAU8773032</t>
  </si>
  <si>
    <t>SNLFBJAXA21734</t>
  </si>
  <si>
    <t>SNBU8389726</t>
  </si>
  <si>
    <t>DAFENG3033 250509S</t>
  </si>
  <si>
    <t>6.12收到船司通知未还柜，已通知RAC船务更新LFD。</t>
  </si>
  <si>
    <t>SNLFBJAXA21740</t>
  </si>
  <si>
    <t>SNBU8224578</t>
  </si>
  <si>
    <t>SNLFBJAXA21735</t>
  </si>
  <si>
    <t>SNBU8423625</t>
  </si>
  <si>
    <t>收到船司账单，6.18收到船公司credit note</t>
  </si>
  <si>
    <t>SNLFBJAXA21742</t>
  </si>
  <si>
    <t>DFSU7787150</t>
  </si>
  <si>
    <t>SNLFBJAXA21738</t>
  </si>
  <si>
    <t>FDCU0000649</t>
  </si>
  <si>
    <t>SNLFBJAXA21737</t>
  </si>
  <si>
    <t>TGBU5132263</t>
  </si>
  <si>
    <t>SNLFBJAXA21736</t>
  </si>
  <si>
    <t>SLPU5010676</t>
  </si>
  <si>
    <t>收到船司账单，6.13已通知船司再次更新；6.16已收到Credit note</t>
  </si>
  <si>
    <t>SNLFBJAXA21739</t>
  </si>
  <si>
    <t>BHCU5007125</t>
  </si>
  <si>
    <t>SNLFBJAXA21741</t>
  </si>
  <si>
    <t>SNBU8246535</t>
  </si>
  <si>
    <t>6.13收到船司通知未还柜，已通知RAC船务更新LFD-6.17已解决</t>
  </si>
  <si>
    <t>COSU6416566940</t>
  </si>
  <si>
    <t>FFAU6279791</t>
  </si>
  <si>
    <t>OOCL CANADA 113S</t>
  </si>
  <si>
    <t>没收到MF的delivery schedule，且我们无确认，但是6-5号已派送</t>
  </si>
  <si>
    <t>COSU6416692510</t>
  </si>
  <si>
    <t>FFAU3102544</t>
  </si>
  <si>
    <t>OOLU2759372100</t>
  </si>
  <si>
    <t>OOCU8961561</t>
  </si>
  <si>
    <t>HUA SHENG TENG FEI B2520E</t>
  </si>
  <si>
    <t>没收到MF的delivery schedule，且我们无确认，但是6-5号已派送. 6.11官网更新Container Triangulation Start.</t>
  </si>
  <si>
    <t>OOLU2759372380</t>
  </si>
  <si>
    <t>FFAU1377223</t>
  </si>
  <si>
    <t>COSU6416868820</t>
  </si>
  <si>
    <t>FCIU9577312</t>
  </si>
  <si>
    <t>OOCL ITALY 145S</t>
  </si>
  <si>
    <t>COSU6416868570</t>
  </si>
  <si>
    <t>BEAU6054228</t>
  </si>
  <si>
    <t>COSU6416868550</t>
  </si>
  <si>
    <t>CSNU7698742</t>
  </si>
  <si>
    <t>COSU6416868790</t>
  </si>
  <si>
    <t>UETU6427964</t>
  </si>
  <si>
    <t>COSU6417289500</t>
  </si>
  <si>
    <t>CSNU7597048</t>
  </si>
  <si>
    <t>会产生weekend surcharge，$177+fuel charge</t>
  </si>
  <si>
    <t>ONEYZHOF15444800</t>
  </si>
  <si>
    <t>ONEU0633480</t>
  </si>
  <si>
    <t>GSL VINIA 519S</t>
  </si>
  <si>
    <t>OOLU2158674260</t>
  </si>
  <si>
    <t>FFAU6092774</t>
  </si>
  <si>
    <t xml:space="preserve">OOCL ITALY 145S </t>
  </si>
  <si>
    <t>6.13官网更新Container Triangulation Start</t>
  </si>
  <si>
    <t>SNLFBJAXA21946</t>
  </si>
  <si>
    <t>TGBU5037163</t>
  </si>
  <si>
    <t>HONGANTAI968 250516S</t>
  </si>
  <si>
    <t>MF登记错误派送日期，6月12确定需要6月13才派送</t>
  </si>
  <si>
    <t>712510355944</t>
  </si>
  <si>
    <t>SEKU6003612</t>
  </si>
  <si>
    <t>ZHONG GU NAN CHANG / 25006S</t>
  </si>
  <si>
    <t>712510355210</t>
  </si>
  <si>
    <t>TXGU6905144</t>
  </si>
  <si>
    <t>MF运输团队汽车损坏，6月13一早通知这个柜子将延迟派送</t>
  </si>
  <si>
    <t>712510355876</t>
  </si>
  <si>
    <t>SEKU5874173</t>
  </si>
  <si>
    <t>712510355159</t>
  </si>
  <si>
    <t>TXGU8955144</t>
  </si>
  <si>
    <t>712510355166</t>
  </si>
  <si>
    <t>SEKU5872294</t>
  </si>
  <si>
    <t>712510355173</t>
  </si>
  <si>
    <t>TXGU6638650</t>
  </si>
  <si>
    <t>712510355180</t>
  </si>
  <si>
    <t>TIIU5318489</t>
  </si>
  <si>
    <t>712510355791</t>
  </si>
  <si>
    <t>TIIU6816296</t>
  </si>
  <si>
    <t>712510355234</t>
  </si>
  <si>
    <t>TLLU7977975</t>
  </si>
  <si>
    <t>712510355203</t>
  </si>
  <si>
    <t>TRHU8132384</t>
  </si>
  <si>
    <t>712510355098</t>
  </si>
  <si>
    <t>CAIU4969987</t>
  </si>
  <si>
    <t>SNLFBJAXA21743</t>
  </si>
  <si>
    <t>FFAU4728785</t>
  </si>
  <si>
    <t>COSU6415990310</t>
  </si>
  <si>
    <t>GCXU6436205</t>
  </si>
  <si>
    <t>YU FU 666 B406E</t>
  </si>
  <si>
    <t>6.19收到MF邮件通知，产生30mins waiting time</t>
  </si>
  <si>
    <t>COSU6415990510</t>
  </si>
  <si>
    <t>SEGU6823643</t>
  </si>
  <si>
    <t>COSU6415990020</t>
  </si>
  <si>
    <t>DFSU7022896</t>
  </si>
  <si>
    <t>MF原本提供的是16/6派送的，我们要求改成17/6派送，MF回应可以16/6派送，或者是周三周四派送。Edwin7:58邮件回应周三派送，9:40Aidan群里说柜子已经送达。</t>
  </si>
  <si>
    <t>COSU6415990260</t>
  </si>
  <si>
    <t>UETU6452437</t>
  </si>
  <si>
    <t>COSU6417403480</t>
  </si>
  <si>
    <t>CSNU7664280</t>
  </si>
  <si>
    <t>YU FU 666 B407E</t>
  </si>
  <si>
    <t>COSU6417263680</t>
  </si>
  <si>
    <t>OOCU7876594</t>
  </si>
  <si>
    <t>COSU6417263640</t>
  </si>
  <si>
    <t>CSNU7743543</t>
  </si>
  <si>
    <t>COSU6417263650</t>
  </si>
  <si>
    <t>OOLU6829505</t>
  </si>
  <si>
    <t>ONEYNK5GL0601900</t>
  </si>
  <si>
    <t>ONEU5076710</t>
  </si>
  <si>
    <t>WU XIANG 76 B2520E</t>
  </si>
  <si>
    <t>OOLU2158942650</t>
  </si>
  <si>
    <t>TGHU6638880</t>
  </si>
  <si>
    <t>COSCO SINGAPORE 190S</t>
  </si>
  <si>
    <t>Polyaire PO #41821</t>
  </si>
  <si>
    <r>
      <rPr>
        <sz val="11"/>
        <color rgb="FF000000"/>
        <rFont val="Calibri"/>
        <charset val="134"/>
      </rPr>
      <t>6.27</t>
    </r>
    <r>
      <rPr>
        <sz val="11"/>
        <color rgb="FF000000"/>
        <rFont val="宋体"/>
        <charset val="134"/>
      </rPr>
      <t>官网更新</t>
    </r>
    <r>
      <rPr>
        <sz val="11"/>
        <color rgb="FF000000"/>
        <rFont val="Calibri"/>
        <charset val="134"/>
      </rPr>
      <t>Container Triangulation Start</t>
    </r>
  </si>
  <si>
    <t>712510404239</t>
  </si>
  <si>
    <t>TSSU5179110</t>
  </si>
  <si>
    <t>KOTA LAWA 0094S</t>
  </si>
  <si>
    <t>712510355197</t>
  </si>
  <si>
    <t>TSSU5011445</t>
  </si>
  <si>
    <t>712510404468</t>
  </si>
  <si>
    <t>GAOU7000322</t>
  </si>
  <si>
    <t>712510404482</t>
  </si>
  <si>
    <t>TXGU5979800</t>
  </si>
  <si>
    <t>712510404499</t>
  </si>
  <si>
    <t>TSSU5071439</t>
  </si>
  <si>
    <t>712510404529</t>
  </si>
  <si>
    <t>TSSU5039519</t>
  </si>
  <si>
    <t>712510407810</t>
  </si>
  <si>
    <t>MAGU5627955</t>
  </si>
  <si>
    <t>712510404413</t>
  </si>
  <si>
    <t>TCKU7562021</t>
  </si>
  <si>
    <t>712510404406</t>
  </si>
  <si>
    <t>TCKU7561529</t>
  </si>
  <si>
    <t>712510404338</t>
  </si>
  <si>
    <t>TXGU5778554</t>
  </si>
  <si>
    <t>SNLFBJAXA21949</t>
  </si>
  <si>
    <t>SNBU8345369</t>
  </si>
  <si>
    <t>HONGANTAI968 250523S</t>
  </si>
  <si>
    <t>COSU6418286780</t>
  </si>
  <si>
    <t>CSNU6139061</t>
  </si>
  <si>
    <t>6.20 MF的派送计划写错邮件标题</t>
  </si>
  <si>
    <t>COSU6418285670</t>
  </si>
  <si>
    <t>TIIU5689113</t>
  </si>
  <si>
    <t>202.3.11</t>
  </si>
  <si>
    <t>712510427979</t>
  </si>
  <si>
    <t>TLLU8015472</t>
  </si>
  <si>
    <t>KOTA LOCENG 0155S</t>
  </si>
  <si>
    <t>712510427962</t>
  </si>
  <si>
    <t>TCKU7947759</t>
  </si>
  <si>
    <t>712510427955</t>
  </si>
  <si>
    <t>TSSU5166787</t>
  </si>
  <si>
    <t>712510428013</t>
  </si>
  <si>
    <t>TXGU8278568</t>
  </si>
  <si>
    <t>712510427993</t>
  </si>
  <si>
    <t>TXGU8957363</t>
  </si>
  <si>
    <t>712510427986</t>
  </si>
  <si>
    <t>TSSU5126043</t>
  </si>
  <si>
    <t>SNLFBJAXA22263</t>
  </si>
  <si>
    <t>SNBU8214013</t>
  </si>
  <si>
    <t>DAFENG3035 250606S</t>
  </si>
  <si>
    <t>免ERP系统</t>
  </si>
  <si>
    <t>SNLFBJAXA22264</t>
  </si>
  <si>
    <t>SNBU8359932</t>
  </si>
  <si>
    <t>SNLFBJAXA22265</t>
  </si>
  <si>
    <t>SNBU8333959</t>
  </si>
  <si>
    <t>SNLFBJAXA22054</t>
  </si>
  <si>
    <t>DFSU7784910</t>
  </si>
  <si>
    <t>HONGANTAI968 250528S</t>
  </si>
  <si>
    <t>SNLFBJAXA22053</t>
  </si>
  <si>
    <t>SNBU8367624</t>
  </si>
  <si>
    <t>Unit 2, 31 Dixon Stree, Yatala QLD 4207</t>
  </si>
  <si>
    <t>Fourways PO-00002642</t>
  </si>
  <si>
    <t>免ERP系统. 7.10 MF未及时pick up，要7.11才能提走. 7.14船公司发来账单$231. 7.30 RAC已联系船务处理，已收到船公司的credit note</t>
  </si>
  <si>
    <t>712510452438</t>
  </si>
  <si>
    <t>BSIU9954590</t>
  </si>
  <si>
    <t>TS MUNDRA 2504S</t>
  </si>
  <si>
    <t>712510452421</t>
  </si>
  <si>
    <t>TRHU8715268</t>
  </si>
  <si>
    <t>SNLFBJAXA22262</t>
  </si>
  <si>
    <t>SNBU8301870</t>
  </si>
  <si>
    <t>Polyaire PO #41959</t>
  </si>
  <si>
    <r>
      <rPr>
        <sz val="11"/>
        <color rgb="FF000000"/>
        <rFont val="Calibri"/>
        <charset val="134"/>
      </rPr>
      <t>7.10 MF未及时pick up，要7.11早上才能提走；</t>
    </r>
    <r>
      <rPr>
        <sz val="11"/>
        <color rgb="FFFF0000"/>
        <rFont val="Calibri"/>
        <charset val="134"/>
      </rPr>
      <t>MF 7.22通知收取额外费用Direct to wharf dehire= $120 + Tolls for de-hire = $87.78, Total = $207.78（由于当时悉尼恶劣天气原因，大部分堆场关闭，所以只能将柜直接还到码头，费用就是因柜子直接还到码头而产生的）</t>
    </r>
  </si>
  <si>
    <t>OOLU2158976460</t>
  </si>
  <si>
    <t>TXGU4090973</t>
  </si>
  <si>
    <t>OOCL NORFOLK 292S</t>
  </si>
  <si>
    <t>Fourways PO-00002566</t>
  </si>
  <si>
    <t>SNLFBJAXA22260</t>
  </si>
  <si>
    <t>BSIU9885550</t>
  </si>
  <si>
    <t>Polyaire PO #41961</t>
  </si>
  <si>
    <t>SNLFBJAXA22259</t>
  </si>
  <si>
    <t>SNBU8460510</t>
  </si>
  <si>
    <t>SNLFBJAXA22261</t>
  </si>
  <si>
    <t>SNBU8280946</t>
  </si>
  <si>
    <t>Polyaire PO #41962</t>
  </si>
  <si>
    <t>OOLU2159365010</t>
  </si>
  <si>
    <t>FFAU3409926</t>
  </si>
  <si>
    <t>COSCO ROTTERDAM 202S</t>
  </si>
  <si>
    <t>7.10官网更新Container Triangulation Start</t>
  </si>
  <si>
    <t>OOLU2159881760</t>
  </si>
  <si>
    <t>CSNU8101580</t>
  </si>
  <si>
    <t xml:space="preserve">OOCL ITALY 146S </t>
  </si>
  <si>
    <t>OOLU2159881670</t>
  </si>
  <si>
    <t>SEKU4666690</t>
  </si>
  <si>
    <t>OOCL ITALY 146S</t>
  </si>
  <si>
    <t>Polyaire PO #42098</t>
  </si>
  <si>
    <t>7.18 官网更新Container Triangulation Start</t>
  </si>
  <si>
    <t>OOLU2158976420</t>
  </si>
  <si>
    <t>BEAU5775750</t>
  </si>
  <si>
    <t>VANCOUVER 043S</t>
  </si>
  <si>
    <t>Polyaire PO #42403</t>
  </si>
  <si>
    <t>COSU6420233500</t>
  </si>
  <si>
    <t>CSLU6064704</t>
  </si>
  <si>
    <t>WANLIZHOU998 L590E</t>
  </si>
  <si>
    <t>block A, 391 Park Rd, Regents Park NSW 2143</t>
  </si>
  <si>
    <t>OOLU2158577330</t>
  </si>
  <si>
    <t>TGBU8078422</t>
  </si>
  <si>
    <t>Polyaire PO #42398</t>
  </si>
  <si>
    <t>MF把派送计划发给客户，并没有把派送计划用邮件通知我们，MF系统出错通知了客户派送时间7.14，实际派送时间7.15</t>
  </si>
  <si>
    <t>COSU6419873580</t>
  </si>
  <si>
    <t>OOCU7268660</t>
  </si>
  <si>
    <t>WANLIZHOU998 L589E</t>
  </si>
  <si>
    <t>COSU6419873450</t>
  </si>
  <si>
    <t>FFAU7077413</t>
  </si>
  <si>
    <t>OOLU2761095240</t>
  </si>
  <si>
    <t>OOCU9333528</t>
  </si>
  <si>
    <t>ZHONG YI JI RUI 2545E</t>
  </si>
  <si>
    <t>7.16 官网更新Container Triangulation Start</t>
  </si>
  <si>
    <t>OOLU2761094100</t>
  </si>
  <si>
    <t>OOCU9681565</t>
  </si>
  <si>
    <t>OOLU2761426830</t>
  </si>
  <si>
    <t>TGBU4339636</t>
  </si>
  <si>
    <t xml:space="preserve">ZHONG YI JI RUI 2546E </t>
  </si>
  <si>
    <t>OOLU2761427910</t>
  </si>
  <si>
    <t>SELU4255187</t>
  </si>
  <si>
    <t>ZHONG YI JI RUI 2546E</t>
  </si>
  <si>
    <t>OOLU2761427350</t>
  </si>
  <si>
    <t>FCIU9897002</t>
  </si>
  <si>
    <t>OOLU2761427990</t>
  </si>
  <si>
    <t>CSNU7704486</t>
  </si>
  <si>
    <t>OOLU2761427960</t>
  </si>
  <si>
    <t>FFAU1584107</t>
  </si>
  <si>
    <t>OOLU2761428610</t>
  </si>
  <si>
    <t>TCKU7754600</t>
  </si>
  <si>
    <t>OOLU2761426890</t>
  </si>
  <si>
    <t>OOCU7313348</t>
  </si>
  <si>
    <t>OOLU2761094670</t>
  </si>
  <si>
    <t>FFAU3196203</t>
  </si>
  <si>
    <t>OOLU2761093410</t>
  </si>
  <si>
    <t>TIIU4929992</t>
  </si>
  <si>
    <t>OOLU2761094420</t>
  </si>
  <si>
    <t>OOCU7748295</t>
  </si>
  <si>
    <t>OOLU2159881780</t>
  </si>
  <si>
    <t>OOCU7243908</t>
  </si>
  <si>
    <t>SNLFBJAXA22372</t>
  </si>
  <si>
    <t>BHCU4986815</t>
  </si>
  <si>
    <t>DAFENG3032 250625S</t>
  </si>
  <si>
    <t>ZIMUGZH0560683</t>
  </si>
  <si>
    <t>CAIU4419384</t>
  </si>
  <si>
    <t>MSC JAVELIN IX 11/S</t>
  </si>
  <si>
    <t>Polyaire PO #46650</t>
  </si>
  <si>
    <t>提前一周通知客户会同时有2个柜子到，派送后提醒尽快卸柜</t>
  </si>
  <si>
    <t>ZIMUGZH0560686</t>
  </si>
  <si>
    <t>TEMU6771633</t>
  </si>
  <si>
    <t>ZIMUGZH0560790</t>
  </si>
  <si>
    <t>JXLU4673648</t>
  </si>
  <si>
    <t>AGM PO0167</t>
  </si>
  <si>
    <t>派送后提醒尽快卸柜</t>
  </si>
  <si>
    <t>ZIMUGZH0560791</t>
  </si>
  <si>
    <t>ZCSU7170138</t>
  </si>
  <si>
    <t>ZIMUGZH0555627</t>
  </si>
  <si>
    <t>ZCSU7248874</t>
  </si>
  <si>
    <t>ZIMUGZH0555641</t>
  </si>
  <si>
    <t>JXLU4680462</t>
  </si>
  <si>
    <t>OOLU2761508200</t>
  </si>
  <si>
    <t>CSNU7554386</t>
  </si>
  <si>
    <t>SNLFBJAXA22368</t>
  </si>
  <si>
    <t>SNBU8416858</t>
  </si>
  <si>
    <t>SNLFBJAXA22575</t>
  </si>
  <si>
    <t>SNBU8189348</t>
  </si>
  <si>
    <t>DAFENG3029 250627S</t>
  </si>
  <si>
    <t>Polyaire PO #42367</t>
  </si>
  <si>
    <t>COSU6422773530</t>
  </si>
  <si>
    <t>CAIU9446968</t>
  </si>
  <si>
    <t>HONG AN TAI 333 622S</t>
  </si>
  <si>
    <t>Polyaire PO #43474</t>
  </si>
  <si>
    <t>7.24 MF未收到confirm就派送了柜子</t>
  </si>
  <si>
    <t>712510513030</t>
  </si>
  <si>
    <t>GAOU6757728</t>
  </si>
  <si>
    <t>ZHONG GU NAN CHANG/25007S</t>
  </si>
  <si>
    <t>Polyaire  PO #47743</t>
  </si>
  <si>
    <t>8.1 客户告知柜子未到，MF回复运输团队因上一个柜派送耽误了，导致延迟交付给客户</t>
  </si>
  <si>
    <t>712510513061</t>
  </si>
  <si>
    <t>TSSU5070983</t>
  </si>
  <si>
    <t>712510513993</t>
  </si>
  <si>
    <t>TRHU6615608</t>
  </si>
  <si>
    <t>2 Camino Crescent, Cranbourne West VIC 3977</t>
  </si>
  <si>
    <t>8.1 客户仓库员工让司机drop the container and leave it there，实际并无live-unload，MF确认当日下午2点可以提走空柜，MF确认不会产生额外费用. 7.31 客户确认接受live-unload的额外费用，到时收到MF账单后要re-issue给客户</t>
  </si>
  <si>
    <t>712510515102</t>
  </si>
  <si>
    <t>TSSU5264314</t>
  </si>
  <si>
    <t>712510513085</t>
  </si>
  <si>
    <t>UETU7953270</t>
  </si>
  <si>
    <t>712510515119</t>
  </si>
  <si>
    <t>TRHU8678502</t>
  </si>
  <si>
    <t>712510513924</t>
  </si>
  <si>
    <t>TIIU4447239</t>
  </si>
  <si>
    <t>712510513962</t>
  </si>
  <si>
    <t>TSSU5097686</t>
  </si>
  <si>
    <t>114 / 307 Gilby Rd, Mount Waverley VIC 3149</t>
  </si>
  <si>
    <t>7.30 MF发来的派送计划没更新地址. 8.5 MF告知waiting time额外费用1h，8.7 经确认后MF回复无waiting time产生</t>
  </si>
  <si>
    <t>712510513757</t>
  </si>
  <si>
    <t>UETU7808754</t>
  </si>
  <si>
    <t>712510513856</t>
  </si>
  <si>
    <t>TSSU5164953</t>
  </si>
  <si>
    <t>原定8.4派送，8.4 MF派错去东仓，8.5重新派到西仓</t>
  </si>
  <si>
    <t>712510515034</t>
  </si>
  <si>
    <t>TSSU5190171</t>
  </si>
  <si>
    <t>712510515065</t>
  </si>
  <si>
    <t>CAAU8039040</t>
  </si>
  <si>
    <t>712510513078</t>
  </si>
  <si>
    <t>TSSU5213235</t>
  </si>
  <si>
    <t>721510862390</t>
  </si>
  <si>
    <t>GAOU6957921</t>
  </si>
  <si>
    <t>OOLU2160147770</t>
  </si>
  <si>
    <t>CSNU6884362</t>
  </si>
  <si>
    <t>OOCL NORFOLK 293S</t>
  </si>
  <si>
    <t>Fourways PO-00002569</t>
  </si>
  <si>
    <t>8.5 James派送时间写错日期信息；派送时间提前，8.7 mainchain上查到实际派送时间为8.6，跟客户确认的派送时间是8.7</t>
  </si>
  <si>
    <t>COSU6423201020</t>
  </si>
  <si>
    <t>OOCU7222994</t>
  </si>
  <si>
    <t>FU LI 568 130S</t>
  </si>
  <si>
    <t>Polyaire PO #43470</t>
  </si>
  <si>
    <t>SNLFBJAXA22684</t>
  </si>
  <si>
    <t>CAAU8676238</t>
  </si>
  <si>
    <t>DAFENG3026 250711S</t>
  </si>
  <si>
    <t>712510557836、712510591533</t>
  </si>
  <si>
    <t>TXGU7361024</t>
  </si>
  <si>
    <t>KOTA GADANG 0447S</t>
  </si>
  <si>
    <t>712510557881</t>
  </si>
  <si>
    <t>TRHU8694503</t>
  </si>
  <si>
    <t>Polyaire PO #43049</t>
  </si>
  <si>
    <t>8.22官网未更新</t>
  </si>
  <si>
    <t>712510557874</t>
  </si>
  <si>
    <t>TXGU6726405</t>
  </si>
  <si>
    <t>Polyaire PO #43050</t>
  </si>
  <si>
    <t>COSU6423925150</t>
  </si>
  <si>
    <t>CSNU5640802</t>
  </si>
  <si>
    <t>HENG JI 36 291S</t>
  </si>
  <si>
    <t>TLLU5741260</t>
  </si>
  <si>
    <t>TXGU4243239</t>
  </si>
  <si>
    <t>COSU6424070880</t>
  </si>
  <si>
    <t>FFAU6254788</t>
  </si>
  <si>
    <t>FENG NIAN 361 217S</t>
  </si>
  <si>
    <t>OOCU8415302</t>
  </si>
  <si>
    <t>OOLU2160780950</t>
  </si>
  <si>
    <t>OOCU8763273</t>
  </si>
  <si>
    <t>PHEN BASIN 117S</t>
  </si>
  <si>
    <t>Polyaire PO #44505</t>
  </si>
  <si>
    <t>船司官网查到LFD：8/24</t>
  </si>
  <si>
    <t>712510582173</t>
  </si>
  <si>
    <t>TEMU7773590</t>
  </si>
  <si>
    <t>TS MUNDRA 2505S</t>
  </si>
  <si>
    <t>Polyaire PO #43330</t>
  </si>
  <si>
    <t>到</t>
  </si>
  <si>
    <t>712510582166</t>
  </si>
  <si>
    <t>TXGU7370026</t>
  </si>
  <si>
    <t>Polyaire PO #43326</t>
  </si>
  <si>
    <t>712510581947</t>
  </si>
  <si>
    <t>GAOU6728695</t>
  </si>
  <si>
    <t>712510582012</t>
  </si>
  <si>
    <t>TSSU5123830</t>
  </si>
  <si>
    <t>712510582104</t>
  </si>
  <si>
    <t>TSSU5151874</t>
  </si>
  <si>
    <t>712510582128</t>
  </si>
  <si>
    <t>TRHU4282853</t>
  </si>
  <si>
    <t>712510582135</t>
  </si>
  <si>
    <t>TSSU5187331</t>
  </si>
  <si>
    <t>712510582142</t>
  </si>
  <si>
    <t>TSSU5050950</t>
  </si>
  <si>
    <t>712510589608</t>
  </si>
  <si>
    <t>TCKU7946829</t>
  </si>
  <si>
    <t>712510589622</t>
  </si>
  <si>
    <t>TXGU5976550</t>
  </si>
  <si>
    <t>712510581589</t>
  </si>
  <si>
    <t>TXGU6734479</t>
  </si>
  <si>
    <t>712510581626</t>
  </si>
  <si>
    <t>TLLU7991280</t>
  </si>
  <si>
    <t>SNLFBJAXA22891</t>
  </si>
  <si>
    <t>SNBU8232146</t>
  </si>
  <si>
    <t>DAFENG3029 250718S</t>
  </si>
  <si>
    <t>287-293 Wellington Road, Mulgrave VIC 3170</t>
  </si>
  <si>
    <t>SNLFBJAXA22892</t>
  </si>
  <si>
    <t>FCIU7241123</t>
  </si>
  <si>
    <t>有9台RAC样机</t>
  </si>
  <si>
    <t>SNLFBJAXA22889</t>
  </si>
  <si>
    <t>UETU7213381</t>
  </si>
  <si>
    <t>SNLFBJAXA22893</t>
  </si>
  <si>
    <t>FFAU4718621</t>
  </si>
  <si>
    <t>原派送时间：9-11AM，现派送时间：1:30PM。8.21MF回复因系统错误导致延迟派送</t>
  </si>
  <si>
    <t>SNLFBJAXA22890</t>
  </si>
  <si>
    <t>TEMU8372524</t>
  </si>
  <si>
    <t>SNLFBJAXA22895</t>
  </si>
  <si>
    <t>SNBU8346895</t>
  </si>
  <si>
    <t>8.20 MF派送错地方，原应送去Mulgrave却送去Dandenong</t>
  </si>
  <si>
    <t>SNLFBJAXA22896</t>
  </si>
  <si>
    <t>UETU7196915</t>
  </si>
  <si>
    <t>UETU7213463</t>
  </si>
  <si>
    <t>OOLU2160780940</t>
  </si>
  <si>
    <t>OOLU9776585</t>
  </si>
  <si>
    <t>OOCL NEW ZEALAND 156S</t>
  </si>
  <si>
    <t>11 Spencer Street, Cockburn Central W.A 6164</t>
  </si>
  <si>
    <t>Polyaire PO #44141</t>
  </si>
  <si>
    <t>COSU6423201040</t>
  </si>
  <si>
    <t>CSNU6741145</t>
  </si>
  <si>
    <t>Polyaire PO #43475</t>
  </si>
  <si>
    <t>COSU6424054620</t>
  </si>
  <si>
    <t>CAAU6157953</t>
  </si>
  <si>
    <t>FU LI 568 132S</t>
  </si>
  <si>
    <t>NCG PO #HW24062025</t>
  </si>
  <si>
    <t>OOCU7407350</t>
  </si>
  <si>
    <t>DFSU7577791</t>
  </si>
  <si>
    <t>FSCU9349517</t>
  </si>
  <si>
    <t>OOCU7644921</t>
  </si>
  <si>
    <t>OOLU2160780680</t>
  </si>
  <si>
    <t>SLEU4943930</t>
  </si>
  <si>
    <t>Polyaire PO #44143</t>
  </si>
  <si>
    <t>712510581930</t>
  </si>
  <si>
    <t>TIIU4464724</t>
  </si>
  <si>
    <t>TS SINGAPORE 2503S</t>
  </si>
  <si>
    <t>712510582029</t>
  </si>
  <si>
    <t>TSSU5008436</t>
  </si>
  <si>
    <t>712510582074</t>
  </si>
  <si>
    <t>GAOU6762880</t>
  </si>
  <si>
    <t>712510598495</t>
  </si>
  <si>
    <t>TRHU8860559</t>
  </si>
  <si>
    <t>712510597429</t>
  </si>
  <si>
    <t>TRHU4281292</t>
  </si>
  <si>
    <t>712510598518</t>
  </si>
  <si>
    <t>TSSU5003650</t>
  </si>
  <si>
    <t>712510598532</t>
  </si>
  <si>
    <t>GCXU6502204</t>
  </si>
  <si>
    <t>712510602178</t>
  </si>
  <si>
    <t>TCKU7560121</t>
  </si>
  <si>
    <t>712510597283</t>
  </si>
  <si>
    <t>TSSU5157424</t>
  </si>
  <si>
    <t>712510597412</t>
  </si>
  <si>
    <t>TRHU8448937</t>
  </si>
  <si>
    <t>712510597474</t>
  </si>
  <si>
    <t>TSSU5237772</t>
  </si>
  <si>
    <t>712510597443</t>
  </si>
  <si>
    <t>TIIU4106994</t>
  </si>
  <si>
    <t>712510597481</t>
  </si>
  <si>
    <t>TSSU5031950</t>
  </si>
  <si>
    <t>SPT PO #00113</t>
  </si>
  <si>
    <t>SNLFBJAXA22887</t>
  </si>
  <si>
    <t>SNBU8320458</t>
  </si>
  <si>
    <t>COSU6423606080</t>
  </si>
  <si>
    <t>OOCU7442094</t>
  </si>
  <si>
    <t>YUTONG88 106E</t>
  </si>
  <si>
    <t>COSU6423606320</t>
  </si>
  <si>
    <t>CSNU6443752</t>
  </si>
  <si>
    <t>COSU6423606310</t>
  </si>
  <si>
    <t>FSCU8592815</t>
  </si>
  <si>
    <t>COSU6423606100</t>
  </si>
  <si>
    <t>CSNU7407934</t>
  </si>
  <si>
    <t>COSU6423606210</t>
  </si>
  <si>
    <t>TGBU4886700</t>
  </si>
  <si>
    <t>OOLU2762728590</t>
  </si>
  <si>
    <t>FBLU0175892</t>
  </si>
  <si>
    <t xml:space="preserve">DE LIN 2551E </t>
  </si>
  <si>
    <t>OOLU2762727680</t>
  </si>
  <si>
    <t>CSNU8065939</t>
  </si>
  <si>
    <t>DE LIN 2551E</t>
  </si>
  <si>
    <t>OOLU2762728970</t>
  </si>
  <si>
    <t>OOCU7782160</t>
  </si>
  <si>
    <t>OOLU2762729620</t>
  </si>
  <si>
    <t>FFAU3618269</t>
  </si>
  <si>
    <t>OOLU2762728150</t>
  </si>
  <si>
    <t>CCLU7665761</t>
  </si>
  <si>
    <t>SNLFBJAXA22898</t>
  </si>
  <si>
    <t>SNBU8285697</t>
  </si>
  <si>
    <t>HONGANTAI968 250725S</t>
  </si>
  <si>
    <t>SNLFBJAXA22897</t>
  </si>
  <si>
    <t>TGBU5128880</t>
  </si>
  <si>
    <t>ONEYZHOF27244900</t>
  </si>
  <si>
    <t>ONEU6097337</t>
  </si>
  <si>
    <t>HUAN BAO 88 V.250730</t>
  </si>
  <si>
    <t>ONEU6103281</t>
  </si>
  <si>
    <t>ONEU6100425</t>
  </si>
  <si>
    <t>ONEU6097044</t>
  </si>
  <si>
    <t>ONEU6103379</t>
  </si>
  <si>
    <t>COSU6425258910</t>
  </si>
  <si>
    <t>TGBU9831192</t>
  </si>
  <si>
    <t>HONG AN TAI 333 628S</t>
  </si>
  <si>
    <t>COSU6425243560</t>
  </si>
  <si>
    <t>TIIU4856448</t>
  </si>
  <si>
    <t>OOLU2763132490</t>
  </si>
  <si>
    <t>TGBU7693772</t>
  </si>
  <si>
    <t xml:space="preserve">DE LIN 2552E </t>
  </si>
  <si>
    <t>COSU6424463750</t>
  </si>
  <si>
    <t>FFAU6944530</t>
  </si>
  <si>
    <t>HUANQIU 018 311E</t>
  </si>
  <si>
    <t>COSU6424463680</t>
  </si>
  <si>
    <t>FCIU9850983</t>
  </si>
  <si>
    <t>COSU6424464030</t>
  </si>
  <si>
    <t>FSCU8512580</t>
  </si>
  <si>
    <t>COSU6424464210</t>
  </si>
  <si>
    <t>TEMU7997306</t>
  </si>
  <si>
    <t>COSU6424464100</t>
  </si>
  <si>
    <t>TGBU8646435</t>
  </si>
  <si>
    <t>OOLU2763125440</t>
  </si>
  <si>
    <t>OOCU8651838</t>
  </si>
  <si>
    <t>DE LIN 2552E</t>
  </si>
  <si>
    <t>OOLU2763124590</t>
  </si>
  <si>
    <t>TCNU1735905</t>
  </si>
  <si>
    <t>OOLU2763122510</t>
  </si>
  <si>
    <t>CSNU7341415</t>
  </si>
  <si>
    <t>OOLU2763125750</t>
  </si>
  <si>
    <t>CSNU6260659</t>
  </si>
  <si>
    <t>OOLU2161003650</t>
  </si>
  <si>
    <t>TGBU9822776</t>
  </si>
  <si>
    <t>OOCL NORFOLK 294S</t>
  </si>
  <si>
    <t>Polyaire PO #44721</t>
  </si>
  <si>
    <t>ONEYNKGF07276800</t>
  </si>
  <si>
    <t>TCNU7999799</t>
  </si>
  <si>
    <t>JIANG HAI TONG 199 25032E</t>
  </si>
  <si>
    <t>Pending</t>
  </si>
  <si>
    <t>ONEYNKGF07277900</t>
  </si>
  <si>
    <t>NYKU5650918</t>
  </si>
  <si>
    <t>ONEYNKGF07278300</t>
  </si>
  <si>
    <t>FFAU3637968</t>
  </si>
  <si>
    <t>SNLFBJAXA23005</t>
  </si>
  <si>
    <t>CAAU8678307</t>
  </si>
  <si>
    <t>DAFENG3026 250811S</t>
  </si>
  <si>
    <t>SNLFBJAXA23003</t>
  </si>
  <si>
    <t>FFAU5950502</t>
  </si>
  <si>
    <t>SNLFBJAXA23004</t>
  </si>
  <si>
    <t>SNBU8419543</t>
  </si>
  <si>
    <t>COSU6425214450</t>
  </si>
  <si>
    <t>FFAU5577256</t>
  </si>
  <si>
    <t>JI XIANG YONG YU B364E</t>
  </si>
  <si>
    <t>COSU6425315410</t>
  </si>
  <si>
    <t>OOCU8904725</t>
  </si>
  <si>
    <t>ZHONGHAI019 072E</t>
  </si>
  <si>
    <t>COSU6425215140</t>
  </si>
  <si>
    <t>UETU5196665</t>
  </si>
  <si>
    <t>OOLU2763419530</t>
  </si>
  <si>
    <t>TLLU7739365</t>
  </si>
  <si>
    <t>ZHONG YI JI RUI 2553E</t>
  </si>
  <si>
    <t>OOLU2763419680</t>
  </si>
  <si>
    <t>TGBU5895250</t>
  </si>
  <si>
    <t xml:space="preserve">ZHONG YI JI RUI 2553E </t>
  </si>
  <si>
    <t>OOLU2763420840</t>
  </si>
  <si>
    <t>OOCU9636843</t>
  </si>
  <si>
    <t>OOLU2763420350</t>
  </si>
  <si>
    <t>TRHU4404709</t>
  </si>
  <si>
    <t>SNLFBJAXA23201</t>
  </si>
  <si>
    <t>SNBU8464202</t>
  </si>
  <si>
    <t>XIANGFU3 250815</t>
  </si>
  <si>
    <t>SNLFBJAXA23105</t>
  </si>
  <si>
    <t>SNBU8276627</t>
  </si>
  <si>
    <t>Polyaire PO #44135</t>
  </si>
  <si>
    <t>OOLU2161333620</t>
  </si>
  <si>
    <t>FFAU3039987</t>
  </si>
  <si>
    <t>MORESBY CHIEF 004S</t>
  </si>
  <si>
    <t>Polyaire PO #45549</t>
  </si>
  <si>
    <t>COSU6425589640</t>
  </si>
  <si>
    <t>TIIU6202580</t>
  </si>
  <si>
    <t>JI XIANG YONG YU B365E</t>
  </si>
  <si>
    <t>COSU6425588610</t>
  </si>
  <si>
    <t>UETU5187560</t>
  </si>
  <si>
    <t>COSU6425589430</t>
  </si>
  <si>
    <t>FFAU3113153</t>
  </si>
  <si>
    <t>OOLU2763550500</t>
  </si>
  <si>
    <t>MAGU5359976</t>
  </si>
  <si>
    <t>ZHONG YI JI RUI 2554E</t>
  </si>
  <si>
    <t>OOLU2763551350</t>
  </si>
  <si>
    <t>OOCU7487674</t>
  </si>
  <si>
    <t>OOLU2763550930</t>
  </si>
  <si>
    <t>OOLU9622337</t>
  </si>
  <si>
    <t>OOLU2763550410</t>
  </si>
  <si>
    <t>TIIU5620971</t>
  </si>
  <si>
    <t>OOLU2763550050</t>
  </si>
  <si>
    <t>CSNU6644464</t>
  </si>
  <si>
    <t>COSU6425215500</t>
  </si>
  <si>
    <t>CAAU9112715</t>
  </si>
  <si>
    <t>SNBU8408256</t>
  </si>
  <si>
    <t>SNBU8301015</t>
  </si>
  <si>
    <t>SNBU8200010</t>
  </si>
  <si>
    <t>OOLU2763545270</t>
  </si>
  <si>
    <t>UETU5888051</t>
  </si>
  <si>
    <t>CSLU6294815</t>
  </si>
  <si>
    <t>CSNU5609052</t>
  </si>
  <si>
    <t>OOCU7964340</t>
  </si>
  <si>
    <t>PO No.</t>
  </si>
  <si>
    <t>Ctn No.</t>
  </si>
  <si>
    <t>Factory Code</t>
  </si>
  <si>
    <t>Description</t>
  </si>
  <si>
    <t>QTY</t>
  </si>
  <si>
    <t>INV. NO</t>
  </si>
  <si>
    <t>90GP095</t>
  </si>
  <si>
    <t>90GP095 Gas Cooktop</t>
  </si>
  <si>
    <t>MDWZB241028D0003</t>
  </si>
  <si>
    <t>KWHA MAZ Sample</t>
  </si>
  <si>
    <t>60GJ084</t>
  </si>
  <si>
    <t>60GJ084 Gas Cooktop</t>
  </si>
  <si>
    <t>30GB095</t>
  </si>
  <si>
    <t>30GB095 Gas Cooktop</t>
  </si>
  <si>
    <t>75GP095</t>
  </si>
  <si>
    <t>75GP095 Gas Cooktop</t>
  </si>
  <si>
    <t>60SL403</t>
  </si>
  <si>
    <t>60SL403 Gas Cooktop</t>
  </si>
  <si>
    <t>75SP021</t>
  </si>
  <si>
    <t>75SP021 Gas Cooktop</t>
  </si>
  <si>
    <t>DISHWASHER</t>
  </si>
  <si>
    <t>VALVE</t>
  </si>
  <si>
    <r>
      <rPr>
        <sz val="11"/>
        <color theme="1"/>
        <rFont val="Calibri"/>
        <charset val="134"/>
      </rPr>
      <t>FOC</t>
    </r>
    <r>
      <rPr>
        <sz val="11"/>
        <color theme="1"/>
        <rFont val="Calibri"/>
        <charset val="134"/>
      </rPr>
      <t>，</t>
    </r>
    <r>
      <rPr>
        <sz val="11"/>
        <color theme="1"/>
        <rFont val="Calibri"/>
        <charset val="134"/>
      </rPr>
      <t>MWPU4W</t>
    </r>
    <r>
      <rPr>
        <sz val="11"/>
        <color theme="1"/>
        <rFont val="Calibri"/>
        <charset val="134"/>
      </rPr>
      <t>的阀体</t>
    </r>
  </si>
  <si>
    <t>KWHA 27_08_24</t>
  </si>
  <si>
    <t>17476000007431</t>
  </si>
  <si>
    <t>Heating Tube Assembly</t>
  </si>
  <si>
    <t>MDWDB241107D0001</t>
  </si>
  <si>
    <t>SR240923023</t>
  </si>
  <si>
    <t>11201007003440</t>
  </si>
  <si>
    <t>Room Temperature Sensor</t>
  </si>
  <si>
    <t>MDCAS2411070005P</t>
  </si>
  <si>
    <r>
      <rPr>
        <sz val="11"/>
        <rFont val="Calibri"/>
        <charset val="134"/>
      </rPr>
      <t>MBT Quality Claim-7</t>
    </r>
    <r>
      <rPr>
        <sz val="11"/>
        <rFont val="Calibri"/>
        <charset val="134"/>
      </rPr>
      <t>月</t>
    </r>
  </si>
  <si>
    <t>17122300007572</t>
  </si>
  <si>
    <t>Indoor Unit Main Control Board</t>
  </si>
  <si>
    <t>SR240904009</t>
  </si>
  <si>
    <t>17127000012938</t>
  </si>
  <si>
    <t>Outdoor main control board assembly</t>
  </si>
  <si>
    <t>11001010000063</t>
  </si>
  <si>
    <t>Induction Pump</t>
  </si>
  <si>
    <t>MDAJB241107D0006</t>
  </si>
  <si>
    <r>
      <rPr>
        <sz val="11"/>
        <color theme="1"/>
        <rFont val="Calibri"/>
        <charset val="134"/>
      </rPr>
      <t>RAC Q4</t>
    </r>
    <r>
      <rPr>
        <sz val="11"/>
        <color theme="1"/>
        <rFont val="Calibri"/>
        <charset val="134"/>
      </rPr>
      <t>支持配件</t>
    </r>
  </si>
  <si>
    <t>11002015003981</t>
  </si>
  <si>
    <t>Brushless DC Motor</t>
  </si>
  <si>
    <t>11002015009825</t>
  </si>
  <si>
    <t>11002015008264</t>
  </si>
  <si>
    <t>11002015003861</t>
  </si>
  <si>
    <t>11002015000366</t>
  </si>
  <si>
    <t>11002015018478</t>
  </si>
  <si>
    <t>11002015002521</t>
  </si>
  <si>
    <t>11002015000187</t>
  </si>
  <si>
    <t>11002010000143</t>
  </si>
  <si>
    <t>Stepper Motor</t>
  </si>
  <si>
    <t>11002015000051</t>
  </si>
  <si>
    <t>11002015000150</t>
  </si>
  <si>
    <t>11002015000247</t>
  </si>
  <si>
    <t>11002015011867</t>
  </si>
  <si>
    <t>11002015012128</t>
  </si>
  <si>
    <t>11002015017676</t>
  </si>
  <si>
    <t>11201005000006</t>
  </si>
  <si>
    <t>Water Level Sensor</t>
  </si>
  <si>
    <t>11201007000044</t>
  </si>
  <si>
    <t>Pipe Temperature Sensor</t>
  </si>
  <si>
    <t>11201007000136</t>
  </si>
  <si>
    <t>11201007000283</t>
  </si>
  <si>
    <t>11201007003124</t>
  </si>
  <si>
    <t>Discharge Temperature Sensor</t>
  </si>
  <si>
    <t>11201007003426</t>
  </si>
  <si>
    <t>11201007003437</t>
  </si>
  <si>
    <t>11201007003441</t>
  </si>
  <si>
    <t>11201007003442</t>
  </si>
  <si>
    <t>11201007003448</t>
  </si>
  <si>
    <t>12122000001521</t>
  </si>
  <si>
    <t>Panel assembly</t>
  </si>
  <si>
    <t>12122000026095</t>
  </si>
  <si>
    <t>12122000026084</t>
  </si>
  <si>
    <t>12122000026086</t>
  </si>
  <si>
    <t>12100204000479</t>
  </si>
  <si>
    <t>Air filter</t>
  </si>
  <si>
    <t>12100204000397</t>
  </si>
  <si>
    <t>12122000026093</t>
  </si>
  <si>
    <t>12122000025544</t>
  </si>
  <si>
    <t>Horizontal louver assembly</t>
  </si>
  <si>
    <t>12122000025607</t>
  </si>
  <si>
    <t>Louver</t>
  </si>
  <si>
    <t>12122000025565</t>
  </si>
  <si>
    <t>12122000005815</t>
  </si>
  <si>
    <t>Horizontal Louver Assembly</t>
  </si>
  <si>
    <t>12100103000586</t>
  </si>
  <si>
    <t>centrifuge fan</t>
  </si>
  <si>
    <t>12100105001401</t>
  </si>
  <si>
    <t>Axial flow fan</t>
  </si>
  <si>
    <t>12100105000084</t>
  </si>
  <si>
    <t>Axial Flow Fan</t>
  </si>
  <si>
    <t>12100105000881</t>
  </si>
  <si>
    <t>12122000025602</t>
  </si>
  <si>
    <t>Louver Subassembly</t>
  </si>
  <si>
    <t>12100102000018</t>
  </si>
  <si>
    <t>Cross Flow Fan</t>
  </si>
  <si>
    <t>12100102000131</t>
  </si>
  <si>
    <t>12100102000044</t>
  </si>
  <si>
    <t>12100102000070</t>
  </si>
  <si>
    <t>12100102000576</t>
  </si>
  <si>
    <t>17122000061780</t>
  </si>
  <si>
    <t>Outdoor main control board subassembly</t>
  </si>
  <si>
    <t>17122000054444</t>
  </si>
  <si>
    <t>Inverter control board subassembly</t>
  </si>
  <si>
    <t>17122000061294</t>
  </si>
  <si>
    <t>17122000049300</t>
  </si>
  <si>
    <t>Main control board subassembly</t>
  </si>
  <si>
    <t>17122000051436</t>
  </si>
  <si>
    <t>17122000049290</t>
  </si>
  <si>
    <t>17122300004732</t>
  </si>
  <si>
    <t>17222300003188</t>
  </si>
  <si>
    <t>Electronic control box subassembly</t>
  </si>
  <si>
    <t>17222000033078</t>
  </si>
  <si>
    <t>Electronic Control Box Subassembly</t>
  </si>
  <si>
    <t>17222000044789</t>
  </si>
  <si>
    <t>17222000043862</t>
  </si>
  <si>
    <t>Terminal board subassembly</t>
  </si>
  <si>
    <t>17223000A07240</t>
  </si>
  <si>
    <t>Duct electronic control box subassembly</t>
  </si>
  <si>
    <t>17222000039349</t>
  </si>
  <si>
    <t>17223000A07241</t>
  </si>
  <si>
    <t>17222000034075</t>
  </si>
  <si>
    <t>Electronic control box subassembly (Mid-and low-end)</t>
  </si>
  <si>
    <t>17223000A07238</t>
  </si>
  <si>
    <t>17222000038806</t>
  </si>
  <si>
    <t>17222000030895</t>
  </si>
  <si>
    <t>Display box subassembly</t>
  </si>
  <si>
    <t>17222000002878</t>
  </si>
  <si>
    <t>Display Box Subassembly</t>
  </si>
  <si>
    <t>17223000000003</t>
  </si>
  <si>
    <t>Duct Display Board Subassembly</t>
  </si>
  <si>
    <t>17222300004488</t>
  </si>
  <si>
    <t>17222300003190</t>
  </si>
  <si>
    <t>17317100A35652</t>
  </si>
  <si>
    <t>Wired controller</t>
  </si>
  <si>
    <t>17317000008016</t>
  </si>
  <si>
    <t>Remote Controller</t>
  </si>
  <si>
    <t>17317100A36354</t>
  </si>
  <si>
    <t>17401204017449</t>
  </si>
  <si>
    <t>LV Junction Cable Subassembly</t>
  </si>
  <si>
    <t>17122000A18354</t>
  </si>
  <si>
    <t>MDAJB241126D0010</t>
  </si>
  <si>
    <r>
      <rPr>
        <sz val="11"/>
        <color theme="1"/>
        <rFont val="Calibri"/>
        <charset val="134"/>
      </rPr>
      <t xml:space="preserve">RAC </t>
    </r>
    <r>
      <rPr>
        <sz val="11"/>
        <color theme="1"/>
        <rFont val="Calibri"/>
        <charset val="134"/>
      </rPr>
      <t>售后支持配件，</t>
    </r>
    <r>
      <rPr>
        <sz val="11"/>
        <color theme="1"/>
        <rFont val="Calibri"/>
        <charset val="134"/>
      </rPr>
      <t>FOC</t>
    </r>
  </si>
  <si>
    <t>RAC_01_11_24</t>
  </si>
  <si>
    <t>12122000025627</t>
  </si>
  <si>
    <t>Panel Frame Assembly</t>
  </si>
  <si>
    <t>MDAJB241126D0009</t>
  </si>
  <si>
    <t>Outdoor Main Control Board Assembly</t>
  </si>
  <si>
    <t>MDCAS250103001200001</t>
  </si>
  <si>
    <r>
      <rPr>
        <sz val="11"/>
        <color theme="1"/>
        <rFont val="Calibri"/>
        <charset val="134"/>
      </rPr>
      <t>售后</t>
    </r>
    <r>
      <rPr>
        <sz val="11"/>
        <color theme="1"/>
        <rFont val="Calibri"/>
        <charset val="134"/>
      </rPr>
      <t>-Compact PO 00000314</t>
    </r>
  </si>
  <si>
    <t>12566200A19238</t>
  </si>
  <si>
    <t>Glass Panel Assembly</t>
  </si>
  <si>
    <t>MDWZB250118D0005</t>
  </si>
  <si>
    <r>
      <rPr>
        <sz val="11"/>
        <color theme="1"/>
        <rFont val="Calibri"/>
        <charset val="134"/>
      </rPr>
      <t xml:space="preserve">KWHA </t>
    </r>
    <r>
      <rPr>
        <sz val="11"/>
        <color theme="1"/>
        <rFont val="Calibri"/>
        <charset val="134"/>
      </rPr>
      <t>售后</t>
    </r>
    <r>
      <rPr>
        <sz val="11"/>
        <color theme="1"/>
        <rFont val="Calibri"/>
        <charset val="134"/>
      </rPr>
      <t>FOC</t>
    </r>
    <r>
      <rPr>
        <sz val="11"/>
        <color theme="1"/>
        <rFont val="Calibri"/>
        <charset val="134"/>
      </rPr>
      <t>配件</t>
    </r>
  </si>
  <si>
    <t>KWHA_13_12_24</t>
  </si>
  <si>
    <t>15663200A09024</t>
  </si>
  <si>
    <t>Water purifier filter MWPU1W</t>
  </si>
  <si>
    <t>MDWJB250117D0006</t>
  </si>
  <si>
    <t>PINBRI20241210002</t>
  </si>
  <si>
    <t>Aftersales. RAC铭牌</t>
  </si>
  <si>
    <t>2024.11.25</t>
  </si>
  <si>
    <r>
      <rPr>
        <sz val="11"/>
        <color indexed="8"/>
        <rFont val="Calibri"/>
        <charset val="134"/>
      </rPr>
      <t>贯流风轮</t>
    </r>
    <r>
      <rPr>
        <sz val="11"/>
        <color indexed="8"/>
        <rFont val="Calibri"/>
        <charset val="134"/>
      </rPr>
      <t xml:space="preserve"> RoHS,REACH GL-94*605-N</t>
    </r>
  </si>
  <si>
    <t>MDAJS2501200024</t>
  </si>
  <si>
    <r>
      <rPr>
        <sz val="11"/>
        <color theme="1"/>
        <rFont val="Calibri"/>
        <charset val="134"/>
      </rPr>
      <t>RAC</t>
    </r>
    <r>
      <rPr>
        <sz val="11"/>
        <color theme="1"/>
        <rFont val="Calibri"/>
        <charset val="134"/>
      </rPr>
      <t>品质问题一次性赔付</t>
    </r>
    <r>
      <rPr>
        <sz val="11"/>
        <color theme="1"/>
        <rFont val="Calibri"/>
        <charset val="134"/>
      </rPr>
      <t>-</t>
    </r>
    <r>
      <rPr>
        <sz val="11"/>
        <color theme="1"/>
        <rFont val="Calibri"/>
        <charset val="134"/>
      </rPr>
      <t>折换配件</t>
    </r>
  </si>
  <si>
    <t>17122000A41190</t>
  </si>
  <si>
    <r>
      <rPr>
        <sz val="11"/>
        <color indexed="8"/>
        <rFont val="Calibri"/>
        <charset val="134"/>
      </rPr>
      <t>变频模块组件</t>
    </r>
    <r>
      <rPr>
        <sz val="11"/>
        <color indexed="8"/>
        <rFont val="Calibri"/>
        <charset val="134"/>
      </rPr>
      <t>(</t>
    </r>
    <r>
      <rPr>
        <sz val="11"/>
        <color indexed="8"/>
        <rFont val="Calibri"/>
        <charset val="134"/>
      </rPr>
      <t>室外</t>
    </r>
    <r>
      <rPr>
        <sz val="11"/>
        <color indexed="8"/>
        <rFont val="Calibri"/>
        <charset val="134"/>
      </rPr>
      <t xml:space="preserve">) RoHS US1-KFR140W/BP3T1N1-E30(PS21A79+STK760-216+ATQ420D1UMU).JD.TY.MMK.MK(SHSJ) </t>
    </r>
    <r>
      <rPr>
        <sz val="11"/>
        <color indexed="8"/>
        <rFont val="Calibri"/>
        <charset val="134"/>
      </rPr>
      <t>带散热器散件</t>
    </r>
    <r>
      <rPr>
        <sz val="11"/>
        <color indexed="8"/>
        <rFont val="Calibri"/>
        <charset val="134"/>
      </rPr>
      <t xml:space="preserve"> 售后专用</t>
    </r>
  </si>
  <si>
    <t>17122000054487</t>
  </si>
  <si>
    <r>
      <rPr>
        <sz val="11"/>
        <color indexed="8"/>
        <rFont val="Calibri"/>
        <charset val="134"/>
      </rPr>
      <t>变频模块组件</t>
    </r>
    <r>
      <rPr>
        <sz val="11"/>
        <color indexed="8"/>
        <rFont val="Calibri"/>
        <charset val="134"/>
      </rPr>
      <t>(</t>
    </r>
    <r>
      <rPr>
        <sz val="11"/>
        <color indexed="8"/>
        <rFont val="Calibri"/>
        <charset val="134"/>
      </rPr>
      <t>室外</t>
    </r>
    <r>
      <rPr>
        <sz val="11"/>
        <color indexed="8"/>
        <rFont val="Calibri"/>
        <charset val="134"/>
      </rPr>
      <t>) RoHS AU-KFR80W/BP3N8-D30(C5)-GW.D.13.MK2.10</t>
    </r>
  </si>
  <si>
    <t>17122000039528</t>
  </si>
  <si>
    <r>
      <rPr>
        <sz val="11"/>
        <color indexed="8"/>
        <rFont val="Calibri"/>
        <charset val="134"/>
      </rPr>
      <t>变频模块组件</t>
    </r>
    <r>
      <rPr>
        <sz val="11"/>
        <color indexed="8"/>
        <rFont val="Calibri"/>
        <charset val="134"/>
      </rPr>
      <t>(</t>
    </r>
    <r>
      <rPr>
        <sz val="11"/>
        <color indexed="8"/>
        <rFont val="Calibri"/>
        <charset val="134"/>
      </rPr>
      <t>室内</t>
    </r>
    <r>
      <rPr>
        <sz val="11"/>
        <color indexed="8"/>
        <rFont val="Calibri"/>
        <charset val="134"/>
      </rPr>
      <t xml:space="preserve">) RoHS DCFan(MN103DF46XEA+PS219C4+LNK306DG).JD.TY.MMK.MK3.9 </t>
    </r>
    <r>
      <rPr>
        <sz val="11"/>
        <color indexed="8"/>
        <rFont val="Calibri"/>
        <charset val="134"/>
      </rPr>
      <t>单风机、</t>
    </r>
    <r>
      <rPr>
        <sz val="11"/>
        <color indexed="8"/>
        <rFont val="Calibri"/>
        <charset val="134"/>
      </rPr>
      <t>55W</t>
    </r>
    <r>
      <rPr>
        <sz val="11"/>
        <color indexed="8"/>
        <rFont val="Calibri"/>
        <charset val="134"/>
      </rPr>
      <t>电机、</t>
    </r>
    <r>
      <rPr>
        <sz val="11"/>
        <color indexed="8"/>
        <rFont val="Calibri"/>
        <charset val="134"/>
      </rPr>
      <t>200</t>
    </r>
    <r>
      <rPr>
        <sz val="11"/>
        <color indexed="8"/>
        <rFont val="Calibri"/>
        <charset val="134"/>
      </rPr>
      <t>毫欧电阻、</t>
    </r>
    <r>
      <rPr>
        <sz val="11"/>
        <color indexed="8"/>
        <rFont val="Calibri"/>
        <charset val="134"/>
      </rPr>
      <t>R32</t>
    </r>
    <r>
      <rPr>
        <sz val="11"/>
        <color indexed="8"/>
        <rFont val="Calibri"/>
        <charset val="134"/>
      </rPr>
      <t>冷媒</t>
    </r>
  </si>
  <si>
    <r>
      <rPr>
        <sz val="11"/>
        <color indexed="8"/>
        <rFont val="Calibri"/>
        <charset val="134"/>
      </rPr>
      <t>一拖多变频室外主控板组件</t>
    </r>
    <r>
      <rPr>
        <sz val="11"/>
        <color indexed="8"/>
        <rFont val="Calibri"/>
        <charset val="134"/>
      </rPr>
      <t xml:space="preserve"> RoHS AU-KFR71W/BP3T3N8-X430 M3OA-24HFN8-Q.JD.FW2.XWKB.WK2.1(DR)</t>
    </r>
  </si>
  <si>
    <t>17122000056150</t>
  </si>
  <si>
    <r>
      <rPr>
        <sz val="11"/>
        <color indexed="8"/>
        <rFont val="Calibri"/>
        <charset val="134"/>
      </rPr>
      <t>变频模块组件</t>
    </r>
    <r>
      <rPr>
        <sz val="11"/>
        <color indexed="8"/>
        <rFont val="Calibri"/>
        <charset val="134"/>
      </rPr>
      <t>(</t>
    </r>
    <r>
      <rPr>
        <sz val="11"/>
        <color indexed="8"/>
        <rFont val="Calibri"/>
        <charset val="134"/>
      </rPr>
      <t>室外</t>
    </r>
    <r>
      <rPr>
        <sz val="11"/>
        <color indexed="8"/>
        <rFont val="Calibri"/>
        <charset val="134"/>
      </rPr>
      <t>) RoHS AU-KFR120W/BP3T5N8</t>
    </r>
    <r>
      <rPr>
        <sz val="11"/>
        <color indexed="8"/>
        <rFont val="Calibri"/>
        <charset val="134"/>
      </rPr>
      <t>（</t>
    </r>
    <r>
      <rPr>
        <sz val="11"/>
        <color indexed="8"/>
        <rFont val="Calibri"/>
        <charset val="134"/>
      </rPr>
      <t>KTF310D43UMT</t>
    </r>
    <r>
      <rPr>
        <sz val="11"/>
        <color indexed="8"/>
        <rFont val="Calibri"/>
        <charset val="134"/>
      </rPr>
      <t>）</t>
    </r>
    <r>
      <rPr>
        <sz val="11"/>
        <color indexed="8"/>
        <rFont val="Calibri"/>
        <charset val="134"/>
      </rPr>
      <t>-D31.D.13.MK2.1</t>
    </r>
  </si>
  <si>
    <t>17122500002531</t>
  </si>
  <si>
    <r>
      <rPr>
        <sz val="11"/>
        <color indexed="8"/>
        <rFont val="Calibri"/>
        <charset val="134"/>
      </rPr>
      <t>轻商嵌入式室内主控板组件</t>
    </r>
    <r>
      <rPr>
        <sz val="11"/>
        <color indexed="8"/>
        <rFont val="Calibri"/>
        <charset val="134"/>
      </rPr>
      <t xml:space="preserve"> RoHS AU-KFR105Q4/BP3N1Y-D(C3)-W-[N].JD.Q.NK.NK2.1 </t>
    </r>
    <r>
      <rPr>
        <sz val="11"/>
        <color indexed="8"/>
        <rFont val="Calibri"/>
        <charset val="134"/>
      </rPr>
      <t>达温吹设定风</t>
    </r>
  </si>
  <si>
    <t>17122000054489</t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</si>
  <si>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RoHS AU-KFR90W/BP3N8-D30(C5)-GW(PAIQI).ZD.JFW.WXWK2.WK2.10</t>
    </r>
  </si>
  <si>
    <t>17122300003087</t>
  </si>
  <si>
    <r>
      <rPr>
        <sz val="11"/>
        <color indexed="8"/>
        <rFont val="Calibri"/>
        <charset val="134"/>
      </rPr>
      <t>一拖多变频室外主控板组件</t>
    </r>
    <r>
      <rPr>
        <sz val="11"/>
        <color indexed="8"/>
        <rFont val="Calibri"/>
        <charset val="134"/>
      </rPr>
      <t xml:space="preserve"> RoHS AU-KFR80W/BP3T4N1-D30(PAIQI).JD.FW.WXWKB.WK2.1</t>
    </r>
  </si>
  <si>
    <t>17122300004974</t>
  </si>
  <si>
    <r>
      <rPr>
        <sz val="11"/>
        <color indexed="8"/>
        <rFont val="Calibri"/>
        <charset val="134"/>
      </rPr>
      <t>一拖多变频室外主控板组件</t>
    </r>
    <r>
      <rPr>
        <sz val="11"/>
        <color indexed="8"/>
        <rFont val="Calibri"/>
        <charset val="134"/>
      </rPr>
      <t xml:space="preserve"> RoHS AU-KFR80W/BP3T4N8-D30.ZY001.JD.FW2.XWKB.WK2-1</t>
    </r>
  </si>
  <si>
    <t>17122000056152</t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</si>
  <si>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RoHS AU-KFR120W/BP3T5N8-D30(R32).ZJD.JFW.WXWKB.WK2.1</t>
    </r>
  </si>
  <si>
    <t>17122000040411</t>
  </si>
  <si>
    <r>
      <rPr>
        <sz val="11"/>
        <color indexed="8"/>
        <rFont val="Calibri"/>
        <charset val="134"/>
      </rPr>
      <t>电源模块板组件</t>
    </r>
    <r>
      <rPr>
        <sz val="11"/>
        <color indexed="8"/>
        <rFont val="Calibri"/>
        <charset val="134"/>
      </rPr>
      <t xml:space="preserve"> RoHS AU-KFR70W/HALT(DR+0.5W+R18).D.13.WK2.1</t>
    </r>
  </si>
  <si>
    <t>17122000023878</t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</si>
  <si>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RoHS AU-KFR70W/BP3N1-D30(C3).JD.FW.WXWKB.WK2.2</t>
    </r>
  </si>
  <si>
    <t>17122000031012</t>
  </si>
  <si>
    <r>
      <rPr>
        <sz val="11"/>
        <color indexed="8"/>
        <rFont val="Calibri"/>
        <charset val="134"/>
      </rPr>
      <t>外销分体室内主控板组件</t>
    </r>
    <r>
      <rPr>
        <sz val="11"/>
        <color indexed="8"/>
        <rFont val="Calibri"/>
        <charset val="134"/>
      </rPr>
      <t xml:space="preserve"> RoHS AU-KFR35G/BP3N8Y-ABB(D2)-GW.JD.GN.WXNK.NK2.1(0.5W)</t>
    </r>
  </si>
  <si>
    <r>
      <rPr>
        <sz val="11"/>
        <color indexed="8"/>
        <rFont val="Calibri"/>
        <charset val="134"/>
      </rPr>
      <t>外销分体室内主控板组件</t>
    </r>
    <r>
      <rPr>
        <sz val="11"/>
        <color indexed="8"/>
        <rFont val="Calibri"/>
        <charset val="134"/>
      </rPr>
      <t xml:space="preserve"> RoHS AU-KFR26G/BP3NXY-AGBU(RD0).JD.GN.NXNK.NP1.1(ION/V/SW-1W/EMC) </t>
    </r>
    <r>
      <rPr>
        <sz val="11"/>
        <color indexed="8"/>
        <rFont val="Calibri"/>
        <charset val="134"/>
      </rPr>
      <t>负离子</t>
    </r>
    <r>
      <rPr>
        <sz val="11"/>
        <color indexed="8"/>
        <rFont val="Calibri"/>
        <charset val="134"/>
      </rPr>
      <t>/</t>
    </r>
    <r>
      <rPr>
        <sz val="11"/>
        <color indexed="8"/>
        <rFont val="Calibri"/>
        <charset val="134"/>
      </rPr>
      <t>垂直摆风</t>
    </r>
    <r>
      <rPr>
        <sz val="11"/>
        <color indexed="8"/>
        <rFont val="Calibri"/>
        <charset val="134"/>
      </rPr>
      <t>/</t>
    </r>
    <r>
      <rPr>
        <sz val="11"/>
        <color indexed="8"/>
        <rFont val="Calibri"/>
        <charset val="134"/>
      </rPr>
      <t>室外供电</t>
    </r>
    <r>
      <rPr>
        <sz val="11"/>
        <color indexed="8"/>
        <rFont val="Calibri"/>
        <charset val="134"/>
      </rPr>
      <t>1W</t>
    </r>
    <r>
      <rPr>
        <sz val="11"/>
        <color indexed="8"/>
        <rFont val="Calibri"/>
        <charset val="134"/>
      </rPr>
      <t>待机</t>
    </r>
  </si>
  <si>
    <t>17122500002571</t>
  </si>
  <si>
    <r>
      <rPr>
        <sz val="11"/>
        <color indexed="8"/>
        <rFont val="Calibri"/>
        <charset val="134"/>
      </rPr>
      <t>轻商嵌入式室内主控板组件</t>
    </r>
    <r>
      <rPr>
        <sz val="11"/>
        <color indexed="8"/>
        <rFont val="Calibri"/>
        <charset val="134"/>
      </rPr>
      <t xml:space="preserve"> RoHS AU-KFR50Q4/BP3N1Y-D(C6)-W.JD.Q.NK.NK2.1</t>
    </r>
  </si>
  <si>
    <t>17122000041794</t>
  </si>
  <si>
    <r>
      <rPr>
        <sz val="11"/>
        <color indexed="8"/>
        <rFont val="Calibri"/>
        <charset val="134"/>
      </rPr>
      <t>外销分体室内主控板组件</t>
    </r>
    <r>
      <rPr>
        <sz val="11"/>
        <color indexed="8"/>
        <rFont val="Calibri"/>
        <charset val="134"/>
      </rPr>
      <t xml:space="preserve"> RoHS AU-KFR90G/BP3N8Y-ABF(C5)-GW.JD.GN.WXNK.NK2.1</t>
    </r>
  </si>
  <si>
    <t>17123000004492</t>
  </si>
  <si>
    <r>
      <rPr>
        <sz val="11"/>
        <color indexed="8"/>
        <rFont val="Calibri"/>
        <charset val="134"/>
      </rPr>
      <t>轻商风管机主控板组件</t>
    </r>
    <r>
      <rPr>
        <sz val="11"/>
        <color indexed="8"/>
        <rFont val="Calibri"/>
        <charset val="134"/>
      </rPr>
      <t xml:space="preserve"> RoHS EU-KFR35T2/BP3N1X-IU(RD0)-W.JD.T.NK.NK1.1 </t>
    </r>
    <r>
      <rPr>
        <sz val="11"/>
        <color indexed="8"/>
        <rFont val="Calibri"/>
        <charset val="134"/>
      </rPr>
      <t>变频电流环通讯、直流风机、达温停机、</t>
    </r>
    <r>
      <rPr>
        <sz val="11"/>
        <color indexed="8"/>
        <rFont val="Calibri"/>
        <charset val="134"/>
      </rPr>
      <t>R32</t>
    </r>
    <r>
      <rPr>
        <sz val="11"/>
        <color indexed="8"/>
        <rFont val="Calibri"/>
        <charset val="134"/>
      </rPr>
      <t>冷媒</t>
    </r>
  </si>
  <si>
    <t>17120300002692</t>
  </si>
  <si>
    <r>
      <rPr>
        <sz val="11"/>
        <color indexed="8"/>
        <rFont val="Calibri"/>
        <charset val="134"/>
      </rPr>
      <t>侧出风窗机主控板组件</t>
    </r>
    <r>
      <rPr>
        <sz val="11"/>
        <color indexed="8"/>
        <rFont val="Calibri"/>
        <charset val="134"/>
      </rPr>
      <t xml:space="preserve"> RoHS AU-KCR35/N1Y-FE1(1W).JD.WC.NK.NK1.1 (</t>
    </r>
    <r>
      <rPr>
        <sz val="11"/>
        <color indexed="8"/>
        <rFont val="Calibri"/>
        <charset val="134"/>
      </rPr>
      <t>冷暖</t>
    </r>
    <r>
      <rPr>
        <sz val="11"/>
        <color indexed="8"/>
        <rFont val="Calibri"/>
        <charset val="134"/>
      </rPr>
      <t>,</t>
    </r>
    <r>
      <rPr>
        <sz val="11"/>
        <color indexed="8"/>
        <rFont val="Calibri"/>
        <charset val="134"/>
      </rPr>
      <t>中颖</t>
    </r>
    <r>
      <rPr>
        <sz val="11"/>
        <color indexed="8"/>
        <rFont val="Calibri"/>
        <charset val="134"/>
      </rPr>
      <t>,</t>
    </r>
    <r>
      <rPr>
        <sz val="11"/>
        <color indexed="8"/>
        <rFont val="Calibri"/>
        <charset val="134"/>
      </rPr>
      <t>美的</t>
    </r>
    <r>
      <rPr>
        <sz val="11"/>
        <color indexed="8"/>
        <rFont val="Calibri"/>
        <charset val="134"/>
      </rPr>
      <t>,1W</t>
    </r>
    <r>
      <rPr>
        <sz val="11"/>
        <color indexed="8"/>
        <rFont val="Calibri"/>
        <charset val="134"/>
      </rPr>
      <t>待机</t>
    </r>
    <r>
      <rPr>
        <sz val="11"/>
        <color indexed="8"/>
        <rFont val="Calibri"/>
        <charset val="134"/>
      </rPr>
      <t>,</t>
    </r>
    <r>
      <rPr>
        <sz val="11"/>
        <color indexed="8"/>
        <rFont val="Calibri"/>
        <charset val="134"/>
      </rPr>
      <t>配</t>
    </r>
    <r>
      <rPr>
        <sz val="11"/>
        <color indexed="8"/>
        <rFont val="Calibri"/>
        <charset val="134"/>
      </rPr>
      <t>R031</t>
    </r>
    <r>
      <rPr>
        <sz val="11"/>
        <color indexed="8"/>
        <rFont val="Calibri"/>
        <charset val="134"/>
      </rPr>
      <t>遥控器</t>
    </r>
    <r>
      <rPr>
        <sz val="11"/>
        <color indexed="8"/>
        <rFont val="Calibri"/>
        <charset val="134"/>
      </rPr>
      <t>,</t>
    </r>
    <r>
      <rPr>
        <sz val="11"/>
        <color indexed="8"/>
        <rFont val="Calibri"/>
        <charset val="134"/>
      </rPr>
      <t>三档风带摇摆</t>
    </r>
    <r>
      <rPr>
        <sz val="11"/>
        <color indexed="8"/>
        <rFont val="Calibri"/>
        <charset val="134"/>
      </rPr>
      <t>)</t>
    </r>
  </si>
  <si>
    <t>17122000045676</t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</si>
  <si>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RoHS AU-KFR170W/BP3N1-E30(DR).JD.FW(PAIQI).WXWKB.WK2.3 </t>
    </r>
    <r>
      <rPr>
        <sz val="11"/>
        <color indexed="8"/>
        <rFont val="Calibri"/>
        <charset val="134"/>
      </rPr>
      <t>增加顶部温度</t>
    </r>
  </si>
  <si>
    <t>17122000045666</t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</si>
  <si>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RoHS AU-KFR125W/BP3N1-E30(DR).JD.FW(PAIQI).WXWKB.WK2.3 </t>
    </r>
    <r>
      <rPr>
        <sz val="11"/>
        <color indexed="8"/>
        <rFont val="Calibri"/>
        <charset val="134"/>
      </rPr>
      <t>增加顶部温度保护</t>
    </r>
  </si>
  <si>
    <t>17122000045685</t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</si>
  <si>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RoHS AU-KFR140W/BP3N1-E30(DR).JD.FW(PAIQI).WXWKB.WK2.3 </t>
    </r>
    <r>
      <rPr>
        <sz val="11"/>
        <color indexed="8"/>
        <rFont val="Calibri"/>
        <charset val="134"/>
      </rPr>
      <t>增加顶部温度保护</t>
    </r>
  </si>
  <si>
    <r>
      <rPr>
        <sz val="11"/>
        <color indexed="8"/>
        <rFont val="Calibri"/>
        <charset val="134"/>
      </rPr>
      <t>电源模块板组件</t>
    </r>
    <r>
      <rPr>
        <sz val="11"/>
        <color indexed="8"/>
        <rFont val="Calibri"/>
        <charset val="134"/>
      </rPr>
      <t xml:space="preserve"> RoHS AU-KFR70W/HALT(DR+1W+NEW).D.13.WK2.1</t>
    </r>
  </si>
  <si>
    <t>17122000053510</t>
  </si>
  <si>
    <r>
      <rPr>
        <sz val="11"/>
        <color indexed="8"/>
        <rFont val="Calibri"/>
        <charset val="134"/>
      </rPr>
      <t>按键板组件</t>
    </r>
    <r>
      <rPr>
        <sz val="11"/>
        <color indexed="8"/>
        <rFont val="Calibri"/>
        <charset val="134"/>
      </rPr>
      <t xml:space="preserve"> RoHS EU-KFR78W/BP3T3N8-X430-Q1.TY.MMK.AJH.1</t>
    </r>
  </si>
  <si>
    <t>17122000024578</t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</si>
  <si>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RoHS AU-KFR50W/BP3N1-CA30(PFC+311+PSS30S92F6+ASM135D23UFZ+DR+0.5W).D.13.WK2.1</t>
    </r>
  </si>
  <si>
    <t>17122000024584</t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</si>
  <si>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RoHS AU-KFR70W/BP3N1-D30(PFC+311+ATF235+DR+0.5W).D.13.WK2.1</t>
    </r>
  </si>
  <si>
    <t>17222000032001</t>
  </si>
  <si>
    <r>
      <rPr>
        <sz val="11"/>
        <color indexed="8"/>
        <rFont val="Calibri"/>
        <charset val="134"/>
      </rPr>
      <t>外销变频室外电控盒组件</t>
    </r>
    <r>
      <rPr>
        <sz val="11"/>
        <color indexed="8"/>
        <rFont val="Calibri"/>
        <charset val="134"/>
      </rPr>
      <t xml:space="preserve"> REACH,RoHS AU-KFR70W/BP3N8-X401(LMG+PD22019442+KTM240+RX24Tmini+6MBP30XSF060+6892).JD.FW.WXWKB.DK1(AGWL)</t>
    </r>
  </si>
  <si>
    <t>17222000A64024</t>
  </si>
  <si>
    <r>
      <rPr>
        <sz val="11"/>
        <color indexed="8"/>
        <rFont val="Calibri"/>
        <charset val="134"/>
      </rPr>
      <t>外销变频室外电控盒组件</t>
    </r>
    <r>
      <rPr>
        <sz val="11"/>
        <color indexed="8"/>
        <rFont val="Calibri"/>
        <charset val="134"/>
      </rPr>
      <t xml:space="preserve"> RoHS US1-KFR105W/BP3T1N1-D02(PSS30S92F6).JD.FW.WXWKB.DK1 216</t>
    </r>
    <r>
      <rPr>
        <sz val="11"/>
        <color indexed="8"/>
        <rFont val="Calibri"/>
        <charset val="134"/>
      </rPr>
      <t>辅配模块板组件售后专用（含电抗器）</t>
    </r>
  </si>
  <si>
    <t>17222000A59952</t>
  </si>
  <si>
    <r>
      <rPr>
        <sz val="11"/>
        <color indexed="8"/>
        <rFont val="Calibri"/>
        <charset val="134"/>
      </rPr>
      <t>外销变频室外电控盒组件</t>
    </r>
    <r>
      <rPr>
        <sz val="11"/>
        <color indexed="8"/>
        <rFont val="Calibri"/>
        <charset val="134"/>
      </rPr>
      <t xml:space="preserve"> RoHS AS-KF(R)26/35W/BP3N1(8)-(S6E2H1_SCM1272_After-service).D2.13.DK1.3 </t>
    </r>
    <r>
      <rPr>
        <sz val="11"/>
        <color indexed="8"/>
        <rFont val="Calibri"/>
        <charset val="134"/>
      </rPr>
      <t>海外售后电控（不含美的</t>
    </r>
    <r>
      <rPr>
        <sz val="11"/>
        <color indexed="8"/>
        <rFont val="Calibri"/>
        <charset val="134"/>
      </rPr>
      <t>logo</t>
    </r>
    <r>
      <rPr>
        <sz val="11"/>
        <color indexed="8"/>
        <rFont val="Calibri"/>
        <charset val="134"/>
      </rPr>
      <t>）</t>
    </r>
  </si>
  <si>
    <t>17222300A02983</t>
  </si>
  <si>
    <r>
      <rPr>
        <sz val="11"/>
        <color indexed="8"/>
        <rFont val="Calibri"/>
        <charset val="134"/>
      </rPr>
      <t>外销变频室外电控盒组件</t>
    </r>
    <r>
      <rPr>
        <sz val="11"/>
        <color indexed="8"/>
        <rFont val="Calibri"/>
        <charset val="134"/>
      </rPr>
      <t xml:space="preserve"> RoHS AU-KFR105W/BP3N1-D30(PSS30S92F6)(DR).JD.FW.WXWKB.DK1.1(SH) </t>
    </r>
    <r>
      <rPr>
        <sz val="11"/>
        <color indexed="8"/>
        <rFont val="Calibri"/>
        <charset val="134"/>
      </rPr>
      <t>附件包</t>
    </r>
    <r>
      <rPr>
        <sz val="11"/>
        <color indexed="8"/>
        <rFont val="Calibri"/>
        <charset val="134"/>
      </rPr>
      <t>-216</t>
    </r>
    <r>
      <rPr>
        <sz val="11"/>
        <color indexed="8"/>
        <rFont val="Calibri"/>
        <charset val="134"/>
      </rPr>
      <t>辅配售后专用</t>
    </r>
    <r>
      <rPr>
        <sz val="11"/>
        <color indexed="8"/>
        <rFont val="Calibri"/>
        <charset val="134"/>
      </rPr>
      <t>,</t>
    </r>
    <r>
      <rPr>
        <sz val="11"/>
        <color indexed="8"/>
        <rFont val="Calibri"/>
        <charset val="134"/>
      </rPr>
      <t>带电抗器</t>
    </r>
  </si>
  <si>
    <t>17400306000058</t>
  </si>
  <si>
    <r>
      <rPr>
        <sz val="11"/>
        <color indexed="8"/>
        <rFont val="Calibri"/>
        <charset val="134"/>
      </rPr>
      <t>电抗器</t>
    </r>
    <r>
      <rPr>
        <sz val="11"/>
        <color indexed="8"/>
        <rFont val="Calibri"/>
        <charset val="134"/>
      </rPr>
      <t xml:space="preserve"> RoHS R25027(AL)(J)</t>
    </r>
  </si>
  <si>
    <t>17400306000403</t>
  </si>
  <si>
    <r>
      <rPr>
        <sz val="11"/>
        <color indexed="8"/>
        <rFont val="Calibri"/>
        <charset val="134"/>
      </rPr>
      <t>电抗器</t>
    </r>
    <r>
      <rPr>
        <sz val="11"/>
        <color indexed="8"/>
        <rFont val="Calibri"/>
        <charset val="134"/>
      </rPr>
      <t>(RoHS) RoHS R0325A (N)</t>
    </r>
  </si>
  <si>
    <t>17122000058149</t>
  </si>
  <si>
    <r>
      <rPr>
        <sz val="11"/>
        <color indexed="8"/>
        <rFont val="Calibri"/>
        <charset val="134"/>
      </rPr>
      <t>外销分体室内主控板组件</t>
    </r>
    <r>
      <rPr>
        <sz val="11"/>
        <color indexed="8"/>
        <rFont val="Calibri"/>
        <charset val="134"/>
      </rPr>
      <t xml:space="preserve"> RoHS AU-KFR80G/BP3N8Y-AG11D(C4)-GW.JD.GN.WXNK.NK2.2</t>
    </r>
    <r>
      <rPr>
        <sz val="11"/>
        <color indexed="8"/>
        <rFont val="Calibri"/>
        <charset val="134"/>
      </rPr>
      <t>（</t>
    </r>
    <r>
      <rPr>
        <sz val="11"/>
        <color indexed="8"/>
        <rFont val="Calibri"/>
        <charset val="134"/>
      </rPr>
      <t>EE1</t>
    </r>
    <r>
      <rPr>
        <sz val="11"/>
        <color indexed="8"/>
        <rFont val="Calibri"/>
        <charset val="134"/>
      </rPr>
      <t>）</t>
    </r>
  </si>
  <si>
    <t>17122000051277</t>
  </si>
  <si>
    <r>
      <rPr>
        <sz val="11"/>
        <color indexed="8"/>
        <rFont val="Calibri"/>
        <charset val="134"/>
      </rPr>
      <t>电源模块板组件</t>
    </r>
    <r>
      <rPr>
        <sz val="11"/>
        <color indexed="8"/>
        <rFont val="Calibri"/>
        <charset val="134"/>
      </rPr>
      <t xml:space="preserve"> RoHS AU-KFR70W/HALT(DR+1W+NEW+Gear).D.13.WK2.1</t>
    </r>
  </si>
  <si>
    <r>
      <rPr>
        <sz val="11"/>
        <color indexed="8"/>
        <rFont val="Calibri"/>
        <charset val="134"/>
      </rPr>
      <t>电源模块板组件</t>
    </r>
    <r>
      <rPr>
        <sz val="11"/>
        <color indexed="8"/>
        <rFont val="Calibri"/>
        <charset val="134"/>
      </rPr>
      <t xml:space="preserve"> RoHS AU-KFR70W/HALT(DR+1W+NEW+Gear+FUSE).D.13.WK2.1</t>
    </r>
  </si>
  <si>
    <t>17122000051807</t>
  </si>
  <si>
    <r>
      <rPr>
        <sz val="11"/>
        <color indexed="8"/>
        <rFont val="Calibri"/>
        <charset val="134"/>
      </rPr>
      <t>外销分体室内主控板组件</t>
    </r>
    <r>
      <rPr>
        <sz val="11"/>
        <color indexed="8"/>
        <rFont val="Calibri"/>
        <charset val="134"/>
      </rPr>
      <t xml:space="preserve"> RoHS EU-KFR26G/BP3NXY-AGBU(RD0).JD.GN.NXNK.NP1.1(ION/V/SW-4/1W/EMC/ERP4.0) </t>
    </r>
    <r>
      <rPr>
        <sz val="11"/>
        <color indexed="8"/>
        <rFont val="Calibri"/>
        <charset val="134"/>
      </rPr>
      <t>负离子</t>
    </r>
    <r>
      <rPr>
        <sz val="11"/>
        <color indexed="8"/>
        <rFont val="Calibri"/>
        <charset val="134"/>
      </rPr>
      <t>/</t>
    </r>
    <r>
      <rPr>
        <sz val="11"/>
        <color indexed="8"/>
        <rFont val="Calibri"/>
        <charset val="134"/>
      </rPr>
      <t>垂直摆风</t>
    </r>
    <r>
      <rPr>
        <sz val="11"/>
        <color indexed="8"/>
        <rFont val="Calibri"/>
        <charset val="134"/>
      </rPr>
      <t>/</t>
    </r>
    <r>
      <rPr>
        <sz val="11"/>
        <color indexed="8"/>
        <rFont val="Calibri"/>
        <charset val="134"/>
      </rPr>
      <t>室外供电四芯</t>
    </r>
    <r>
      <rPr>
        <sz val="11"/>
        <color indexed="8"/>
        <rFont val="Calibri"/>
        <charset val="134"/>
      </rPr>
      <t>1W</t>
    </r>
    <r>
      <rPr>
        <sz val="11"/>
        <color indexed="8"/>
        <rFont val="Calibri"/>
        <charset val="134"/>
      </rPr>
      <t>待机</t>
    </r>
  </si>
  <si>
    <t>17122000051711</t>
  </si>
  <si>
    <r>
      <rPr>
        <sz val="11"/>
        <color indexed="8"/>
        <rFont val="Calibri"/>
        <charset val="134"/>
      </rPr>
      <t>外销分体室内主控板组件</t>
    </r>
    <r>
      <rPr>
        <sz val="11"/>
        <color indexed="8"/>
        <rFont val="Calibri"/>
        <charset val="134"/>
      </rPr>
      <t xml:space="preserve"> RoHS AU-KFR50G/BP3NXY-AGBU(RD0).JD.GN.NXNK.NP1.1(SW/EE1)</t>
    </r>
  </si>
  <si>
    <t>17122000051434</t>
  </si>
  <si>
    <r>
      <rPr>
        <sz val="11"/>
        <color indexed="8"/>
        <rFont val="Calibri"/>
        <charset val="134"/>
      </rPr>
      <t>外销分体室内主控板组件</t>
    </r>
    <r>
      <rPr>
        <sz val="11"/>
        <color indexed="8"/>
        <rFont val="Calibri"/>
        <charset val="134"/>
      </rPr>
      <t xml:space="preserve"> RoHS AU-KFR35G/BP3NXY-AGBU(RD0).JD.GN.NXNK.NP1.1(ION/V/SW-1W/EMC) </t>
    </r>
    <r>
      <rPr>
        <sz val="11"/>
        <color indexed="8"/>
        <rFont val="Calibri"/>
        <charset val="134"/>
      </rPr>
      <t>负离子</t>
    </r>
    <r>
      <rPr>
        <sz val="11"/>
        <color indexed="8"/>
        <rFont val="Calibri"/>
        <charset val="134"/>
      </rPr>
      <t>/</t>
    </r>
    <r>
      <rPr>
        <sz val="11"/>
        <color indexed="8"/>
        <rFont val="Calibri"/>
        <charset val="134"/>
      </rPr>
      <t>垂直摆风</t>
    </r>
    <r>
      <rPr>
        <sz val="11"/>
        <color indexed="8"/>
        <rFont val="Calibri"/>
        <charset val="134"/>
      </rPr>
      <t>/</t>
    </r>
    <r>
      <rPr>
        <sz val="11"/>
        <color indexed="8"/>
        <rFont val="Calibri"/>
        <charset val="134"/>
      </rPr>
      <t>室外供电</t>
    </r>
    <r>
      <rPr>
        <sz val="11"/>
        <color indexed="8"/>
        <rFont val="Calibri"/>
        <charset val="134"/>
      </rPr>
      <t>1W</t>
    </r>
    <r>
      <rPr>
        <sz val="11"/>
        <color indexed="8"/>
        <rFont val="Calibri"/>
        <charset val="134"/>
      </rPr>
      <t>待机</t>
    </r>
  </si>
  <si>
    <t>17122000061327</t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</si>
  <si>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REACH,RoHS AU-KFR80W/BP3N8-X432(LMG+PD22022NH8+KTM240D46UKT2+RX24Tmini+SDM30G60FB+6892).JD.FW.WXWKB.WK2(AGWL)</t>
    </r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</si>
  <si>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REACH,RoHS AU-KFR60W/BP3N8-X430(LMG+PD22020U57+KSN140D21UFZ+RX24Tmini+6MBP20XSF060+6892).JD.FW.WXWKB.WK2(AGWL) </t>
    </r>
    <r>
      <rPr>
        <sz val="11"/>
        <color indexed="8"/>
        <rFont val="Calibri"/>
        <charset val="134"/>
      </rPr>
      <t>一体化大把手整改参数</t>
    </r>
  </si>
  <si>
    <t>17222000034076</t>
  </si>
  <si>
    <r>
      <rPr>
        <sz val="11"/>
        <color indexed="8"/>
        <rFont val="Calibri"/>
        <charset val="134"/>
      </rPr>
      <t>外销变频室外电控盒组件</t>
    </r>
    <r>
      <rPr>
        <sz val="11"/>
        <color indexed="8"/>
        <rFont val="Calibri"/>
        <charset val="134"/>
      </rPr>
      <t xml:space="preserve"> RoHS AU-KFR20W/BP3N8-X230(AG_KSN98D64UFZ3_RX24Tmini_SDM15G60_SDH8654+4204).JD.FW.NXWKB.DK1.1(AGWL) </t>
    </r>
    <r>
      <rPr>
        <sz val="11"/>
        <color indexed="8"/>
        <rFont val="Calibri"/>
        <charset val="134"/>
      </rPr>
      <t>带电子膨胀阀</t>
    </r>
  </si>
  <si>
    <r>
      <rPr>
        <sz val="11"/>
        <color indexed="8"/>
        <rFont val="Calibri"/>
        <charset val="134"/>
      </rPr>
      <t>外销变频室外电控盒组件</t>
    </r>
    <r>
      <rPr>
        <sz val="11"/>
        <color indexed="8"/>
        <rFont val="Calibri"/>
        <charset val="134"/>
      </rPr>
      <t xml:space="preserve"> RoHS AU-KFR35W/BP3N8-X301(AE_KSN98D64UFZ3_RX24Tmini_6MBP15XSF_SDH8654+4204).JD.FW.NXWKB.DK1.1(AGWL) </t>
    </r>
    <r>
      <rPr>
        <sz val="11"/>
        <color indexed="8"/>
        <rFont val="Calibri"/>
        <charset val="134"/>
      </rPr>
      <t>带电子膨胀阀</t>
    </r>
  </si>
  <si>
    <t>17122000053863</t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</si>
  <si>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RoHS AU-KFR105W/BP3T1N1-D30(DR2PFC).JD.FW.WXWKB.WK2.1 </t>
    </r>
    <r>
      <rPr>
        <sz val="11"/>
        <color indexed="8"/>
        <rFont val="Calibri"/>
        <charset val="134"/>
      </rPr>
      <t>化霜整改</t>
    </r>
  </si>
  <si>
    <t>17122000053868</t>
  </si>
  <si>
    <r>
      <rPr>
        <sz val="11"/>
        <color indexed="8"/>
        <rFont val="Calibri"/>
        <charset val="134"/>
      </rPr>
      <t>变频模块组件</t>
    </r>
    <r>
      <rPr>
        <sz val="11"/>
        <color indexed="8"/>
        <rFont val="Calibri"/>
        <charset val="134"/>
      </rPr>
      <t>(</t>
    </r>
    <r>
      <rPr>
        <sz val="11"/>
        <color indexed="8"/>
        <rFont val="Calibri"/>
        <charset val="134"/>
      </rPr>
      <t>室内</t>
    </r>
    <r>
      <rPr>
        <sz val="11"/>
        <color indexed="8"/>
        <rFont val="Calibri"/>
        <charset val="134"/>
      </rPr>
      <t xml:space="preserve">) RoHS DCFan(MN103DF46XEA+PS219C4+LNK306DG).ZY001.JD.TY.MMK.MK1.3 </t>
    </r>
    <r>
      <rPr>
        <sz val="11"/>
        <color indexed="8"/>
        <rFont val="Calibri"/>
        <charset val="134"/>
      </rPr>
      <t>单风机、</t>
    </r>
    <r>
      <rPr>
        <sz val="11"/>
        <color indexed="8"/>
        <rFont val="Calibri"/>
        <charset val="134"/>
      </rPr>
      <t>560W</t>
    </r>
    <r>
      <rPr>
        <sz val="11"/>
        <color indexed="8"/>
        <rFont val="Calibri"/>
        <charset val="134"/>
      </rPr>
      <t>电机、</t>
    </r>
    <r>
      <rPr>
        <sz val="11"/>
        <color indexed="8"/>
        <rFont val="Calibri"/>
        <charset val="134"/>
      </rPr>
      <t>50</t>
    </r>
    <r>
      <rPr>
        <sz val="11"/>
        <color indexed="8"/>
        <rFont val="Calibri"/>
        <charset val="134"/>
      </rPr>
      <t>毫欧电阻、浪涌措施、</t>
    </r>
    <r>
      <rPr>
        <sz val="11"/>
        <color indexed="8"/>
        <rFont val="Calibri"/>
        <charset val="134"/>
      </rPr>
      <t>EMI</t>
    </r>
    <r>
      <rPr>
        <sz val="11"/>
        <color indexed="8"/>
        <rFont val="Calibri"/>
        <charset val="134"/>
      </rPr>
      <t>、防爆继电器</t>
    </r>
  </si>
  <si>
    <t>17122000051662</t>
  </si>
  <si>
    <r>
      <rPr>
        <sz val="11"/>
        <color indexed="8"/>
        <rFont val="Calibri"/>
        <charset val="134"/>
      </rPr>
      <t>变频室外模块组件</t>
    </r>
    <r>
      <rPr>
        <sz val="11"/>
        <color indexed="8"/>
        <rFont val="Calibri"/>
        <charset val="134"/>
      </rPr>
      <t xml:space="preserve"> RoHS DCFan(MN103DF46XEA+PS219C4+LNK306DG).JD.TY.MMK.MK2.1 </t>
    </r>
    <r>
      <rPr>
        <sz val="11"/>
        <color indexed="8"/>
        <rFont val="Calibri"/>
        <charset val="134"/>
      </rPr>
      <t>单风机、</t>
    </r>
    <r>
      <rPr>
        <sz val="11"/>
        <color indexed="8"/>
        <rFont val="Calibri"/>
        <charset val="134"/>
      </rPr>
      <t>160W</t>
    </r>
    <r>
      <rPr>
        <sz val="11"/>
        <color indexed="8"/>
        <rFont val="Calibri"/>
        <charset val="134"/>
      </rPr>
      <t>电机、防爆继电器、</t>
    </r>
    <r>
      <rPr>
        <sz val="11"/>
        <color indexed="8"/>
        <rFont val="Calibri"/>
        <charset val="134"/>
      </rPr>
      <t>YC1 YC2 471</t>
    </r>
  </si>
  <si>
    <t>17122000055238</t>
  </si>
  <si>
    <r>
      <rPr>
        <sz val="11"/>
        <color indexed="8"/>
        <rFont val="Calibri"/>
        <charset val="134"/>
      </rPr>
      <t>变频模块组件</t>
    </r>
    <r>
      <rPr>
        <sz val="11"/>
        <color indexed="8"/>
        <rFont val="Calibri"/>
        <charset val="134"/>
      </rPr>
      <t>(</t>
    </r>
    <r>
      <rPr>
        <sz val="11"/>
        <color indexed="8"/>
        <rFont val="Calibri"/>
        <charset val="134"/>
      </rPr>
      <t>室内</t>
    </r>
    <r>
      <rPr>
        <sz val="11"/>
        <color indexed="8"/>
        <rFont val="Calibri"/>
        <charset val="134"/>
      </rPr>
      <t xml:space="preserve">) RoHS DCFan(MN103DF46XEA+PS219C4+LNK306DG).JD.TY.MMK.MK1.9 </t>
    </r>
    <r>
      <rPr>
        <sz val="11"/>
        <color indexed="8"/>
        <rFont val="Calibri"/>
        <charset val="134"/>
      </rPr>
      <t>单风机</t>
    </r>
    <r>
      <rPr>
        <sz val="11"/>
        <color indexed="8"/>
        <rFont val="Calibri"/>
        <charset val="134"/>
      </rPr>
      <t>,700W</t>
    </r>
    <r>
      <rPr>
        <sz val="11"/>
        <color indexed="8"/>
        <rFont val="Calibri"/>
        <charset val="134"/>
      </rPr>
      <t>电机</t>
    </r>
    <r>
      <rPr>
        <sz val="11"/>
        <color indexed="8"/>
        <rFont val="Calibri"/>
        <charset val="134"/>
      </rPr>
      <t>,50</t>
    </r>
    <r>
      <rPr>
        <sz val="11"/>
        <color indexed="8"/>
        <rFont val="Calibri"/>
        <charset val="134"/>
      </rPr>
      <t>毫欧电阻</t>
    </r>
    <r>
      <rPr>
        <sz val="11"/>
        <color indexed="8"/>
        <rFont val="Calibri"/>
        <charset val="134"/>
      </rPr>
      <t>,</t>
    </r>
    <r>
      <rPr>
        <sz val="11"/>
        <color indexed="8"/>
        <rFont val="Calibri"/>
        <charset val="134"/>
      </rPr>
      <t>防爆继电器</t>
    </r>
  </si>
  <si>
    <t>17122000027748</t>
  </si>
  <si>
    <r>
      <rPr>
        <sz val="11"/>
        <color indexed="8"/>
        <rFont val="Calibri"/>
        <charset val="134"/>
      </rPr>
      <t>变频室外模块组件</t>
    </r>
    <r>
      <rPr>
        <sz val="11"/>
        <color indexed="8"/>
        <rFont val="Calibri"/>
        <charset val="134"/>
      </rPr>
      <t xml:space="preserve"> RoHS DCFan(MN103DF46XEA+PS219C4+LNK306DG).JD.TY.MMK.MK2.1 </t>
    </r>
    <r>
      <rPr>
        <sz val="11"/>
        <color indexed="8"/>
        <rFont val="Calibri"/>
        <charset val="134"/>
      </rPr>
      <t>单风机、</t>
    </r>
    <r>
      <rPr>
        <sz val="11"/>
        <color indexed="8"/>
        <rFont val="Calibri"/>
        <charset val="134"/>
      </rPr>
      <t>300W</t>
    </r>
    <r>
      <rPr>
        <sz val="11"/>
        <color indexed="8"/>
        <rFont val="Calibri"/>
        <charset val="134"/>
      </rPr>
      <t>电机、防爆继电器</t>
    </r>
  </si>
  <si>
    <t>17122000057048</t>
  </si>
  <si>
    <r>
      <rPr>
        <sz val="11"/>
        <color indexed="8"/>
        <rFont val="Calibri"/>
        <charset val="134"/>
      </rPr>
      <t>按键板组件</t>
    </r>
    <r>
      <rPr>
        <sz val="11"/>
        <color indexed="8"/>
        <rFont val="Calibri"/>
        <charset val="134"/>
      </rPr>
      <t xml:space="preserve"> RoHS AU-KFR140W/BP3N8-E30.JD.TY.BAJ.AJ1.2</t>
    </r>
  </si>
  <si>
    <t>17123000A03546</t>
  </si>
  <si>
    <r>
      <rPr>
        <sz val="11"/>
        <color indexed="8"/>
        <rFont val="Calibri"/>
        <charset val="134"/>
      </rPr>
      <t>轻商风管机主控板组件</t>
    </r>
    <r>
      <rPr>
        <sz val="11"/>
        <color indexed="8"/>
        <rFont val="Calibri"/>
        <charset val="134"/>
      </rPr>
      <t xml:space="preserve"> RoHS AU-KFR105T1/BP3NXX-G(C3)-W(GA).JD.T.NK.NK1.3 </t>
    </r>
    <r>
      <rPr>
        <sz val="11"/>
        <color indexed="8"/>
        <rFont val="Calibri"/>
        <charset val="134"/>
      </rPr>
      <t>变频</t>
    </r>
    <r>
      <rPr>
        <sz val="11"/>
        <color indexed="8"/>
        <rFont val="Calibri"/>
        <charset val="134"/>
      </rPr>
      <t>485</t>
    </r>
    <r>
      <rPr>
        <sz val="11"/>
        <color indexed="8"/>
        <rFont val="Calibri"/>
        <charset val="134"/>
      </rPr>
      <t>通讯、两芯线控器接口</t>
    </r>
    <r>
      <rPr>
        <sz val="11"/>
        <color indexed="8"/>
        <rFont val="Calibri"/>
        <charset val="134"/>
      </rPr>
      <t xml:space="preserve"> (</t>
    </r>
    <r>
      <rPr>
        <sz val="11"/>
        <color indexed="8"/>
        <rFont val="Calibri"/>
        <charset val="134"/>
      </rPr>
      <t>定制选配</t>
    </r>
    <r>
      <rPr>
        <sz val="11"/>
        <color indexed="8"/>
        <rFont val="Calibri"/>
        <charset val="134"/>
      </rPr>
      <t>)</t>
    </r>
  </si>
  <si>
    <t>17123000A03555</t>
  </si>
  <si>
    <r>
      <rPr>
        <sz val="11"/>
        <color indexed="8"/>
        <rFont val="Calibri"/>
        <charset val="134"/>
      </rPr>
      <t>轻商风管机主控板组件</t>
    </r>
    <r>
      <rPr>
        <sz val="11"/>
        <color indexed="8"/>
        <rFont val="Calibri"/>
        <charset val="134"/>
      </rPr>
      <t xml:space="preserve"> RoHS AU-KFR140T1/BP3NXX-G(C3)-W(GA).JD.T.NK.NK1.4 </t>
    </r>
    <r>
      <rPr>
        <sz val="11"/>
        <color indexed="8"/>
        <rFont val="Calibri"/>
        <charset val="134"/>
      </rPr>
      <t>变频</t>
    </r>
    <r>
      <rPr>
        <sz val="11"/>
        <color indexed="8"/>
        <rFont val="Calibri"/>
        <charset val="134"/>
      </rPr>
      <t>485</t>
    </r>
    <r>
      <rPr>
        <sz val="11"/>
        <color indexed="8"/>
        <rFont val="Calibri"/>
        <charset val="134"/>
      </rPr>
      <t>通讯、电流环通讯、两芯线控器接口</t>
    </r>
    <r>
      <rPr>
        <sz val="11"/>
        <color indexed="8"/>
        <rFont val="Calibri"/>
        <charset val="134"/>
      </rPr>
      <t xml:space="preserve"> (</t>
    </r>
    <r>
      <rPr>
        <sz val="11"/>
        <color indexed="8"/>
        <rFont val="Calibri"/>
        <charset val="134"/>
      </rPr>
      <t>定制选配</t>
    </r>
    <r>
      <rPr>
        <sz val="11"/>
        <color indexed="8"/>
        <rFont val="Calibri"/>
        <charset val="134"/>
      </rPr>
      <t>)</t>
    </r>
  </si>
  <si>
    <t>17123000A03548</t>
  </si>
  <si>
    <r>
      <rPr>
        <sz val="11"/>
        <color indexed="8"/>
        <rFont val="Calibri"/>
        <charset val="134"/>
      </rPr>
      <t>轻商风管机主控板组件</t>
    </r>
    <r>
      <rPr>
        <sz val="11"/>
        <color indexed="8"/>
        <rFont val="Calibri"/>
        <charset val="134"/>
      </rPr>
      <t xml:space="preserve"> RoHS AU-KFR105T2/BP3NXX-I(C3)-W(GA).JD.T.NK.NK1.3 </t>
    </r>
    <r>
      <rPr>
        <sz val="11"/>
        <color indexed="8"/>
        <rFont val="Calibri"/>
        <charset val="134"/>
      </rPr>
      <t>变频</t>
    </r>
    <r>
      <rPr>
        <sz val="11"/>
        <color indexed="8"/>
        <rFont val="Calibri"/>
        <charset val="134"/>
      </rPr>
      <t>485</t>
    </r>
    <r>
      <rPr>
        <sz val="11"/>
        <color indexed="8"/>
        <rFont val="Calibri"/>
        <charset val="134"/>
      </rPr>
      <t>通讯、两芯线控器接口</t>
    </r>
    <r>
      <rPr>
        <sz val="11"/>
        <color indexed="8"/>
        <rFont val="Calibri"/>
        <charset val="134"/>
      </rPr>
      <t xml:space="preserve"> (</t>
    </r>
    <r>
      <rPr>
        <sz val="11"/>
        <color indexed="8"/>
        <rFont val="Calibri"/>
        <charset val="134"/>
      </rPr>
      <t>定制选配</t>
    </r>
    <r>
      <rPr>
        <sz val="11"/>
        <color indexed="8"/>
        <rFont val="Calibri"/>
        <charset val="134"/>
      </rPr>
      <t>)</t>
    </r>
  </si>
  <si>
    <t>17122000057650</t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</si>
  <si>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RoHS AU-KFR170W/BP3N8-E30(PFC).JD.FW.WXWKB.WK2.1</t>
    </r>
  </si>
  <si>
    <t>17122000057050</t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</si>
  <si>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RoHS AU-KFR140W/BP3N8-E30(PFC).JD.FW.WXWKB.WK2.1</t>
    </r>
  </si>
  <si>
    <t>17123000A03549</t>
  </si>
  <si>
    <r>
      <rPr>
        <sz val="11"/>
        <color indexed="8"/>
        <rFont val="Calibri"/>
        <charset val="134"/>
      </rPr>
      <t>轻商风管机主控板组件</t>
    </r>
    <r>
      <rPr>
        <sz val="11"/>
        <color indexed="8"/>
        <rFont val="Calibri"/>
        <charset val="134"/>
      </rPr>
      <t xml:space="preserve"> RoHS AU-KFR170T1/BP3N8X-G(C3)-GW(GA).JD.T.NK.NK1.3 </t>
    </r>
    <r>
      <rPr>
        <sz val="11"/>
        <color indexed="8"/>
        <rFont val="Calibri"/>
        <charset val="134"/>
      </rPr>
      <t>变频</t>
    </r>
    <r>
      <rPr>
        <sz val="11"/>
        <color indexed="8"/>
        <rFont val="Calibri"/>
        <charset val="134"/>
      </rPr>
      <t>485</t>
    </r>
    <r>
      <rPr>
        <sz val="11"/>
        <color indexed="8"/>
        <rFont val="Calibri"/>
        <charset val="134"/>
      </rPr>
      <t>通讯、两芯线控器接口</t>
    </r>
    <r>
      <rPr>
        <sz val="11"/>
        <color indexed="8"/>
        <rFont val="Calibri"/>
        <charset val="134"/>
      </rPr>
      <t xml:space="preserve"> (</t>
    </r>
    <r>
      <rPr>
        <sz val="11"/>
        <color indexed="8"/>
        <rFont val="Calibri"/>
        <charset val="134"/>
      </rPr>
      <t>定制选配</t>
    </r>
    <r>
      <rPr>
        <sz val="11"/>
        <color indexed="8"/>
        <rFont val="Calibri"/>
        <charset val="134"/>
      </rPr>
      <t>)</t>
    </r>
  </si>
  <si>
    <t>17123000A03550</t>
  </si>
  <si>
    <r>
      <rPr>
        <sz val="11"/>
        <color indexed="8"/>
        <rFont val="Calibri"/>
        <charset val="134"/>
      </rPr>
      <t>轻商风管机主控板组件</t>
    </r>
    <r>
      <rPr>
        <sz val="11"/>
        <color indexed="8"/>
        <rFont val="Calibri"/>
        <charset val="134"/>
      </rPr>
      <t xml:space="preserve"> RoHS AU-KFR70T2/BP3NXX-I(C3)-W(GA).JD.T.NK.NK1.6 </t>
    </r>
    <r>
      <rPr>
        <sz val="11"/>
        <color indexed="8"/>
        <rFont val="Calibri"/>
        <charset val="134"/>
      </rPr>
      <t>变频电流环通讯、两芯线控器接口、有</t>
    </r>
    <r>
      <rPr>
        <sz val="11"/>
        <color indexed="8"/>
        <rFont val="Calibri"/>
        <charset val="134"/>
      </rPr>
      <t>CN49 WIFI</t>
    </r>
    <r>
      <rPr>
        <sz val="11"/>
        <color indexed="8"/>
        <rFont val="Calibri"/>
        <charset val="134"/>
      </rPr>
      <t>接口、无</t>
    </r>
    <r>
      <rPr>
        <sz val="11"/>
        <color indexed="8"/>
        <rFont val="Calibri"/>
        <charset val="134"/>
      </rPr>
      <t>CN9</t>
    </r>
    <r>
      <rPr>
        <sz val="11"/>
        <color indexed="8"/>
        <rFont val="Calibri"/>
        <charset val="134"/>
      </rPr>
      <t>集控器接口</t>
    </r>
    <r>
      <rPr>
        <sz val="11"/>
        <color indexed="8"/>
        <rFont val="Calibri"/>
        <charset val="134"/>
      </rPr>
      <t xml:space="preserve"> (</t>
    </r>
    <r>
      <rPr>
        <sz val="11"/>
        <color indexed="8"/>
        <rFont val="Calibri"/>
        <charset val="134"/>
      </rPr>
      <t>定制选配</t>
    </r>
    <r>
      <rPr>
        <sz val="11"/>
        <color indexed="8"/>
        <rFont val="Calibri"/>
        <charset val="134"/>
      </rPr>
      <t>)</t>
    </r>
  </si>
  <si>
    <r>
      <rPr>
        <sz val="11"/>
        <color indexed="8"/>
        <rFont val="Calibri"/>
        <charset val="134"/>
      </rPr>
      <t>外销变频室外主控板组件</t>
    </r>
    <r>
      <rPr>
        <sz val="11"/>
        <color indexed="8"/>
        <rFont val="Calibri"/>
        <charset val="134"/>
      </rPr>
      <t xml:space="preserve"> REACH,RoHS AU-KFR70W/BP3T1N8-X430(LMG+PD23020GA1+KTM240D57UMT+RX24Tmini+SDM30G60FB+6892+PMV).JD.FW.WXWKB.WK2(AGWL)</t>
    </r>
  </si>
  <si>
    <t>17122000048520</t>
  </si>
  <si>
    <r>
      <rPr>
        <sz val="11"/>
        <color indexed="8"/>
        <rFont val="Calibri"/>
        <charset val="134"/>
      </rPr>
      <t>按键板组件</t>
    </r>
    <r>
      <rPr>
        <sz val="11"/>
        <color indexed="8"/>
        <rFont val="Calibri"/>
        <charset val="134"/>
      </rPr>
      <t xml:space="preserve"> RoHS US1-105W/BP3T1N1-D01CF(1).TY.MMK.AJH</t>
    </r>
  </si>
  <si>
    <t>17122000062261</t>
  </si>
  <si>
    <r>
      <rPr>
        <sz val="11"/>
        <color indexed="8"/>
        <rFont val="Calibri"/>
        <charset val="134"/>
      </rPr>
      <t>变频模块组件</t>
    </r>
    <r>
      <rPr>
        <sz val="11"/>
        <color indexed="8"/>
        <rFont val="Calibri"/>
        <charset val="134"/>
      </rPr>
      <t>(</t>
    </r>
    <r>
      <rPr>
        <sz val="11"/>
        <color indexed="8"/>
        <rFont val="Calibri"/>
        <charset val="134"/>
      </rPr>
      <t>室外</t>
    </r>
    <r>
      <rPr>
        <sz val="11"/>
        <color indexed="8"/>
        <rFont val="Calibri"/>
        <charset val="134"/>
      </rPr>
      <t>) RoHS KFR160W/BP3T1N1-E30(FAN9673+SDM30M60AC+SLIMDIP-S).JD.TY.MMK.MK1.14</t>
    </r>
  </si>
  <si>
    <t>T-MBQ1-02E</t>
  </si>
  <si>
    <r>
      <rPr>
        <sz val="11"/>
        <color theme="1"/>
        <rFont val="Calibri"/>
        <charset val="134"/>
      </rPr>
      <t>去</t>
    </r>
    <r>
      <rPr>
        <sz val="11"/>
        <color theme="1"/>
        <rFont val="Calibri"/>
        <charset val="134"/>
      </rPr>
      <t>MEL</t>
    </r>
    <r>
      <rPr>
        <sz val="11"/>
        <color theme="1"/>
        <rFont val="Calibri"/>
        <charset val="134"/>
      </rPr>
      <t>仓库</t>
    </r>
  </si>
  <si>
    <t>T-MBQ4- 03f</t>
  </si>
  <si>
    <t>For Melbourne showroom</t>
  </si>
  <si>
    <t>SR241219013</t>
  </si>
  <si>
    <r>
      <rPr>
        <sz val="11"/>
        <color theme="1"/>
        <rFont val="Calibri"/>
        <charset val="134"/>
      </rPr>
      <t>15411600A00005</t>
    </r>
  </si>
  <si>
    <r>
      <rPr>
        <sz val="11"/>
        <color theme="1"/>
        <rFont val="Calibri"/>
        <charset val="134"/>
      </rPr>
      <t>MBT quality claim-11</t>
    </r>
    <r>
      <rPr>
        <sz val="11"/>
        <color theme="1"/>
        <rFont val="Calibri"/>
        <charset val="134"/>
      </rPr>
      <t>月</t>
    </r>
    <r>
      <rPr>
        <sz val="11"/>
        <color theme="1"/>
        <rFont val="Calibri"/>
        <charset val="134"/>
      </rPr>
      <t xml:space="preserve">VRF </t>
    </r>
  </si>
  <si>
    <t>15411600A00001</t>
  </si>
  <si>
    <t>MDAJB250215D0009</t>
  </si>
  <si>
    <r>
      <rPr>
        <sz val="11"/>
        <color theme="1"/>
        <rFont val="Calibri"/>
        <charset val="134"/>
      </rPr>
      <t>售后下单配件</t>
    </r>
  </si>
  <si>
    <t>12120600004203</t>
  </si>
  <si>
    <t>Window Sealing Board</t>
  </si>
  <si>
    <t>MDAWB250215D0005</t>
  </si>
  <si>
    <t>12120600004204</t>
  </si>
  <si>
    <t>Inverter module subassembly</t>
  </si>
  <si>
    <t>17170000000440</t>
  </si>
  <si>
    <t>Digital Display</t>
  </si>
  <si>
    <t>MDOKB250215D0004</t>
  </si>
  <si>
    <r>
      <rPr>
        <sz val="11"/>
        <color theme="1"/>
        <rFont val="Calibri"/>
        <charset val="134"/>
      </rPr>
      <t>MCA</t>
    </r>
    <r>
      <rPr>
        <sz val="11"/>
        <color theme="1"/>
        <rFont val="Calibri"/>
        <charset val="134"/>
      </rPr>
      <t>赔付售后配件，</t>
    </r>
    <r>
      <rPr>
        <sz val="11"/>
        <color theme="1"/>
        <rFont val="Calibri"/>
        <charset val="134"/>
      </rPr>
      <t>FOC</t>
    </r>
  </si>
  <si>
    <t>2410019V</t>
  </si>
  <si>
    <t>17126000006190</t>
  </si>
  <si>
    <r>
      <rPr>
        <sz val="11"/>
        <color theme="1"/>
        <rFont val="Calibri"/>
        <charset val="134"/>
      </rPr>
      <t>MBT quality claim-10</t>
    </r>
    <r>
      <rPr>
        <sz val="11"/>
        <color theme="1"/>
        <rFont val="Calibri"/>
        <charset val="134"/>
      </rPr>
      <t>月</t>
    </r>
  </si>
  <si>
    <t>2410028V</t>
  </si>
  <si>
    <t>12122000031518</t>
  </si>
  <si>
    <t>12126000003344</t>
  </si>
  <si>
    <t>2411005V</t>
  </si>
  <si>
    <t>MBT quality claim-11月</t>
  </si>
  <si>
    <t>2411144V</t>
  </si>
  <si>
    <t>2411061V</t>
  </si>
  <si>
    <t>17401204023034</t>
  </si>
  <si>
    <t>MBT PQE线</t>
  </si>
  <si>
    <t>MBT赠送</t>
  </si>
  <si>
    <t>RAC_30_01_25</t>
  </si>
  <si>
    <t>By Air: UPS 1ZG074H80414167416</t>
  </si>
  <si>
    <t>17220300A00277</t>
  </si>
  <si>
    <t>MDAJBS10202503150004</t>
  </si>
  <si>
    <t>MBT_24_02_25</t>
  </si>
  <si>
    <r>
      <rPr>
        <sz val="11"/>
        <color rgb="FF000000"/>
        <rFont val="Calibri"/>
        <charset val="134"/>
      </rPr>
      <t>MDV-V200WN1(AU) </t>
    </r>
    <r>
      <rPr>
        <sz val="11"/>
        <color rgb="FF000000"/>
        <rFont val="Calibri"/>
        <charset val="134"/>
      </rPr>
      <t>铭牌</t>
    </r>
  </si>
  <si>
    <t>MDCASS21202503260172</t>
  </si>
  <si>
    <t>2025/4/31</t>
  </si>
  <si>
    <t>RAC关总帮忙带到澳洲</t>
  </si>
  <si>
    <t>16027000A75001</t>
  </si>
  <si>
    <r>
      <rPr>
        <sz val="11"/>
        <color rgb="FF000000"/>
        <rFont val="Calibri"/>
        <charset val="134"/>
      </rPr>
      <t>MDV-V230WN1(AU) </t>
    </r>
    <r>
      <rPr>
        <sz val="11"/>
        <color rgb="FF000000"/>
        <rFont val="Calibri"/>
        <charset val="134"/>
      </rPr>
      <t>铭牌</t>
    </r>
  </si>
  <si>
    <t>16027000A76251</t>
  </si>
  <si>
    <r>
      <rPr>
        <sz val="11"/>
        <color rgb="FF000000"/>
        <rFont val="Calibri"/>
        <charset val="134"/>
      </rPr>
      <t>MDV-V235WN1(AU)-A </t>
    </r>
    <r>
      <rPr>
        <sz val="11"/>
        <color rgb="FF000000"/>
        <rFont val="Calibri"/>
        <charset val="134"/>
      </rPr>
      <t>铭牌</t>
    </r>
  </si>
  <si>
    <t>MDAJB250315D0008</t>
  </si>
  <si>
    <t>MBT_18_12_24</t>
  </si>
  <si>
    <t>12100105000022</t>
  </si>
  <si>
    <t>Axial Fan</t>
  </si>
  <si>
    <t>Aftersales Spare Part</t>
  </si>
  <si>
    <t>15725300000783</t>
  </si>
  <si>
    <t>Titanium Heat Exchanger Assembly</t>
  </si>
  <si>
    <t>17400516000024</t>
  </si>
  <si>
    <t>Pressure Controller</t>
  </si>
  <si>
    <t>12125300002861</t>
  </si>
  <si>
    <t>Waterproof Box Assembly</t>
  </si>
  <si>
    <t>17125300004708</t>
  </si>
  <si>
    <t>Inverter Module Assembly</t>
  </si>
  <si>
    <t>11203103000145</t>
  </si>
  <si>
    <t>Linear Transformer</t>
  </si>
  <si>
    <t>17125300004709</t>
  </si>
  <si>
    <t>17400401000026</t>
  </si>
  <si>
    <t>Terminal Block</t>
  </si>
  <si>
    <t>17400401000214</t>
  </si>
  <si>
    <t>3-Position Terminal Block</t>
  </si>
  <si>
    <t>17400401001516</t>
  </si>
  <si>
    <t>17317100A35292</t>
  </si>
  <si>
    <t>11201007002463</t>
  </si>
  <si>
    <t>11201007001980</t>
  </si>
  <si>
    <t>Water Temperature Sensor</t>
  </si>
  <si>
    <t>11201007000382</t>
  </si>
  <si>
    <t>11201007000328</t>
  </si>
  <si>
    <t>11201007000039</t>
  </si>
  <si>
    <t>17400510000694</t>
  </si>
  <si>
    <t>Water Flow Switch</t>
  </si>
  <si>
    <t>17125300005246</t>
  </si>
  <si>
    <t>Module board assembly</t>
  </si>
  <si>
    <t>15725300000823</t>
  </si>
  <si>
    <t>Titanium heat exchanger components</t>
  </si>
  <si>
    <t>17127000A03661</t>
  </si>
  <si>
    <t>17127000008781</t>
  </si>
  <si>
    <t>Filter Board Assembly</t>
  </si>
  <si>
    <t>17111200A00621</t>
  </si>
  <si>
    <t>Communication Converter Module</t>
  </si>
  <si>
    <t>11201007000094</t>
  </si>
  <si>
    <t>11201007002460</t>
  </si>
  <si>
    <t>17122300003794</t>
  </si>
  <si>
    <t>17111200001301</t>
  </si>
  <si>
    <t>17127000009376</t>
  </si>
  <si>
    <t>Compressor Inverter Module Assembly</t>
  </si>
  <si>
    <t>17127000008527</t>
  </si>
  <si>
    <t>11201007000352</t>
  </si>
  <si>
    <t>11201007000164</t>
  </si>
  <si>
    <t>11201007000025</t>
  </si>
  <si>
    <t>Fan Assembly</t>
  </si>
  <si>
    <t>Electronic Expansion Valve</t>
  </si>
  <si>
    <t>Fan Inverter Module Assembly</t>
  </si>
  <si>
    <t>11201007000165</t>
  </si>
  <si>
    <t>12100105000027</t>
  </si>
  <si>
    <t>11002015000104</t>
  </si>
  <si>
    <t>17402001000499</t>
  </si>
  <si>
    <t>Compressor Electric Heater</t>
  </si>
  <si>
    <t>17127000009317</t>
  </si>
  <si>
    <t>Filter board assembly</t>
  </si>
  <si>
    <t>17400516000035</t>
  </si>
  <si>
    <t>15500213000907</t>
  </si>
  <si>
    <t>15500216000261</t>
  </si>
  <si>
    <t>Four-Way Valve</t>
  </si>
  <si>
    <t>17400516000018</t>
  </si>
  <si>
    <t>12110700A00021</t>
  </si>
  <si>
    <t xml:space="preserve">Pump box assembly </t>
  </si>
  <si>
    <t>2411037V</t>
  </si>
  <si>
    <t>MBT Quality Claim-11月</t>
  </si>
  <si>
    <t>2412088V</t>
  </si>
  <si>
    <t>12100102000956</t>
  </si>
  <si>
    <t>Cross Flow Fan Impeller</t>
  </si>
  <si>
    <r>
      <rPr>
        <sz val="11"/>
        <color theme="1"/>
        <rFont val="Calibri"/>
        <charset val="134"/>
      </rPr>
      <t>MBT Quality Claim-12</t>
    </r>
    <r>
      <rPr>
        <sz val="11"/>
        <color theme="1"/>
        <rFont val="Calibri"/>
        <charset val="134"/>
      </rPr>
      <t>月</t>
    </r>
  </si>
  <si>
    <t>2412146V</t>
  </si>
  <si>
    <t>RAC_08_01_25A</t>
  </si>
  <si>
    <t>By Air: DHL 6971770536</t>
  </si>
  <si>
    <t>Inverter Control Board</t>
  </si>
  <si>
    <t>MDAJBS10202501220973</t>
  </si>
  <si>
    <t>售后，空运</t>
  </si>
  <si>
    <t xml:space="preserve">Inverter Control Board </t>
  </si>
  <si>
    <t>售后配件</t>
  </si>
  <si>
    <t>17122000054487 </t>
  </si>
  <si>
    <t>MDCAS2503270020P</t>
  </si>
  <si>
    <t xml:space="preserve"> for Brisbane showroom</t>
  </si>
  <si>
    <t>KWHA_28_01_25</t>
  </si>
  <si>
    <t>11001011000449</t>
  </si>
  <si>
    <t>Permanent Magnet Synchronous Pump</t>
  </si>
  <si>
    <t>MDWDB250327D0003</t>
  </si>
  <si>
    <t>售后下单 for Pakenham Appliances</t>
  </si>
  <si>
    <t>MDWJB250326D0002</t>
  </si>
  <si>
    <t xml:space="preserve">RAC_28_02_25 </t>
  </si>
  <si>
    <t>Duct main control board subassembly</t>
  </si>
  <si>
    <t>MDAJB250409D0042B</t>
  </si>
  <si>
    <t>RAC_06_03_25</t>
  </si>
  <si>
    <t>Outdoor main control board</t>
  </si>
  <si>
    <t>MDV-V200WN1/Outdoor main control board assembly</t>
  </si>
  <si>
    <t>MBT Quality Claim-NOV.</t>
  </si>
  <si>
    <t>2411003V</t>
  </si>
  <si>
    <t>2412049V</t>
  </si>
  <si>
    <t>MBT Quality Claim-DEC.</t>
  </si>
  <si>
    <t>11002015A01257</t>
  </si>
  <si>
    <t>2025 Q1 RAC免散配件</t>
  </si>
  <si>
    <t>11002015A01198</t>
  </si>
  <si>
    <t>11002015A01199</t>
  </si>
  <si>
    <t>11002015008646</t>
  </si>
  <si>
    <t>11002015A01477</t>
  </si>
  <si>
    <t>12122000026241</t>
  </si>
  <si>
    <t>Air outlet grille</t>
  </si>
  <si>
    <t>12122000027145</t>
  </si>
  <si>
    <t>Bracket of remote Controller</t>
  </si>
  <si>
    <t>12122000026421</t>
  </si>
  <si>
    <t>17122000067848</t>
  </si>
  <si>
    <t>Inverter Control Board Subassembly</t>
  </si>
  <si>
    <t>17122000049303</t>
  </si>
  <si>
    <t>17122000049287</t>
  </si>
  <si>
    <t>17122000049295</t>
  </si>
  <si>
    <t>Main Control Board Subassembly</t>
  </si>
  <si>
    <t>17123000002992</t>
  </si>
  <si>
    <t>17122000065031</t>
  </si>
  <si>
    <t>17222000031999</t>
  </si>
  <si>
    <t>17222000032017</t>
  </si>
  <si>
    <t>17222000042396</t>
  </si>
  <si>
    <t>17222000039767</t>
  </si>
  <si>
    <t>17222000032016</t>
  </si>
  <si>
    <t>17222000A58269</t>
  </si>
  <si>
    <t>17317100A35061</t>
  </si>
  <si>
    <t>17317000A62892</t>
  </si>
  <si>
    <t>Remote controller</t>
  </si>
  <si>
    <t>17317000007594</t>
  </si>
  <si>
    <t>MBT_25_02_25</t>
  </si>
  <si>
    <t>MBT 50W核销配件</t>
  </si>
  <si>
    <t>Large Handle Assembly</t>
  </si>
  <si>
    <t>Fan Module Board Assembly</t>
  </si>
  <si>
    <t>Air Filter</t>
  </si>
  <si>
    <t>17226000A09353</t>
  </si>
  <si>
    <t>VRF Indoor Unit Display Box Assembly</t>
  </si>
  <si>
    <t>Water Level Switch</t>
  </si>
  <si>
    <t>Wind nets assembly</t>
  </si>
  <si>
    <t>Air Filter Assembly</t>
  </si>
  <si>
    <t>17122300A03897</t>
  </si>
  <si>
    <t>17126000A06037</t>
  </si>
  <si>
    <t>17126000A06036</t>
  </si>
  <si>
    <t>E-part box assembly</t>
  </si>
  <si>
    <t>17401204A04314</t>
  </si>
  <si>
    <t>Communication wires (EEV cable)</t>
  </si>
  <si>
    <t>Pump box assembly</t>
  </si>
  <si>
    <t>Drain Hose</t>
  </si>
  <si>
    <t>Panel Assembly</t>
  </si>
  <si>
    <t>2411065V</t>
  </si>
  <si>
    <t>MBT Quality Claim for Jan,2025</t>
  </si>
  <si>
    <t>2412061V</t>
  </si>
  <si>
    <t>11002010001286</t>
  </si>
  <si>
    <t>2412140V</t>
  </si>
  <si>
    <t>2412194V</t>
  </si>
  <si>
    <t>2501020V</t>
  </si>
  <si>
    <t>11002015016132</t>
  </si>
  <si>
    <t>2501050V</t>
  </si>
  <si>
    <t>2501075V</t>
  </si>
  <si>
    <t>12127000001016</t>
  </si>
  <si>
    <t>Wind Nets Assembly</t>
  </si>
  <si>
    <t>2501078V</t>
  </si>
  <si>
    <t>2501096V</t>
  </si>
  <si>
    <t>17126000006189</t>
  </si>
  <si>
    <t>2501142V</t>
  </si>
  <si>
    <t>2501186V</t>
  </si>
  <si>
    <t>17317000010721</t>
  </si>
  <si>
    <t>2502229V</t>
  </si>
  <si>
    <t>2501051V</t>
  </si>
  <si>
    <t>17127200002015</t>
  </si>
  <si>
    <t>MBT Quality Claim for Feb,2025</t>
  </si>
  <si>
    <r>
      <rPr>
        <sz val="11"/>
        <color rgb="FF000000"/>
        <rFont val="Calibri"/>
        <charset val="134"/>
      </rPr>
      <t>Outdoor </t>
    </r>
    <r>
      <rPr>
        <sz val="11"/>
        <color rgb="FF000000"/>
        <rFont val="Calibri"/>
        <charset val="134"/>
      </rPr>
      <t> </t>
    </r>
    <r>
      <rPr>
        <sz val="11"/>
        <color rgb="FF000000"/>
        <rFont val="Calibri"/>
        <charset val="134"/>
      </rPr>
      <t>main control board assembly</t>
    </r>
  </si>
  <si>
    <t>2501157V</t>
  </si>
  <si>
    <t>2501167V</t>
  </si>
  <si>
    <t>17226000005902</t>
  </si>
  <si>
    <t>VRF Indoor Unit Display Box AssemblyVRF</t>
  </si>
  <si>
    <t>17317000A66573</t>
  </si>
  <si>
    <t>MBT Quality Claim for Feb,2025. 申请的code是美的牌，实际装入的是无牌</t>
  </si>
  <si>
    <t>2502007V</t>
  </si>
  <si>
    <t>12100102001136</t>
  </si>
  <si>
    <t>2502016V</t>
  </si>
  <si>
    <t>2502070V</t>
  </si>
  <si>
    <t>11002015012369</t>
  </si>
  <si>
    <t>2502162V</t>
  </si>
  <si>
    <t>2502227V</t>
  </si>
  <si>
    <t>MDAJB250430D0008</t>
  </si>
  <si>
    <t>2025 Q1 RAC免散配件.For NSW+WA+SA</t>
  </si>
  <si>
    <t xml:space="preserve">    </t>
  </si>
  <si>
    <t>By Air: DHL 9682030411</t>
  </si>
  <si>
    <t>17227000007061</t>
  </si>
  <si>
    <t>MDCASS21202505260108</t>
  </si>
  <si>
    <t>MBT50W核销配件，短装</t>
  </si>
  <si>
    <t>舒工安排的售后sample, FOC</t>
  </si>
  <si>
    <t>Main Control Board</t>
  </si>
  <si>
    <t>Air Wind nets assembly</t>
  </si>
  <si>
    <t>MULMI0619B铭牌</t>
  </si>
  <si>
    <t>RAC Henry 6.3带去澳洲</t>
  </si>
  <si>
    <t>MDAJB250526D0006</t>
  </si>
  <si>
    <t>2025 Q1 RAC免散配件.For NSW+WA+SA 短装</t>
  </si>
  <si>
    <t>RAC_03_04_25</t>
  </si>
  <si>
    <t>MDAJB250526D0005</t>
  </si>
  <si>
    <t>RAC_23_04_25</t>
  </si>
  <si>
    <t>17122300003980</t>
  </si>
  <si>
    <t>Inverter Module Subassembly</t>
  </si>
  <si>
    <t>售后配件，V25042291</t>
  </si>
  <si>
    <t>RAC_01_05_25</t>
  </si>
  <si>
    <t>MDANB250526D0003</t>
  </si>
  <si>
    <t>MBT_22_05_25</t>
  </si>
  <si>
    <t>By Air: DHL 2820919032</t>
  </si>
  <si>
    <t>11002015000066</t>
  </si>
  <si>
    <t>MDCABS21202506300110</t>
  </si>
  <si>
    <t>空运，客人配件单PO#312263-SEELEY</t>
  </si>
  <si>
    <t>17127000001177</t>
  </si>
  <si>
    <t>Power Board Subassembly</t>
  </si>
  <si>
    <t>MBT_23_05_25</t>
  </si>
  <si>
    <t>By Air: DHL 4601554694</t>
  </si>
  <si>
    <t>17122300001346</t>
  </si>
  <si>
    <t>MDCABS212025007010110</t>
  </si>
  <si>
    <t>PNG</t>
  </si>
  <si>
    <t>空运DHL，寄去PNG
Gary：6.30发出 ，他去借了5个</t>
  </si>
  <si>
    <t xml:space="preserve">
</t>
  </si>
  <si>
    <t>MBT_30_04_25</t>
  </si>
  <si>
    <t>By Air: 
UPS 1ZG074H8E120144143</t>
  </si>
  <si>
    <t>MDCABS21202506260051</t>
  </si>
  <si>
    <t>空运到 MEL，售后配件</t>
  </si>
  <si>
    <t>Check box</t>
  </si>
  <si>
    <t>Surface-Mount Components Assembly of Display Circuit Board</t>
  </si>
  <si>
    <t>MBT_30_04_25C</t>
  </si>
  <si>
    <t>Communication wires</t>
  </si>
  <si>
    <t>MBT_16_05_25</t>
  </si>
  <si>
    <t>15417400A00751</t>
  </si>
  <si>
    <t>Four-Way Valve kit</t>
  </si>
  <si>
    <t>范工下单，售后维修用</t>
  </si>
  <si>
    <t>15417400A00753</t>
  </si>
  <si>
    <t>15417400A00754</t>
  </si>
  <si>
    <t>MBT_27_03_25</t>
  </si>
  <si>
    <t>MBT核销，追加4w</t>
  </si>
  <si>
    <t>Electrical Control Box Assembly</t>
  </si>
  <si>
    <t>MBT_25_02_25B</t>
  </si>
  <si>
    <t>MBT 50W核销配件，短装</t>
  </si>
  <si>
    <t>MBT_30_04_25 B</t>
  </si>
  <si>
    <t>Communication wires-PQE通讯线</t>
  </si>
  <si>
    <t xml:space="preserve">海运 MEL，售后配件. </t>
  </si>
  <si>
    <t xml:space="preserve">Duncan借用澳洲库存，工厂补回. </t>
  </si>
  <si>
    <t>2503011V</t>
  </si>
  <si>
    <r>
      <rPr>
        <sz val="11"/>
        <color rgb="FF000000"/>
        <rFont val="Calibri"/>
        <charset val="134"/>
      </rPr>
      <t>Outdoor main control board assembly </t>
    </r>
    <r>
      <rPr>
        <sz val="11"/>
        <color rgb="FF000000"/>
        <rFont val="宋体"/>
        <charset val="134"/>
      </rPr>
      <t>室外主控板组件</t>
    </r>
  </si>
  <si>
    <t>MBT Quality Claim for Mar,2025</t>
  </si>
  <si>
    <t>2502009V</t>
  </si>
  <si>
    <t>12110700000024</t>
  </si>
  <si>
    <t>水泵组件</t>
  </si>
  <si>
    <t>2502015V</t>
  </si>
  <si>
    <t>2502018V</t>
  </si>
  <si>
    <t>2502183V</t>
  </si>
  <si>
    <t>2502238V</t>
  </si>
  <si>
    <t>2502255V</t>
  </si>
  <si>
    <t>11002015018272</t>
  </si>
  <si>
    <t>2502261V</t>
  </si>
  <si>
    <t>2503018V</t>
  </si>
  <si>
    <t>2503041V</t>
  </si>
  <si>
    <t>2503099V</t>
  </si>
  <si>
    <t>2503106V</t>
  </si>
  <si>
    <t>17317100009437</t>
  </si>
  <si>
    <t>wire controller</t>
  </si>
  <si>
    <t>2503150V</t>
  </si>
  <si>
    <t>2503164V</t>
  </si>
  <si>
    <t>11201007005723</t>
  </si>
  <si>
    <t>2503187V</t>
  </si>
  <si>
    <r>
      <rPr>
        <sz val="11"/>
        <color rgb="FF000000"/>
        <rFont val="Calibri"/>
        <charset val="134"/>
      </rPr>
      <t>Brushless DC Motor </t>
    </r>
    <r>
      <rPr>
        <sz val="11"/>
        <color rgb="FF000000"/>
        <rFont val="宋体"/>
        <charset val="134"/>
      </rPr>
      <t>无刷直流电机</t>
    </r>
  </si>
  <si>
    <t>2503225V</t>
  </si>
  <si>
    <t>17400401000253</t>
  </si>
  <si>
    <t>Wire Joint</t>
  </si>
  <si>
    <t>2504043V</t>
  </si>
  <si>
    <t>MBT Quality Claim for Apr,2025</t>
  </si>
  <si>
    <t>2504085V</t>
  </si>
  <si>
    <t>2504010V</t>
  </si>
  <si>
    <t>12126000000144</t>
  </si>
  <si>
    <t>Pipe</t>
  </si>
  <si>
    <t>2504013V</t>
  </si>
  <si>
    <t>2504038V</t>
  </si>
  <si>
    <t>2504040V</t>
  </si>
  <si>
    <t>17122300007693</t>
  </si>
  <si>
    <t>Indoor unit main control board</t>
  </si>
  <si>
    <t>2504065V</t>
  </si>
  <si>
    <t>17317000012384</t>
  </si>
  <si>
    <t>2504071V</t>
  </si>
  <si>
    <t>2504087V</t>
  </si>
  <si>
    <t>temp sensor</t>
  </si>
  <si>
    <t>2504124V</t>
  </si>
  <si>
    <t>2505034V</t>
  </si>
  <si>
    <t>MBT_20_05_25</t>
  </si>
  <si>
    <t>17317100006816</t>
  </si>
  <si>
    <t>Wired Controller</t>
  </si>
  <si>
    <t>Edwin: 人肉带回. 6.25 Edwin确认随柜出
已完货</t>
  </si>
  <si>
    <t>MBT_30_05_25</t>
  </si>
  <si>
    <t>By Air: TNT 214659875</t>
  </si>
  <si>
    <t>MDCABS21202507230152</t>
  </si>
  <si>
    <t>已完货。原定空运，7/16 Delia开会确认海运。
6.23 工厂答复钣金刮花了，现在拆出来要重新返修。</t>
  </si>
  <si>
    <t>MBT_16_06_25</t>
  </si>
  <si>
    <t>6.16 Justin通知下单，海运，已完货</t>
  </si>
  <si>
    <t>MCA_09_07_25</t>
  </si>
  <si>
    <t>By Air: UPS 
1ZB600R50421694177</t>
  </si>
  <si>
    <t>17471100000345</t>
  </si>
  <si>
    <t>Switch on-offer (MFS90GSS)</t>
  </si>
  <si>
    <t>MDOKS508040372</t>
  </si>
  <si>
    <t>空运，张工下单，售后需求TK-2507063，已货好</t>
  </si>
  <si>
    <t>17471100000336</t>
  </si>
  <si>
    <t>Inflatable Thermostat (MFS90GSS Energy regulator)</t>
  </si>
  <si>
    <t>17171100000056</t>
  </si>
  <si>
    <t>Display Board (MFS90GSS timer)</t>
  </si>
  <si>
    <t>MBT_03_06_25</t>
  </si>
  <si>
    <t>15111700000352</t>
  </si>
  <si>
    <t>Branch Pipe Assembly FQZHN-01D</t>
  </si>
  <si>
    <t>海运，市场部需求-0.28cbm
已完货，原定ETD 7.16. 现推到ETD 7.23
之前工厂发错货</t>
  </si>
  <si>
    <t>17311500000461</t>
  </si>
  <si>
    <t>Central Controller CCM-180A/BWS(A)</t>
  </si>
  <si>
    <t>MBT_13_06_25</t>
  </si>
  <si>
    <t>安装需要，范工下单
和80个FQH-03一起出，已完货</t>
  </si>
  <si>
    <t>MBT_18_07_25</t>
  </si>
  <si>
    <t>By Air: UPS 1ZG074H80439352544</t>
  </si>
  <si>
    <t>MDCABS21202508130142</t>
  </si>
  <si>
    <r>
      <rPr>
        <sz val="11"/>
        <color rgb="FF000000"/>
        <rFont val="Calibri"/>
        <charset val="134"/>
      </rPr>
      <t xml:space="preserve">Compact配件单PO00000384 &amp; PO00000551，空运，货好通知Martin Wang. 已货好. </t>
    </r>
    <r>
      <rPr>
        <sz val="11"/>
        <color rgb="FF000000"/>
        <rFont val="Calibri"/>
        <charset val="134"/>
      </rPr>
      <t>我们安排空运到东仓，客户自提</t>
    </r>
  </si>
  <si>
    <t>RAC_08_05_25</t>
  </si>
  <si>
    <t>12225300014436</t>
  </si>
  <si>
    <t>Wire connecting box assembly</t>
  </si>
  <si>
    <t>MDAWB250716D0003</t>
  </si>
  <si>
    <t>热水机配件</t>
  </si>
  <si>
    <t>17225300003903</t>
  </si>
  <si>
    <t>Water Heater Wire Control Display Box Component</t>
  </si>
  <si>
    <t>17225300005100</t>
  </si>
  <si>
    <t>12100105001561</t>
  </si>
  <si>
    <t>11002015020094</t>
  </si>
  <si>
    <t>15425300004468</t>
  </si>
  <si>
    <t>Four-way valve assembly</t>
  </si>
  <si>
    <t>15425300004466</t>
  </si>
  <si>
    <t>Expansion valve  assembly</t>
  </si>
  <si>
    <t>12925300000473</t>
  </si>
  <si>
    <t>Magnesium rod</t>
  </si>
  <si>
    <t>17400513000051</t>
  </si>
  <si>
    <t>Thermostat</t>
  </si>
  <si>
    <t>17402008A00041</t>
  </si>
  <si>
    <t>Electric Water Heater Tube</t>
  </si>
  <si>
    <t>11201011001167</t>
  </si>
  <si>
    <t>Combination Sensor</t>
  </si>
  <si>
    <t>12225300014759</t>
  </si>
  <si>
    <t>Junction box cover</t>
  </si>
  <si>
    <t>12125300003560</t>
  </si>
  <si>
    <t>Display box assembly</t>
  </si>
  <si>
    <t>12225300014795</t>
  </si>
  <si>
    <t>Electric heater cover</t>
  </si>
  <si>
    <t>12225300014796</t>
  </si>
  <si>
    <t>15525300000148</t>
  </si>
  <si>
    <t>Drain Plug Assembly</t>
  </si>
  <si>
    <t>12125300003500</t>
  </si>
  <si>
    <t>Drainage pipe</t>
  </si>
  <si>
    <t>17225300005101</t>
  </si>
  <si>
    <t>12100105001421</t>
  </si>
  <si>
    <t>15425300004469</t>
  </si>
  <si>
    <t>15425300004467</t>
  </si>
  <si>
    <t>Expansion valve assembly</t>
  </si>
  <si>
    <t>12925300000472</t>
  </si>
  <si>
    <t>12225300015335</t>
  </si>
  <si>
    <t>17225300A01739</t>
  </si>
  <si>
    <t>E-box assembly</t>
  </si>
  <si>
    <t>17402008000044</t>
  </si>
  <si>
    <t>Electric Booster Heater</t>
  </si>
  <si>
    <t>17225300004800</t>
  </si>
  <si>
    <t>17225300004681</t>
  </si>
  <si>
    <t>17225300004680</t>
  </si>
  <si>
    <t>15425300005020</t>
  </si>
  <si>
    <t>17402008000221</t>
  </si>
  <si>
    <t>17225300004821</t>
  </si>
  <si>
    <t>17225300004722</t>
  </si>
  <si>
    <t>17225300004840</t>
  </si>
  <si>
    <t>11002015023055</t>
  </si>
  <si>
    <t>15425300005220</t>
  </si>
  <si>
    <t>12925300000712</t>
  </si>
  <si>
    <t>11201011001291</t>
  </si>
  <si>
    <t>RAC_08_05_25B</t>
  </si>
  <si>
    <t>MDAWB250721D0011</t>
  </si>
  <si>
    <t>MBT-290</t>
  </si>
  <si>
    <t>已完货。原定空运，7/23 Edwin确认海运。
6.23 工厂答复钣金刮花了，现在拆出来要重新返修。</t>
  </si>
  <si>
    <t>2504127V</t>
  </si>
  <si>
    <t>水泵盒组件</t>
  </si>
  <si>
    <t>MBT Quality Claim for May,2025</t>
  </si>
  <si>
    <t>2505169V</t>
  </si>
  <si>
    <t>室内主控板组件</t>
  </si>
  <si>
    <t>2505084V</t>
  </si>
  <si>
    <t>2505006V</t>
  </si>
  <si>
    <t>17126000007330</t>
  </si>
  <si>
    <t>VRF Indoor Display Board</t>
  </si>
  <si>
    <t>2506017V
2506024V</t>
  </si>
  <si>
    <t>遥控器</t>
  </si>
  <si>
    <t>2505072V</t>
  </si>
  <si>
    <t>2505175V</t>
  </si>
  <si>
    <t>多联机室内机显示盒组件</t>
  </si>
  <si>
    <t>2505127V
2505161V
2506022V</t>
  </si>
  <si>
    <t>室外主控板组件</t>
  </si>
  <si>
    <t>2506220V</t>
  </si>
  <si>
    <t>MBT Quality Claim for June,2025</t>
  </si>
  <si>
    <t>2506208V</t>
  </si>
  <si>
    <t>2506094V
2507025V</t>
  </si>
  <si>
    <t>Outdoor main control board assembly 室外主控板组件</t>
  </si>
  <si>
    <t>Pending-暂不出货</t>
  </si>
  <si>
    <t>已完货。原定空运。
6.23 工厂答复钣金刮花了，现在拆出来要重新返修。</t>
  </si>
  <si>
    <t>RAC免散额度配件20250730
ERP:PO250805058</t>
  </si>
  <si>
    <t>17122000023875</t>
  </si>
  <si>
    <t>RAC新品免散额度，售后需求，海运</t>
  </si>
  <si>
    <t>17222000039628</t>
  </si>
  <si>
    <t>MBT_30_07_25</t>
  </si>
  <si>
    <t>17400302000245</t>
  </si>
  <si>
    <t>Electronic Expansion Valve Coil</t>
  </si>
  <si>
    <t>Edwin下单，售后需求，随柜出</t>
  </si>
  <si>
    <t>RAC免散额度配件20250812
ERP:PO250812067</t>
  </si>
  <si>
    <t>RAC新品免散额度，正常补货需求，海运</t>
  </si>
  <si>
    <t>17222000A42150</t>
  </si>
  <si>
    <t>Indoor Electronic control box subassembly</t>
  </si>
  <si>
    <t>17222000A42151</t>
  </si>
  <si>
    <t>17122000A19807</t>
  </si>
  <si>
    <t>17122000045723</t>
  </si>
  <si>
    <t>17122000023872</t>
  </si>
  <si>
    <t>17122000045705</t>
  </si>
  <si>
    <t>17122000044912</t>
  </si>
  <si>
    <t>17317000007777</t>
  </si>
  <si>
    <t>Cross flow fan</t>
  </si>
  <si>
    <t>17122000A19810</t>
  </si>
  <si>
    <t>17122000A38396</t>
  </si>
  <si>
    <t>17122000A18351</t>
  </si>
  <si>
    <t>17123000003752</t>
  </si>
  <si>
    <t>11002015012308</t>
  </si>
  <si>
    <t>17310900A08303</t>
  </si>
  <si>
    <t>WIFI module subassembly</t>
  </si>
  <si>
    <t>MCA_21_08_25</t>
  </si>
  <si>
    <t>海运，张工下单</t>
  </si>
  <si>
    <t>RAC免散额度配件20250821</t>
  </si>
  <si>
    <t>17122000007008</t>
  </si>
  <si>
    <t>Display board subassembly</t>
  </si>
  <si>
    <t>海运，售后RAC配件需求</t>
  </si>
  <si>
    <t>RAC免散额度配件20250822</t>
  </si>
  <si>
    <t>indoor main control board</t>
  </si>
  <si>
    <t>海运，补充到QLD仓库的RAC配件</t>
  </si>
  <si>
    <t>outdoor main control board</t>
  </si>
  <si>
    <t>outdoor inverter module subassembly</t>
  </si>
  <si>
    <t>indoor fan drive board</t>
  </si>
  <si>
    <t>17122300001032</t>
  </si>
  <si>
    <t>outdoor inverter control board subassembly</t>
  </si>
  <si>
    <t>17222000012888</t>
  </si>
  <si>
    <t>Outdoor electronic control box</t>
  </si>
  <si>
    <t>17122000021908</t>
  </si>
  <si>
    <t>outdoor fan drive board</t>
  </si>
  <si>
    <t>17122500001774</t>
  </si>
  <si>
    <t>outdoor terminal board</t>
  </si>
  <si>
    <t>indoor fan motor</t>
  </si>
  <si>
    <t>Department</t>
  </si>
  <si>
    <t>冰箱样品</t>
  </si>
  <si>
    <t>Sales</t>
  </si>
  <si>
    <r>
      <rPr>
        <sz val="10"/>
        <rFont val="Calibri"/>
        <charset val="134"/>
      </rPr>
      <t>NCE</t>
    </r>
    <r>
      <rPr>
        <sz val="10"/>
        <rFont val="宋体"/>
        <charset val="134"/>
      </rPr>
      <t>公司</t>
    </r>
  </si>
  <si>
    <t>MFAG35VA-N Indoor unit</t>
  </si>
  <si>
    <t>MDAJB241107D0005</t>
  </si>
  <si>
    <t>Marketing</t>
  </si>
  <si>
    <r>
      <rPr>
        <sz val="10"/>
        <rFont val="Calibri"/>
        <charset val="134"/>
      </rPr>
      <t>RAC</t>
    </r>
    <r>
      <rPr>
        <sz val="10"/>
        <rFont val="宋体"/>
        <charset val="134"/>
      </rPr>
      <t>道具</t>
    </r>
  </si>
  <si>
    <t>MFAG35VA-X3 Outdoor unit</t>
  </si>
  <si>
    <r>
      <rPr>
        <sz val="10"/>
        <rFont val="Calibri"/>
        <charset val="134"/>
      </rPr>
      <t xml:space="preserve">Promotional material </t>
    </r>
    <r>
      <rPr>
        <sz val="10"/>
        <rFont val="宋体"/>
        <charset val="134"/>
      </rPr>
      <t>无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屏幕演示道具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无</t>
    </r>
  </si>
  <si>
    <r>
      <rPr>
        <sz val="10"/>
        <rFont val="Calibri"/>
        <charset val="134"/>
      </rPr>
      <t xml:space="preserve">Promotional material </t>
    </r>
    <r>
      <rPr>
        <sz val="10"/>
        <rFont val="宋体"/>
        <charset val="134"/>
      </rPr>
      <t>无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石墨烯中型道具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无</t>
    </r>
  </si>
  <si>
    <r>
      <rPr>
        <sz val="10"/>
        <rFont val="Calibri"/>
        <charset val="134"/>
      </rPr>
      <t xml:space="preserve">Promotional material </t>
    </r>
    <r>
      <rPr>
        <sz val="10"/>
        <rFont val="宋体"/>
        <charset val="134"/>
      </rPr>
      <t>无</t>
    </r>
    <r>
      <rPr>
        <sz val="10"/>
        <rFont val="Calibri"/>
        <charset val="134"/>
      </rPr>
      <t xml:space="preserve"> AEP-2400H </t>
    </r>
    <r>
      <rPr>
        <sz val="10"/>
        <rFont val="宋体"/>
        <charset val="134"/>
      </rPr>
      <t>无</t>
    </r>
  </si>
  <si>
    <r>
      <rPr>
        <sz val="10"/>
        <rFont val="Calibri"/>
        <charset val="134"/>
      </rPr>
      <t>RAC</t>
    </r>
    <r>
      <rPr>
        <sz val="10"/>
        <rFont val="宋体"/>
        <charset val="134"/>
      </rPr>
      <t>展架</t>
    </r>
  </si>
  <si>
    <r>
      <rPr>
        <sz val="10"/>
        <rFont val="Calibri"/>
        <charset val="134"/>
      </rPr>
      <t xml:space="preserve">Promotional material </t>
    </r>
    <r>
      <rPr>
        <sz val="10"/>
        <rFont val="宋体"/>
        <charset val="134"/>
      </rPr>
      <t>无</t>
    </r>
    <r>
      <rPr>
        <sz val="10"/>
        <rFont val="Calibri"/>
        <charset val="134"/>
      </rPr>
      <t xml:space="preserve"> WG+</t>
    </r>
    <r>
      <rPr>
        <sz val="10"/>
        <rFont val="宋体"/>
        <charset val="134"/>
      </rPr>
      <t>分体</t>
    </r>
    <r>
      <rPr>
        <sz val="10"/>
        <rFont val="Calibri"/>
        <charset val="134"/>
      </rPr>
      <t>+</t>
    </r>
    <r>
      <rPr>
        <sz val="10"/>
        <rFont val="宋体"/>
        <charset val="134"/>
      </rPr>
      <t>风管</t>
    </r>
    <r>
      <rPr>
        <sz val="10"/>
        <rFont val="Calibri"/>
        <charset val="134"/>
      </rPr>
      <t>-2400H</t>
    </r>
    <r>
      <rPr>
        <sz val="10"/>
        <rFont val="宋体"/>
        <charset val="134"/>
      </rPr>
      <t>（大）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无</t>
    </r>
  </si>
  <si>
    <r>
      <rPr>
        <sz val="10"/>
        <rFont val="Calibri"/>
        <charset val="134"/>
      </rPr>
      <t xml:space="preserve">Promotional material </t>
    </r>
    <r>
      <rPr>
        <sz val="10"/>
        <rFont val="宋体"/>
        <charset val="134"/>
      </rPr>
      <t>无</t>
    </r>
    <r>
      <rPr>
        <sz val="10"/>
        <rFont val="Calibri"/>
        <charset val="134"/>
      </rPr>
      <t xml:space="preserve"> WG+</t>
    </r>
    <r>
      <rPr>
        <sz val="10"/>
        <rFont val="宋体"/>
        <charset val="134"/>
      </rPr>
      <t>分体</t>
    </r>
    <r>
      <rPr>
        <sz val="10"/>
        <rFont val="Calibri"/>
        <charset val="134"/>
      </rPr>
      <t>+</t>
    </r>
    <r>
      <rPr>
        <sz val="10"/>
        <rFont val="宋体"/>
        <charset val="134"/>
      </rPr>
      <t>风管</t>
    </r>
    <r>
      <rPr>
        <sz val="10"/>
        <rFont val="Calibri"/>
        <charset val="134"/>
      </rPr>
      <t>-2400H</t>
    </r>
    <r>
      <rPr>
        <sz val="10"/>
        <rFont val="宋体"/>
        <charset val="134"/>
      </rPr>
      <t>（小）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无</t>
    </r>
  </si>
  <si>
    <r>
      <rPr>
        <sz val="10"/>
        <rFont val="Calibri"/>
        <charset val="134"/>
      </rPr>
      <t xml:space="preserve">Promotional material </t>
    </r>
    <r>
      <rPr>
        <sz val="10"/>
        <rFont val="宋体"/>
        <charset val="134"/>
      </rPr>
      <t>无</t>
    </r>
    <r>
      <rPr>
        <sz val="10"/>
        <rFont val="Calibri"/>
        <charset val="134"/>
      </rPr>
      <t xml:space="preserve"> XtremeSave-2400H </t>
    </r>
    <r>
      <rPr>
        <sz val="10"/>
        <rFont val="宋体"/>
        <charset val="134"/>
      </rPr>
      <t>无</t>
    </r>
  </si>
  <si>
    <r>
      <rPr>
        <sz val="10"/>
        <rFont val="Calibri"/>
        <charset val="134"/>
      </rPr>
      <t xml:space="preserve">Promotional material </t>
    </r>
    <r>
      <rPr>
        <sz val="10"/>
        <rFont val="宋体"/>
        <charset val="134"/>
      </rPr>
      <t>无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冷霸</t>
    </r>
    <r>
      <rPr>
        <sz val="10"/>
        <rFont val="Calibri"/>
        <charset val="134"/>
      </rPr>
      <t xml:space="preserve">-2400H </t>
    </r>
    <r>
      <rPr>
        <sz val="10"/>
        <rFont val="宋体"/>
        <charset val="134"/>
      </rPr>
      <t>无</t>
    </r>
  </si>
  <si>
    <r>
      <rPr>
        <sz val="10"/>
        <rFont val="Calibri"/>
        <charset val="134"/>
      </rPr>
      <t xml:space="preserve">Promotional material </t>
    </r>
    <r>
      <rPr>
        <sz val="10"/>
        <rFont val="宋体"/>
        <charset val="134"/>
      </rPr>
      <t>无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标准版（内机）</t>
    </r>
    <r>
      <rPr>
        <sz val="10"/>
        <rFont val="Calibri"/>
        <charset val="134"/>
      </rPr>
      <t xml:space="preserve">-2400H </t>
    </r>
    <r>
      <rPr>
        <sz val="10"/>
        <rFont val="宋体"/>
        <charset val="134"/>
      </rPr>
      <t>无</t>
    </r>
  </si>
  <si>
    <t>行李箱</t>
  </si>
  <si>
    <t>工具包</t>
  </si>
  <si>
    <t>Aftersales</t>
  </si>
  <si>
    <r>
      <rPr>
        <sz val="10"/>
        <rFont val="Calibri"/>
        <charset val="134"/>
      </rPr>
      <t xml:space="preserve">MFAB70NB </t>
    </r>
    <r>
      <rPr>
        <sz val="10"/>
        <rFont val="宋体"/>
        <charset val="134"/>
      </rPr>
      <t>纸箱</t>
    </r>
  </si>
  <si>
    <t>Warehouse</t>
  </si>
  <si>
    <r>
      <rPr>
        <sz val="10"/>
        <rFont val="宋体"/>
        <charset val="134"/>
      </rPr>
      <t>补柜号：</t>
    </r>
    <r>
      <rPr>
        <sz val="10"/>
        <rFont val="Calibri"/>
        <charset val="134"/>
      </rPr>
      <t>BHCU5008651</t>
    </r>
    <r>
      <rPr>
        <sz val="10"/>
        <rFont val="宋体"/>
        <charset val="134"/>
      </rPr>
      <t>里面，</t>
    </r>
    <r>
      <rPr>
        <sz val="10"/>
        <rFont val="Calibri"/>
        <charset val="134"/>
      </rPr>
      <t>MFAB70NB</t>
    </r>
    <r>
      <rPr>
        <sz val="10"/>
        <rFont val="宋体"/>
        <charset val="134"/>
      </rPr>
      <t>的纸箱</t>
    </r>
  </si>
  <si>
    <r>
      <rPr>
        <sz val="10"/>
        <rFont val="Calibri"/>
        <charset val="134"/>
      </rPr>
      <t xml:space="preserve">Nick </t>
    </r>
    <r>
      <rPr>
        <sz val="10"/>
        <rFont val="宋体"/>
        <charset val="134"/>
      </rPr>
      <t>名片</t>
    </r>
  </si>
  <si>
    <r>
      <rPr>
        <sz val="10"/>
        <rFont val="宋体"/>
        <charset val="134"/>
      </rPr>
      <t>放在其中一箱工具包里，外箱有写：</t>
    </r>
    <r>
      <rPr>
        <sz val="10"/>
        <rFont val="Calibri"/>
        <charset val="134"/>
      </rPr>
      <t>Nick</t>
    </r>
    <r>
      <rPr>
        <sz val="10"/>
        <rFont val="宋体"/>
        <charset val="134"/>
      </rPr>
      <t>名片</t>
    </r>
  </si>
  <si>
    <r>
      <rPr>
        <sz val="10"/>
        <rFont val="Calibri"/>
        <charset val="134"/>
      </rPr>
      <t>SDA-MEC60</t>
    </r>
    <r>
      <rPr>
        <sz val="10"/>
        <rFont val="宋体"/>
        <charset val="134"/>
      </rPr>
      <t>咖箱</t>
    </r>
  </si>
  <si>
    <t>FOC</t>
  </si>
  <si>
    <r>
      <rPr>
        <sz val="10"/>
        <rFont val="Calibri"/>
        <charset val="134"/>
      </rPr>
      <t>RAC</t>
    </r>
    <r>
      <rPr>
        <sz val="10"/>
        <rFont val="宋体"/>
        <charset val="134"/>
      </rPr>
      <t>简易展架</t>
    </r>
    <r>
      <rPr>
        <sz val="10"/>
        <rFont val="Calibri"/>
        <charset val="134"/>
      </rPr>
      <t xml:space="preserve"> -</t>
    </r>
    <r>
      <rPr>
        <sz val="10"/>
        <rFont val="宋体"/>
        <charset val="134"/>
      </rPr>
      <t>美的牌</t>
    </r>
  </si>
  <si>
    <r>
      <rPr>
        <sz val="10"/>
        <rFont val="Calibri"/>
        <charset val="134"/>
      </rPr>
      <t xml:space="preserve">RAC </t>
    </r>
    <r>
      <rPr>
        <sz val="10"/>
        <rFont val="宋体"/>
        <charset val="134"/>
      </rPr>
      <t>展架，</t>
    </r>
    <r>
      <rPr>
        <sz val="10"/>
        <rFont val="Calibri"/>
        <charset val="134"/>
      </rPr>
      <t>6.3CBM</t>
    </r>
  </si>
  <si>
    <r>
      <rPr>
        <sz val="10"/>
        <rFont val="Calibri"/>
        <charset val="134"/>
      </rPr>
      <t>MBT</t>
    </r>
    <r>
      <rPr>
        <sz val="10"/>
        <rFont val="宋体"/>
        <charset val="134"/>
      </rPr>
      <t>行李箱</t>
    </r>
  </si>
  <si>
    <r>
      <rPr>
        <sz val="10"/>
        <rFont val="Calibri"/>
        <charset val="134"/>
      </rPr>
      <t>MBT10</t>
    </r>
    <r>
      <rPr>
        <sz val="10"/>
        <rFont val="宋体"/>
        <charset val="134"/>
      </rPr>
      <t>个行李箱</t>
    </r>
  </si>
  <si>
    <t>卡片（道歉卡）</t>
  </si>
  <si>
    <t>采购物料</t>
  </si>
  <si>
    <t>卡片（感谢卡）</t>
  </si>
  <si>
    <t>水平卷尺</t>
  </si>
  <si>
    <r>
      <rPr>
        <sz val="10"/>
        <rFont val="宋体"/>
        <charset val="134"/>
      </rPr>
      <t>纸箱</t>
    </r>
    <r>
      <rPr>
        <sz val="10"/>
        <rFont val="Calibri"/>
        <charset val="134"/>
      </rPr>
      <t xml:space="preserve">
</t>
    </r>
    <r>
      <rPr>
        <sz val="10"/>
        <rFont val="宋体"/>
        <charset val="134"/>
      </rPr>
      <t>大盒</t>
    </r>
    <r>
      <rPr>
        <sz val="10"/>
        <rFont val="Calibri"/>
        <charset val="134"/>
      </rPr>
      <t xml:space="preserve"> 42 x 27 x 21cm
</t>
    </r>
    <r>
      <rPr>
        <sz val="10"/>
        <rFont val="宋体"/>
        <charset val="134"/>
      </rPr>
      <t>中盒</t>
    </r>
    <r>
      <rPr>
        <sz val="10"/>
        <rFont val="Calibri"/>
        <charset val="134"/>
      </rPr>
      <t xml:space="preserve"> 35 x 24 x 20cm
</t>
    </r>
    <r>
      <rPr>
        <sz val="10"/>
        <rFont val="宋体"/>
        <charset val="134"/>
      </rPr>
      <t>小盒</t>
    </r>
    <r>
      <rPr>
        <sz val="10"/>
        <rFont val="Calibri"/>
        <charset val="134"/>
      </rPr>
      <t xml:space="preserve"> 23 x15 x 5cm</t>
    </r>
  </si>
  <si>
    <r>
      <rPr>
        <sz val="10"/>
        <rFont val="宋体"/>
        <charset val="134"/>
      </rPr>
      <t>纸箱（</t>
    </r>
    <r>
      <rPr>
        <sz val="10"/>
        <rFont val="Calibri"/>
        <charset val="134"/>
      </rPr>
      <t>61x61x10cm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</si>
  <si>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纸箱（</t>
    </r>
    <r>
      <rPr>
        <sz val="10"/>
        <rFont val="Calibri"/>
        <charset val="134"/>
      </rPr>
      <t>90x18x18cm</t>
    </r>
    <r>
      <rPr>
        <sz val="10"/>
        <rFont val="宋体"/>
        <charset val="134"/>
      </rPr>
      <t>）</t>
    </r>
  </si>
  <si>
    <t>笔</t>
  </si>
  <si>
    <t>地毯</t>
  </si>
  <si>
    <t>鼠标垫</t>
  </si>
  <si>
    <t>背包</t>
  </si>
  <si>
    <t>雨伞</t>
  </si>
  <si>
    <t>多功能钥匙工具</t>
  </si>
  <si>
    <t>帆布袋</t>
  </si>
  <si>
    <t>礼品袋</t>
  </si>
  <si>
    <t>马克杯</t>
  </si>
  <si>
    <t>建材资料架</t>
  </si>
  <si>
    <t>袜子</t>
  </si>
  <si>
    <t>笔记本</t>
  </si>
  <si>
    <t>保温杯</t>
  </si>
  <si>
    <t>奖杯</t>
  </si>
  <si>
    <t>桌布</t>
  </si>
  <si>
    <r>
      <rPr>
        <sz val="10"/>
        <rFont val="宋体"/>
        <charset val="134"/>
      </rPr>
      <t>采购物料，</t>
    </r>
    <r>
      <rPr>
        <sz val="10"/>
        <rFont val="Calibri"/>
        <charset val="134"/>
      </rPr>
      <t>5</t>
    </r>
    <r>
      <rPr>
        <sz val="10"/>
        <rFont val="宋体"/>
        <charset val="134"/>
      </rPr>
      <t>张旧尺寸：</t>
    </r>
    <r>
      <rPr>
        <sz val="10"/>
        <rFont val="Calibri"/>
        <charset val="134"/>
      </rPr>
      <t>150*200cm</t>
    </r>
    <r>
      <rPr>
        <sz val="10"/>
        <rFont val="宋体"/>
        <charset val="134"/>
      </rPr>
      <t>。</t>
    </r>
    <r>
      <rPr>
        <sz val="10"/>
        <rFont val="Calibri"/>
        <charset val="134"/>
      </rPr>
      <t>5</t>
    </r>
    <r>
      <rPr>
        <sz val="10"/>
        <rFont val="宋体"/>
        <charset val="134"/>
      </rPr>
      <t>张新尺寸：</t>
    </r>
    <r>
      <rPr>
        <sz val="10"/>
        <rFont val="Calibri"/>
        <charset val="134"/>
      </rPr>
      <t>180*200cm</t>
    </r>
  </si>
  <si>
    <t>刀旗</t>
  </si>
  <si>
    <t>指示牌</t>
  </si>
  <si>
    <t>名牌板</t>
  </si>
  <si>
    <r>
      <rPr>
        <sz val="10"/>
        <rFont val="Calibri"/>
        <charset val="134"/>
      </rPr>
      <t>MBT</t>
    </r>
    <r>
      <rPr>
        <sz val="10"/>
        <rFont val="宋体"/>
        <charset val="134"/>
      </rPr>
      <t>易拉宝</t>
    </r>
  </si>
  <si>
    <t>杯套</t>
  </si>
  <si>
    <t>Tradebook</t>
  </si>
  <si>
    <t>Multi Brochure</t>
  </si>
  <si>
    <t>缠绕膜（手打）</t>
  </si>
  <si>
    <t>Logistics</t>
  </si>
  <si>
    <t>拉膜器</t>
  </si>
  <si>
    <t>缠绕膜（机打）</t>
  </si>
  <si>
    <t>气泡膜</t>
  </si>
  <si>
    <t>乳胶浸胶手套</t>
  </si>
  <si>
    <t>扎带</t>
  </si>
  <si>
    <t>无线网卡接收器</t>
  </si>
  <si>
    <t>Admin</t>
  </si>
  <si>
    <t>转换插头</t>
  </si>
  <si>
    <t>公牛排插</t>
  </si>
  <si>
    <r>
      <rPr>
        <sz val="10"/>
        <rFont val="Calibri"/>
        <charset val="134"/>
      </rPr>
      <t>Polo</t>
    </r>
    <r>
      <rPr>
        <sz val="10"/>
        <rFont val="宋体"/>
        <charset val="134"/>
      </rPr>
      <t>衫</t>
    </r>
  </si>
  <si>
    <r>
      <rPr>
        <sz val="10"/>
        <rFont val="宋体"/>
        <charset val="134"/>
      </rPr>
      <t>采购物料</t>
    </r>
    <r>
      <rPr>
        <sz val="10"/>
        <rFont val="Calibri"/>
        <charset val="134"/>
      </rPr>
      <t xml:space="preserve">
M:11
L:13
XL:9
2XL:30
3XL:14
4XL:7</t>
    </r>
  </si>
  <si>
    <r>
      <rPr>
        <sz val="10"/>
        <rFont val="Calibri"/>
        <charset val="134"/>
      </rPr>
      <t>RAC 17kW</t>
    </r>
    <r>
      <rPr>
        <sz val="10"/>
        <rFont val="宋体"/>
        <charset val="134"/>
      </rPr>
      <t>分离式风管内机样机</t>
    </r>
  </si>
  <si>
    <t>MDAJB250117D0013</t>
  </si>
  <si>
    <t>Justin</t>
  </si>
  <si>
    <r>
      <rPr>
        <sz val="10"/>
        <rFont val="Calibri"/>
        <charset val="134"/>
      </rPr>
      <t>RAC 17kW</t>
    </r>
    <r>
      <rPr>
        <sz val="10"/>
        <rFont val="宋体"/>
        <charset val="134"/>
      </rPr>
      <t>分离式风管外机样机</t>
    </r>
  </si>
  <si>
    <t>MDV-V200WN1(AU)</t>
  </si>
  <si>
    <r>
      <rPr>
        <sz val="10"/>
        <rFont val="Calibri"/>
        <charset val="134"/>
      </rPr>
      <t>MBT quality claim-8</t>
    </r>
    <r>
      <rPr>
        <sz val="10"/>
        <rFont val="宋体"/>
        <charset val="134"/>
      </rPr>
      <t>月</t>
    </r>
    <r>
      <rPr>
        <sz val="10"/>
        <rFont val="Calibri"/>
        <charset val="134"/>
      </rPr>
      <t>VRF +MBT quality claim SP</t>
    </r>
  </si>
  <si>
    <t>MIH28GHN18</t>
  </si>
  <si>
    <r>
      <rPr>
        <sz val="10"/>
        <rFont val="Calibri"/>
        <charset val="134"/>
      </rPr>
      <t>2410027V MBT quality claim-10</t>
    </r>
    <r>
      <rPr>
        <sz val="10"/>
        <rFont val="宋体"/>
        <charset val="134"/>
      </rPr>
      <t>月</t>
    </r>
    <r>
      <rPr>
        <sz val="10"/>
        <rFont val="Calibri"/>
        <charset val="134"/>
      </rPr>
      <t xml:space="preserve">VRF </t>
    </r>
  </si>
  <si>
    <r>
      <rPr>
        <sz val="10"/>
        <rFont val="Calibri"/>
        <charset val="134"/>
      </rPr>
      <t>2410075V MBT quality claim-10</t>
    </r>
    <r>
      <rPr>
        <sz val="10"/>
        <rFont val="宋体"/>
        <charset val="134"/>
      </rPr>
      <t>月</t>
    </r>
    <r>
      <rPr>
        <sz val="10"/>
        <rFont val="Calibri"/>
        <charset val="134"/>
      </rPr>
      <t xml:space="preserve">VRF </t>
    </r>
  </si>
  <si>
    <t xml:space="preserve">MIH80GHN18 </t>
  </si>
  <si>
    <r>
      <rPr>
        <sz val="10"/>
        <rFont val="Calibri"/>
        <charset val="134"/>
      </rPr>
      <t>2410130V MBT quality claim-10</t>
    </r>
    <r>
      <rPr>
        <sz val="10"/>
        <rFont val="宋体"/>
        <charset val="134"/>
      </rPr>
      <t>月</t>
    </r>
    <r>
      <rPr>
        <sz val="10"/>
        <rFont val="Calibri"/>
        <charset val="134"/>
      </rPr>
      <t xml:space="preserve">VRF </t>
    </r>
  </si>
  <si>
    <t>铝棒</t>
  </si>
  <si>
    <t xml:space="preserve">MIH28GHN18-A </t>
  </si>
  <si>
    <r>
      <rPr>
        <sz val="10"/>
        <rFont val="宋体"/>
        <charset val="134"/>
      </rPr>
      <t>特殊处理的</t>
    </r>
    <r>
      <rPr>
        <sz val="10"/>
        <rFont val="Calibri"/>
        <charset val="134"/>
      </rPr>
      <t>VEU</t>
    </r>
    <r>
      <rPr>
        <sz val="10"/>
        <rFont val="宋体"/>
        <charset val="134"/>
      </rPr>
      <t>内机，不带电子膨胀阀，入售后部门，不销售（试用样机，</t>
    </r>
    <r>
      <rPr>
        <sz val="10"/>
        <rFont val="Calibri"/>
        <charset val="134"/>
      </rPr>
      <t>FOC</t>
    </r>
    <r>
      <rPr>
        <sz val="10"/>
        <rFont val="宋体"/>
        <charset val="134"/>
      </rPr>
      <t>）</t>
    </r>
  </si>
  <si>
    <t>MBT quality claim</t>
  </si>
  <si>
    <r>
      <rPr>
        <sz val="10"/>
        <rFont val="Calibri"/>
        <charset val="134"/>
      </rPr>
      <t>RAC</t>
    </r>
    <r>
      <rPr>
        <sz val="10"/>
        <rFont val="宋体"/>
        <charset val="134"/>
      </rPr>
      <t>简易展架</t>
    </r>
    <r>
      <rPr>
        <sz val="10"/>
        <rFont val="Calibri"/>
        <charset val="134"/>
      </rPr>
      <t>-comfee</t>
    </r>
    <r>
      <rPr>
        <sz val="10"/>
        <rFont val="宋体"/>
        <charset val="134"/>
      </rPr>
      <t>牌</t>
    </r>
  </si>
  <si>
    <r>
      <rPr>
        <sz val="10"/>
        <rFont val="宋体"/>
        <charset val="134"/>
      </rPr>
      <t>已完货，</t>
    </r>
    <r>
      <rPr>
        <sz val="10"/>
        <rFont val="Calibri"/>
        <charset val="134"/>
      </rPr>
      <t>5.45cbm</t>
    </r>
  </si>
  <si>
    <t>By Air: UPS 1ZG074H80437830567</t>
  </si>
  <si>
    <t>热水机五金配件</t>
  </si>
  <si>
    <r>
      <rPr>
        <sz val="10"/>
        <rFont val="宋体"/>
        <charset val="134"/>
      </rPr>
      <t>含</t>
    </r>
    <r>
      <rPr>
        <sz val="10"/>
        <rFont val="Calibri"/>
        <charset val="134"/>
      </rPr>
      <t>3</t>
    </r>
    <r>
      <rPr>
        <sz val="10"/>
        <rFont val="宋体"/>
        <charset val="134"/>
      </rPr>
      <t>个三通阀，</t>
    </r>
    <r>
      <rPr>
        <sz val="10"/>
        <rFont val="Calibri"/>
        <charset val="134"/>
      </rPr>
      <t>6</t>
    </r>
    <r>
      <rPr>
        <sz val="10"/>
        <rFont val="宋体"/>
        <charset val="134"/>
      </rPr>
      <t>支直管等</t>
    </r>
  </si>
  <si>
    <r>
      <rPr>
        <sz val="10"/>
        <rFont val="宋体"/>
        <charset val="134"/>
      </rPr>
      <t>已完货，</t>
    </r>
    <r>
      <rPr>
        <sz val="10"/>
        <rFont val="Calibri"/>
        <charset val="134"/>
      </rPr>
      <t>0.63cbm</t>
    </r>
  </si>
  <si>
    <t>会议室椅子</t>
  </si>
  <si>
    <r>
      <rPr>
        <sz val="10"/>
        <rFont val="Calibri"/>
        <charset val="134"/>
      </rPr>
      <t>Justin</t>
    </r>
    <r>
      <rPr>
        <sz val="10"/>
        <rFont val="宋体"/>
        <charset val="134"/>
      </rPr>
      <t>办公室椅子</t>
    </r>
  </si>
  <si>
    <r>
      <rPr>
        <sz val="10"/>
        <rFont val="Calibri"/>
        <charset val="134"/>
      </rPr>
      <t>MBT quality claim-7</t>
    </r>
    <r>
      <rPr>
        <sz val="10"/>
        <rFont val="宋体"/>
        <charset val="134"/>
      </rPr>
      <t>月</t>
    </r>
    <r>
      <rPr>
        <sz val="10"/>
        <rFont val="Calibri"/>
        <charset val="134"/>
      </rPr>
      <t>2407081V+2407046V+2407105V</t>
    </r>
  </si>
  <si>
    <r>
      <rPr>
        <sz val="10"/>
        <rFont val="Calibri"/>
        <charset val="134"/>
      </rPr>
      <t>MBT quality claim-7</t>
    </r>
    <r>
      <rPr>
        <sz val="10"/>
        <rFont val="宋体"/>
        <charset val="134"/>
      </rPr>
      <t>月</t>
    </r>
    <r>
      <rPr>
        <sz val="10"/>
        <rFont val="Calibri"/>
        <charset val="134"/>
      </rPr>
      <t>2407051V+2407090V</t>
    </r>
  </si>
  <si>
    <t>路沿坡</t>
  </si>
  <si>
    <r>
      <rPr>
        <sz val="10"/>
        <rFont val="宋体"/>
        <charset val="134"/>
      </rPr>
      <t>已完货，</t>
    </r>
    <r>
      <rPr>
        <sz val="10"/>
        <rFont val="Calibri"/>
        <charset val="134"/>
      </rPr>
      <t>0.075cbm</t>
    </r>
  </si>
  <si>
    <t>扫地机</t>
  </si>
  <si>
    <t>0.7cbm</t>
  </si>
  <si>
    <r>
      <rPr>
        <sz val="10"/>
        <rFont val="宋体"/>
        <charset val="134"/>
      </rPr>
      <t>卷膜</t>
    </r>
    <r>
      <rPr>
        <sz val="10"/>
        <rFont val="Calibri"/>
        <charset val="134"/>
      </rPr>
      <t>sample</t>
    </r>
  </si>
  <si>
    <r>
      <rPr>
        <sz val="10"/>
        <rFont val="Calibri"/>
        <charset val="134"/>
      </rPr>
      <t xml:space="preserve">MBT </t>
    </r>
    <r>
      <rPr>
        <sz val="10"/>
        <rFont val="宋体"/>
        <charset val="134"/>
      </rPr>
      <t>双肩包</t>
    </r>
  </si>
  <si>
    <t>MBT Quality Claim for Jan,2025.2411001V</t>
  </si>
  <si>
    <t>MIH56GHN18</t>
  </si>
  <si>
    <t>MBT Quality Claim for Jan,2025.2412117V &amp; 2502186V</t>
  </si>
  <si>
    <t>MBT Quality Claim for Feb,2025.2501139V</t>
  </si>
  <si>
    <r>
      <rPr>
        <sz val="10"/>
        <rFont val="Calibri"/>
        <charset val="134"/>
      </rPr>
      <t>MBT</t>
    </r>
    <r>
      <rPr>
        <sz val="10"/>
        <rFont val="宋体"/>
        <charset val="134"/>
      </rPr>
      <t>遥控支架</t>
    </r>
  </si>
  <si>
    <r>
      <rPr>
        <sz val="10"/>
        <rFont val="宋体"/>
        <charset val="134"/>
      </rPr>
      <t>空运</t>
    </r>
    <r>
      <rPr>
        <sz val="10"/>
        <rFont val="Calibri"/>
        <charset val="134"/>
      </rPr>
      <t>DHL_3010754832</t>
    </r>
    <r>
      <rPr>
        <sz val="10"/>
        <rFont val="宋体"/>
        <charset val="134"/>
      </rPr>
      <t>，</t>
    </r>
    <r>
      <rPr>
        <sz val="10"/>
        <rFont val="Calibri"/>
        <charset val="134"/>
      </rPr>
      <t>FOC</t>
    </r>
  </si>
  <si>
    <t>标签机</t>
  </si>
  <si>
    <r>
      <rPr>
        <sz val="10"/>
        <rFont val="宋体"/>
        <charset val="134"/>
      </rPr>
      <t>含电池，</t>
    </r>
    <r>
      <rPr>
        <sz val="10"/>
        <rFont val="Calibri"/>
        <charset val="134"/>
      </rPr>
      <t>RAC Henry 6.3</t>
    </r>
    <r>
      <rPr>
        <sz val="10"/>
        <rFont val="宋体"/>
        <charset val="134"/>
      </rPr>
      <t>带到澳洲</t>
    </r>
  </si>
  <si>
    <r>
      <rPr>
        <sz val="10"/>
        <rFont val="Calibri"/>
        <charset val="134"/>
      </rPr>
      <t>PDA</t>
    </r>
    <r>
      <rPr>
        <sz val="10"/>
        <rFont val="宋体"/>
        <charset val="134"/>
      </rPr>
      <t>手柄</t>
    </r>
  </si>
  <si>
    <r>
      <rPr>
        <sz val="10"/>
        <rFont val="Calibri"/>
        <charset val="134"/>
      </rPr>
      <t>RAC Henry 6.3</t>
    </r>
    <r>
      <rPr>
        <sz val="10"/>
        <rFont val="宋体"/>
        <charset val="134"/>
      </rPr>
      <t>带到澳洲</t>
    </r>
  </si>
  <si>
    <t>PDA</t>
  </si>
  <si>
    <r>
      <rPr>
        <sz val="10"/>
        <rFont val="宋体"/>
        <charset val="134"/>
      </rPr>
      <t>含电池，</t>
    </r>
    <r>
      <rPr>
        <sz val="10"/>
        <rFont val="Calibri"/>
        <charset val="134"/>
      </rPr>
      <t>RAC Henry  6.3</t>
    </r>
    <r>
      <rPr>
        <sz val="10"/>
        <rFont val="宋体"/>
        <charset val="134"/>
      </rPr>
      <t>带到澳洲</t>
    </r>
  </si>
  <si>
    <r>
      <rPr>
        <sz val="10"/>
        <rFont val="Calibri"/>
        <charset val="134"/>
      </rPr>
      <t>RAC 235</t>
    </r>
    <r>
      <rPr>
        <sz val="10"/>
        <rFont val="宋体"/>
        <charset val="134"/>
      </rPr>
      <t>热水机样机：</t>
    </r>
    <r>
      <rPr>
        <sz val="10"/>
        <rFont val="Calibri"/>
        <charset val="134"/>
      </rPr>
      <t>MHP235I-E1</t>
    </r>
  </si>
  <si>
    <t>MDAWSJHN250513A</t>
  </si>
  <si>
    <r>
      <rPr>
        <sz val="10"/>
        <rFont val="Calibri"/>
        <charset val="134"/>
      </rPr>
      <t>FOC</t>
    </r>
    <r>
      <rPr>
        <sz val="10"/>
        <rFont val="宋体"/>
        <charset val="134"/>
      </rPr>
      <t>，已贴</t>
    </r>
    <r>
      <rPr>
        <sz val="10"/>
        <rFont val="Calibri"/>
        <charset val="134"/>
      </rPr>
      <t>A4</t>
    </r>
    <r>
      <rPr>
        <sz val="10"/>
        <rFont val="宋体"/>
        <charset val="134"/>
      </rPr>
      <t>纸标注样机贴在纸箱上</t>
    </r>
  </si>
  <si>
    <t>含电池，已交付给澳洲同事</t>
  </si>
  <si>
    <r>
      <rPr>
        <sz val="10"/>
        <rFont val="Calibri"/>
        <charset val="134"/>
      </rPr>
      <t>By Air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DHL 8114010752</t>
    </r>
  </si>
  <si>
    <r>
      <rPr>
        <sz val="10"/>
        <rFont val="Calibri"/>
        <charset val="134"/>
      </rPr>
      <t>6</t>
    </r>
    <r>
      <rPr>
        <sz val="10"/>
        <rFont val="宋体"/>
        <charset val="134"/>
      </rPr>
      <t>星</t>
    </r>
    <r>
      <rPr>
        <sz val="10"/>
        <rFont val="Calibri"/>
        <charset val="134"/>
      </rPr>
      <t>EZ 2.6kW</t>
    </r>
  </si>
  <si>
    <t>BOJ2535246L1</t>
  </si>
  <si>
    <t>光哥</t>
  </si>
  <si>
    <r>
      <rPr>
        <sz val="10"/>
        <rFont val="Calibri"/>
        <charset val="134"/>
      </rPr>
      <t xml:space="preserve">RAC </t>
    </r>
    <r>
      <rPr>
        <sz val="10"/>
        <rFont val="宋体"/>
        <charset val="134"/>
      </rPr>
      <t>新品内机</t>
    </r>
    <r>
      <rPr>
        <sz val="10"/>
        <rFont val="Calibri"/>
        <charset val="134"/>
      </rPr>
      <t>,</t>
    </r>
    <r>
      <rPr>
        <sz val="10"/>
        <rFont val="宋体"/>
        <charset val="134"/>
      </rPr>
      <t>收到机器后麻烦对接光哥和梦诗姐查看</t>
    </r>
  </si>
  <si>
    <r>
      <rPr>
        <sz val="10"/>
        <rFont val="Calibri"/>
        <charset val="134"/>
      </rPr>
      <t>5</t>
    </r>
    <r>
      <rPr>
        <sz val="10"/>
        <rFont val="宋体"/>
        <charset val="134"/>
      </rPr>
      <t>星</t>
    </r>
    <r>
      <rPr>
        <sz val="10"/>
        <rFont val="Calibri"/>
        <charset val="134"/>
      </rPr>
      <t>EF 2.6kW</t>
    </r>
  </si>
  <si>
    <r>
      <rPr>
        <sz val="10"/>
        <rFont val="Calibri"/>
        <charset val="134"/>
      </rPr>
      <t>5</t>
    </r>
    <r>
      <rPr>
        <sz val="10"/>
        <rFont val="宋体"/>
        <charset val="134"/>
      </rPr>
      <t>星</t>
    </r>
    <r>
      <rPr>
        <sz val="10"/>
        <rFont val="Calibri"/>
        <charset val="134"/>
      </rPr>
      <t>EF 3.5kW</t>
    </r>
  </si>
  <si>
    <t>MDAJSJHN250526A</t>
  </si>
  <si>
    <r>
      <rPr>
        <sz val="10"/>
        <rFont val="Calibri"/>
        <charset val="134"/>
      </rPr>
      <t>RAC</t>
    </r>
    <r>
      <rPr>
        <sz val="10"/>
        <rFont val="宋体"/>
        <charset val="134"/>
      </rPr>
      <t>风管机样机</t>
    </r>
    <r>
      <rPr>
        <sz val="10"/>
        <rFont val="Calibri"/>
        <charset val="134"/>
      </rPr>
      <t xml:space="preserve"> FOC</t>
    </r>
  </si>
  <si>
    <r>
      <rPr>
        <sz val="10"/>
        <rFont val="宋体"/>
        <charset val="134"/>
      </rPr>
      <t>已完货，</t>
    </r>
    <r>
      <rPr>
        <sz val="10"/>
        <rFont val="Calibri"/>
        <charset val="134"/>
      </rPr>
      <t>1.47cbm</t>
    </r>
  </si>
  <si>
    <t>MDAWSJHN250529A</t>
  </si>
  <si>
    <t>By Air: DHL 28 4026 7533</t>
  </si>
  <si>
    <t>铭牌</t>
  </si>
  <si>
    <t>BOJ2540950L1</t>
  </si>
  <si>
    <r>
      <rPr>
        <sz val="10"/>
        <rFont val="Calibri"/>
        <charset val="134"/>
      </rPr>
      <t>Nick</t>
    </r>
    <r>
      <rPr>
        <sz val="10"/>
        <rFont val="宋体"/>
        <charset val="134"/>
      </rPr>
      <t>找</t>
    </r>
    <r>
      <rPr>
        <sz val="10"/>
        <rFont val="Calibri"/>
        <charset val="134"/>
      </rPr>
      <t>James</t>
    </r>
    <r>
      <rPr>
        <sz val="10"/>
        <rFont val="宋体"/>
        <charset val="134"/>
      </rPr>
      <t>要的铭牌</t>
    </r>
    <r>
      <rPr>
        <sz val="10"/>
        <rFont val="Calibri"/>
        <charset val="134"/>
      </rPr>
      <t>;DHL</t>
    </r>
    <r>
      <rPr>
        <sz val="10"/>
        <rFont val="宋体"/>
        <charset val="134"/>
      </rPr>
      <t>寄出，</t>
    </r>
    <r>
      <rPr>
        <sz val="10"/>
        <rFont val="Calibri"/>
        <charset val="134"/>
      </rPr>
      <t>7/23Edwin</t>
    </r>
    <r>
      <rPr>
        <sz val="10"/>
        <rFont val="宋体"/>
        <charset val="134"/>
      </rPr>
      <t>收到</t>
    </r>
  </si>
  <si>
    <t>By Air: DHL 78 7393 8984</t>
  </si>
  <si>
    <t>电控板</t>
  </si>
  <si>
    <t>BOJ2541621L1</t>
  </si>
  <si>
    <r>
      <rPr>
        <sz val="10"/>
        <rFont val="Calibri"/>
        <charset val="134"/>
      </rPr>
      <t>Nick</t>
    </r>
    <r>
      <rPr>
        <sz val="10"/>
        <rFont val="宋体"/>
        <charset val="134"/>
      </rPr>
      <t>找</t>
    </r>
    <r>
      <rPr>
        <sz val="10"/>
        <rFont val="Calibri"/>
        <charset val="134"/>
      </rPr>
      <t>James</t>
    </r>
    <r>
      <rPr>
        <sz val="10"/>
        <rFont val="宋体"/>
        <charset val="134"/>
      </rPr>
      <t>要的电控板；</t>
    </r>
    <r>
      <rPr>
        <sz val="10"/>
        <rFont val="Calibri"/>
        <charset val="134"/>
      </rPr>
      <t>DHL</t>
    </r>
    <r>
      <rPr>
        <sz val="10"/>
        <rFont val="宋体"/>
        <charset val="134"/>
      </rPr>
      <t>寄出</t>
    </r>
  </si>
  <si>
    <t>MBT Quality Claim for Nov,2024. 2411045V</t>
  </si>
  <si>
    <t>MBT Quality Claim for Mar,2025. 2502001V</t>
  </si>
  <si>
    <t>MBT Quality Claim for Mar,2025. 2502235V</t>
  </si>
  <si>
    <t>MBT Quality Claim for Mar,2025. 2502236V</t>
  </si>
  <si>
    <t>MBT Quality Claim for Mar,2025. 2503095V</t>
  </si>
  <si>
    <t>MBT Quality Claim for Mar,2025. 2503148V</t>
  </si>
  <si>
    <t>咖啡机</t>
  </si>
  <si>
    <t>买单报关</t>
  </si>
  <si>
    <r>
      <rPr>
        <sz val="10"/>
        <rFont val="Calibri"/>
        <charset val="134"/>
      </rPr>
      <t>comfee</t>
    </r>
    <r>
      <rPr>
        <sz val="10"/>
        <rFont val="宋体"/>
        <charset val="134"/>
      </rPr>
      <t>牌</t>
    </r>
    <r>
      <rPr>
        <sz val="10"/>
        <rFont val="Calibri"/>
        <charset val="134"/>
      </rPr>
      <t> </t>
    </r>
    <r>
      <rPr>
        <sz val="10"/>
        <rFont val="宋体"/>
        <charset val="134"/>
      </rPr>
      <t>笔</t>
    </r>
  </si>
  <si>
    <r>
      <rPr>
        <sz val="10"/>
        <rFont val="宋体"/>
        <charset val="134"/>
      </rPr>
      <t>共</t>
    </r>
    <r>
      <rPr>
        <sz val="10"/>
        <rFont val="Calibri"/>
        <charset val="134"/>
      </rPr>
      <t>3</t>
    </r>
    <r>
      <rPr>
        <sz val="10"/>
        <rFont val="宋体"/>
        <charset val="134"/>
      </rPr>
      <t>箱，买单报关</t>
    </r>
  </si>
  <si>
    <t>打印纸</t>
  </si>
  <si>
    <r>
      <rPr>
        <sz val="10"/>
        <rFont val="宋体"/>
        <charset val="134"/>
      </rPr>
      <t>共</t>
    </r>
    <r>
      <rPr>
        <sz val="10"/>
        <rFont val="Calibri"/>
        <charset val="134"/>
      </rPr>
      <t>2</t>
    </r>
    <r>
      <rPr>
        <sz val="10"/>
        <rFont val="宋体"/>
        <charset val="134"/>
      </rPr>
      <t>箱，买单报关</t>
    </r>
  </si>
  <si>
    <t>贴纸</t>
  </si>
  <si>
    <r>
      <rPr>
        <sz val="10"/>
        <rFont val="Calibri"/>
        <charset val="134"/>
      </rPr>
      <t>4</t>
    </r>
    <r>
      <rPr>
        <sz val="10"/>
        <rFont val="宋体"/>
        <charset val="134"/>
      </rPr>
      <t>包，买单报关</t>
    </r>
  </si>
  <si>
    <t>配件袋</t>
  </si>
  <si>
    <r>
      <rPr>
        <sz val="10"/>
        <rFont val="宋体"/>
        <charset val="134"/>
      </rPr>
      <t>买单报关</t>
    </r>
    <r>
      <rPr>
        <sz val="10"/>
        <rFont val="Calibri"/>
        <charset val="134"/>
      </rPr>
      <t xml:space="preserve">
40*50cm-300</t>
    </r>
    <r>
      <rPr>
        <sz val="10"/>
        <rFont val="宋体"/>
        <charset val="134"/>
      </rPr>
      <t>个</t>
    </r>
    <r>
      <rPr>
        <sz val="10"/>
        <rFont val="Calibri"/>
        <charset val="134"/>
      </rPr>
      <t xml:space="preserve">
50*60cm-300</t>
    </r>
    <r>
      <rPr>
        <sz val="10"/>
        <rFont val="宋体"/>
        <charset val="134"/>
      </rPr>
      <t>个</t>
    </r>
  </si>
  <si>
    <r>
      <rPr>
        <sz val="10"/>
        <rFont val="宋体"/>
        <charset val="134"/>
      </rPr>
      <t>买单报关</t>
    </r>
    <r>
      <rPr>
        <sz val="10"/>
        <rFont val="Calibri"/>
        <charset val="134"/>
      </rPr>
      <t xml:space="preserve">
-3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XL
-1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2XL</t>
    </r>
  </si>
  <si>
    <t>MBT Quality Claim for Dec,2024. 2412062V</t>
  </si>
  <si>
    <r>
      <rPr>
        <sz val="10"/>
        <rFont val="Calibri"/>
        <charset val="134"/>
      </rPr>
      <t>KWHA</t>
    </r>
    <r>
      <rPr>
        <sz val="10"/>
        <rFont val="宋体"/>
        <charset val="134"/>
      </rPr>
      <t>样机</t>
    </r>
  </si>
  <si>
    <t>MDWDB250714D0001-1</t>
  </si>
  <si>
    <t>Edwin</t>
  </si>
  <si>
    <r>
      <rPr>
        <sz val="10"/>
        <rFont val="Calibri"/>
        <charset val="134"/>
      </rPr>
      <t>1</t>
    </r>
    <r>
      <rPr>
        <sz val="10"/>
        <rFont val="宋体"/>
        <charset val="134"/>
      </rPr>
      <t>台</t>
    </r>
    <r>
      <rPr>
        <sz val="10"/>
        <rFont val="Calibri"/>
        <charset val="134"/>
      </rPr>
      <t>532*552*588mm</t>
    </r>
    <r>
      <rPr>
        <sz val="10"/>
        <rFont val="宋体"/>
        <charset val="134"/>
      </rPr>
      <t>；</t>
    </r>
    <r>
      <rPr>
        <sz val="10"/>
        <rFont val="Calibri"/>
        <charset val="134"/>
      </rPr>
      <t>1</t>
    </r>
    <r>
      <rPr>
        <sz val="10"/>
        <rFont val="宋体"/>
        <charset val="134"/>
      </rPr>
      <t>台</t>
    </r>
    <r>
      <rPr>
        <sz val="10"/>
        <rFont val="Calibri"/>
        <charset val="134"/>
      </rPr>
      <t>532*552*558mm</t>
    </r>
    <r>
      <rPr>
        <sz val="10"/>
        <rFont val="宋体"/>
        <charset val="134"/>
      </rPr>
      <t>；</t>
    </r>
    <r>
      <rPr>
        <sz val="10"/>
        <rFont val="Calibri"/>
        <charset val="134"/>
      </rPr>
      <t>1</t>
    </r>
    <r>
      <rPr>
        <sz val="10"/>
        <rFont val="宋体"/>
        <charset val="134"/>
      </rPr>
      <t>台</t>
    </r>
    <r>
      <rPr>
        <sz val="10"/>
        <rFont val="Calibri"/>
        <charset val="134"/>
      </rPr>
      <t>645*645*890mm - 0.71 cbm</t>
    </r>
  </si>
  <si>
    <t>配件架</t>
  </si>
  <si>
    <t>已完货，需退税</t>
  </si>
  <si>
    <t>纸箱</t>
  </si>
  <si>
    <r>
      <rPr>
        <sz val="10"/>
        <rFont val="宋体"/>
        <charset val="134"/>
      </rPr>
      <t>已完货，需退税。</t>
    </r>
    <r>
      <rPr>
        <sz val="10"/>
        <rFont val="Calibri"/>
        <charset val="134"/>
      </rPr>
      <t>41</t>
    </r>
    <r>
      <rPr>
        <sz val="10"/>
        <rFont val="宋体"/>
        <charset val="134"/>
      </rPr>
      <t>件。规格</t>
    </r>
    <r>
      <rPr>
        <sz val="10"/>
        <rFont val="Calibri"/>
        <charset val="134"/>
      </rPr>
      <t>550*300*350mm &amp; 550*300*160mm</t>
    </r>
    <r>
      <rPr>
        <sz val="10"/>
        <rFont val="宋体"/>
        <charset val="134"/>
      </rPr>
      <t>各</t>
    </r>
    <r>
      <rPr>
        <sz val="10"/>
        <rFont val="Calibri"/>
        <charset val="134"/>
      </rPr>
      <t>200pcs</t>
    </r>
  </si>
  <si>
    <t>Kristina</t>
  </si>
  <si>
    <r>
      <rPr>
        <sz val="10"/>
        <rFont val="宋体"/>
        <charset val="134"/>
      </rPr>
      <t>需退税</t>
    </r>
    <r>
      <rPr>
        <sz val="10"/>
        <rFont val="Calibri"/>
        <charset val="134"/>
      </rPr>
      <t xml:space="preserve">
- 2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M
- 6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L
- 8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XL
- 3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2XL
- 4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3XL
- 2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4XL</t>
    </r>
  </si>
  <si>
    <t>XtremeSave-2400H</t>
  </si>
  <si>
    <r>
      <rPr>
        <sz val="10"/>
        <rFont val="Calibri"/>
        <charset val="134"/>
      </rPr>
      <t>RAC</t>
    </r>
    <r>
      <rPr>
        <sz val="10"/>
        <rFont val="宋体"/>
        <charset val="134"/>
      </rPr>
      <t>展架，</t>
    </r>
    <r>
      <rPr>
        <sz val="10"/>
        <rFont val="Calibri"/>
        <charset val="134"/>
      </rPr>
      <t>12.72 cbm</t>
    </r>
  </si>
  <si>
    <t>AEP-2400H</t>
  </si>
  <si>
    <r>
      <rPr>
        <sz val="10"/>
        <rFont val="宋体"/>
        <charset val="134"/>
      </rPr>
      <t>冷霸</t>
    </r>
    <r>
      <rPr>
        <sz val="10"/>
        <rFont val="Calibri"/>
        <charset val="134"/>
      </rPr>
      <t>-2400H</t>
    </r>
  </si>
  <si>
    <r>
      <rPr>
        <sz val="10"/>
        <rFont val="Calibri"/>
        <charset val="134"/>
      </rPr>
      <t>WG+</t>
    </r>
    <r>
      <rPr>
        <sz val="10"/>
        <rFont val="宋体"/>
        <charset val="134"/>
      </rPr>
      <t>分体</t>
    </r>
    <r>
      <rPr>
        <sz val="10"/>
        <rFont val="Calibri"/>
        <charset val="134"/>
      </rPr>
      <t>+</t>
    </r>
    <r>
      <rPr>
        <sz val="10"/>
        <rFont val="宋体"/>
        <charset val="134"/>
      </rPr>
      <t>风管</t>
    </r>
    <r>
      <rPr>
        <sz val="10"/>
        <rFont val="Calibri"/>
        <charset val="134"/>
      </rPr>
      <t>-2400H</t>
    </r>
  </si>
  <si>
    <r>
      <rPr>
        <sz val="10"/>
        <rFont val="宋体"/>
        <charset val="134"/>
      </rPr>
      <t>标准版（内机）</t>
    </r>
    <r>
      <rPr>
        <sz val="10"/>
        <rFont val="Calibri"/>
        <charset val="134"/>
      </rPr>
      <t>-2400H</t>
    </r>
  </si>
  <si>
    <t>By Air: DHL 8431054800</t>
  </si>
  <si>
    <r>
      <rPr>
        <sz val="10"/>
        <rFont val="宋体"/>
        <charset val="134"/>
      </rPr>
      <t>样机</t>
    </r>
    <r>
      <rPr>
        <sz val="10"/>
        <rFont val="Calibri"/>
        <charset val="134"/>
      </rPr>
      <t>MVi-335WV2WN1</t>
    </r>
  </si>
  <si>
    <t>MDCABS21202508010001</t>
  </si>
  <si>
    <r>
      <rPr>
        <sz val="10"/>
        <rFont val="宋体"/>
        <charset val="134"/>
      </rPr>
      <t>售后使用，</t>
    </r>
    <r>
      <rPr>
        <sz val="10"/>
        <rFont val="Calibri"/>
        <charset val="134"/>
      </rPr>
      <t>FOC</t>
    </r>
  </si>
  <si>
    <t>By Air: DHL 2245307514</t>
  </si>
  <si>
    <t>MDCABS21202507310121</t>
  </si>
  <si>
    <r>
      <rPr>
        <sz val="10"/>
        <rFont val="宋体"/>
        <charset val="134"/>
      </rPr>
      <t>售后需求，</t>
    </r>
    <r>
      <rPr>
        <sz val="10"/>
        <rFont val="Calibri"/>
        <charset val="134"/>
      </rPr>
      <t>FOC</t>
    </r>
    <r>
      <rPr>
        <sz val="10"/>
        <rFont val="宋体"/>
        <charset val="134"/>
      </rPr>
      <t>，经过特殊静音处理，已货好</t>
    </r>
  </si>
  <si>
    <t>MBT Quality Claim for Apr,2025. 2503009V</t>
  </si>
  <si>
    <t>MBT Quality Claim for Apr,2025. 2504009V</t>
  </si>
  <si>
    <t>MBT Quality Claim for Apr,2025. 2504070V</t>
  </si>
  <si>
    <r>
      <rPr>
        <sz val="10"/>
        <rFont val="Calibri"/>
        <charset val="134"/>
      </rPr>
      <t>MFEP26VB-N</t>
    </r>
    <r>
      <rPr>
        <sz val="10"/>
        <rFont val="宋体"/>
        <charset val="134"/>
      </rPr>
      <t>样机</t>
    </r>
  </si>
  <si>
    <t>MDAJSJHN250711A</t>
  </si>
  <si>
    <r>
      <rPr>
        <sz val="10"/>
        <rFont val="Calibri"/>
        <charset val="134"/>
      </rPr>
      <t>9</t>
    </r>
    <r>
      <rPr>
        <sz val="10"/>
        <rFont val="宋体"/>
        <charset val="134"/>
      </rPr>
      <t>台样机总</t>
    </r>
    <r>
      <rPr>
        <sz val="10"/>
        <rFont val="Calibri"/>
        <charset val="134"/>
      </rPr>
      <t>CBM1.37</t>
    </r>
  </si>
  <si>
    <r>
      <rPr>
        <sz val="10"/>
        <rFont val="Calibri"/>
        <charset val="134"/>
      </rPr>
      <t>MFEP26VB-W</t>
    </r>
    <r>
      <rPr>
        <sz val="10"/>
        <rFont val="宋体"/>
        <charset val="134"/>
      </rPr>
      <t>样机</t>
    </r>
  </si>
  <si>
    <r>
      <rPr>
        <sz val="10"/>
        <rFont val="Calibri"/>
        <charset val="134"/>
      </rPr>
      <t>MFAG26VB-N</t>
    </r>
    <r>
      <rPr>
        <sz val="10"/>
        <rFont val="宋体"/>
        <charset val="134"/>
      </rPr>
      <t>样机</t>
    </r>
  </si>
  <si>
    <r>
      <rPr>
        <sz val="10"/>
        <rFont val="Calibri"/>
        <charset val="134"/>
      </rPr>
      <t>MFAG26VB-W</t>
    </r>
    <r>
      <rPr>
        <sz val="10"/>
        <rFont val="宋体"/>
        <charset val="134"/>
      </rPr>
      <t>样机</t>
    </r>
  </si>
  <si>
    <r>
      <rPr>
        <sz val="10"/>
        <rFont val="Calibri"/>
        <charset val="134"/>
      </rPr>
      <t>MFEZ26VA-W</t>
    </r>
    <r>
      <rPr>
        <sz val="10"/>
        <rFont val="宋体"/>
        <charset val="134"/>
      </rPr>
      <t>样机</t>
    </r>
  </si>
  <si>
    <r>
      <rPr>
        <sz val="10"/>
        <rFont val="Calibri"/>
        <charset val="134"/>
      </rPr>
      <t>MFEF26VA-W</t>
    </r>
    <r>
      <rPr>
        <sz val="10"/>
        <rFont val="宋体"/>
        <charset val="134"/>
      </rPr>
      <t>样机</t>
    </r>
  </si>
  <si>
    <r>
      <rPr>
        <sz val="10"/>
        <rFont val="Calibri"/>
        <charset val="134"/>
      </rPr>
      <t>MFEF35VA-W</t>
    </r>
    <r>
      <rPr>
        <sz val="10"/>
        <rFont val="宋体"/>
        <charset val="134"/>
      </rPr>
      <t>样机</t>
    </r>
  </si>
  <si>
    <r>
      <rPr>
        <sz val="10"/>
        <rFont val="Calibri"/>
        <charset val="134"/>
      </rPr>
      <t>MFEF35VA-N</t>
    </r>
    <r>
      <rPr>
        <sz val="10"/>
        <rFont val="宋体"/>
        <charset val="134"/>
      </rPr>
      <t>样机</t>
    </r>
  </si>
  <si>
    <r>
      <rPr>
        <sz val="10"/>
        <rFont val="Calibri"/>
        <charset val="134"/>
      </rPr>
      <t>RAC-X8</t>
    </r>
    <r>
      <rPr>
        <sz val="10"/>
        <rFont val="宋体"/>
        <charset val="134"/>
      </rPr>
      <t>空壳样机</t>
    </r>
  </si>
  <si>
    <t>MDAJB250726D0001</t>
  </si>
  <si>
    <r>
      <rPr>
        <sz val="10"/>
        <rFont val="Calibri"/>
        <charset val="134"/>
      </rPr>
      <t>10</t>
    </r>
    <r>
      <rPr>
        <sz val="10"/>
        <rFont val="宋体"/>
        <charset val="134"/>
      </rPr>
      <t>月储能展需要</t>
    </r>
  </si>
  <si>
    <r>
      <rPr>
        <sz val="10"/>
        <rFont val="Calibri"/>
        <charset val="134"/>
      </rPr>
      <t>RAC-EZ2</t>
    </r>
    <r>
      <rPr>
        <sz val="10"/>
        <rFont val="宋体"/>
        <charset val="134"/>
      </rPr>
      <t>空壳机</t>
    </r>
  </si>
  <si>
    <r>
      <rPr>
        <sz val="10"/>
        <rFont val="宋体"/>
        <charset val="134"/>
      </rPr>
      <t>买单报关。</t>
    </r>
    <r>
      <rPr>
        <sz val="10"/>
        <rFont val="Calibri"/>
        <charset val="134"/>
      </rPr>
      <t>1</t>
    </r>
    <r>
      <rPr>
        <sz val="10"/>
        <rFont val="宋体"/>
        <charset val="134"/>
      </rPr>
      <t>箱，</t>
    </r>
    <r>
      <rPr>
        <sz val="10"/>
        <rFont val="Calibri"/>
        <charset val="134"/>
      </rPr>
      <t xml:space="preserve">60*24*24cm-0.035cbm </t>
    </r>
    <r>
      <rPr>
        <sz val="10"/>
        <rFont val="宋体"/>
        <charset val="134"/>
      </rPr>
      <t>重量：</t>
    </r>
    <r>
      <rPr>
        <sz val="10"/>
        <rFont val="Calibri"/>
        <charset val="134"/>
      </rPr>
      <t>7.1kg</t>
    </r>
  </si>
  <si>
    <r>
      <rPr>
        <sz val="10"/>
        <rFont val="Calibri"/>
        <charset val="134"/>
      </rPr>
      <t>CASN-XG20</t>
    </r>
    <r>
      <rPr>
        <sz val="10"/>
        <rFont val="宋体"/>
        <charset val="134"/>
      </rPr>
      <t>的透明内机展示道具</t>
    </r>
  </si>
  <si>
    <t>已货好。</t>
  </si>
  <si>
    <r>
      <rPr>
        <sz val="10"/>
        <rFont val="Calibri"/>
        <charset val="134"/>
      </rPr>
      <t>RAC-DIY</t>
    </r>
    <r>
      <rPr>
        <sz val="10"/>
        <rFont val="宋体"/>
        <charset val="134"/>
      </rPr>
      <t>分体</t>
    </r>
  </si>
  <si>
    <r>
      <rPr>
        <sz val="10"/>
        <rFont val="宋体"/>
        <charset val="134"/>
      </rPr>
      <t>仓库收到了找光哥，用途：后续可能要开发的新项目；</t>
    </r>
    <r>
      <rPr>
        <sz val="10"/>
        <rFont val="Calibri"/>
        <charset val="134"/>
      </rPr>
      <t>0.7CBM</t>
    </r>
  </si>
  <si>
    <r>
      <rPr>
        <sz val="10"/>
        <rFont val="Calibri"/>
        <charset val="134"/>
      </rPr>
      <t>RAC-</t>
    </r>
    <r>
      <rPr>
        <sz val="10"/>
        <rFont val="宋体"/>
        <charset val="134"/>
      </rPr>
      <t>超薄单面出风冷霸</t>
    </r>
    <r>
      <rPr>
        <sz val="10"/>
        <rFont val="Calibri"/>
        <charset val="134"/>
      </rPr>
      <t>3.5kW</t>
    </r>
  </si>
  <si>
    <r>
      <rPr>
        <sz val="10"/>
        <rFont val="Calibri"/>
        <charset val="134"/>
      </rPr>
      <t>RAC-</t>
    </r>
    <r>
      <rPr>
        <sz val="10"/>
        <rFont val="宋体"/>
        <charset val="134"/>
      </rPr>
      <t>超薄单面出风冷霸</t>
    </r>
    <r>
      <rPr>
        <sz val="10"/>
        <rFont val="Calibri"/>
        <charset val="134"/>
      </rPr>
      <t>5.0kW</t>
    </r>
  </si>
  <si>
    <t>RAC-306</t>
  </si>
  <si>
    <r>
      <rPr>
        <sz val="10"/>
        <rFont val="宋体"/>
        <charset val="134"/>
      </rPr>
      <t>透明外机，针对</t>
    </r>
    <r>
      <rPr>
        <sz val="10"/>
        <rFont val="Calibri"/>
        <charset val="134"/>
      </rPr>
      <t>X3</t>
    </r>
  </si>
  <si>
    <r>
      <rPr>
        <sz val="10"/>
        <rFont val="Calibri"/>
        <charset val="134"/>
      </rPr>
      <t>RAC</t>
    </r>
    <r>
      <rPr>
        <sz val="10"/>
        <rFont val="宋体"/>
        <charset val="134"/>
      </rPr>
      <t>展架道具</t>
    </r>
    <r>
      <rPr>
        <sz val="10"/>
        <rFont val="Calibri"/>
        <charset val="134"/>
      </rPr>
      <t>--Mina</t>
    </r>
    <r>
      <rPr>
        <sz val="10"/>
        <rFont val="宋体"/>
        <charset val="134"/>
      </rPr>
      <t>下单；</t>
    </r>
    <r>
      <rPr>
        <sz val="10"/>
        <rFont val="Calibri"/>
        <charset val="134"/>
      </rPr>
      <t>1.2cbm</t>
    </r>
    <r>
      <rPr>
        <sz val="10"/>
        <rFont val="宋体"/>
        <charset val="134"/>
      </rPr>
      <t>；</t>
    </r>
    <r>
      <rPr>
        <sz val="10"/>
        <rFont val="Calibri"/>
        <charset val="134"/>
      </rPr>
      <t xml:space="preserve">
</t>
    </r>
    <r>
      <rPr>
        <sz val="10"/>
        <rFont val="宋体"/>
        <charset val="134"/>
      </rPr>
      <t>装柜前提前告知，供应商需要送货</t>
    </r>
  </si>
  <si>
    <t>透明内机</t>
  </si>
  <si>
    <t>石墨烯中型道具</t>
  </si>
  <si>
    <r>
      <rPr>
        <sz val="10"/>
        <rFont val="Calibri"/>
        <charset val="134"/>
      </rPr>
      <t>RAC A7</t>
    </r>
    <r>
      <rPr>
        <sz val="10"/>
        <rFont val="宋体"/>
        <charset val="134"/>
      </rPr>
      <t>风管机样机一套；已货好</t>
    </r>
    <r>
      <rPr>
        <sz val="10"/>
        <rFont val="Calibri"/>
        <charset val="134"/>
      </rPr>
      <t>. 
Req date: 9</t>
    </r>
    <r>
      <rPr>
        <sz val="10"/>
        <rFont val="宋体"/>
        <charset val="134"/>
      </rPr>
      <t>月上旬，随柜出，</t>
    </r>
    <r>
      <rPr>
        <sz val="10"/>
        <rFont val="Calibri"/>
        <charset val="134"/>
      </rPr>
      <t>10</t>
    </r>
    <r>
      <rPr>
        <sz val="10"/>
        <rFont val="宋体"/>
        <charset val="134"/>
      </rPr>
      <t>月展会使用。</t>
    </r>
    <r>
      <rPr>
        <sz val="10"/>
        <rFont val="Calibri"/>
        <charset val="134"/>
      </rPr>
      <t xml:space="preserve">
FOC</t>
    </r>
    <r>
      <rPr>
        <sz val="10"/>
        <rFont val="宋体"/>
        <charset val="134"/>
      </rPr>
      <t>，涉及额外的海运费</t>
    </r>
    <r>
      <rPr>
        <sz val="10"/>
        <rFont val="Calibri"/>
        <charset val="134"/>
      </rPr>
      <t>,</t>
    </r>
    <r>
      <rPr>
        <sz val="10"/>
        <rFont val="宋体"/>
        <charset val="134"/>
      </rPr>
      <t>清关费用</t>
    </r>
    <r>
      <rPr>
        <sz val="10"/>
        <rFont val="Calibri"/>
        <charset val="134"/>
      </rPr>
      <t>,</t>
    </r>
    <r>
      <rPr>
        <sz val="10"/>
        <rFont val="宋体"/>
        <charset val="134"/>
      </rPr>
      <t>账单可以提供给</t>
    </r>
    <r>
      <rPr>
        <sz val="10"/>
        <rFont val="Calibri"/>
        <charset val="134"/>
      </rPr>
      <t>Mina</t>
    </r>
    <r>
      <rPr>
        <sz val="10"/>
        <rFont val="宋体"/>
        <charset val="134"/>
      </rPr>
      <t>核销使用</t>
    </r>
  </si>
  <si>
    <t>UCMI1700C</t>
  </si>
  <si>
    <r>
      <rPr>
        <sz val="10"/>
        <rFont val="Calibri"/>
        <charset val="134"/>
      </rPr>
      <t xml:space="preserve">Prime Guard </t>
    </r>
    <r>
      <rPr>
        <sz val="10"/>
        <rFont val="宋体"/>
        <charset val="134"/>
      </rPr>
      <t>防腐耐用</t>
    </r>
    <r>
      <rPr>
        <sz val="10"/>
        <rFont val="Calibri"/>
        <charset val="134"/>
      </rPr>
      <t>-</t>
    </r>
    <r>
      <rPr>
        <sz val="10"/>
        <rFont val="宋体"/>
        <charset val="134"/>
      </rPr>
      <t>展示道具</t>
    </r>
    <r>
      <rPr>
        <sz val="10"/>
        <rFont val="Calibri"/>
        <charset val="134"/>
      </rPr>
      <t xml:space="preserve">
</t>
    </r>
    <r>
      <rPr>
        <sz val="10"/>
        <rFont val="宋体"/>
        <charset val="134"/>
      </rPr>
      <t>（展架</t>
    </r>
    <r>
      <rPr>
        <sz val="10"/>
        <rFont val="Calibri"/>
        <charset val="134"/>
      </rPr>
      <t>+</t>
    </r>
    <r>
      <rPr>
        <sz val="10"/>
        <rFont val="宋体"/>
        <charset val="134"/>
      </rPr>
      <t>支架）</t>
    </r>
  </si>
  <si>
    <r>
      <rPr>
        <sz val="10"/>
        <rFont val="宋体"/>
        <charset val="134"/>
      </rPr>
      <t>光哥申请的</t>
    </r>
    <r>
      <rPr>
        <sz val="10"/>
        <rFont val="Calibri"/>
        <charset val="134"/>
      </rPr>
      <t>MIB</t>
    </r>
    <r>
      <rPr>
        <sz val="10"/>
        <rFont val="宋体"/>
        <charset val="134"/>
      </rPr>
      <t>资源的提供的物料跟</t>
    </r>
    <r>
      <rPr>
        <sz val="10"/>
        <rFont val="Calibri"/>
        <charset val="134"/>
      </rPr>
      <t>Mina</t>
    </r>
    <r>
      <rPr>
        <sz val="10"/>
        <rFont val="宋体"/>
        <charset val="134"/>
      </rPr>
      <t>对接；</t>
    </r>
    <r>
      <rPr>
        <sz val="10"/>
        <rFont val="Calibri"/>
        <charset val="134"/>
      </rPr>
      <t xml:space="preserve">
MIB</t>
    </r>
    <r>
      <rPr>
        <sz val="10"/>
        <rFont val="宋体"/>
        <charset val="134"/>
      </rPr>
      <t>提供的</t>
    </r>
    <r>
      <rPr>
        <sz val="10"/>
        <rFont val="Calibri"/>
        <charset val="134"/>
      </rPr>
      <t xml:space="preserve">FOC </t>
    </r>
    <r>
      <rPr>
        <sz val="10"/>
        <rFont val="宋体"/>
        <charset val="134"/>
      </rPr>
      <t>道具支持；</t>
    </r>
    <r>
      <rPr>
        <sz val="10"/>
        <rFont val="Calibri"/>
        <charset val="134"/>
      </rPr>
      <t xml:space="preserve">0.846cbm
</t>
    </r>
    <r>
      <rPr>
        <sz val="10"/>
        <rFont val="宋体"/>
        <charset val="134"/>
      </rPr>
      <t>装柜前请提前告知，供应商需要送货；</t>
    </r>
  </si>
  <si>
    <r>
      <rPr>
        <sz val="10"/>
        <rFont val="Calibri"/>
        <charset val="134"/>
      </rPr>
      <t>RAC</t>
    </r>
    <r>
      <rPr>
        <sz val="10"/>
        <rFont val="宋体"/>
        <charset val="134"/>
      </rPr>
      <t>展架，</t>
    </r>
    <r>
      <rPr>
        <sz val="10"/>
        <rFont val="Calibri"/>
        <charset val="134"/>
      </rPr>
      <t>10.54 cbm</t>
    </r>
  </si>
  <si>
    <r>
      <rPr>
        <sz val="10"/>
        <rFont val="Calibri"/>
        <charset val="134"/>
      </rPr>
      <t>RAC</t>
    </r>
    <r>
      <rPr>
        <sz val="10"/>
        <rFont val="宋体"/>
        <charset val="134"/>
      </rPr>
      <t>展架道具</t>
    </r>
    <r>
      <rPr>
        <sz val="10"/>
        <rFont val="Calibri"/>
        <charset val="134"/>
      </rPr>
      <t>--Mina</t>
    </r>
    <r>
      <rPr>
        <sz val="10"/>
        <rFont val="宋体"/>
        <charset val="134"/>
      </rPr>
      <t>下单；</t>
    </r>
    <r>
      <rPr>
        <sz val="10"/>
        <rFont val="Calibri"/>
        <charset val="134"/>
      </rPr>
      <t>0.6cbm</t>
    </r>
    <r>
      <rPr>
        <sz val="10"/>
        <rFont val="宋体"/>
        <charset val="134"/>
      </rPr>
      <t>；</t>
    </r>
    <r>
      <rPr>
        <sz val="10"/>
        <rFont val="Calibri"/>
        <charset val="134"/>
      </rPr>
      <t xml:space="preserve">
</t>
    </r>
    <r>
      <rPr>
        <sz val="10"/>
        <rFont val="宋体"/>
        <charset val="134"/>
      </rPr>
      <t>装柜前提前告知，供应商需要送货</t>
    </r>
  </si>
  <si>
    <r>
      <rPr>
        <sz val="10"/>
        <rFont val="Calibri"/>
        <charset val="134"/>
      </rPr>
      <t>RAC </t>
    </r>
    <r>
      <rPr>
        <sz val="10"/>
        <rFont val="宋体"/>
        <charset val="134"/>
      </rPr>
      <t>培训架</t>
    </r>
  </si>
  <si>
    <r>
      <rPr>
        <sz val="10"/>
        <rFont val="Calibri"/>
        <charset val="134"/>
      </rPr>
      <t>7</t>
    </r>
    <r>
      <rPr>
        <sz val="10"/>
        <rFont val="宋体"/>
        <charset val="134"/>
      </rPr>
      <t>捆，已完货。买单报关，不需退税</t>
    </r>
  </si>
  <si>
    <r>
      <rPr>
        <sz val="10"/>
        <rFont val="Calibri"/>
        <charset val="134"/>
      </rPr>
      <t xml:space="preserve">MBT VRF </t>
    </r>
    <r>
      <rPr>
        <sz val="10"/>
        <rFont val="宋体"/>
        <charset val="134"/>
      </rPr>
      <t>培训架</t>
    </r>
  </si>
  <si>
    <t>MBT Quality Claim for May,2025. 2503189V&amp;2504144V&amp;2505073V</t>
  </si>
  <si>
    <t>MBT Quality Claim for May,2025. 2504144V</t>
  </si>
  <si>
    <r>
      <rPr>
        <sz val="10"/>
        <rFont val="Calibri"/>
        <charset val="134"/>
      </rPr>
      <t>6.30</t>
    </r>
    <r>
      <rPr>
        <sz val="10"/>
        <rFont val="宋体"/>
        <charset val="134"/>
      </rPr>
      <t>已货好。</t>
    </r>
    <r>
      <rPr>
        <sz val="10"/>
        <rFont val="Calibri"/>
        <charset val="134"/>
      </rPr>
      <t>6.18</t>
    </r>
    <r>
      <rPr>
        <sz val="10"/>
        <rFont val="宋体"/>
        <charset val="134"/>
      </rPr>
      <t>接到</t>
    </r>
    <r>
      <rPr>
        <sz val="10"/>
        <rFont val="Calibri"/>
        <charset val="134"/>
      </rPr>
      <t>RAC</t>
    </r>
    <r>
      <rPr>
        <sz val="10"/>
        <rFont val="宋体"/>
        <charset val="134"/>
      </rPr>
      <t>通知，未完货，在跟销售确认改装方案，所以由原来的</t>
    </r>
    <r>
      <rPr>
        <sz val="10"/>
        <rFont val="Calibri"/>
        <charset val="134"/>
      </rPr>
      <t>RAC-134</t>
    </r>
    <r>
      <rPr>
        <sz val="10"/>
        <rFont val="宋体"/>
        <charset val="134"/>
      </rPr>
      <t>改成</t>
    </r>
    <r>
      <rPr>
        <sz val="10"/>
        <rFont val="Calibri"/>
        <charset val="134"/>
      </rPr>
      <t>RAC-135</t>
    </r>
  </si>
  <si>
    <r>
      <rPr>
        <sz val="10"/>
        <rFont val="宋体"/>
        <charset val="134"/>
      </rPr>
      <t>光哥申请的</t>
    </r>
    <r>
      <rPr>
        <sz val="10"/>
        <rFont val="Calibri"/>
        <charset val="134"/>
      </rPr>
      <t>MIB</t>
    </r>
    <r>
      <rPr>
        <sz val="10"/>
        <rFont val="宋体"/>
        <charset val="134"/>
      </rPr>
      <t>资源提供的道具支持（跟</t>
    </r>
    <r>
      <rPr>
        <sz val="10"/>
        <rFont val="Calibri"/>
        <charset val="134"/>
      </rPr>
      <t>Mina</t>
    </r>
    <r>
      <rPr>
        <sz val="10"/>
        <rFont val="宋体"/>
        <charset val="134"/>
      </rPr>
      <t>对接），</t>
    </r>
    <r>
      <rPr>
        <sz val="10"/>
        <rFont val="Calibri"/>
        <charset val="134"/>
      </rPr>
      <t xml:space="preserve">FOC-0.094cbm
</t>
    </r>
    <r>
      <rPr>
        <sz val="10"/>
        <rFont val="宋体"/>
        <charset val="134"/>
      </rPr>
      <t>装柜前请提前告知，供应商需要送货；</t>
    </r>
  </si>
  <si>
    <r>
      <rPr>
        <sz val="10"/>
        <rFont val="Calibri"/>
        <charset val="134"/>
      </rPr>
      <t>EZ</t>
    </r>
    <r>
      <rPr>
        <sz val="10"/>
        <rFont val="宋体"/>
        <charset val="134"/>
      </rPr>
      <t>自动展示样机</t>
    </r>
  </si>
  <si>
    <r>
      <rPr>
        <sz val="10"/>
        <rFont val="宋体"/>
        <charset val="134"/>
      </rPr>
      <t>给</t>
    </r>
    <r>
      <rPr>
        <sz val="10"/>
        <rFont val="Calibri"/>
        <charset val="134"/>
      </rPr>
      <t>Polyaire</t>
    </r>
    <r>
      <rPr>
        <sz val="10"/>
        <rFont val="宋体"/>
        <charset val="134"/>
      </rPr>
      <t>的，</t>
    </r>
    <r>
      <rPr>
        <sz val="10"/>
        <rFont val="Calibri"/>
        <charset val="134"/>
      </rPr>
      <t>ETA: 10</t>
    </r>
    <r>
      <rPr>
        <sz val="10"/>
        <rFont val="宋体"/>
        <charset val="134"/>
      </rPr>
      <t>月前</t>
    </r>
    <r>
      <rPr>
        <sz val="10"/>
        <rFont val="Calibri"/>
        <charset val="134"/>
      </rPr>
      <t>; 
CRD</t>
    </r>
    <r>
      <rPr>
        <sz val="10"/>
        <rFont val="宋体"/>
        <charset val="134"/>
      </rPr>
      <t>：估计</t>
    </r>
    <r>
      <rPr>
        <sz val="10"/>
        <rFont val="Calibri"/>
        <charset val="134"/>
      </rPr>
      <t>8</t>
    </r>
    <r>
      <rPr>
        <sz val="10"/>
        <rFont val="宋体"/>
        <charset val="134"/>
      </rPr>
      <t>月底好，因为涉及改装，货好时间后续更新；</t>
    </r>
    <r>
      <rPr>
        <sz val="10"/>
        <rFont val="Calibri"/>
        <charset val="134"/>
      </rPr>
      <t xml:space="preserve">
FOC</t>
    </r>
    <r>
      <rPr>
        <sz val="10"/>
        <rFont val="宋体"/>
        <charset val="134"/>
      </rPr>
      <t>，由</t>
    </r>
    <r>
      <rPr>
        <sz val="10"/>
        <rFont val="Calibri"/>
        <charset val="134"/>
      </rPr>
      <t>RAC</t>
    </r>
    <r>
      <rPr>
        <sz val="10"/>
        <rFont val="宋体"/>
        <charset val="134"/>
      </rPr>
      <t>内部核销</t>
    </r>
    <r>
      <rPr>
        <sz val="10"/>
        <rFont val="Calibri"/>
        <charset val="134"/>
      </rPr>
      <t xml:space="preserve">
</t>
    </r>
    <r>
      <rPr>
        <sz val="10"/>
        <rFont val="宋体"/>
        <charset val="134"/>
      </rPr>
      <t>约</t>
    </r>
    <r>
      <rPr>
        <sz val="10"/>
        <rFont val="Calibri"/>
        <charset val="134"/>
      </rPr>
      <t>18CBM</t>
    </r>
  </si>
  <si>
    <r>
      <rPr>
        <sz val="10"/>
        <rFont val="Calibri"/>
        <charset val="134"/>
      </rPr>
      <t xml:space="preserve">EZ </t>
    </r>
    <r>
      <rPr>
        <sz val="10"/>
        <rFont val="宋体"/>
        <charset val="134"/>
      </rPr>
      <t>自动展示</t>
    </r>
    <r>
      <rPr>
        <sz val="10"/>
        <rFont val="Calibri"/>
        <charset val="134"/>
      </rPr>
      <t>2.6m</t>
    </r>
    <r>
      <rPr>
        <sz val="10"/>
        <rFont val="宋体"/>
        <charset val="134"/>
      </rPr>
      <t>展架</t>
    </r>
  </si>
  <si>
    <r>
      <rPr>
        <sz val="10"/>
        <rFont val="Calibri"/>
        <charset val="134"/>
      </rPr>
      <t>EZ</t>
    </r>
    <r>
      <rPr>
        <sz val="10"/>
        <rFont val="宋体"/>
        <charset val="134"/>
      </rPr>
      <t>自动展示道具</t>
    </r>
  </si>
  <si>
    <r>
      <rPr>
        <sz val="10"/>
        <rFont val="Calibri"/>
        <charset val="134"/>
      </rPr>
      <t xml:space="preserve">EZ X3 </t>
    </r>
    <r>
      <rPr>
        <sz val="10"/>
        <rFont val="宋体"/>
        <charset val="134"/>
      </rPr>
      <t>外机</t>
    </r>
  </si>
  <si>
    <r>
      <rPr>
        <sz val="10"/>
        <rFont val="Calibri"/>
        <charset val="134"/>
      </rPr>
      <t>EZ2</t>
    </r>
    <r>
      <rPr>
        <sz val="10"/>
        <rFont val="宋体"/>
        <charset val="134"/>
      </rPr>
      <t>空壳机小</t>
    </r>
  </si>
  <si>
    <r>
      <rPr>
        <sz val="10"/>
        <rFont val="Calibri"/>
        <charset val="134"/>
      </rPr>
      <t>EZ2</t>
    </r>
    <r>
      <rPr>
        <sz val="10"/>
        <rFont val="宋体"/>
        <charset val="134"/>
      </rPr>
      <t>空壳机大</t>
    </r>
  </si>
  <si>
    <t>MBT-291</t>
  </si>
  <si>
    <t>MFEF26VA-N</t>
  </si>
  <si>
    <r>
      <rPr>
        <sz val="10"/>
        <rFont val="Calibri"/>
        <charset val="134"/>
      </rPr>
      <t>CRD:9</t>
    </r>
    <r>
      <rPr>
        <sz val="10"/>
        <rFont val="宋体"/>
        <charset val="134"/>
      </rPr>
      <t>月初，</t>
    </r>
    <r>
      <rPr>
        <sz val="10"/>
        <rFont val="Calibri"/>
        <charset val="134"/>
      </rPr>
      <t>ETA: 10</t>
    </r>
    <r>
      <rPr>
        <sz val="10"/>
        <rFont val="宋体"/>
        <charset val="134"/>
      </rPr>
      <t>月中；</t>
    </r>
    <r>
      <rPr>
        <sz val="10"/>
        <rFont val="Calibri"/>
        <charset val="134"/>
      </rPr>
      <t xml:space="preserve">
MD</t>
    </r>
    <r>
      <rPr>
        <sz val="10"/>
        <rFont val="宋体"/>
        <charset val="134"/>
      </rPr>
      <t>展厅样机下单；若无空壳机安排真机；</t>
    </r>
    <r>
      <rPr>
        <sz val="10"/>
        <rFont val="Calibri"/>
        <charset val="134"/>
      </rPr>
      <t xml:space="preserve">
FOC</t>
    </r>
    <r>
      <rPr>
        <sz val="10"/>
        <rFont val="宋体"/>
        <charset val="134"/>
      </rPr>
      <t>，由</t>
    </r>
    <r>
      <rPr>
        <sz val="10"/>
        <rFont val="Calibri"/>
        <charset val="134"/>
      </rPr>
      <t>RAC</t>
    </r>
    <r>
      <rPr>
        <sz val="10"/>
        <rFont val="宋体"/>
        <charset val="134"/>
      </rPr>
      <t>内部核销</t>
    </r>
  </si>
  <si>
    <t>MFEF50VA-N</t>
  </si>
  <si>
    <t>MFEF26VA-W</t>
  </si>
  <si>
    <t>DUCMI105OC</t>
  </si>
  <si>
    <t>分区控制器</t>
  </si>
  <si>
    <t>MDDF20</t>
  </si>
  <si>
    <t>MDDP50</t>
  </si>
  <si>
    <t>MULMIC12C</t>
  </si>
  <si>
    <t>MULMICFPC</t>
  </si>
  <si>
    <r>
      <rPr>
        <sz val="10"/>
        <rFont val="Calibri"/>
        <charset val="134"/>
      </rPr>
      <t xml:space="preserve">RSJ-15/190RDN7-L2 </t>
    </r>
    <r>
      <rPr>
        <sz val="10"/>
        <rFont val="宋体"/>
        <charset val="134"/>
      </rPr>
      <t>空壳机样机</t>
    </r>
  </si>
  <si>
    <r>
      <rPr>
        <sz val="10"/>
        <rFont val="Calibri"/>
        <charset val="134"/>
      </rPr>
      <t>CRD:9</t>
    </r>
    <r>
      <rPr>
        <sz val="10"/>
        <rFont val="宋体"/>
        <charset val="134"/>
      </rPr>
      <t>月初；</t>
    </r>
    <r>
      <rPr>
        <sz val="10"/>
        <rFont val="Calibri"/>
        <charset val="134"/>
      </rPr>
      <t>Mina</t>
    </r>
    <r>
      <rPr>
        <sz val="10"/>
        <rFont val="宋体"/>
        <charset val="134"/>
      </rPr>
      <t>下单；共</t>
    </r>
    <r>
      <rPr>
        <sz val="10"/>
        <rFont val="Calibri"/>
        <charset val="134"/>
      </rPr>
      <t>11.07cbm</t>
    </r>
  </si>
  <si>
    <r>
      <rPr>
        <sz val="10"/>
        <rFont val="Calibri"/>
        <charset val="134"/>
      </rPr>
      <t xml:space="preserve">RSJ-23/300RDN7-L2 </t>
    </r>
    <r>
      <rPr>
        <sz val="10"/>
        <rFont val="宋体"/>
        <charset val="134"/>
      </rPr>
      <t>空壳机样机</t>
    </r>
  </si>
  <si>
    <t>MIH80GHIN18-A</t>
  </si>
  <si>
    <t>MBT Quality Claim for June,2025. 2505170V</t>
  </si>
  <si>
    <t>MBT Quality Claim for June,2025. 2506200V&amp;2506208V</t>
  </si>
  <si>
    <t>MDV-V230WNI(AU)-A</t>
  </si>
  <si>
    <t>MBT Quality Claim for June,2025. 2507009V</t>
  </si>
  <si>
    <r>
      <rPr>
        <sz val="9"/>
        <rFont val="Calibri"/>
        <charset val="134"/>
      </rPr>
      <t>MFAG26VB-W-X2</t>
    </r>
    <r>
      <rPr>
        <sz val="9"/>
        <rFont val="宋体"/>
        <charset val="134"/>
      </rPr>
      <t>空壳机</t>
    </r>
  </si>
  <si>
    <t>随柜出。市场相关物料核销的。</t>
  </si>
  <si>
    <r>
      <rPr>
        <sz val="9"/>
        <rFont val="Calibri"/>
        <charset val="134"/>
      </rPr>
      <t>RSJ-23/300RDN7-L2</t>
    </r>
    <r>
      <rPr>
        <sz val="9"/>
        <rFont val="宋体"/>
        <charset val="134"/>
      </rPr>
      <t>（电子阳极）</t>
    </r>
  </si>
  <si>
    <r>
      <rPr>
        <sz val="10"/>
        <rFont val="宋体"/>
        <charset val="134"/>
      </rPr>
      <t>在合肥；</t>
    </r>
    <r>
      <rPr>
        <sz val="10"/>
        <rFont val="Calibri"/>
        <charset val="134"/>
      </rPr>
      <t>6</t>
    </r>
    <r>
      <rPr>
        <sz val="10"/>
        <rFont val="宋体"/>
        <charset val="134"/>
      </rPr>
      <t>台热水机加了电子阳极这个选配是之前光哥跟研发报备给前端试用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</si>
</sst>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"/>
    <numFmt numFmtId="177" formatCode="[$-409]d/mmm/yy;@"/>
    <numFmt numFmtId="178" formatCode="[$-F800]dddd\,\ mmmm\ dd\,\ yyyy"/>
    <numFmt numFmtId="179" formatCode="0_ "/>
    <numFmt numFmtId="180" formatCode="#\ ?/?"/>
    <numFmt numFmtId="181" formatCode="m&quot;月&quot;d&quot;日&quot;;@"/>
    <numFmt numFmtId="182" formatCode="[$￥-804]#,##0.00"/>
    <numFmt numFmtId="183" formatCode="h:mm;@"/>
    <numFmt numFmtId="184" formatCode="yyyy/m/d;@"/>
    <numFmt numFmtId="185" formatCode="0_);[Red]\(0\)"/>
    <numFmt numFmtId="186" formatCode="0.00_);[Red]\(0.00\)"/>
    <numFmt numFmtId="187" formatCode="0.0_ "/>
    <numFmt numFmtId="188" formatCode="0.00_ "/>
    <numFmt numFmtId="189" formatCode="\ @"/>
  </numFmts>
  <fonts count="5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0"/>
      <name val="宋体"/>
      <charset val="134"/>
    </font>
    <font>
      <sz val="9"/>
      <name val="Calibri"/>
      <charset val="134"/>
    </font>
    <font>
      <strike/>
      <sz val="10"/>
      <name val="Calibri"/>
      <charset val="134"/>
    </font>
    <font>
      <sz val="9"/>
      <name val="宋体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name val="Calibri"/>
      <charset val="0"/>
    </font>
    <font>
      <sz val="11"/>
      <color rgb="FF1F1F1F"/>
      <name val="Calibri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Calibri"/>
      <charset val="134"/>
    </font>
    <font>
      <b/>
      <sz val="11"/>
      <color theme="1"/>
      <name val="Calibri"/>
      <charset val="134"/>
    </font>
    <font>
      <sz val="11"/>
      <color rgb="FF242424"/>
      <name val="Calibri"/>
      <charset val="134"/>
    </font>
    <font>
      <sz val="11"/>
      <color rgb="FF171A1D"/>
      <name val="Calibri"/>
      <charset val="134"/>
    </font>
    <font>
      <sz val="8"/>
      <name val="Calibri"/>
      <charset val="134"/>
    </font>
    <font>
      <sz val="11"/>
      <color rgb="FF2972F4"/>
      <name val="Calibri"/>
      <charset val="134"/>
    </font>
    <font>
      <sz val="11"/>
      <color rgb="FF00B050"/>
      <name val="Calibri"/>
      <charset val="134"/>
    </font>
    <font>
      <b/>
      <sz val="11"/>
      <name val="Calibri"/>
      <charset val="134"/>
    </font>
    <font>
      <sz val="12"/>
      <name val="宋体"/>
      <charset val="134"/>
    </font>
    <font>
      <strike/>
      <sz val="11"/>
      <name val="Calibri"/>
      <charset val="134"/>
    </font>
    <font>
      <strike/>
      <sz val="11"/>
      <color theme="1"/>
      <name val="Calibri"/>
      <charset val="134"/>
    </font>
    <font>
      <sz val="11"/>
      <name val="微软"/>
      <charset val="134"/>
    </font>
    <font>
      <sz val="11"/>
      <color rgb="FF000000"/>
      <name val="宋体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  <font>
      <sz val="10"/>
      <name val="Arial"/>
      <charset val="0"/>
    </font>
    <font>
      <sz val="11"/>
      <color rgb="FFFF0000"/>
      <name val="宋体"/>
      <charset val="134"/>
    </font>
    <font>
      <sz val="10"/>
      <color rgb="FF000000"/>
      <name val="Calibri"/>
      <charset val="134"/>
    </font>
    <font>
      <sz val="10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5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5"/>
        <bgColor rgb="FFE2EFDA"/>
      </patternFill>
    </fill>
    <fill>
      <patternFill patternType="solid">
        <fgColor theme="2" tint="-0.1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DAF3C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rgb="FFE2EFD9"/>
      </patternFill>
    </fill>
    <fill>
      <patternFill patternType="solid">
        <fgColor theme="0" tint="-0.15"/>
        <bgColor rgb="FFE3F2D9"/>
      </patternFill>
    </fill>
    <fill>
      <patternFill patternType="solid">
        <fgColor rgb="FFD8D8D8"/>
        <bgColor rgb="FFE2EFD9"/>
      </patternFill>
    </fill>
    <fill>
      <patternFill patternType="solid">
        <fgColor rgb="FFD8D8D8"/>
        <bgColor rgb="FFE2EFDA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4" borderId="40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39" fillId="0" borderId="4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25" borderId="43" applyNumberFormat="0" applyAlignment="0" applyProtection="0">
      <alignment vertical="center"/>
    </xf>
    <xf numFmtId="0" fontId="41" fillId="26" borderId="44" applyNumberFormat="0" applyAlignment="0" applyProtection="0">
      <alignment vertical="center"/>
    </xf>
    <xf numFmtId="0" fontId="42" fillId="26" borderId="43" applyNumberFormat="0" applyAlignment="0" applyProtection="0">
      <alignment vertical="center"/>
    </xf>
    <xf numFmtId="0" fontId="43" fillId="27" borderId="45" applyNumberFormat="0" applyAlignment="0" applyProtection="0">
      <alignment vertical="center"/>
    </xf>
    <xf numFmtId="0" fontId="44" fillId="0" borderId="46" applyNumberFormat="0" applyFill="0" applyAlignment="0" applyProtection="0">
      <alignment vertical="center"/>
    </xf>
    <xf numFmtId="0" fontId="45" fillId="0" borderId="47" applyNumberFormat="0" applyFill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51" fillId="0" borderId="0"/>
    <xf numFmtId="0" fontId="52" fillId="0" borderId="0"/>
  </cellStyleXfs>
  <cellXfs count="1459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14" fontId="2" fillId="0" borderId="0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14" fontId="2" fillId="3" borderId="2" xfId="0" applyNumberFormat="1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>
      <alignment horizontal="left" vertical="center"/>
    </xf>
    <xf numFmtId="0" fontId="4" fillId="3" borderId="4" xfId="0" applyFont="1" applyFill="1" applyBorder="1">
      <alignment vertical="center"/>
    </xf>
    <xf numFmtId="0" fontId="1" fillId="0" borderId="4" xfId="0" applyFont="1" applyBorder="1">
      <alignment vertical="center"/>
    </xf>
    <xf numFmtId="0" fontId="4" fillId="3" borderId="5" xfId="0" applyFont="1" applyFill="1" applyBorder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0" borderId="5" xfId="0" applyFont="1" applyBorder="1">
      <alignment vertical="center"/>
    </xf>
    <xf numFmtId="0" fontId="3" fillId="3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2" fillId="3" borderId="6" xfId="0" applyFont="1" applyFill="1" applyBorder="1">
      <alignment vertical="center"/>
    </xf>
    <xf numFmtId="14" fontId="2" fillId="3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>
      <alignment vertical="center"/>
    </xf>
    <xf numFmtId="0" fontId="2" fillId="3" borderId="8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3" borderId="10" xfId="0" applyFont="1" applyFill="1" applyBorder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NumberFormat="1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1" fillId="4" borderId="9" xfId="0" applyFont="1" applyFill="1" applyBorder="1">
      <alignment vertical="center"/>
    </xf>
    <xf numFmtId="0" fontId="3" fillId="3" borderId="11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left" vertical="center"/>
    </xf>
    <xf numFmtId="0" fontId="2" fillId="3" borderId="11" xfId="0" applyFont="1" applyFill="1" applyBorder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2" fillId="3" borderId="11" xfId="0" applyNumberFormat="1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1" fillId="4" borderId="12" xfId="0" applyFont="1" applyFill="1" applyBorder="1">
      <alignment vertical="center"/>
    </xf>
    <xf numFmtId="0" fontId="2" fillId="5" borderId="1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>
      <alignment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4" fontId="2" fillId="5" borderId="2" xfId="0" applyNumberFormat="1" applyFont="1" applyFill="1" applyBorder="1" applyAlignment="1">
      <alignment horizontal="center" vertical="center"/>
    </xf>
    <xf numFmtId="0" fontId="2" fillId="5" borderId="13" xfId="0" applyNumberFormat="1" applyFont="1" applyFill="1" applyBorder="1">
      <alignment vertical="center"/>
    </xf>
    <xf numFmtId="0" fontId="1" fillId="0" borderId="1" xfId="0" applyFont="1" applyBorder="1">
      <alignment vertical="center"/>
    </xf>
    <xf numFmtId="0" fontId="2" fillId="5" borderId="13" xfId="0" applyFont="1" applyFill="1" applyBorder="1">
      <alignment vertical="center"/>
    </xf>
    <xf numFmtId="0" fontId="1" fillId="0" borderId="2" xfId="0" applyFont="1" applyBorder="1">
      <alignment vertical="center"/>
    </xf>
    <xf numFmtId="176" fontId="2" fillId="5" borderId="14" xfId="0" applyNumberFormat="1" applyFont="1" applyFill="1" applyBorder="1">
      <alignment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2" xfId="0" applyFont="1" applyFill="1" applyBorder="1">
      <alignment vertical="center"/>
    </xf>
    <xf numFmtId="0" fontId="2" fillId="5" borderId="16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NumberFormat="1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9" fontId="3" fillId="5" borderId="1" xfId="0" applyNumberFormat="1" applyFont="1" applyFill="1" applyBorder="1" applyAlignment="1">
      <alignment horizontal="left" vertical="center"/>
    </xf>
    <xf numFmtId="9" fontId="2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5" borderId="3" xfId="0" applyFont="1" applyFill="1" applyBorder="1">
      <alignment vertic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>
      <alignment vertical="center"/>
    </xf>
    <xf numFmtId="0" fontId="2" fillId="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>
      <alignment vertical="center"/>
    </xf>
    <xf numFmtId="0" fontId="2" fillId="5" borderId="0" xfId="0" applyFont="1" applyFill="1" applyAlignment="1">
      <alignment horizontal="center" vertical="center"/>
    </xf>
    <xf numFmtId="0" fontId="2" fillId="5" borderId="6" xfId="0" applyNumberFormat="1" applyFont="1" applyFill="1" applyBorder="1" applyAlignment="1">
      <alignment horizontal="center" vertical="center"/>
    </xf>
    <xf numFmtId="0" fontId="2" fillId="5" borderId="14" xfId="0" applyFont="1" applyFill="1" applyBorder="1">
      <alignment vertical="center"/>
    </xf>
    <xf numFmtId="0" fontId="3" fillId="5" borderId="14" xfId="0" applyFont="1" applyFill="1" applyBorder="1">
      <alignment vertical="center"/>
    </xf>
    <xf numFmtId="0" fontId="2" fillId="5" borderId="0" xfId="0" applyFont="1" applyFill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2" fillId="5" borderId="1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/>
    <xf numFmtId="0" fontId="2" fillId="5" borderId="17" xfId="0" applyNumberFormat="1" applyFont="1" applyFill="1" applyBorder="1" applyAlignment="1">
      <alignment horizontal="center" vertical="center"/>
    </xf>
    <xf numFmtId="14" fontId="2" fillId="5" borderId="15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left" vertical="center" wrapText="1"/>
    </xf>
    <xf numFmtId="0" fontId="1" fillId="0" borderId="18" xfId="0" applyFont="1" applyBorder="1">
      <alignment vertical="center"/>
    </xf>
    <xf numFmtId="0" fontId="2" fillId="5" borderId="17" xfId="0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3" fillId="0" borderId="2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6" borderId="2" xfId="0" applyFont="1" applyFill="1" applyBorder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3" fillId="0" borderId="2" xfId="0" applyFont="1" applyFill="1" applyBorder="1">
      <alignment vertical="center"/>
    </xf>
    <xf numFmtId="0" fontId="2" fillId="0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 wrapText="1"/>
    </xf>
    <xf numFmtId="0" fontId="2" fillId="0" borderId="0" xfId="0" applyNumberFormat="1" applyFont="1" applyAlignment="1">
      <alignment vertical="center"/>
    </xf>
    <xf numFmtId="0" fontId="5" fillId="0" borderId="2" xfId="0" applyFont="1" applyFill="1" applyBorder="1">
      <alignment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6" borderId="2" xfId="0" applyFont="1" applyFill="1" applyBorder="1">
      <alignment vertical="center"/>
    </xf>
    <xf numFmtId="0" fontId="5" fillId="0" borderId="2" xfId="0" applyFont="1" applyBorder="1">
      <alignment vertical="center"/>
    </xf>
    <xf numFmtId="177" fontId="4" fillId="0" borderId="1" xfId="0" applyNumberFormat="1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left" vertical="center"/>
    </xf>
    <xf numFmtId="177" fontId="6" fillId="0" borderId="1" xfId="0" applyNumberFormat="1" applyFont="1" applyBorder="1" applyAlignment="1">
      <alignment horizontal="left" vertical="center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177" fontId="4" fillId="0" borderId="2" xfId="0" applyNumberFormat="1" applyFont="1" applyBorder="1" applyAlignment="1">
      <alignment horizontal="left" vertical="center"/>
    </xf>
    <xf numFmtId="0" fontId="7" fillId="0" borderId="2" xfId="0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6" borderId="0" xfId="0" applyFont="1" applyFill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NumberFormat="1" applyFill="1" applyBorder="1" applyAlignment="1">
      <alignment vertical="center"/>
    </xf>
    <xf numFmtId="0" fontId="0" fillId="6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8" fillId="2" borderId="0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9" fillId="0" borderId="5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NumberFormat="1" applyFont="1" applyFill="1" applyBorder="1" applyAlignment="1">
      <alignment horizontal="center" vertical="center"/>
    </xf>
    <xf numFmtId="14" fontId="8" fillId="5" borderId="0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shrinkToFit="1"/>
    </xf>
    <xf numFmtId="178" fontId="8" fillId="3" borderId="1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8" fillId="0" borderId="0" xfId="0" applyFont="1" applyFill="1">
      <alignment vertical="center"/>
    </xf>
    <xf numFmtId="0" fontId="9" fillId="3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4" fontId="10" fillId="2" borderId="0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1" xfId="0" applyNumberFormat="1" applyFont="1" applyFill="1" applyBorder="1" applyAlignment="1">
      <alignment horizontal="center" vertical="center" wrapText="1"/>
    </xf>
    <xf numFmtId="179" fontId="8" fillId="3" borderId="11" xfId="0" applyNumberFormat="1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14" fontId="10" fillId="7" borderId="1" xfId="0" applyNumberFormat="1" applyFont="1" applyFill="1" applyBorder="1" applyAlignment="1">
      <alignment horizontal="center" vertical="center"/>
    </xf>
    <xf numFmtId="0" fontId="8" fillId="3" borderId="20" xfId="0" applyNumberFormat="1" applyFont="1" applyFill="1" applyBorder="1" applyAlignment="1">
      <alignment horizontal="center" vertical="center" wrapText="1"/>
    </xf>
    <xf numFmtId="14" fontId="10" fillId="7" borderId="0" xfId="0" applyNumberFormat="1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8" fillId="3" borderId="11" xfId="0" applyNumberFormat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8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9" fillId="3" borderId="11" xfId="0" applyNumberFormat="1" applyFont="1" applyFill="1" applyBorder="1" applyAlignment="1">
      <alignment horizontal="center" vertical="center" wrapText="1"/>
    </xf>
    <xf numFmtId="179" fontId="9" fillId="3" borderId="11" xfId="0" applyNumberFormat="1" applyFont="1" applyFill="1" applyBorder="1" applyAlignment="1">
      <alignment horizontal="center" vertical="center"/>
    </xf>
    <xf numFmtId="14" fontId="8" fillId="3" borderId="20" xfId="0" applyNumberFormat="1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0" fontId="9" fillId="3" borderId="11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14" fontId="10" fillId="5" borderId="0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 readingOrder="1"/>
    </xf>
    <xf numFmtId="0" fontId="8" fillId="3" borderId="11" xfId="0" applyFont="1" applyFill="1" applyBorder="1" applyAlignment="1">
      <alignment horizontal="center" vertical="center" wrapText="1" readingOrder="1"/>
    </xf>
    <xf numFmtId="0" fontId="8" fillId="3" borderId="3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8" fillId="5" borderId="11" xfId="0" applyFont="1" applyFill="1" applyBorder="1" applyAlignment="1">
      <alignment horizontal="center" vertical="center"/>
    </xf>
    <xf numFmtId="0" fontId="8" fillId="5" borderId="11" xfId="0" applyNumberFormat="1" applyFont="1" applyFill="1" applyBorder="1" applyAlignment="1">
      <alignment horizontal="center" vertical="center" wrapText="1"/>
    </xf>
    <xf numFmtId="49" fontId="8" fillId="5" borderId="11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8" fillId="5" borderId="11" xfId="0" applyNumberFormat="1" applyFont="1" applyFill="1" applyBorder="1" applyAlignment="1">
      <alignment horizontal="center" vertical="center"/>
    </xf>
    <xf numFmtId="14" fontId="8" fillId="5" borderId="11" xfId="0" applyNumberFormat="1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9" fillId="5" borderId="12" xfId="0" applyNumberFormat="1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 vertical="center"/>
    </xf>
    <xf numFmtId="0" fontId="9" fillId="5" borderId="11" xfId="0" applyNumberFormat="1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/>
    </xf>
    <xf numFmtId="0" fontId="9" fillId="5" borderId="11" xfId="0" applyNumberFormat="1" applyFont="1" applyFill="1" applyBorder="1" applyAlignment="1">
      <alignment horizontal="center" vertical="center"/>
    </xf>
    <xf numFmtId="0" fontId="8" fillId="3" borderId="2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5" borderId="20" xfId="0" applyNumberFormat="1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 wrapText="1"/>
    </xf>
    <xf numFmtId="179" fontId="9" fillId="5" borderId="11" xfId="0" applyNumberFormat="1" applyFont="1" applyFill="1" applyBorder="1" applyAlignment="1">
      <alignment horizontal="center" vertical="center"/>
    </xf>
    <xf numFmtId="180" fontId="10" fillId="5" borderId="11" xfId="0" applyNumberFormat="1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horizontal="center" vertical="center"/>
    </xf>
    <xf numFmtId="1" fontId="8" fillId="5" borderId="1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 readingOrder="1"/>
    </xf>
    <xf numFmtId="1" fontId="12" fillId="5" borderId="11" xfId="50" applyNumberFormat="1" applyFont="1" applyFill="1" applyBorder="1" applyAlignment="1">
      <alignment horizontal="center" vertical="center" shrinkToFit="1"/>
    </xf>
    <xf numFmtId="0" fontId="12" fillId="5" borderId="11" xfId="50" applyFont="1" applyFill="1" applyBorder="1" applyAlignment="1">
      <alignment horizontal="center" vertical="center" shrinkToFit="1"/>
    </xf>
    <xf numFmtId="0" fontId="13" fillId="5" borderId="2" xfId="0" applyFont="1" applyFill="1" applyBorder="1" applyAlignment="1">
      <alignment horizontal="center" vertical="center" wrapText="1"/>
    </xf>
    <xf numFmtId="0" fontId="8" fillId="9" borderId="20" xfId="0" applyFont="1" applyFill="1" applyBorder="1" applyAlignment="1">
      <alignment horizontal="center" vertical="center"/>
    </xf>
    <xf numFmtId="1" fontId="12" fillId="5" borderId="20" xfId="50" applyNumberFormat="1" applyFont="1" applyFill="1" applyBorder="1" applyAlignment="1">
      <alignment horizontal="center" vertical="center" shrinkToFit="1"/>
    </xf>
    <xf numFmtId="0" fontId="12" fillId="5" borderId="20" xfId="5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14" fontId="8" fillId="5" borderId="2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8" fillId="5" borderId="12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/>
    </xf>
    <xf numFmtId="0" fontId="9" fillId="5" borderId="12" xfId="0" applyNumberFormat="1" applyFont="1" applyFill="1" applyBorder="1" applyAlignment="1">
      <alignment horizontal="center"/>
    </xf>
    <xf numFmtId="0" fontId="8" fillId="5" borderId="12" xfId="0" applyNumberFormat="1" applyFont="1" applyFill="1" applyBorder="1" applyAlignment="1">
      <alignment horizontal="center" vertical="center"/>
    </xf>
    <xf numFmtId="14" fontId="8" fillId="5" borderId="9" xfId="0" applyNumberFormat="1" applyFont="1" applyFill="1" applyBorder="1" applyAlignment="1">
      <alignment horizontal="center" vertical="center"/>
    </xf>
    <xf numFmtId="0" fontId="1" fillId="0" borderId="1" xfId="0" applyFont="1" applyBorder="1" applyAlignment="1"/>
    <xf numFmtId="0" fontId="9" fillId="5" borderId="1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/>
    </xf>
    <xf numFmtId="178" fontId="8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79" fontId="9" fillId="5" borderId="2" xfId="0" applyNumberFormat="1" applyFont="1" applyFill="1" applyBorder="1" applyAlignment="1">
      <alignment horizontal="center" vertical="center"/>
    </xf>
    <xf numFmtId="176" fontId="8" fillId="5" borderId="2" xfId="0" applyNumberFormat="1" applyFont="1" applyFill="1" applyBorder="1" applyAlignment="1">
      <alignment horizontal="center"/>
    </xf>
    <xf numFmtId="14" fontId="9" fillId="5" borderId="2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14" fontId="8" fillId="5" borderId="20" xfId="0" applyNumberFormat="1" applyFont="1" applyFill="1" applyBorder="1" applyAlignment="1">
      <alignment horizontal="center" vertical="center"/>
    </xf>
    <xf numFmtId="0" fontId="1" fillId="0" borderId="2" xfId="0" applyFont="1" applyBorder="1" applyAlignment="1"/>
    <xf numFmtId="1" fontId="9" fillId="5" borderId="2" xfId="0" applyNumberFormat="1" applyFont="1" applyFill="1" applyBorder="1" applyAlignment="1">
      <alignment horizontal="center" vertical="center"/>
    </xf>
    <xf numFmtId="0" fontId="8" fillId="5" borderId="15" xfId="0" applyNumberFormat="1" applyFont="1" applyFill="1" applyBorder="1" applyAlignment="1">
      <alignment horizontal="center" vertical="center"/>
    </xf>
    <xf numFmtId="1" fontId="9" fillId="5" borderId="6" xfId="0" applyNumberFormat="1" applyFont="1" applyFill="1" applyBorder="1" applyAlignment="1">
      <alignment horizontal="center"/>
    </xf>
    <xf numFmtId="0" fontId="8" fillId="5" borderId="2" xfId="0" applyNumberFormat="1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9" fillId="5" borderId="1" xfId="0" applyNumberFormat="1" applyFont="1" applyFill="1" applyBorder="1" applyAlignment="1">
      <alignment horizontal="center"/>
    </xf>
    <xf numFmtId="1" fontId="9" fillId="5" borderId="15" xfId="0" applyNumberFormat="1" applyFont="1" applyFill="1" applyBorder="1" applyAlignment="1">
      <alignment horizontal="center"/>
    </xf>
    <xf numFmtId="0" fontId="9" fillId="5" borderId="2" xfId="0" applyNumberFormat="1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 vertical="center"/>
    </xf>
    <xf numFmtId="0" fontId="0" fillId="0" borderId="22" xfId="0" applyBorder="1">
      <alignment vertical="center"/>
    </xf>
    <xf numFmtId="49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76" fontId="9" fillId="5" borderId="6" xfId="0" applyNumberFormat="1" applyFont="1" applyFill="1" applyBorder="1" applyAlignment="1">
      <alignment horizontal="center"/>
    </xf>
    <xf numFmtId="14" fontId="8" fillId="5" borderId="3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9" fillId="5" borderId="2" xfId="0" applyFont="1" applyFill="1" applyBorder="1" applyAlignment="1">
      <alignment horizontal="center" vertical="center" wrapText="1"/>
    </xf>
    <xf numFmtId="49" fontId="9" fillId="5" borderId="2" xfId="0" applyNumberFormat="1" applyFont="1" applyFill="1" applyBorder="1" applyAlignment="1">
      <alignment horizontal="center" vertical="center" wrapText="1"/>
    </xf>
    <xf numFmtId="176" fontId="9" fillId="5" borderId="15" xfId="0" applyNumberFormat="1" applyFont="1" applyFill="1" applyBorder="1" applyAlignment="1">
      <alignment horizontal="center"/>
    </xf>
    <xf numFmtId="0" fontId="0" fillId="0" borderId="14" xfId="0" applyBorder="1">
      <alignment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14" fontId="7" fillId="8" borderId="2" xfId="0" applyNumberFormat="1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0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5" borderId="16" xfId="0" applyNumberFormat="1" applyFont="1" applyFill="1" applyBorder="1" applyAlignment="1">
      <alignment horizontal="center" vertical="center"/>
    </xf>
    <xf numFmtId="0" fontId="0" fillId="0" borderId="23" xfId="0" applyBorder="1">
      <alignment vertical="center"/>
    </xf>
    <xf numFmtId="0" fontId="9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1" xfId="0" applyFill="1" applyBorder="1">
      <alignment vertical="center"/>
    </xf>
    <xf numFmtId="0" fontId="0" fillId="6" borderId="4" xfId="0" applyFill="1" applyBorder="1">
      <alignment vertical="center"/>
    </xf>
    <xf numFmtId="0" fontId="0" fillId="6" borderId="2" xfId="0" applyFill="1" applyBorder="1">
      <alignment vertical="center"/>
    </xf>
    <xf numFmtId="0" fontId="9" fillId="5" borderId="15" xfId="0" applyFont="1" applyFill="1" applyBorder="1" applyAlignment="1">
      <alignment horizontal="center" vertical="center" wrapText="1"/>
    </xf>
    <xf numFmtId="176" fontId="10" fillId="5" borderId="10" xfId="0" applyNumberFormat="1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/>
    </xf>
    <xf numFmtId="0" fontId="0" fillId="0" borderId="0" xfId="0" applyNumberFormat="1" applyFill="1" applyAlignment="1">
      <alignment vertical="center"/>
    </xf>
    <xf numFmtId="176" fontId="8" fillId="5" borderId="14" xfId="0" applyNumberFormat="1" applyFont="1" applyFill="1" applyBorder="1" applyAlignment="1">
      <alignment horizontal="center"/>
    </xf>
    <xf numFmtId="1" fontId="9" fillId="5" borderId="14" xfId="0" applyNumberFormat="1" applyFont="1" applyFill="1" applyBorder="1" applyAlignment="1">
      <alignment horizontal="center" vertical="center" wrapText="1"/>
    </xf>
    <xf numFmtId="1" fontId="9" fillId="5" borderId="2" xfId="0" applyNumberFormat="1" applyFont="1" applyFill="1" applyBorder="1" applyAlignment="1">
      <alignment horizontal="center" vertical="center" wrapText="1"/>
    </xf>
    <xf numFmtId="1" fontId="10" fillId="5" borderId="2" xfId="0" applyNumberFormat="1" applyFont="1" applyFill="1" applyBorder="1" applyAlignment="1">
      <alignment horizontal="center" vertical="center" wrapText="1"/>
    </xf>
    <xf numFmtId="49" fontId="14" fillId="5" borderId="1" xfId="0" applyNumberFormat="1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>
      <alignment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 wrapText="1"/>
    </xf>
    <xf numFmtId="49" fontId="14" fillId="5" borderId="2" xfId="0" applyNumberFormat="1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/>
    </xf>
    <xf numFmtId="49" fontId="9" fillId="5" borderId="6" xfId="0" applyNumberFormat="1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/>
    </xf>
    <xf numFmtId="49" fontId="9" fillId="5" borderId="14" xfId="0" applyNumberFormat="1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0" xfId="0" applyNumberFormat="1" applyFont="1" applyFill="1" applyAlignment="1">
      <alignment vertical="center"/>
    </xf>
    <xf numFmtId="0" fontId="9" fillId="5" borderId="3" xfId="0" applyFont="1" applyFill="1" applyBorder="1" applyAlignment="1">
      <alignment horizontal="center" vertical="center" wrapText="1"/>
    </xf>
    <xf numFmtId="14" fontId="9" fillId="5" borderId="1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" fontId="10" fillId="5" borderId="1" xfId="0" applyNumberFormat="1" applyFont="1" applyFill="1" applyBorder="1" applyAlignment="1">
      <alignment horizontal="center" vertical="center"/>
    </xf>
    <xf numFmtId="1" fontId="9" fillId="5" borderId="5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4" fontId="9" fillId="5" borderId="5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49" fontId="9" fillId="5" borderId="3" xfId="0" applyNumberFormat="1" applyFont="1" applyFill="1" applyBorder="1" applyAlignment="1">
      <alignment horizontal="center" vertical="center"/>
    </xf>
    <xf numFmtId="49" fontId="14" fillId="5" borderId="3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49" fontId="14" fillId="5" borderId="14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49" fontId="10" fillId="5" borderId="3" xfId="0" applyNumberFormat="1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176" fontId="8" fillId="5" borderId="1" xfId="0" applyNumberFormat="1" applyFont="1" applyFill="1" applyBorder="1" applyAlignment="1">
      <alignment horizontal="center" vertical="center"/>
    </xf>
    <xf numFmtId="176" fontId="8" fillId="5" borderId="2" xfId="0" applyNumberFormat="1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 wrapText="1"/>
    </xf>
    <xf numFmtId="49" fontId="10" fillId="5" borderId="2" xfId="0" applyNumberFormat="1" applyFont="1" applyFill="1" applyBorder="1" applyAlignment="1">
      <alignment horizontal="center" vertical="center" wrapText="1"/>
    </xf>
    <xf numFmtId="176" fontId="10" fillId="5" borderId="2" xfId="0" applyNumberFormat="1" applyFont="1" applyFill="1" applyBorder="1" applyAlignment="1">
      <alignment horizontal="center" vertical="center"/>
    </xf>
    <xf numFmtId="14" fontId="10" fillId="5" borderId="2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7" fillId="0" borderId="0" xfId="0" applyFont="1" applyFill="1" applyAlignment="1">
      <alignment vertical="center"/>
    </xf>
    <xf numFmtId="14" fontId="9" fillId="5" borderId="4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9" fillId="5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17" fillId="0" borderId="2" xfId="0" applyFont="1" applyBorder="1">
      <alignment vertical="center"/>
    </xf>
    <xf numFmtId="176" fontId="8" fillId="4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>
      <alignment vertical="center"/>
    </xf>
    <xf numFmtId="176" fontId="8" fillId="4" borderId="2" xfId="0" applyNumberFormat="1" applyFont="1" applyFill="1" applyBorder="1" applyAlignment="1">
      <alignment horizontal="center" vertical="center"/>
    </xf>
    <xf numFmtId="0" fontId="17" fillId="0" borderId="2" xfId="0" applyFont="1" applyFill="1" applyBorder="1">
      <alignment vertical="center"/>
    </xf>
    <xf numFmtId="0" fontId="9" fillId="4" borderId="6" xfId="0" applyFont="1" applyFill="1" applyBorder="1" applyAlignment="1">
      <alignment horizontal="center" vertical="center"/>
    </xf>
    <xf numFmtId="49" fontId="9" fillId="4" borderId="14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4" fontId="9" fillId="4" borderId="2" xfId="0" applyNumberFormat="1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49" fontId="9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49" fontId="9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1" fontId="9" fillId="4" borderId="1" xfId="0" applyNumberFormat="1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/>
    </xf>
    <xf numFmtId="49" fontId="9" fillId="10" borderId="3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8" fillId="0" borderId="1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49" fontId="9" fillId="10" borderId="14" xfId="0" applyNumberFormat="1" applyFont="1" applyFill="1" applyBorder="1" applyAlignment="1">
      <alignment horizontal="center" vertical="center" wrapText="1"/>
    </xf>
    <xf numFmtId="0" fontId="9" fillId="10" borderId="2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4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9" fillId="0" borderId="1" xfId="0" applyFont="1" applyFill="1" applyBorder="1">
      <alignment vertical="center"/>
    </xf>
    <xf numFmtId="49" fontId="9" fillId="0" borderId="2" xfId="0" applyNumberFormat="1" applyFont="1" applyBorder="1" applyAlignment="1">
      <alignment horizontal="center" vertical="center"/>
    </xf>
    <xf numFmtId="0" fontId="9" fillId="0" borderId="2" xfId="0" applyFont="1" applyFill="1" applyBorder="1">
      <alignment vertical="center"/>
    </xf>
    <xf numFmtId="176" fontId="8" fillId="0" borderId="14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7" fillId="0" borderId="0" xfId="0" applyNumberFormat="1" applyFont="1" applyFill="1" applyAlignment="1">
      <alignment vertical="center"/>
    </xf>
    <xf numFmtId="0" fontId="0" fillId="5" borderId="0" xfId="0" applyNumberFormat="1" applyFill="1" applyBorder="1" applyAlignment="1">
      <alignment vertical="center"/>
    </xf>
    <xf numFmtId="0" fontId="0" fillId="3" borderId="0" xfId="0" applyNumberFormat="1" applyFill="1" applyBorder="1" applyAlignment="1">
      <alignment vertical="center"/>
    </xf>
    <xf numFmtId="0" fontId="8" fillId="5" borderId="0" xfId="0" applyNumberFormat="1" applyFont="1" applyFill="1" applyBorder="1" applyAlignment="1">
      <alignment vertical="center"/>
    </xf>
    <xf numFmtId="0" fontId="8" fillId="5" borderId="0" xfId="0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5" borderId="0" xfId="0" applyFill="1">
      <alignment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left" vertical="center"/>
    </xf>
    <xf numFmtId="14" fontId="9" fillId="0" borderId="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0" fillId="2" borderId="0" xfId="0" applyFont="1" applyFill="1" applyBorder="1" applyAlignment="1">
      <alignment horizontal="center" vertical="center" wrapText="1"/>
    </xf>
    <xf numFmtId="0" fontId="8" fillId="5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14" fontId="8" fillId="2" borderId="0" xfId="0" applyNumberFormat="1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182" fontId="8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4" fontId="8" fillId="2" borderId="0" xfId="0" applyNumberFormat="1" applyFont="1" applyFill="1" applyAlignment="1">
      <alignment horizontal="center" vertical="center"/>
    </xf>
    <xf numFmtId="14" fontId="10" fillId="2" borderId="0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14" fontId="10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8" fillId="2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>
      <alignment vertical="center"/>
    </xf>
    <xf numFmtId="0" fontId="19" fillId="2" borderId="0" xfId="0" applyFont="1" applyFill="1" applyBorder="1" applyAlignment="1">
      <alignment horizontal="center" vertical="center"/>
    </xf>
    <xf numFmtId="14" fontId="20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82" fontId="10" fillId="0" borderId="0" xfId="0" applyNumberFormat="1" applyFont="1" applyAlignment="1">
      <alignment horizontal="center" vertical="center"/>
    </xf>
    <xf numFmtId="14" fontId="8" fillId="2" borderId="0" xfId="0" applyNumberFormat="1" applyFont="1" applyFill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182" fontId="10" fillId="0" borderId="0" xfId="0" applyNumberFormat="1" applyFont="1" applyAlignment="1">
      <alignment horizontal="center" vertical="center" wrapText="1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Border="1">
      <alignment vertical="center"/>
    </xf>
    <xf numFmtId="0" fontId="8" fillId="2" borderId="0" xfId="0" applyNumberFormat="1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14" fontId="20" fillId="2" borderId="0" xfId="0" applyNumberFormat="1" applyFont="1" applyFill="1" applyAlignment="1">
      <alignment horizontal="center" vertical="center"/>
    </xf>
    <xf numFmtId="0" fontId="10" fillId="7" borderId="0" xfId="0" applyFont="1" applyFill="1" applyBorder="1">
      <alignment vertical="center"/>
    </xf>
    <xf numFmtId="14" fontId="8" fillId="2" borderId="0" xfId="0" applyNumberFormat="1" applyFont="1" applyFill="1" applyBorder="1" applyAlignment="1">
      <alignment horizontal="left" vertical="center"/>
    </xf>
    <xf numFmtId="0" fontId="8" fillId="2" borderId="0" xfId="0" applyFont="1" applyFill="1">
      <alignment vertical="center"/>
    </xf>
    <xf numFmtId="1" fontId="10" fillId="7" borderId="0" xfId="0" applyNumberFormat="1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82" fontId="8" fillId="0" borderId="0" xfId="0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82" fontId="20" fillId="0" borderId="0" xfId="0" applyNumberFormat="1" applyFont="1" applyAlignment="1">
      <alignment horizontal="center" vertical="center"/>
    </xf>
    <xf numFmtId="14" fontId="8" fillId="5" borderId="0" xfId="0" applyNumberFormat="1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0" fontId="8" fillId="2" borderId="0" xfId="0" applyNumberFormat="1" applyFont="1" applyFill="1" applyBorder="1">
      <alignment vertical="center"/>
    </xf>
    <xf numFmtId="14" fontId="8" fillId="5" borderId="0" xfId="0" applyNumberFormat="1" applyFont="1" applyFill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8" fillId="5" borderId="0" xfId="0" applyFont="1" applyFill="1" applyBorder="1">
      <alignment vertical="center"/>
    </xf>
    <xf numFmtId="14" fontId="10" fillId="7" borderId="0" xfId="0" applyNumberFormat="1" applyFont="1" applyFill="1" applyAlignment="1">
      <alignment horizontal="center" vertical="center"/>
    </xf>
    <xf numFmtId="0" fontId="8" fillId="5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1" fontId="10" fillId="5" borderId="0" xfId="0" applyNumberFormat="1" applyFont="1" applyFill="1" applyBorder="1" applyAlignment="1">
      <alignment horizontal="center" vertical="center"/>
    </xf>
    <xf numFmtId="182" fontId="10" fillId="0" borderId="0" xfId="0" applyNumberFormat="1" applyFont="1" applyFill="1" applyBorder="1" applyAlignment="1">
      <alignment horizontal="center" vertical="center"/>
    </xf>
    <xf numFmtId="182" fontId="10" fillId="5" borderId="0" xfId="0" applyNumberFormat="1" applyFont="1" applyFill="1" applyBorder="1" applyAlignment="1">
      <alignment horizontal="center" vertical="center"/>
    </xf>
    <xf numFmtId="0" fontId="10" fillId="5" borderId="0" xfId="0" applyNumberFormat="1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0" fontId="10" fillId="7" borderId="0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182" fontId="10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 vertical="center"/>
    </xf>
    <xf numFmtId="14" fontId="10" fillId="5" borderId="0" xfId="0" applyNumberFormat="1" applyFont="1" applyFill="1" applyAlignment="1">
      <alignment horizontal="center" vertical="center"/>
    </xf>
    <xf numFmtId="0" fontId="10" fillId="5" borderId="0" xfId="0" applyFont="1" applyFill="1" applyBorder="1">
      <alignment vertical="center"/>
    </xf>
    <xf numFmtId="0" fontId="10" fillId="5" borderId="0" xfId="0" applyNumberFormat="1" applyFont="1" applyFill="1" applyBorder="1">
      <alignment vertical="center"/>
    </xf>
    <xf numFmtId="0" fontId="8" fillId="5" borderId="0" xfId="0" applyNumberFormat="1" applyFont="1" applyFill="1" applyBorder="1">
      <alignment vertical="center"/>
    </xf>
    <xf numFmtId="0" fontId="10" fillId="7" borderId="0" xfId="0" applyNumberFormat="1" applyFont="1" applyFill="1" applyBorder="1">
      <alignment vertical="center"/>
    </xf>
    <xf numFmtId="0" fontId="10" fillId="5" borderId="0" xfId="0" applyFont="1" applyFill="1" applyBorder="1" applyAlignment="1">
      <alignment horizontal="left" vertical="center"/>
    </xf>
    <xf numFmtId="0" fontId="10" fillId="7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>
      <alignment vertical="center"/>
    </xf>
    <xf numFmtId="0" fontId="8" fillId="7" borderId="0" xfId="0" applyFont="1" applyFill="1" applyBorder="1" applyAlignment="1">
      <alignment horizontal="left" vertical="center"/>
    </xf>
    <xf numFmtId="0" fontId="8" fillId="7" borderId="0" xfId="0" applyFont="1" applyFill="1" applyBorder="1">
      <alignment vertical="center"/>
    </xf>
    <xf numFmtId="0" fontId="10" fillId="7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49" fontId="10" fillId="7" borderId="0" xfId="0" applyNumberFormat="1" applyFont="1" applyFill="1" applyBorder="1" applyAlignment="1">
      <alignment horizontal="center" vertical="center"/>
    </xf>
    <xf numFmtId="49" fontId="10" fillId="7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49" fontId="8" fillId="5" borderId="0" xfId="0" applyNumberFormat="1" applyFont="1" applyFill="1" applyAlignment="1">
      <alignment horizontal="center" vertical="center"/>
    </xf>
    <xf numFmtId="14" fontId="10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0" fillId="7" borderId="0" xfId="0" applyFont="1" applyFill="1">
      <alignment vertical="center"/>
    </xf>
    <xf numFmtId="14" fontId="8" fillId="3" borderId="0" xfId="0" applyNumberFormat="1" applyFont="1" applyFill="1" applyAlignment="1">
      <alignment horizontal="center" vertical="center"/>
    </xf>
    <xf numFmtId="0" fontId="10" fillId="3" borderId="0" xfId="0" applyFont="1" applyFill="1">
      <alignment vertical="center"/>
    </xf>
    <xf numFmtId="0" fontId="10" fillId="5" borderId="0" xfId="0" applyFont="1" applyFill="1">
      <alignment vertical="center"/>
    </xf>
    <xf numFmtId="0" fontId="8" fillId="5" borderId="0" xfId="0" applyNumberFormat="1" applyFont="1" applyFill="1" applyAlignment="1">
      <alignment horizontal="center" vertical="center"/>
    </xf>
    <xf numFmtId="0" fontId="8" fillId="5" borderId="0" xfId="0" applyFont="1" applyFill="1">
      <alignment vertical="center"/>
    </xf>
    <xf numFmtId="49" fontId="8" fillId="5" borderId="0" xfId="0" applyNumberFormat="1" applyFont="1" applyFill="1" applyBorder="1" applyAlignment="1">
      <alignment horizontal="center" vertical="center"/>
    </xf>
    <xf numFmtId="0" fontId="8" fillId="5" borderId="0" xfId="0" applyFont="1" applyFill="1" applyAlignment="1"/>
    <xf numFmtId="14" fontId="21" fillId="5" borderId="0" xfId="0" applyNumberFormat="1" applyFont="1" applyFill="1" applyAlignment="1">
      <alignment horizontal="center" vertical="center"/>
    </xf>
    <xf numFmtId="14" fontId="9" fillId="5" borderId="0" xfId="0" applyNumberFormat="1" applyFont="1" applyFill="1" applyAlignment="1">
      <alignment horizontal="center" vertical="center"/>
    </xf>
    <xf numFmtId="14" fontId="9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 vertical="center" wrapText="1"/>
    </xf>
    <xf numFmtId="49" fontId="10" fillId="5" borderId="0" xfId="0" applyNumberFormat="1" applyFont="1" applyFill="1" applyAlignment="1">
      <alignment horizontal="center" vertical="center"/>
    </xf>
    <xf numFmtId="0" fontId="9" fillId="5" borderId="0" xfId="0" applyFont="1" applyFill="1">
      <alignment vertical="center"/>
    </xf>
    <xf numFmtId="14" fontId="10" fillId="5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left" vertical="center" wrapText="1"/>
    </xf>
    <xf numFmtId="0" fontId="9" fillId="5" borderId="24" xfId="0" applyFont="1" applyFill="1" applyBorder="1" applyAlignment="1">
      <alignment horizontal="center" vertical="center"/>
    </xf>
    <xf numFmtId="14" fontId="9" fillId="5" borderId="25" xfId="0" applyNumberFormat="1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18" fillId="5" borderId="0" xfId="0" applyFont="1" applyFill="1">
      <alignment vertical="center"/>
    </xf>
    <xf numFmtId="0" fontId="8" fillId="5" borderId="26" xfId="0" applyFont="1" applyFill="1" applyBorder="1">
      <alignment vertical="center"/>
    </xf>
    <xf numFmtId="0" fontId="9" fillId="5" borderId="0" xfId="0" applyFont="1" applyFill="1" applyBorder="1" applyAlignment="1">
      <alignment horizontal="center" vertical="center"/>
    </xf>
    <xf numFmtId="0" fontId="22" fillId="5" borderId="0" xfId="0" applyFont="1" applyFill="1">
      <alignment vertical="center"/>
    </xf>
    <xf numFmtId="0" fontId="10" fillId="5" borderId="0" xfId="0" applyFont="1" applyFill="1" applyAlignment="1">
      <alignment horizontal="center" vertical="center" wrapText="1"/>
    </xf>
    <xf numFmtId="0" fontId="9" fillId="5" borderId="0" xfId="0" applyNumberFormat="1" applyFont="1" applyFill="1" applyAlignment="1">
      <alignment horizontal="center" vertical="center"/>
    </xf>
    <xf numFmtId="182" fontId="8" fillId="6" borderId="0" xfId="0" applyNumberFormat="1" applyFont="1" applyFill="1" applyAlignment="1">
      <alignment horizontal="center" vertical="center"/>
    </xf>
    <xf numFmtId="14" fontId="10" fillId="5" borderId="0" xfId="0" applyNumberFormat="1" applyFont="1" applyFill="1" applyBorder="1" applyAlignment="1">
      <alignment horizontal="center"/>
    </xf>
    <xf numFmtId="14" fontId="10" fillId="5" borderId="0" xfId="0" applyNumberFormat="1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 wrapText="1"/>
    </xf>
    <xf numFmtId="49" fontId="9" fillId="5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82" fontId="9" fillId="6" borderId="0" xfId="0" applyNumberFormat="1" applyFont="1" applyFill="1" applyAlignment="1">
      <alignment horizontal="center" vertical="center"/>
    </xf>
    <xf numFmtId="182" fontId="8" fillId="5" borderId="0" xfId="0" applyNumberFormat="1" applyFont="1" applyFill="1" applyAlignment="1">
      <alignment horizontal="center" vertical="center"/>
    </xf>
    <xf numFmtId="176" fontId="10" fillId="5" borderId="0" xfId="0" applyNumberFormat="1" applyFont="1" applyFill="1" applyAlignment="1">
      <alignment horizontal="center" vertical="center"/>
    </xf>
    <xf numFmtId="181" fontId="8" fillId="5" borderId="0" xfId="0" applyNumberFormat="1" applyFont="1" applyFill="1" applyAlignment="1">
      <alignment horizontal="center" vertical="center"/>
    </xf>
    <xf numFmtId="183" fontId="8" fillId="5" borderId="0" xfId="0" applyNumberFormat="1" applyFont="1" applyFill="1" applyAlignment="1">
      <alignment horizontal="center" vertical="center"/>
    </xf>
    <xf numFmtId="0" fontId="9" fillId="5" borderId="0" xfId="0" applyNumberFormat="1" applyFont="1" applyFill="1" applyBorder="1" applyAlignment="1">
      <alignment horizontal="center" vertical="center"/>
    </xf>
    <xf numFmtId="0" fontId="1" fillId="5" borderId="0" xfId="0" applyNumberFormat="1" applyFont="1" applyFill="1" applyAlignment="1">
      <alignment vertical="center"/>
    </xf>
    <xf numFmtId="14" fontId="9" fillId="5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1" fillId="5" borderId="0" xfId="0" applyFont="1" applyFill="1">
      <alignment vertical="center"/>
    </xf>
    <xf numFmtId="0" fontId="8" fillId="5" borderId="0" xfId="0" applyNumberFormat="1" applyFont="1" applyFill="1" applyAlignment="1">
      <alignment horizontal="center" vertical="center" wrapText="1"/>
    </xf>
    <xf numFmtId="0" fontId="8" fillId="5" borderId="0" xfId="0" applyNumberFormat="1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/>
    </xf>
    <xf numFmtId="0" fontId="18" fillId="5" borderId="0" xfId="0" applyNumberFormat="1" applyFont="1" applyFill="1" applyAlignment="1">
      <alignment horizontal="center" vertical="center"/>
    </xf>
    <xf numFmtId="0" fontId="8" fillId="5" borderId="0" xfId="0" applyNumberFormat="1" applyFont="1" applyFill="1" applyAlignment="1">
      <alignment horizontal="left" vertical="center"/>
    </xf>
    <xf numFmtId="182" fontId="8" fillId="5" borderId="0" xfId="0" applyNumberFormat="1" applyFont="1" applyFill="1" applyBorder="1" applyAlignment="1">
      <alignment horizontal="center" vertical="center"/>
    </xf>
    <xf numFmtId="0" fontId="10" fillId="5" borderId="0" xfId="0" applyNumberFormat="1" applyFont="1" applyFill="1" applyAlignment="1">
      <alignment horizontal="left" vertical="center"/>
    </xf>
    <xf numFmtId="176" fontId="9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 wrapText="1"/>
    </xf>
    <xf numFmtId="181" fontId="10" fillId="5" borderId="0" xfId="0" applyNumberFormat="1" applyFont="1" applyFill="1" applyAlignment="1">
      <alignment horizontal="center" vertical="center"/>
    </xf>
    <xf numFmtId="0" fontId="23" fillId="5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8" fillId="3" borderId="0" xfId="0" applyNumberFormat="1" applyFont="1" applyFill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182" fontId="8" fillId="0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182" fontId="8" fillId="3" borderId="0" xfId="0" applyNumberFormat="1" applyFont="1" applyFill="1" applyAlignment="1">
      <alignment horizontal="center" vertical="center"/>
    </xf>
    <xf numFmtId="14" fontId="9" fillId="0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8" fillId="0" borderId="0" xfId="0" applyNumberFormat="1" applyFont="1" applyFill="1" applyAlignment="1">
      <alignment horizontal="center" vertical="center"/>
    </xf>
    <xf numFmtId="0" fontId="8" fillId="3" borderId="0" xfId="0" applyFont="1" applyFill="1">
      <alignment vertical="center"/>
    </xf>
    <xf numFmtId="0" fontId="8" fillId="0" borderId="0" xfId="0" applyNumberFormat="1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8" fillId="6" borderId="0" xfId="0" applyNumberFormat="1" applyFont="1" applyFill="1" applyBorder="1" applyAlignment="1">
      <alignment vertical="center"/>
    </xf>
    <xf numFmtId="0" fontId="0" fillId="4" borderId="0" xfId="0" applyFill="1">
      <alignment vertical="center"/>
    </xf>
    <xf numFmtId="0" fontId="1" fillId="6" borderId="0" xfId="0" applyFont="1" applyFill="1">
      <alignment vertical="center"/>
    </xf>
    <xf numFmtId="0" fontId="8" fillId="0" borderId="0" xfId="0" applyNumberFormat="1" applyFont="1" applyFill="1" applyBorder="1" applyAlignment="1">
      <alignment horizontal="left" vertical="center"/>
    </xf>
    <xf numFmtId="184" fontId="8" fillId="0" borderId="0" xfId="0" applyNumberFormat="1" applyFont="1" applyFill="1" applyBorder="1" applyAlignment="1">
      <alignment horizontal="left" vertical="center"/>
    </xf>
    <xf numFmtId="184" fontId="8" fillId="0" borderId="0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2" fontId="9" fillId="0" borderId="1" xfId="0" applyNumberFormat="1" applyFont="1" applyBorder="1" applyAlignment="1">
      <alignment horizontal="center" vertical="center"/>
    </xf>
    <xf numFmtId="185" fontId="9" fillId="0" borderId="1" xfId="0" applyNumberFormat="1" applyFont="1" applyBorder="1" applyAlignment="1">
      <alignment horizontal="left" vertical="center"/>
    </xf>
    <xf numFmtId="184" fontId="9" fillId="0" borderId="3" xfId="0" applyNumberFormat="1" applyFont="1" applyBorder="1" applyAlignment="1">
      <alignment horizontal="center" vertical="center"/>
    </xf>
    <xf numFmtId="184" fontId="9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76" fontId="9" fillId="5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 readingOrder="1"/>
    </xf>
    <xf numFmtId="0" fontId="9" fillId="5" borderId="1" xfId="0" applyFont="1" applyFill="1" applyBorder="1" applyAlignment="1">
      <alignment horizontal="left" vertical="center" wrapText="1"/>
    </xf>
    <xf numFmtId="184" fontId="8" fillId="5" borderId="3" xfId="0" applyNumberFormat="1" applyFont="1" applyFill="1" applyBorder="1" applyAlignment="1">
      <alignment horizontal="left" vertical="center"/>
    </xf>
    <xf numFmtId="184" fontId="8" fillId="5" borderId="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>
      <alignment vertical="center"/>
    </xf>
    <xf numFmtId="0" fontId="25" fillId="5" borderId="11" xfId="0" applyFont="1" applyFill="1" applyBorder="1">
      <alignment vertical="center"/>
    </xf>
    <xf numFmtId="0" fontId="25" fillId="5" borderId="11" xfId="0" applyFont="1" applyFill="1" applyBorder="1" applyAlignment="1">
      <alignment vertical="center"/>
    </xf>
    <xf numFmtId="0" fontId="25" fillId="5" borderId="11" xfId="0" applyFont="1" applyFill="1" applyBorder="1" applyAlignment="1">
      <alignment horizontal="left" vertical="center"/>
    </xf>
    <xf numFmtId="0" fontId="25" fillId="5" borderId="19" xfId="0" applyFont="1" applyFill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184" fontId="9" fillId="0" borderId="0" xfId="0" applyNumberFormat="1" applyFont="1" applyAlignment="1">
      <alignment horizontal="center" vertical="center"/>
    </xf>
    <xf numFmtId="0" fontId="9" fillId="5" borderId="2" xfId="0" applyFont="1" applyFill="1" applyBorder="1">
      <alignment vertical="center"/>
    </xf>
    <xf numFmtId="0" fontId="9" fillId="5" borderId="1" xfId="0" applyNumberFormat="1" applyFont="1" applyFill="1" applyBorder="1" applyAlignment="1">
      <alignment horizontal="left" vertical="center"/>
    </xf>
    <xf numFmtId="176" fontId="9" fillId="5" borderId="1" xfId="0" applyNumberFormat="1" applyFont="1" applyFill="1" applyBorder="1">
      <alignment vertical="center"/>
    </xf>
    <xf numFmtId="184" fontId="9" fillId="6" borderId="0" xfId="0" applyNumberFormat="1" applyFont="1" applyFill="1" applyAlignment="1">
      <alignment horizontal="center" vertical="center"/>
    </xf>
    <xf numFmtId="0" fontId="9" fillId="5" borderId="13" xfId="0" applyFont="1" applyFill="1" applyBorder="1">
      <alignment vertical="center"/>
    </xf>
    <xf numFmtId="0" fontId="9" fillId="5" borderId="1" xfId="0" applyFont="1" applyFill="1" applyBorder="1">
      <alignment vertical="center"/>
    </xf>
    <xf numFmtId="0" fontId="9" fillId="5" borderId="1" xfId="0" applyNumberFormat="1" applyFont="1" applyFill="1" applyBorder="1">
      <alignment vertical="center"/>
    </xf>
    <xf numFmtId="0" fontId="9" fillId="11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vertical="center"/>
    </xf>
    <xf numFmtId="0" fontId="25" fillId="5" borderId="1" xfId="0" applyFont="1" applyFill="1" applyBorder="1" applyAlignment="1">
      <alignment horizontal="left" vertical="center"/>
    </xf>
    <xf numFmtId="0" fontId="25" fillId="5" borderId="6" xfId="0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vertical="center"/>
    </xf>
    <xf numFmtId="185" fontId="9" fillId="5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9" fillId="5" borderId="11" xfId="0" applyFont="1" applyFill="1" applyBorder="1">
      <alignment vertical="center"/>
    </xf>
    <xf numFmtId="0" fontId="9" fillId="5" borderId="11" xfId="0" applyFont="1" applyFill="1" applyBorder="1" applyAlignment="1">
      <alignment vertical="center"/>
    </xf>
    <xf numFmtId="0" fontId="9" fillId="5" borderId="11" xfId="0" applyFont="1" applyFill="1" applyBorder="1" applyAlignment="1">
      <alignment horizontal="left" vertical="center"/>
    </xf>
    <xf numFmtId="0" fontId="9" fillId="5" borderId="1" xfId="0" applyNumberFormat="1" applyFont="1" applyFill="1" applyBorder="1" applyAlignment="1">
      <alignment horizontal="left" vertical="center" wrapText="1"/>
    </xf>
    <xf numFmtId="184" fontId="9" fillId="5" borderId="3" xfId="0" applyNumberFormat="1" applyFont="1" applyFill="1" applyBorder="1" applyAlignment="1">
      <alignment horizontal="left" vertical="center"/>
    </xf>
    <xf numFmtId="184" fontId="9" fillId="5" borderId="13" xfId="0" applyNumberFormat="1" applyFont="1" applyFill="1" applyBorder="1" applyAlignment="1">
      <alignment horizontal="left" vertical="center"/>
    </xf>
    <xf numFmtId="184" fontId="9" fillId="5" borderId="1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0" fontId="9" fillId="5" borderId="10" xfId="0" applyFont="1" applyFill="1" applyBorder="1">
      <alignment vertical="center"/>
    </xf>
    <xf numFmtId="0" fontId="9" fillId="5" borderId="11" xfId="0" applyNumberFormat="1" applyFont="1" applyFill="1" applyBorder="1">
      <alignment vertical="center"/>
    </xf>
    <xf numFmtId="0" fontId="9" fillId="12" borderId="1" xfId="0" applyFont="1" applyFill="1" applyBorder="1" applyAlignment="1">
      <alignment horizontal="left" vertical="center" wrapText="1"/>
    </xf>
    <xf numFmtId="184" fontId="9" fillId="5" borderId="1" xfId="0" applyNumberFormat="1" applyFont="1" applyFill="1" applyBorder="1" applyAlignment="1">
      <alignment horizontal="left" vertical="center"/>
    </xf>
    <xf numFmtId="0" fontId="9" fillId="5" borderId="3" xfId="0" applyFont="1" applyFill="1" applyBorder="1">
      <alignment vertical="center"/>
    </xf>
    <xf numFmtId="0" fontId="9" fillId="5" borderId="27" xfId="0" applyFont="1" applyFill="1" applyBorder="1" applyAlignment="1">
      <alignment vertical="center" wrapText="1" readingOrder="1"/>
    </xf>
    <xf numFmtId="0" fontId="9" fillId="5" borderId="28" xfId="0" applyFont="1" applyFill="1" applyBorder="1" applyAlignment="1">
      <alignment vertical="center" wrapText="1" readingOrder="1"/>
    </xf>
    <xf numFmtId="0" fontId="9" fillId="5" borderId="29" xfId="0" applyFont="1" applyFill="1" applyBorder="1">
      <alignment vertical="center"/>
    </xf>
    <xf numFmtId="176" fontId="9" fillId="5" borderId="11" xfId="0" applyNumberFormat="1" applyFont="1" applyFill="1" applyBorder="1">
      <alignment vertical="center"/>
    </xf>
    <xf numFmtId="176" fontId="9" fillId="5" borderId="11" xfId="0" applyNumberFormat="1" applyFont="1" applyFill="1" applyBorder="1" applyAlignment="1">
      <alignment vertical="center"/>
    </xf>
    <xf numFmtId="186" fontId="9" fillId="5" borderId="1" xfId="0" applyNumberFormat="1" applyFont="1" applyFill="1" applyBorder="1" applyAlignment="1">
      <alignment horizontal="left" vertical="center" wrapText="1"/>
    </xf>
    <xf numFmtId="0" fontId="9" fillId="5" borderId="30" xfId="0" applyFont="1" applyFill="1" applyBorder="1" applyAlignment="1">
      <alignment vertical="center" wrapText="1" readingOrder="1"/>
    </xf>
    <xf numFmtId="0" fontId="9" fillId="5" borderId="31" xfId="0" applyFont="1" applyFill="1" applyBorder="1" applyAlignment="1">
      <alignment vertical="center" wrapText="1" readingOrder="1"/>
    </xf>
    <xf numFmtId="0" fontId="9" fillId="5" borderId="20" xfId="0" applyFont="1" applyFill="1" applyBorder="1">
      <alignment vertical="center"/>
    </xf>
    <xf numFmtId="0" fontId="9" fillId="5" borderId="20" xfId="0" applyNumberFormat="1" applyFont="1" applyFill="1" applyBorder="1">
      <alignment vertical="center"/>
    </xf>
    <xf numFmtId="0" fontId="9" fillId="5" borderId="6" xfId="0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0" fontId="18" fillId="5" borderId="1" xfId="0" applyNumberFormat="1" applyFont="1" applyFill="1" applyBorder="1">
      <alignment vertical="center"/>
    </xf>
    <xf numFmtId="176" fontId="9" fillId="5" borderId="13" xfId="0" applyNumberFormat="1" applyFont="1" applyFill="1" applyBorder="1">
      <alignment vertical="center"/>
    </xf>
    <xf numFmtId="0" fontId="9" fillId="5" borderId="1" xfId="0" applyFont="1" applyFill="1" applyBorder="1" applyAlignment="1"/>
    <xf numFmtId="0" fontId="9" fillId="5" borderId="1" xfId="0" applyNumberFormat="1" applyFont="1" applyFill="1" applyBorder="1" applyAlignment="1">
      <alignment horizontal="center" vertical="center" wrapText="1"/>
    </xf>
    <xf numFmtId="176" fontId="9" fillId="5" borderId="1" xfId="0" applyNumberFormat="1" applyFont="1" applyFill="1" applyBorder="1" applyAlignment="1"/>
    <xf numFmtId="0" fontId="9" fillId="5" borderId="1" xfId="0" applyFont="1" applyFill="1" applyBorder="1" applyAlignment="1">
      <alignment vertical="center" wrapText="1"/>
    </xf>
    <xf numFmtId="0" fontId="9" fillId="5" borderId="20" xfId="0" applyFont="1" applyFill="1" applyBorder="1" applyAlignment="1"/>
    <xf numFmtId="0" fontId="9" fillId="5" borderId="20" xfId="0" applyNumberFormat="1" applyFont="1" applyFill="1" applyBorder="1" applyAlignment="1"/>
    <xf numFmtId="9" fontId="9" fillId="5" borderId="1" xfId="0" applyNumberFormat="1" applyFont="1" applyFill="1" applyBorder="1" applyAlignment="1">
      <alignment horizontal="left" vertical="center"/>
    </xf>
    <xf numFmtId="0" fontId="9" fillId="5" borderId="28" xfId="0" applyNumberFormat="1" applyFont="1" applyFill="1" applyBorder="1" applyAlignment="1">
      <alignment horizontal="left" vertical="center"/>
    </xf>
    <xf numFmtId="0" fontId="9" fillId="5" borderId="28" xfId="0" applyFont="1" applyFill="1" applyBorder="1" applyAlignment="1">
      <alignment horizontal="left" vertical="center"/>
    </xf>
    <xf numFmtId="0" fontId="9" fillId="5" borderId="32" xfId="0" applyNumberFormat="1" applyFont="1" applyFill="1" applyBorder="1" applyAlignment="1">
      <alignment horizontal="left" vertical="center"/>
    </xf>
    <xf numFmtId="0" fontId="9" fillId="5" borderId="32" xfId="0" applyFont="1" applyFill="1" applyBorder="1" applyAlignment="1">
      <alignment horizontal="left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6" xfId="0" applyNumberFormat="1" applyFont="1" applyFill="1" applyBorder="1" applyAlignment="1">
      <alignment horizontal="center"/>
    </xf>
    <xf numFmtId="0" fontId="9" fillId="5" borderId="33" xfId="0" applyNumberFormat="1" applyFont="1" applyFill="1" applyBorder="1" applyAlignment="1"/>
    <xf numFmtId="0" fontId="10" fillId="5" borderId="6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/>
    </xf>
    <xf numFmtId="0" fontId="9" fillId="5" borderId="32" xfId="0" applyNumberFormat="1" applyFont="1" applyFill="1" applyBorder="1">
      <alignment vertical="center"/>
    </xf>
    <xf numFmtId="0" fontId="9" fillId="5" borderId="32" xfId="0" applyNumberFormat="1" applyFont="1" applyFill="1" applyBorder="1" applyAlignment="1"/>
    <xf numFmtId="0" fontId="9" fillId="5" borderId="3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10" fillId="5" borderId="1" xfId="0" applyFont="1" applyFill="1" applyBorder="1">
      <alignment vertical="center"/>
    </xf>
    <xf numFmtId="176" fontId="9" fillId="5" borderId="3" xfId="0" applyNumberFormat="1" applyFont="1" applyFill="1" applyBorder="1">
      <alignment vertical="center"/>
    </xf>
    <xf numFmtId="176" fontId="9" fillId="5" borderId="2" xfId="0" applyNumberFormat="1" applyFont="1" applyFill="1" applyBorder="1">
      <alignment vertical="center"/>
    </xf>
    <xf numFmtId="0" fontId="9" fillId="5" borderId="2" xfId="0" applyFont="1" applyFill="1" applyBorder="1" applyAlignment="1">
      <alignment vertical="center" wrapText="1"/>
    </xf>
    <xf numFmtId="184" fontId="8" fillId="5" borderId="14" xfId="0" applyNumberFormat="1" applyFont="1" applyFill="1" applyBorder="1" applyAlignment="1">
      <alignment horizontal="left" vertical="center"/>
    </xf>
    <xf numFmtId="184" fontId="8" fillId="5" borderId="2" xfId="0" applyNumberFormat="1" applyFont="1" applyFill="1" applyBorder="1" applyAlignment="1">
      <alignment horizontal="left" vertical="center"/>
    </xf>
    <xf numFmtId="184" fontId="9" fillId="5" borderId="6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0" fillId="13" borderId="1" xfId="0" applyFill="1" applyBorder="1">
      <alignment vertical="center"/>
    </xf>
    <xf numFmtId="0" fontId="10" fillId="5" borderId="1" xfId="0" applyFont="1" applyFill="1" applyBorder="1" applyAlignment="1">
      <alignment vertical="center" wrapText="1"/>
    </xf>
    <xf numFmtId="184" fontId="9" fillId="5" borderId="15" xfId="0" applyNumberFormat="1" applyFont="1" applyFill="1" applyBorder="1" applyAlignment="1">
      <alignment horizontal="left" vertical="center"/>
    </xf>
    <xf numFmtId="176" fontId="9" fillId="5" borderId="14" xfId="0" applyNumberFormat="1" applyFont="1" applyFill="1" applyBorder="1">
      <alignment vertical="center"/>
    </xf>
    <xf numFmtId="184" fontId="9" fillId="4" borderId="0" xfId="0" applyNumberFormat="1" applyFont="1" applyFill="1" applyAlignment="1">
      <alignment horizontal="center" vertical="center"/>
    </xf>
    <xf numFmtId="0" fontId="8" fillId="4" borderId="0" xfId="0" applyFont="1" applyFill="1">
      <alignment vertical="center"/>
    </xf>
    <xf numFmtId="176" fontId="9" fillId="5" borderId="4" xfId="0" applyNumberFormat="1" applyFont="1" applyFill="1" applyBorder="1">
      <alignment vertical="center"/>
    </xf>
    <xf numFmtId="0" fontId="10" fillId="4" borderId="1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vertical="center" wrapText="1"/>
    </xf>
    <xf numFmtId="0" fontId="10" fillId="14" borderId="1" xfId="0" applyFont="1" applyFill="1" applyBorder="1" applyAlignment="1">
      <alignment horizontal="left" vertical="center" wrapText="1"/>
    </xf>
    <xf numFmtId="184" fontId="8" fillId="5" borderId="6" xfId="0" applyNumberFormat="1" applyFont="1" applyFill="1" applyBorder="1" applyAlignment="1">
      <alignment horizontal="left" vertical="center"/>
    </xf>
    <xf numFmtId="0" fontId="9" fillId="5" borderId="5" xfId="0" applyFont="1" applyFill="1" applyBorder="1">
      <alignment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horizontal="center" vertical="center" wrapText="1"/>
    </xf>
    <xf numFmtId="14" fontId="4" fillId="0" borderId="0" xfId="0" applyNumberFormat="1" applyFont="1" applyFill="1" applyAlignment="1">
      <alignment horizontal="center" vertical="center"/>
    </xf>
    <xf numFmtId="176" fontId="9" fillId="5" borderId="2" xfId="0" applyNumberFormat="1" applyFont="1" applyFill="1" applyBorder="1" applyAlignment="1">
      <alignment horizontal="left" vertical="center"/>
    </xf>
    <xf numFmtId="176" fontId="9" fillId="5" borderId="0" xfId="0" applyNumberFormat="1" applyFont="1" applyFill="1">
      <alignment vertical="center"/>
    </xf>
    <xf numFmtId="176" fontId="9" fillId="5" borderId="21" xfId="0" applyNumberFormat="1" applyFont="1" applyFill="1" applyBorder="1">
      <alignment vertical="center"/>
    </xf>
    <xf numFmtId="0" fontId="8" fillId="4" borderId="0" xfId="0" applyNumberFormat="1" applyFont="1" applyFill="1" applyBorder="1" applyAlignment="1">
      <alignment vertical="center"/>
    </xf>
    <xf numFmtId="176" fontId="9" fillId="5" borderId="6" xfId="0" applyNumberFormat="1" applyFont="1" applyFill="1" applyBorder="1">
      <alignment vertical="center"/>
    </xf>
    <xf numFmtId="176" fontId="9" fillId="5" borderId="5" xfId="0" applyNumberFormat="1" applyFont="1" applyFill="1" applyBorder="1">
      <alignment vertical="center"/>
    </xf>
    <xf numFmtId="176" fontId="9" fillId="5" borderId="7" xfId="0" applyNumberFormat="1" applyFont="1" applyFill="1" applyBorder="1">
      <alignment vertical="center"/>
    </xf>
    <xf numFmtId="176" fontId="9" fillId="5" borderId="1" xfId="0" applyNumberFormat="1" applyFont="1" applyFill="1" applyBorder="1" applyAlignment="1">
      <alignment vertical="center" wrapText="1"/>
    </xf>
    <xf numFmtId="176" fontId="10" fillId="5" borderId="1" xfId="0" applyNumberFormat="1" applyFont="1" applyFill="1" applyBorder="1">
      <alignment vertical="center"/>
    </xf>
    <xf numFmtId="0" fontId="18" fillId="5" borderId="1" xfId="0" applyFont="1" applyFill="1" applyBorder="1" applyAlignment="1">
      <alignment horizontal="center" vertical="center" wrapText="1"/>
    </xf>
    <xf numFmtId="184" fontId="9" fillId="5" borderId="7" xfId="0" applyNumberFormat="1" applyFont="1" applyFill="1" applyBorder="1" applyAlignment="1">
      <alignment horizontal="left" vertical="center"/>
    </xf>
    <xf numFmtId="176" fontId="9" fillId="5" borderId="34" xfId="0" applyNumberFormat="1" applyFont="1" applyFill="1" applyBorder="1">
      <alignment vertical="center"/>
    </xf>
    <xf numFmtId="0" fontId="8" fillId="5" borderId="1" xfId="0" applyFont="1" applyFill="1" applyBorder="1">
      <alignment vertical="center"/>
    </xf>
    <xf numFmtId="176" fontId="18" fillId="5" borderId="1" xfId="0" applyNumberFormat="1" applyFont="1" applyFill="1" applyBorder="1">
      <alignment vertical="center"/>
    </xf>
    <xf numFmtId="176" fontId="9" fillId="5" borderId="6" xfId="0" applyNumberFormat="1" applyFont="1" applyFill="1" applyBorder="1" applyAlignment="1">
      <alignment horizontal="center" vertical="center"/>
    </xf>
    <xf numFmtId="176" fontId="9" fillId="5" borderId="22" xfId="0" applyNumberFormat="1" applyFont="1" applyFill="1" applyBorder="1">
      <alignment vertical="center"/>
    </xf>
    <xf numFmtId="176" fontId="9" fillId="5" borderId="5" xfId="0" applyNumberFormat="1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184" fontId="8" fillId="5" borderId="5" xfId="0" applyNumberFormat="1" applyFont="1" applyFill="1" applyBorder="1" applyAlignment="1">
      <alignment horizontal="left" vertical="center"/>
    </xf>
    <xf numFmtId="184" fontId="9" fillId="5" borderId="17" xfId="0" applyNumberFormat="1" applyFont="1" applyFill="1" applyBorder="1" applyAlignment="1">
      <alignment horizontal="left" vertical="center"/>
    </xf>
    <xf numFmtId="176" fontId="9" fillId="5" borderId="1" xfId="0" applyNumberFormat="1" applyFont="1" applyFill="1" applyBorder="1" applyAlignment="1">
      <alignment horizontal="left" vertical="center" wrapText="1"/>
    </xf>
    <xf numFmtId="184" fontId="8" fillId="5" borderId="17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9" fillId="0" borderId="0" xfId="0" applyFont="1" applyFill="1">
      <alignment vertical="center"/>
    </xf>
    <xf numFmtId="184" fontId="9" fillId="5" borderId="2" xfId="0" applyNumberFormat="1" applyFont="1" applyFill="1" applyBorder="1" applyAlignment="1">
      <alignment horizontal="left" vertical="center"/>
    </xf>
    <xf numFmtId="176" fontId="10" fillId="5" borderId="1" xfId="0" applyNumberFormat="1" applyFont="1" applyFill="1" applyBorder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8" fillId="5" borderId="0" xfId="0" applyNumberFormat="1" applyFont="1" applyFill="1" applyAlignment="1">
      <alignment vertical="center"/>
    </xf>
    <xf numFmtId="0" fontId="9" fillId="0" borderId="0" xfId="0" applyFont="1">
      <alignment vertical="center"/>
    </xf>
    <xf numFmtId="0" fontId="9" fillId="5" borderId="4" xfId="0" applyFont="1" applyFill="1" applyBorder="1">
      <alignment vertical="center"/>
    </xf>
    <xf numFmtId="14" fontId="9" fillId="0" borderId="0" xfId="0" applyNumberFormat="1" applyFont="1" applyAlignment="1">
      <alignment horizontal="center" vertical="center"/>
    </xf>
    <xf numFmtId="0" fontId="18" fillId="0" borderId="0" xfId="0" applyFont="1" applyFill="1">
      <alignment vertical="center"/>
    </xf>
    <xf numFmtId="0" fontId="10" fillId="5" borderId="5" xfId="0" applyFont="1" applyFill="1" applyBorder="1" applyAlignment="1">
      <alignment vertical="center" wrapText="1"/>
    </xf>
    <xf numFmtId="0" fontId="10" fillId="5" borderId="3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176" fontId="10" fillId="5" borderId="2" xfId="0" applyNumberFormat="1" applyFont="1" applyFill="1" applyBorder="1">
      <alignment vertical="center"/>
    </xf>
    <xf numFmtId="0" fontId="9" fillId="4" borderId="1" xfId="0" applyFont="1" applyFill="1" applyBorder="1" applyAlignment="1">
      <alignment horizontal="left" vertical="center" wrapText="1"/>
    </xf>
    <xf numFmtId="176" fontId="9" fillId="5" borderId="17" xfId="0" applyNumberFormat="1" applyFont="1" applyFill="1" applyBorder="1">
      <alignment vertical="center"/>
    </xf>
    <xf numFmtId="176" fontId="10" fillId="5" borderId="1" xfId="0" applyNumberFormat="1" applyFont="1" applyFill="1" applyBorder="1" applyAlignment="1">
      <alignment horizontal="left" vertical="center"/>
    </xf>
    <xf numFmtId="14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9" fillId="6" borderId="0" xfId="0" applyNumberFormat="1" applyFont="1" applyFill="1" applyAlignment="1">
      <alignment horizontal="center" vertical="center"/>
    </xf>
    <xf numFmtId="14" fontId="26" fillId="6" borderId="0" xfId="0" applyNumberFormat="1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9" fillId="0" borderId="1" xfId="0" applyFont="1" applyBorder="1">
      <alignment vertical="center"/>
    </xf>
    <xf numFmtId="176" fontId="9" fillId="5" borderId="7" xfId="0" applyNumberFormat="1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/>
    <xf numFmtId="0" fontId="25" fillId="0" borderId="0" xfId="0" applyFont="1" applyFill="1">
      <alignment vertical="center"/>
    </xf>
    <xf numFmtId="0" fontId="19" fillId="0" borderId="0" xfId="0" applyFont="1" applyFill="1">
      <alignment vertical="center"/>
    </xf>
    <xf numFmtId="176" fontId="9" fillId="5" borderId="15" xfId="0" applyNumberFormat="1" applyFont="1" applyFill="1" applyBorder="1">
      <alignment vertical="center"/>
    </xf>
    <xf numFmtId="184" fontId="9" fillId="5" borderId="5" xfId="0" applyNumberFormat="1" applyFont="1" applyFill="1" applyBorder="1" applyAlignment="1">
      <alignment horizontal="left" vertical="center"/>
    </xf>
    <xf numFmtId="176" fontId="9" fillId="4" borderId="1" xfId="0" applyNumberFormat="1" applyFont="1" applyFill="1" applyBorder="1">
      <alignment vertical="center"/>
    </xf>
    <xf numFmtId="176" fontId="9" fillId="4" borderId="6" xfId="0" applyNumberFormat="1" applyFont="1" applyFill="1" applyBorder="1">
      <alignment vertical="center"/>
    </xf>
    <xf numFmtId="0" fontId="10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184" fontId="10" fillId="4" borderId="3" xfId="0" applyNumberFormat="1" applyFont="1" applyFill="1" applyBorder="1" applyAlignment="1">
      <alignment horizontal="left" vertical="center"/>
    </xf>
    <xf numFmtId="184" fontId="10" fillId="4" borderId="5" xfId="0" applyNumberFormat="1" applyFont="1" applyFill="1" applyBorder="1" applyAlignment="1">
      <alignment horizontal="left" vertical="center"/>
    </xf>
    <xf numFmtId="176" fontId="27" fillId="4" borderId="1" xfId="0" applyNumberFormat="1" applyFont="1" applyFill="1" applyBorder="1">
      <alignment vertical="center"/>
    </xf>
    <xf numFmtId="0" fontId="27" fillId="4" borderId="1" xfId="0" applyFont="1" applyFill="1" applyBorder="1" applyAlignment="1">
      <alignment vertical="center" wrapText="1"/>
    </xf>
    <xf numFmtId="0" fontId="27" fillId="4" borderId="1" xfId="0" applyFont="1" applyFill="1" applyBorder="1" applyAlignment="1">
      <alignment horizontal="center" vertical="center" wrapText="1"/>
    </xf>
    <xf numFmtId="184" fontId="8" fillId="4" borderId="3" xfId="0" applyNumberFormat="1" applyFont="1" applyFill="1" applyBorder="1" applyAlignment="1">
      <alignment horizontal="left" vertical="center"/>
    </xf>
    <xf numFmtId="184" fontId="8" fillId="4" borderId="1" xfId="0" applyNumberFormat="1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 wrapText="1"/>
    </xf>
    <xf numFmtId="0" fontId="9" fillId="4" borderId="6" xfId="0" applyFont="1" applyFill="1" applyBorder="1" applyAlignment="1">
      <alignment horizontal="center" vertical="center" wrapText="1"/>
    </xf>
    <xf numFmtId="184" fontId="9" fillId="4" borderId="3" xfId="0" applyNumberFormat="1" applyFont="1" applyFill="1" applyBorder="1" applyAlignment="1">
      <alignment horizontal="left" vertical="center"/>
    </xf>
    <xf numFmtId="184" fontId="10" fillId="5" borderId="3" xfId="0" applyNumberFormat="1" applyFont="1" applyFill="1" applyBorder="1" applyAlignment="1">
      <alignment horizontal="left" vertical="center"/>
    </xf>
    <xf numFmtId="184" fontId="10" fillId="5" borderId="5" xfId="0" applyNumberFormat="1" applyFont="1" applyFill="1" applyBorder="1" applyAlignment="1">
      <alignment horizontal="left" vertical="center"/>
    </xf>
    <xf numFmtId="184" fontId="10" fillId="5" borderId="1" xfId="0" applyNumberFormat="1" applyFont="1" applyFill="1" applyBorder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0" fontId="9" fillId="4" borderId="3" xfId="0" applyFont="1" applyFill="1" applyBorder="1">
      <alignment vertical="center"/>
    </xf>
    <xf numFmtId="0" fontId="8" fillId="4" borderId="1" xfId="0" applyFont="1" applyFill="1" applyBorder="1" applyAlignment="1">
      <alignment horizontal="left" vertical="center"/>
    </xf>
    <xf numFmtId="176" fontId="9" fillId="4" borderId="3" xfId="0" applyNumberFormat="1" applyFont="1" applyFill="1" applyBorder="1">
      <alignment vertical="center"/>
    </xf>
    <xf numFmtId="176" fontId="9" fillId="4" borderId="15" xfId="0" applyNumberFormat="1" applyFont="1" applyFill="1" applyBorder="1" applyAlignment="1">
      <alignment horizontal="center" vertical="center"/>
    </xf>
    <xf numFmtId="0" fontId="1" fillId="4" borderId="3" xfId="0" applyFont="1" applyFill="1" applyBorder="1">
      <alignment vertical="center"/>
    </xf>
    <xf numFmtId="0" fontId="28" fillId="4" borderId="1" xfId="0" applyFont="1" applyFill="1" applyBorder="1" applyAlignment="1">
      <alignment horizontal="left" vertical="center"/>
    </xf>
    <xf numFmtId="176" fontId="27" fillId="4" borderId="14" xfId="0" applyNumberFormat="1" applyFont="1" applyFill="1" applyBorder="1">
      <alignment vertical="center"/>
    </xf>
    <xf numFmtId="176" fontId="9" fillId="4" borderId="6" xfId="0" applyNumberFormat="1" applyFont="1" applyFill="1" applyBorder="1" applyAlignment="1">
      <alignment horizontal="center" vertical="center"/>
    </xf>
    <xf numFmtId="0" fontId="27" fillId="4" borderId="1" xfId="0" applyFont="1" applyFill="1" applyBorder="1">
      <alignment vertical="center"/>
    </xf>
    <xf numFmtId="0" fontId="9" fillId="4" borderId="1" xfId="0" applyFont="1" applyFill="1" applyBorder="1">
      <alignment vertical="center"/>
    </xf>
    <xf numFmtId="0" fontId="8" fillId="4" borderId="3" xfId="0" applyFont="1" applyFill="1" applyBorder="1" applyAlignment="1">
      <alignment horizontal="left" vertical="center"/>
    </xf>
    <xf numFmtId="176" fontId="9" fillId="4" borderId="18" xfId="0" applyNumberFormat="1" applyFont="1" applyFill="1" applyBorder="1" applyAlignment="1">
      <alignment horizontal="center" vertical="center"/>
    </xf>
    <xf numFmtId="176" fontId="27" fillId="5" borderId="1" xfId="0" applyNumberFormat="1" applyFont="1" applyFill="1" applyBorder="1">
      <alignment vertical="center"/>
    </xf>
    <xf numFmtId="0" fontId="27" fillId="5" borderId="1" xfId="0" applyFont="1" applyFill="1" applyBorder="1">
      <alignment vertical="center"/>
    </xf>
    <xf numFmtId="0" fontId="27" fillId="5" borderId="1" xfId="0" applyFont="1" applyFill="1" applyBorder="1" applyAlignment="1">
      <alignment vertical="center" wrapText="1"/>
    </xf>
    <xf numFmtId="0" fontId="27" fillId="5" borderId="6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9" fillId="5" borderId="6" xfId="0" applyFont="1" applyFill="1" applyBorder="1">
      <alignment vertical="center"/>
    </xf>
    <xf numFmtId="14" fontId="29" fillId="6" borderId="0" xfId="0" applyNumberFormat="1" applyFont="1" applyFill="1" applyAlignment="1">
      <alignment horizontal="center" vertical="center"/>
    </xf>
    <xf numFmtId="0" fontId="10" fillId="5" borderId="6" xfId="0" applyFont="1" applyFill="1" applyBorder="1">
      <alignment vertical="center"/>
    </xf>
    <xf numFmtId="0" fontId="10" fillId="5" borderId="6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vertical="center" wrapText="1"/>
    </xf>
    <xf numFmtId="176" fontId="10" fillId="4" borderId="1" xfId="0" applyNumberFormat="1" applyFont="1" applyFill="1" applyBorder="1">
      <alignment vertical="center"/>
    </xf>
    <xf numFmtId="184" fontId="9" fillId="4" borderId="17" xfId="0" applyNumberFormat="1" applyFont="1" applyFill="1" applyBorder="1" applyAlignment="1">
      <alignment horizontal="left" vertical="center"/>
    </xf>
    <xf numFmtId="0" fontId="10" fillId="4" borderId="6" xfId="0" applyFont="1" applyFill="1" applyBorder="1" applyAlignment="1">
      <alignment vertical="center" wrapText="1"/>
    </xf>
    <xf numFmtId="0" fontId="10" fillId="4" borderId="6" xfId="0" applyFont="1" applyFill="1" applyBorder="1">
      <alignment vertical="center"/>
    </xf>
    <xf numFmtId="176" fontId="9" fillId="4" borderId="2" xfId="0" applyNumberFormat="1" applyFont="1" applyFill="1" applyBorder="1">
      <alignment vertical="center"/>
    </xf>
    <xf numFmtId="0" fontId="10" fillId="4" borderId="2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  <xf numFmtId="0" fontId="18" fillId="0" borderId="0" xfId="0" applyFont="1">
      <alignment vertical="center"/>
    </xf>
    <xf numFmtId="0" fontId="10" fillId="4" borderId="1" xfId="0" applyFont="1" applyFill="1" applyBorder="1">
      <alignment vertical="center"/>
    </xf>
    <xf numFmtId="176" fontId="9" fillId="4" borderId="34" xfId="0" applyNumberFormat="1" applyFont="1" applyFill="1" applyBorder="1">
      <alignment vertical="center"/>
    </xf>
    <xf numFmtId="176" fontId="9" fillId="4" borderId="5" xfId="0" applyNumberFormat="1" applyFont="1" applyFill="1" applyBorder="1">
      <alignment vertical="center"/>
    </xf>
    <xf numFmtId="176" fontId="9" fillId="4" borderId="35" xfId="0" applyNumberFormat="1" applyFont="1" applyFill="1" applyBorder="1">
      <alignment vertical="center"/>
    </xf>
    <xf numFmtId="176" fontId="9" fillId="4" borderId="17" xfId="0" applyNumberFormat="1" applyFont="1" applyFill="1" applyBorder="1">
      <alignment vertical="center"/>
    </xf>
    <xf numFmtId="176" fontId="9" fillId="4" borderId="1" xfId="0" applyNumberFormat="1" applyFont="1" applyFill="1" applyBorder="1" applyAlignment="1">
      <alignment horizontal="left" vertical="center"/>
    </xf>
    <xf numFmtId="0" fontId="8" fillId="6" borderId="0" xfId="0" applyFont="1" applyFill="1">
      <alignment vertical="center"/>
    </xf>
    <xf numFmtId="176" fontId="7" fillId="4" borderId="1" xfId="0" applyNumberFormat="1" applyFont="1" applyFill="1" applyBorder="1">
      <alignment vertical="center"/>
    </xf>
    <xf numFmtId="176" fontId="7" fillId="5" borderId="1" xfId="0" applyNumberFormat="1" applyFont="1" applyFill="1" applyBorder="1">
      <alignment vertical="center"/>
    </xf>
    <xf numFmtId="0" fontId="8" fillId="4" borderId="1" xfId="0" applyFont="1" applyFill="1" applyBorder="1">
      <alignment vertical="center"/>
    </xf>
    <xf numFmtId="176" fontId="9" fillId="4" borderId="1" xfId="0" applyNumberFormat="1" applyFont="1" applyFill="1" applyBorder="1" applyAlignment="1"/>
    <xf numFmtId="176" fontId="10" fillId="4" borderId="1" xfId="0" applyNumberFormat="1" applyFont="1" applyFill="1" applyBorder="1" applyAlignment="1">
      <alignment horizontal="left" vertical="center" wrapText="1"/>
    </xf>
    <xf numFmtId="184" fontId="9" fillId="4" borderId="17" xfId="0" applyNumberFormat="1" applyFont="1" applyFill="1" applyBorder="1" applyAlignment="1">
      <alignment horizontal="left"/>
    </xf>
    <xf numFmtId="0" fontId="9" fillId="4" borderId="5" xfId="0" applyFont="1" applyFill="1" applyBorder="1">
      <alignment vertical="center"/>
    </xf>
    <xf numFmtId="0" fontId="9" fillId="4" borderId="5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176" fontId="9" fillId="0" borderId="1" xfId="0" applyNumberFormat="1" applyFont="1" applyBorder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184" fontId="9" fillId="0" borderId="3" xfId="0" applyNumberFormat="1" applyFont="1" applyFill="1" applyBorder="1" applyAlignment="1">
      <alignment horizontal="left" vertical="center"/>
    </xf>
    <xf numFmtId="184" fontId="8" fillId="0" borderId="1" xfId="0" applyNumberFormat="1" applyFont="1" applyFill="1" applyBorder="1" applyAlignment="1">
      <alignment horizontal="left" vertical="center"/>
    </xf>
    <xf numFmtId="0" fontId="8" fillId="4" borderId="2" xfId="0" applyFont="1" applyFill="1" applyBorder="1">
      <alignment vertical="center"/>
    </xf>
    <xf numFmtId="0" fontId="9" fillId="4" borderId="6" xfId="0" applyFont="1" applyFill="1" applyBorder="1">
      <alignment vertical="center"/>
    </xf>
    <xf numFmtId="176" fontId="9" fillId="4" borderId="5" xfId="0" applyNumberFormat="1" applyFont="1" applyFill="1" applyBorder="1" applyAlignment="1"/>
    <xf numFmtId="176" fontId="9" fillId="4" borderId="14" xfId="0" applyNumberFormat="1" applyFont="1" applyFill="1" applyBorder="1">
      <alignment vertical="center"/>
    </xf>
    <xf numFmtId="0" fontId="10" fillId="4" borderId="1" xfId="0" applyFont="1" applyFill="1" applyBorder="1" applyAlignment="1">
      <alignment horizontal="left" vertical="center"/>
    </xf>
    <xf numFmtId="176" fontId="9" fillId="4" borderId="2" xfId="0" applyNumberFormat="1" applyFont="1" applyFill="1" applyBorder="1" applyAlignment="1">
      <alignment vertical="center" wrapText="1"/>
    </xf>
    <xf numFmtId="0" fontId="9" fillId="4" borderId="34" xfId="0" applyFont="1" applyFill="1" applyBorder="1">
      <alignment vertical="center"/>
    </xf>
    <xf numFmtId="176" fontId="18" fillId="4" borderId="1" xfId="0" applyNumberFormat="1" applyFont="1" applyFill="1" applyBorder="1">
      <alignment vertical="center"/>
    </xf>
    <xf numFmtId="0" fontId="8" fillId="0" borderId="3" xfId="0" applyFont="1" applyFill="1" applyBorder="1">
      <alignment vertical="center"/>
    </xf>
    <xf numFmtId="176" fontId="9" fillId="6" borderId="14" xfId="0" applyNumberFormat="1" applyFont="1" applyFill="1" applyBorder="1">
      <alignment vertical="center"/>
    </xf>
    <xf numFmtId="176" fontId="9" fillId="6" borderId="2" xfId="0" applyNumberFormat="1" applyFont="1" applyFill="1" applyBorder="1">
      <alignment vertical="center"/>
    </xf>
    <xf numFmtId="0" fontId="8" fillId="0" borderId="15" xfId="0" applyFont="1" applyFill="1" applyBorder="1" applyAlignment="1">
      <alignment horizontal="center" vertical="center"/>
    </xf>
    <xf numFmtId="176" fontId="9" fillId="0" borderId="1" xfId="0" applyNumberFormat="1" applyFont="1" applyFill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184" fontId="9" fillId="0" borderId="3" xfId="0" applyNumberFormat="1" applyFont="1" applyBorder="1" applyAlignment="1">
      <alignment horizontal="left" vertical="center"/>
    </xf>
    <xf numFmtId="176" fontId="9" fillId="0" borderId="2" xfId="0" applyNumberFormat="1" applyFont="1" applyBorder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/>
    <xf numFmtId="0" fontId="9" fillId="15" borderId="1" xfId="0" applyFont="1" applyFill="1" applyBorder="1">
      <alignment vertical="center"/>
    </xf>
    <xf numFmtId="0" fontId="9" fillId="16" borderId="1" xfId="0" applyFont="1" applyFill="1" applyBorder="1" applyAlignment="1">
      <alignment horizontal="left" vertical="center"/>
    </xf>
    <xf numFmtId="176" fontId="10" fillId="0" borderId="1" xfId="0" applyNumberFormat="1" applyFont="1" applyBorder="1" applyAlignment="1">
      <alignment horizontal="left" vertical="center"/>
    </xf>
    <xf numFmtId="184" fontId="9" fillId="6" borderId="3" xfId="0" applyNumberFormat="1" applyFont="1" applyFill="1" applyBorder="1" applyAlignment="1">
      <alignment horizontal="left" vertical="center"/>
    </xf>
    <xf numFmtId="184" fontId="9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vertical="center" wrapText="1"/>
    </xf>
    <xf numFmtId="184" fontId="10" fillId="6" borderId="3" xfId="0" applyNumberFormat="1" applyFont="1" applyFill="1" applyBorder="1" applyAlignment="1">
      <alignment horizontal="left" vertical="center"/>
    </xf>
    <xf numFmtId="176" fontId="9" fillId="0" borderId="1" xfId="0" applyNumberFormat="1" applyFont="1" applyBorder="1" applyAlignment="1">
      <alignment horizontal="left"/>
    </xf>
    <xf numFmtId="0" fontId="9" fillId="16" borderId="1" xfId="0" applyFont="1" applyFill="1" applyBorder="1">
      <alignment vertical="center"/>
    </xf>
    <xf numFmtId="184" fontId="9" fillId="6" borderId="17" xfId="0" applyNumberFormat="1" applyFont="1" applyFill="1" applyBorder="1" applyAlignment="1">
      <alignment horizontal="left" vertical="center"/>
    </xf>
    <xf numFmtId="184" fontId="18" fillId="0" borderId="1" xfId="0" applyNumberFormat="1" applyFont="1" applyBorder="1" applyAlignment="1">
      <alignment horizontal="left"/>
    </xf>
    <xf numFmtId="0" fontId="10" fillId="15" borderId="1" xfId="0" applyFont="1" applyFill="1" applyBorder="1">
      <alignment vertical="center"/>
    </xf>
    <xf numFmtId="0" fontId="9" fillId="0" borderId="2" xfId="0" applyFont="1" applyBorder="1" applyAlignment="1">
      <alignment horizontal="left" vertical="center"/>
    </xf>
    <xf numFmtId="0" fontId="8" fillId="0" borderId="1" xfId="0" applyFont="1" applyFill="1" applyBorder="1">
      <alignment vertical="center"/>
    </xf>
    <xf numFmtId="0" fontId="10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176" fontId="9" fillId="0" borderId="1" xfId="0" applyNumberFormat="1" applyFont="1" applyBorder="1" applyAlignment="1">
      <alignment horizontal="left" vertical="center"/>
    </xf>
    <xf numFmtId="184" fontId="8" fillId="0" borderId="1" xfId="0" applyNumberFormat="1" applyFont="1" applyBorder="1" applyAlignment="1">
      <alignment horizontal="left" vertical="center"/>
    </xf>
    <xf numFmtId="184" fontId="8" fillId="0" borderId="2" xfId="0" applyNumberFormat="1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left" vertical="center"/>
    </xf>
    <xf numFmtId="0" fontId="8" fillId="0" borderId="5" xfId="0" applyFont="1" applyBorder="1">
      <alignment vertical="center"/>
    </xf>
    <xf numFmtId="0" fontId="9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84" fontId="8" fillId="0" borderId="3" xfId="0" applyNumberFormat="1" applyFont="1" applyBorder="1" applyAlignment="1">
      <alignment horizontal="left" vertical="center"/>
    </xf>
    <xf numFmtId="184" fontId="8" fillId="0" borderId="34" xfId="0" applyNumberFormat="1" applyFont="1" applyBorder="1" applyAlignment="1">
      <alignment horizontal="left" vertical="center"/>
    </xf>
    <xf numFmtId="184" fontId="8" fillId="0" borderId="5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76" fontId="9" fillId="0" borderId="6" xfId="0" applyNumberFormat="1" applyFont="1" applyBorder="1" applyAlignment="1">
      <alignment horizontal="center"/>
    </xf>
    <xf numFmtId="176" fontId="9" fillId="0" borderId="15" xfId="0" applyNumberFormat="1" applyFont="1" applyBorder="1" applyAlignment="1">
      <alignment horizontal="center"/>
    </xf>
    <xf numFmtId="176" fontId="9" fillId="0" borderId="2" xfId="0" applyNumberFormat="1" applyFont="1" applyBorder="1" applyAlignment="1"/>
    <xf numFmtId="176" fontId="9" fillId="0" borderId="15" xfId="0" applyNumberFormat="1" applyFont="1" applyBorder="1" applyAlignment="1"/>
    <xf numFmtId="176" fontId="9" fillId="0" borderId="1" xfId="0" applyNumberFormat="1" applyFont="1" applyBorder="1" applyAlignment="1">
      <alignment horizontal="center"/>
    </xf>
    <xf numFmtId="176" fontId="9" fillId="0" borderId="7" xfId="0" applyNumberFormat="1" applyFont="1" applyBorder="1" applyAlignment="1">
      <alignment horizontal="center"/>
    </xf>
    <xf numFmtId="176" fontId="9" fillId="0" borderId="5" xfId="0" applyNumberFormat="1" applyFont="1" applyBorder="1" applyAlignment="1"/>
    <xf numFmtId="14" fontId="18" fillId="0" borderId="1" xfId="0" applyNumberFormat="1" applyFont="1" applyBorder="1" applyAlignment="1">
      <alignment horizontal="left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58" fontId="9" fillId="0" borderId="0" xfId="0" applyNumberFormat="1" applyFont="1" applyAlignment="1">
      <alignment horizontal="center" vertical="center"/>
    </xf>
    <xf numFmtId="58" fontId="7" fillId="0" borderId="0" xfId="0" applyNumberFormat="1" applyFont="1" applyAlignment="1">
      <alignment horizontal="center" vertical="center"/>
    </xf>
    <xf numFmtId="0" fontId="8" fillId="0" borderId="2" xfId="0" applyFont="1" applyFill="1" applyBorder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184" fontId="8" fillId="0" borderId="14" xfId="0" applyNumberFormat="1" applyFont="1" applyBorder="1" applyAlignment="1">
      <alignment horizontal="left" vertical="center"/>
    </xf>
    <xf numFmtId="184" fontId="8" fillId="0" borderId="2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184" fontId="8" fillId="0" borderId="0" xfId="0" applyNumberFormat="1" applyFont="1" applyAlignment="1">
      <alignment horizontal="left" vertical="center"/>
    </xf>
    <xf numFmtId="0" fontId="0" fillId="16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0" xfId="0" applyNumberFormat="1" applyFill="1" applyBorder="1" applyAlignment="1">
      <alignment vertical="center"/>
    </xf>
    <xf numFmtId="0" fontId="30" fillId="0" borderId="0" xfId="0" applyFont="1">
      <alignment vertical="center"/>
    </xf>
    <xf numFmtId="176" fontId="8" fillId="0" borderId="1" xfId="0" applyNumberFormat="1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center" vertical="center"/>
    </xf>
    <xf numFmtId="185" fontId="10" fillId="0" borderId="1" xfId="0" applyNumberFormat="1" applyFont="1" applyBorder="1" applyAlignment="1">
      <alignment horizontal="center" vertical="center"/>
    </xf>
    <xf numFmtId="184" fontId="8" fillId="0" borderId="3" xfId="0" applyNumberFormat="1" applyFont="1" applyBorder="1" applyAlignment="1">
      <alignment horizontal="center" vertical="center"/>
    </xf>
    <xf numFmtId="184" fontId="8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87" fontId="10" fillId="7" borderId="1" xfId="0" applyNumberFormat="1" applyFont="1" applyFill="1" applyBorder="1" applyAlignment="1">
      <alignment horizontal="left" vertical="center" wrapText="1"/>
    </xf>
    <xf numFmtId="184" fontId="8" fillId="2" borderId="3" xfId="0" applyNumberFormat="1" applyFont="1" applyFill="1" applyBorder="1" applyAlignment="1">
      <alignment horizontal="left" vertical="center"/>
    </xf>
    <xf numFmtId="184" fontId="8" fillId="2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Fill="1" applyBorder="1" applyAlignment="1">
      <alignment horizontal="left" vertical="center"/>
    </xf>
    <xf numFmtId="0" fontId="10" fillId="7" borderId="1" xfId="0" applyNumberFormat="1" applyFont="1" applyFill="1" applyBorder="1" applyAlignment="1">
      <alignment horizontal="left" vertical="center" wrapText="1"/>
    </xf>
    <xf numFmtId="176" fontId="8" fillId="0" borderId="6" xfId="0" applyNumberFormat="1" applyFont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176" fontId="8" fillId="17" borderId="1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left" vertical="center"/>
    </xf>
    <xf numFmtId="188" fontId="10" fillId="7" borderId="1" xfId="0" applyNumberFormat="1" applyFont="1" applyFill="1" applyBorder="1" applyAlignment="1">
      <alignment horizontal="left" vertical="center" wrapText="1"/>
    </xf>
    <xf numFmtId="189" fontId="8" fillId="2" borderId="1" xfId="0" applyNumberFormat="1" applyFont="1" applyFill="1" applyBorder="1" applyAlignment="1">
      <alignment horizontal="left" vertical="center" wrapText="1"/>
    </xf>
    <xf numFmtId="176" fontId="8" fillId="2" borderId="1" xfId="0" applyNumberFormat="1" applyFont="1" applyFill="1" applyBorder="1" applyAlignment="1">
      <alignment horizontal="left" vertical="center"/>
    </xf>
    <xf numFmtId="0" fontId="10" fillId="7" borderId="6" xfId="0" applyNumberFormat="1" applyFont="1" applyFill="1" applyBorder="1">
      <alignment vertical="center"/>
    </xf>
    <xf numFmtId="0" fontId="8" fillId="17" borderId="1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176" fontId="8" fillId="17" borderId="1" xfId="0" applyNumberFormat="1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10" fillId="11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>
      <alignment vertical="center"/>
    </xf>
    <xf numFmtId="0" fontId="8" fillId="3" borderId="6" xfId="0" applyFont="1" applyFill="1" applyBorder="1">
      <alignment vertical="center"/>
    </xf>
    <xf numFmtId="0" fontId="8" fillId="3" borderId="36" xfId="0" applyNumberFormat="1" applyFont="1" applyFill="1" applyBorder="1">
      <alignment vertical="center"/>
    </xf>
    <xf numFmtId="0" fontId="8" fillId="17" borderId="1" xfId="0" applyFont="1" applyFill="1" applyBorder="1">
      <alignment vertical="center"/>
    </xf>
    <xf numFmtId="0" fontId="8" fillId="17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188" fontId="10" fillId="11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NumberFormat="1" applyFont="1" applyFill="1" applyBorder="1" applyAlignment="1">
      <alignment horizontal="left" vertical="center" wrapText="1"/>
    </xf>
    <xf numFmtId="0" fontId="8" fillId="3" borderId="6" xfId="0" applyNumberFormat="1" applyFont="1" applyFill="1" applyBorder="1">
      <alignment vertical="center"/>
    </xf>
    <xf numFmtId="0" fontId="8" fillId="3" borderId="19" xfId="0" applyNumberFormat="1" applyFont="1" applyFill="1" applyBorder="1">
      <alignment vertical="center"/>
    </xf>
    <xf numFmtId="0" fontId="8" fillId="7" borderId="1" xfId="0" applyFont="1" applyFill="1" applyBorder="1">
      <alignment vertical="center"/>
    </xf>
    <xf numFmtId="0" fontId="8" fillId="7" borderId="1" xfId="0" applyNumberFormat="1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8" fillId="17" borderId="6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3" borderId="11" xfId="0" applyFont="1" applyFill="1" applyBorder="1">
      <alignment vertical="center"/>
    </xf>
    <xf numFmtId="0" fontId="8" fillId="3" borderId="1" xfId="0" applyNumberFormat="1" applyFont="1" applyFill="1" applyBorder="1" applyAlignment="1">
      <alignment horizontal="left" vertical="center" wrapText="1"/>
    </xf>
    <xf numFmtId="0" fontId="10" fillId="18" borderId="1" xfId="0" applyFont="1" applyFill="1" applyBorder="1">
      <alignment vertical="center"/>
    </xf>
    <xf numFmtId="0" fontId="8" fillId="3" borderId="11" xfId="0" applyNumberFormat="1" applyFont="1" applyFill="1" applyBorder="1" applyAlignment="1">
      <alignment horizontal="left" vertical="center"/>
    </xf>
    <xf numFmtId="0" fontId="10" fillId="18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31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10" fillId="18" borderId="6" xfId="0" applyNumberFormat="1" applyFont="1" applyFill="1" applyBorder="1">
      <alignment vertical="center"/>
    </xf>
    <xf numFmtId="0" fontId="8" fillId="17" borderId="0" xfId="0" applyFont="1" applyFill="1">
      <alignment vertical="center"/>
    </xf>
    <xf numFmtId="0" fontId="8" fillId="3" borderId="19" xfId="0" applyFont="1" applyFill="1" applyBorder="1">
      <alignment vertical="center"/>
    </xf>
    <xf numFmtId="0" fontId="8" fillId="3" borderId="11" xfId="0" applyNumberFormat="1" applyFont="1" applyFill="1" applyBorder="1">
      <alignment vertical="center"/>
    </xf>
    <xf numFmtId="0" fontId="18" fillId="3" borderId="19" xfId="0" applyNumberFormat="1" applyFont="1" applyFill="1" applyBorder="1">
      <alignment vertical="center"/>
    </xf>
    <xf numFmtId="0" fontId="18" fillId="3" borderId="19" xfId="0" applyFont="1" applyFill="1" applyBorder="1">
      <alignment vertical="center"/>
    </xf>
    <xf numFmtId="0" fontId="8" fillId="17" borderId="6" xfId="0" applyNumberFormat="1" applyFont="1" applyFill="1" applyBorder="1">
      <alignment vertical="center"/>
    </xf>
    <xf numFmtId="0" fontId="8" fillId="17" borderId="1" xfId="0" applyNumberFormat="1" applyFont="1" applyFill="1" applyBorder="1">
      <alignment vertical="center"/>
    </xf>
    <xf numFmtId="0" fontId="10" fillId="17" borderId="1" xfId="0" applyFont="1" applyFill="1" applyBorder="1" applyAlignment="1">
      <alignment horizontal="left" vertical="center"/>
    </xf>
    <xf numFmtId="176" fontId="10" fillId="17" borderId="1" xfId="0" applyNumberFormat="1" applyFont="1" applyFill="1" applyBorder="1" applyAlignment="1">
      <alignment horizontal="left" vertical="center"/>
    </xf>
    <xf numFmtId="0" fontId="9" fillId="3" borderId="1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10" fillId="5" borderId="11" xfId="0" applyFont="1" applyFill="1" applyBorder="1" applyAlignment="1">
      <alignment horizontal="left" vertical="center" wrapText="1"/>
    </xf>
    <xf numFmtId="0" fontId="10" fillId="5" borderId="1" xfId="0" applyNumberFormat="1" applyFont="1" applyFill="1" applyBorder="1" applyAlignment="1">
      <alignment horizontal="left" vertical="center" wrapText="1"/>
    </xf>
    <xf numFmtId="176" fontId="8" fillId="5" borderId="1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NumberFormat="1" applyFont="1" applyFill="1" applyBorder="1" applyAlignment="1">
      <alignment horizontal="left" vertical="center" wrapText="1"/>
    </xf>
    <xf numFmtId="176" fontId="8" fillId="5" borderId="11" xfId="0" applyNumberFormat="1" applyFont="1" applyFill="1" applyBorder="1">
      <alignment vertical="center"/>
    </xf>
    <xf numFmtId="0" fontId="8" fillId="5" borderId="11" xfId="0" applyFont="1" applyFill="1" applyBorder="1" applyAlignment="1">
      <alignment horizontal="left" vertical="center" wrapText="1"/>
    </xf>
    <xf numFmtId="176" fontId="8" fillId="5" borderId="1" xfId="0" applyNumberFormat="1" applyFont="1" applyFill="1" applyBorder="1" applyAlignment="1">
      <alignment horizontal="left" vertical="center" wrapText="1"/>
    </xf>
    <xf numFmtId="176" fontId="8" fillId="9" borderId="1" xfId="0" applyNumberFormat="1" applyFont="1" applyFill="1" applyBorder="1" applyAlignment="1">
      <alignment horizontal="left" vertical="center"/>
    </xf>
    <xf numFmtId="0" fontId="9" fillId="3" borderId="11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18" fillId="5" borderId="19" xfId="0" applyNumberFormat="1" applyFont="1" applyFill="1" applyBorder="1">
      <alignment vertical="center"/>
    </xf>
    <xf numFmtId="0" fontId="8" fillId="5" borderId="19" xfId="0" applyNumberFormat="1" applyFont="1" applyFill="1" applyBorder="1">
      <alignment vertical="center"/>
    </xf>
    <xf numFmtId="0" fontId="8" fillId="5" borderId="19" xfId="0" applyFont="1" applyFill="1" applyBorder="1">
      <alignment vertical="center"/>
    </xf>
    <xf numFmtId="0" fontId="8" fillId="5" borderId="6" xfId="0" applyFont="1" applyFill="1" applyBorder="1">
      <alignment vertical="center"/>
    </xf>
    <xf numFmtId="0" fontId="8" fillId="5" borderId="11" xfId="0" applyNumberFormat="1" applyFont="1" applyFill="1" applyBorder="1">
      <alignment vertical="center"/>
    </xf>
    <xf numFmtId="176" fontId="8" fillId="5" borderId="1" xfId="0" applyNumberFormat="1" applyFont="1" applyFill="1" applyBorder="1">
      <alignment vertical="center"/>
    </xf>
    <xf numFmtId="0" fontId="8" fillId="5" borderId="1" xfId="0" applyNumberFormat="1" applyFont="1" applyFill="1" applyBorder="1" applyAlignment="1">
      <alignment horizontal="left" vertical="center"/>
    </xf>
    <xf numFmtId="0" fontId="8" fillId="9" borderId="1" xfId="0" applyNumberFormat="1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9" fillId="9" borderId="1" xfId="0" applyNumberFormat="1" applyFont="1" applyFill="1" applyBorder="1" applyAlignment="1">
      <alignment horizontal="left" vertical="center"/>
    </xf>
    <xf numFmtId="0" fontId="8" fillId="5" borderId="11" xfId="0" applyFont="1" applyFill="1" applyBorder="1" applyAlignment="1"/>
    <xf numFmtId="0" fontId="8" fillId="19" borderId="1" xfId="0" applyFont="1" applyFill="1" applyBorder="1" applyAlignment="1">
      <alignment horizontal="left" vertical="center"/>
    </xf>
    <xf numFmtId="0" fontId="10" fillId="20" borderId="1" xfId="0" applyFont="1" applyFill="1" applyBorder="1" applyAlignment="1">
      <alignment horizontal="left" vertical="center" wrapText="1"/>
    </xf>
    <xf numFmtId="0" fontId="18" fillId="5" borderId="19" xfId="0" applyFont="1" applyFill="1" applyBorder="1">
      <alignment vertical="center"/>
    </xf>
    <xf numFmtId="0" fontId="8" fillId="5" borderId="37" xfId="0" applyFont="1" applyFill="1" applyBorder="1" applyAlignment="1">
      <alignment horizontal="left"/>
    </xf>
    <xf numFmtId="176" fontId="8" fillId="5" borderId="1" xfId="0" applyNumberFormat="1" applyFont="1" applyFill="1" applyBorder="1" applyAlignment="1"/>
    <xf numFmtId="176" fontId="8" fillId="5" borderId="1" xfId="0" applyNumberFormat="1" applyFont="1" applyFill="1" applyBorder="1" applyAlignment="1">
      <alignment horizontal="left"/>
    </xf>
    <xf numFmtId="0" fontId="8" fillId="5" borderId="20" xfId="0" applyFont="1" applyFill="1" applyBorder="1">
      <alignment vertical="center"/>
    </xf>
    <xf numFmtId="176" fontId="8" fillId="5" borderId="11" xfId="0" applyNumberFormat="1" applyFont="1" applyFill="1" applyBorder="1" applyAlignment="1"/>
    <xf numFmtId="176" fontId="9" fillId="5" borderId="11" xfId="0" applyNumberFormat="1" applyFont="1" applyFill="1" applyBorder="1" applyAlignment="1"/>
    <xf numFmtId="0" fontId="9" fillId="5" borderId="19" xfId="0" applyFont="1" applyFill="1" applyBorder="1">
      <alignment vertical="center"/>
    </xf>
    <xf numFmtId="0" fontId="8" fillId="0" borderId="0" xfId="0" applyFont="1" applyFill="1" applyAlignment="1"/>
    <xf numFmtId="0" fontId="10" fillId="5" borderId="1" xfId="0" applyNumberFormat="1" applyFont="1" applyFill="1" applyBorder="1" applyAlignment="1">
      <alignment horizontal="left" vertical="center"/>
    </xf>
    <xf numFmtId="0" fontId="9" fillId="21" borderId="1" xfId="0" applyNumberFormat="1" applyFont="1" applyFill="1" applyBorder="1" applyAlignment="1">
      <alignment horizontal="left" vertical="center"/>
    </xf>
    <xf numFmtId="176" fontId="8" fillId="5" borderId="2" xfId="0" applyNumberFormat="1" applyFont="1" applyFill="1" applyBorder="1">
      <alignment vertical="center"/>
    </xf>
    <xf numFmtId="176" fontId="10" fillId="5" borderId="1" xfId="0" applyNumberFormat="1" applyFont="1" applyFill="1" applyBorder="1" applyAlignment="1">
      <alignment horizontal="left" vertical="center" wrapText="1"/>
    </xf>
    <xf numFmtId="184" fontId="9" fillId="5" borderId="3" xfId="0" applyNumberFormat="1" applyFont="1" applyFill="1" applyBorder="1">
      <alignment vertical="center"/>
    </xf>
    <xf numFmtId="184" fontId="9" fillId="5" borderId="23" xfId="0" applyNumberFormat="1" applyFont="1" applyFill="1" applyBorder="1">
      <alignment vertical="center"/>
    </xf>
    <xf numFmtId="184" fontId="9" fillId="5" borderId="12" xfId="0" applyNumberFormat="1" applyFont="1" applyFill="1" applyBorder="1">
      <alignment vertical="center"/>
    </xf>
    <xf numFmtId="0" fontId="9" fillId="5" borderId="11" xfId="0" applyFont="1" applyFill="1" applyBorder="1" applyAlignment="1">
      <alignment horizontal="left" vertical="center" wrapText="1"/>
    </xf>
    <xf numFmtId="0" fontId="8" fillId="5" borderId="1" xfId="0" applyNumberFormat="1" applyFont="1" applyFill="1" applyBorder="1" applyAlignment="1">
      <alignment horizontal="center" vertical="center"/>
    </xf>
    <xf numFmtId="176" fontId="9" fillId="5" borderId="12" xfId="0" applyNumberFormat="1" applyFont="1" applyFill="1" applyBorder="1">
      <alignment vertical="center"/>
    </xf>
    <xf numFmtId="176" fontId="10" fillId="5" borderId="11" xfId="0" applyNumberFormat="1" applyFont="1" applyFill="1" applyBorder="1" applyAlignment="1">
      <alignment horizontal="center" vertical="center"/>
    </xf>
    <xf numFmtId="0" fontId="18" fillId="5" borderId="1" xfId="0" applyFont="1" applyFill="1" applyBorder="1">
      <alignment vertical="center"/>
    </xf>
    <xf numFmtId="0" fontId="8" fillId="5" borderId="6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 readingOrder="1"/>
    </xf>
    <xf numFmtId="0" fontId="8" fillId="5" borderId="11" xfId="0" applyFont="1" applyFill="1" applyBorder="1" applyAlignment="1">
      <alignment horizontal="left" vertical="center"/>
    </xf>
    <xf numFmtId="0" fontId="18" fillId="5" borderId="11" xfId="0" applyNumberFormat="1" applyFont="1" applyFill="1" applyBorder="1">
      <alignment vertical="center"/>
    </xf>
    <xf numFmtId="0" fontId="8" fillId="5" borderId="1" xfId="0" applyNumberFormat="1" applyFont="1" applyFill="1" applyBorder="1">
      <alignment vertical="center"/>
    </xf>
    <xf numFmtId="176" fontId="8" fillId="5" borderId="11" xfId="0" applyNumberFormat="1" applyFont="1" applyFill="1" applyBorder="1" applyAlignment="1">
      <alignment horizontal="left" vertical="center"/>
    </xf>
    <xf numFmtId="176" fontId="8" fillId="9" borderId="1" xfId="0" applyNumberFormat="1" applyFont="1" applyFill="1" applyBorder="1" applyAlignment="1">
      <alignment horizontal="left" vertical="center" wrapText="1"/>
    </xf>
    <xf numFmtId="176" fontId="9" fillId="5" borderId="11" xfId="0" applyNumberFormat="1" applyFont="1" applyFill="1" applyBorder="1" applyAlignment="1">
      <alignment horizontal="left" vertical="center"/>
    </xf>
    <xf numFmtId="176" fontId="9" fillId="9" borderId="1" xfId="0" applyNumberFormat="1" applyFont="1" applyFill="1" applyBorder="1" applyAlignment="1">
      <alignment horizontal="left" vertical="center"/>
    </xf>
    <xf numFmtId="176" fontId="18" fillId="5" borderId="11" xfId="0" applyNumberFormat="1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176" fontId="8" fillId="5" borderId="11" xfId="0" applyNumberFormat="1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9" fillId="5" borderId="13" xfId="0" applyNumberFormat="1" applyFont="1" applyFill="1" applyBorder="1">
      <alignment vertical="center"/>
    </xf>
    <xf numFmtId="188" fontId="10" fillId="5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shrinkToFit="1"/>
    </xf>
    <xf numFmtId="0" fontId="8" fillId="5" borderId="1" xfId="0" applyFont="1" applyFill="1" applyBorder="1" applyAlignment="1"/>
    <xf numFmtId="0" fontId="8" fillId="0" borderId="0" xfId="0" applyFont="1" applyAlignment="1"/>
    <xf numFmtId="176" fontId="10" fillId="0" borderId="1" xfId="0" applyNumberFormat="1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2" xfId="0" applyFont="1" applyFill="1" applyBorder="1">
      <alignment vertical="center"/>
    </xf>
    <xf numFmtId="0" fontId="8" fillId="5" borderId="31" xfId="0" applyFont="1" applyFill="1" applyBorder="1" applyAlignment="1">
      <alignment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18" fillId="5" borderId="10" xfId="0" applyNumberFormat="1" applyFont="1" applyFill="1" applyBorder="1" applyAlignment="1">
      <alignment vertical="center" wrapText="1"/>
    </xf>
    <xf numFmtId="0" fontId="18" fillId="5" borderId="11" xfId="0" applyNumberFormat="1" applyFont="1" applyFill="1" applyBorder="1" applyAlignment="1">
      <alignment vertical="center" wrapText="1"/>
    </xf>
    <xf numFmtId="0" fontId="18" fillId="5" borderId="11" xfId="0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horizontal="left" vertical="center"/>
    </xf>
    <xf numFmtId="184" fontId="8" fillId="5" borderId="13" xfId="0" applyNumberFormat="1" applyFont="1" applyFill="1" applyBorder="1" applyAlignment="1">
      <alignment horizontal="left" vertical="center"/>
    </xf>
    <xf numFmtId="184" fontId="8" fillId="5" borderId="11" xfId="0" applyNumberFormat="1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vertical="center" wrapText="1"/>
    </xf>
    <xf numFmtId="0" fontId="8" fillId="0" borderId="1" xfId="0" applyNumberFormat="1" applyFont="1" applyBorder="1" applyAlignment="1">
      <alignment vertical="center" wrapText="1"/>
    </xf>
    <xf numFmtId="176" fontId="8" fillId="0" borderId="1" xfId="0" applyNumberFormat="1" applyFont="1" applyFill="1" applyBorder="1" applyAlignment="1">
      <alignment horizontal="left" vertical="center"/>
    </xf>
    <xf numFmtId="176" fontId="8" fillId="5" borderId="11" xfId="0" applyNumberFormat="1" applyFont="1" applyFill="1" applyBorder="1" applyAlignment="1">
      <alignment horizontal="left"/>
    </xf>
    <xf numFmtId="184" fontId="8" fillId="5" borderId="3" xfId="0" applyNumberFormat="1" applyFont="1" applyFill="1" applyBorder="1" applyAlignment="1">
      <alignment horizontal="left" vertical="center" wrapText="1"/>
    </xf>
    <xf numFmtId="184" fontId="8" fillId="5" borderId="13" xfId="0" applyNumberFormat="1" applyFont="1" applyFill="1" applyBorder="1" applyAlignment="1">
      <alignment horizontal="left" vertical="center" wrapText="1"/>
    </xf>
    <xf numFmtId="176" fontId="8" fillId="5" borderId="12" xfId="0" applyNumberFormat="1" applyFont="1" applyFill="1" applyBorder="1">
      <alignment vertical="center"/>
    </xf>
    <xf numFmtId="184" fontId="9" fillId="5" borderId="3" xfId="0" applyNumberFormat="1" applyFont="1" applyFill="1" applyBorder="1" applyAlignment="1">
      <alignment horizontal="left" vertical="center" wrapText="1"/>
    </xf>
    <xf numFmtId="176" fontId="8" fillId="5" borderId="20" xfId="0" applyNumberFormat="1" applyFont="1" applyFill="1" applyBorder="1">
      <alignment vertical="center"/>
    </xf>
    <xf numFmtId="0" fontId="10" fillId="5" borderId="30" xfId="0" applyFont="1" applyFill="1" applyBorder="1">
      <alignment vertical="center"/>
    </xf>
    <xf numFmtId="0" fontId="8" fillId="5" borderId="37" xfId="0" applyFont="1" applyFill="1" applyBorder="1" applyAlignment="1">
      <alignment horizontal="left" vertical="center"/>
    </xf>
    <xf numFmtId="0" fontId="10" fillId="5" borderId="10" xfId="0" applyFont="1" applyFill="1" applyBorder="1" applyAlignment="1">
      <alignment horizontal="left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31" xfId="0" applyFont="1" applyFill="1" applyBorder="1">
      <alignment vertical="center"/>
    </xf>
    <xf numFmtId="0" fontId="10" fillId="5" borderId="11" xfId="0" applyFont="1" applyFill="1" applyBorder="1" applyAlignment="1">
      <alignment horizontal="left" vertical="center"/>
    </xf>
    <xf numFmtId="0" fontId="10" fillId="5" borderId="38" xfId="0" applyFont="1" applyFill="1" applyBorder="1">
      <alignment vertical="center"/>
    </xf>
    <xf numFmtId="0" fontId="10" fillId="5" borderId="20" xfId="0" applyFont="1" applyFill="1" applyBorder="1" applyAlignment="1">
      <alignment horizontal="left" vertical="center"/>
    </xf>
    <xf numFmtId="0" fontId="10" fillId="5" borderId="20" xfId="0" applyFont="1" applyFill="1" applyBorder="1" applyAlignment="1">
      <alignment horizontal="center" vertical="center"/>
    </xf>
    <xf numFmtId="176" fontId="10" fillId="5" borderId="11" xfId="0" applyNumberFormat="1" applyFont="1" applyFill="1" applyBorder="1">
      <alignment vertical="center"/>
    </xf>
    <xf numFmtId="176" fontId="10" fillId="5" borderId="10" xfId="0" applyNumberFormat="1" applyFont="1" applyFill="1" applyBorder="1">
      <alignment vertical="center"/>
    </xf>
    <xf numFmtId="0" fontId="10" fillId="5" borderId="10" xfId="0" applyFont="1" applyFill="1" applyBorder="1">
      <alignment vertical="center"/>
    </xf>
    <xf numFmtId="0" fontId="10" fillId="5" borderId="8" xfId="0" applyFont="1" applyFill="1" applyBorder="1">
      <alignment vertical="center"/>
    </xf>
    <xf numFmtId="176" fontId="10" fillId="5" borderId="20" xfId="0" applyNumberFormat="1" applyFont="1" applyFill="1" applyBorder="1">
      <alignment vertical="center"/>
    </xf>
    <xf numFmtId="0" fontId="8" fillId="0" borderId="0" xfId="0" applyNumberFormat="1" applyFont="1" applyFill="1">
      <alignment vertical="center"/>
    </xf>
    <xf numFmtId="176" fontId="18" fillId="5" borderId="11" xfId="0" applyNumberFormat="1" applyFont="1" applyFill="1" applyBorder="1">
      <alignment vertical="center"/>
    </xf>
    <xf numFmtId="0" fontId="10" fillId="5" borderId="11" xfId="0" applyFont="1" applyFill="1" applyBorder="1">
      <alignment vertical="center"/>
    </xf>
    <xf numFmtId="176" fontId="10" fillId="5" borderId="11" xfId="0" applyNumberFormat="1" applyFont="1" applyFill="1" applyBorder="1" applyAlignment="1">
      <alignment horizontal="left" vertical="center"/>
    </xf>
    <xf numFmtId="184" fontId="10" fillId="5" borderId="14" xfId="0" applyNumberFormat="1" applyFont="1" applyFill="1" applyBorder="1" applyAlignment="1">
      <alignment horizontal="left" vertical="center"/>
    </xf>
    <xf numFmtId="176" fontId="8" fillId="5" borderId="11" xfId="0" applyNumberFormat="1" applyFont="1" applyFill="1" applyBorder="1" applyAlignment="1">
      <alignment vertical="center" wrapText="1"/>
    </xf>
    <xf numFmtId="0" fontId="8" fillId="0" borderId="0" xfId="0" applyNumberFormat="1" applyFont="1" applyAlignment="1">
      <alignment vertical="center"/>
    </xf>
    <xf numFmtId="0" fontId="8" fillId="5" borderId="6" xfId="0" applyFont="1" applyFill="1" applyBorder="1" applyAlignment="1">
      <alignment horizontal="left" vertical="center"/>
    </xf>
    <xf numFmtId="184" fontId="8" fillId="5" borderId="34" xfId="0" applyNumberFormat="1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center" vertical="center"/>
    </xf>
    <xf numFmtId="176" fontId="9" fillId="5" borderId="19" xfId="0" applyNumberFormat="1" applyFont="1" applyFill="1" applyBorder="1" applyAlignment="1">
      <alignment horizontal="left" vertical="center"/>
    </xf>
    <xf numFmtId="184" fontId="9" fillId="5" borderId="13" xfId="0" applyNumberFormat="1" applyFont="1" applyFill="1" applyBorder="1">
      <alignment vertical="center"/>
    </xf>
    <xf numFmtId="184" fontId="9" fillId="5" borderId="11" xfId="0" applyNumberFormat="1" applyFont="1" applyFill="1" applyBorder="1">
      <alignment vertical="center"/>
    </xf>
    <xf numFmtId="179" fontId="10" fillId="5" borderId="1" xfId="0" applyNumberFormat="1" applyFont="1" applyFill="1" applyBorder="1" applyAlignment="1">
      <alignment horizontal="left" vertical="center" wrapText="1"/>
    </xf>
    <xf numFmtId="184" fontId="10" fillId="5" borderId="2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top" wrapText="1"/>
    </xf>
    <xf numFmtId="179" fontId="10" fillId="5" borderId="1" xfId="0" applyNumberFormat="1" applyFont="1" applyFill="1" applyBorder="1" applyAlignment="1">
      <alignment horizontal="left" vertical="center"/>
    </xf>
    <xf numFmtId="184" fontId="10" fillId="5" borderId="3" xfId="0" applyNumberFormat="1" applyFont="1" applyFill="1" applyBorder="1" applyAlignment="1">
      <alignment horizontal="left"/>
    </xf>
    <xf numFmtId="0" fontId="9" fillId="5" borderId="20" xfId="0" applyFont="1" applyFill="1" applyBorder="1" applyAlignment="1">
      <alignment horizontal="left" vertical="center" wrapText="1"/>
    </xf>
    <xf numFmtId="0" fontId="10" fillId="5" borderId="20" xfId="0" applyFont="1" applyFill="1" applyBorder="1" applyAlignment="1">
      <alignment horizontal="center" vertical="center" wrapText="1"/>
    </xf>
    <xf numFmtId="176" fontId="9" fillId="5" borderId="11" xfId="0" applyNumberFormat="1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vertical="center" wrapText="1"/>
    </xf>
    <xf numFmtId="0" fontId="10" fillId="5" borderId="29" xfId="0" applyFont="1" applyFill="1" applyBorder="1" applyAlignment="1">
      <alignment vertical="center" wrapText="1"/>
    </xf>
    <xf numFmtId="0" fontId="8" fillId="5" borderId="39" xfId="0" applyFont="1" applyFill="1" applyBorder="1">
      <alignment vertical="center"/>
    </xf>
    <xf numFmtId="0" fontId="10" fillId="5" borderId="3" xfId="0" applyFont="1" applyFill="1" applyBorder="1">
      <alignment vertical="center"/>
    </xf>
    <xf numFmtId="0" fontId="10" fillId="5" borderId="14" xfId="0" applyFont="1" applyFill="1" applyBorder="1">
      <alignment vertical="center"/>
    </xf>
    <xf numFmtId="0" fontId="10" fillId="0" borderId="0" xfId="0" applyFont="1">
      <alignment vertical="center"/>
    </xf>
    <xf numFmtId="176" fontId="8" fillId="5" borderId="19" xfId="0" applyNumberFormat="1" applyFont="1" applyFill="1" applyBorder="1" applyAlignment="1">
      <alignment horizontal="left" vertical="center"/>
    </xf>
    <xf numFmtId="176" fontId="9" fillId="5" borderId="1" xfId="0" applyNumberFormat="1" applyFont="1" applyFill="1" applyBorder="1" applyAlignment="1">
      <alignment wrapText="1"/>
    </xf>
    <xf numFmtId="176" fontId="10" fillId="5" borderId="19" xfId="0" applyNumberFormat="1" applyFont="1" applyFill="1" applyBorder="1">
      <alignment vertical="center"/>
    </xf>
    <xf numFmtId="184" fontId="10" fillId="5" borderId="13" xfId="0" applyNumberFormat="1" applyFont="1" applyFill="1" applyBorder="1" applyAlignment="1">
      <alignment horizontal="left" vertical="center"/>
    </xf>
    <xf numFmtId="184" fontId="10" fillId="5" borderId="17" xfId="0" applyNumberFormat="1" applyFont="1" applyFill="1" applyBorder="1" applyAlignment="1">
      <alignment horizontal="left" vertical="center"/>
    </xf>
    <xf numFmtId="176" fontId="8" fillId="5" borderId="19" xfId="0" applyNumberFormat="1" applyFont="1" applyFill="1" applyBorder="1">
      <alignment vertical="center"/>
    </xf>
    <xf numFmtId="176" fontId="8" fillId="5" borderId="3" xfId="0" applyNumberFormat="1" applyFont="1" applyFill="1" applyBorder="1" applyAlignment="1">
      <alignment vertical="center" wrapText="1"/>
    </xf>
    <xf numFmtId="176" fontId="8" fillId="5" borderId="3" xfId="0" applyNumberFormat="1" applyFont="1" applyFill="1" applyBorder="1">
      <alignment vertical="center"/>
    </xf>
    <xf numFmtId="0" fontId="8" fillId="5" borderId="2" xfId="0" applyFont="1" applyFill="1" applyBorder="1">
      <alignment vertical="center"/>
    </xf>
    <xf numFmtId="176" fontId="8" fillId="5" borderId="6" xfId="0" applyNumberFormat="1" applyFont="1" applyFill="1" applyBorder="1">
      <alignment vertical="center"/>
    </xf>
    <xf numFmtId="0" fontId="8" fillId="5" borderId="13" xfId="0" applyFont="1" applyFill="1" applyBorder="1">
      <alignment vertical="center"/>
    </xf>
    <xf numFmtId="176" fontId="8" fillId="5" borderId="12" xfId="0" applyNumberFormat="1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 wrapText="1"/>
    </xf>
    <xf numFmtId="184" fontId="10" fillId="5" borderId="34" xfId="0" applyNumberFormat="1" applyFont="1" applyFill="1" applyBorder="1" applyAlignment="1">
      <alignment horizontal="left" vertical="center"/>
    </xf>
    <xf numFmtId="0" fontId="9" fillId="5" borderId="14" xfId="0" applyFont="1" applyFill="1" applyBorder="1" applyAlignment="1">
      <alignment horizontal="left" vertical="center"/>
    </xf>
    <xf numFmtId="0" fontId="8" fillId="5" borderId="3" xfId="0" applyFont="1" applyFill="1" applyBorder="1">
      <alignment vertical="center"/>
    </xf>
    <xf numFmtId="176" fontId="8" fillId="5" borderId="15" xfId="0" applyNumberFormat="1" applyFont="1" applyFill="1" applyBorder="1">
      <alignment vertical="center"/>
    </xf>
    <xf numFmtId="176" fontId="8" fillId="5" borderId="14" xfId="0" applyNumberFormat="1" applyFont="1" applyFill="1" applyBorder="1">
      <alignment vertical="center"/>
    </xf>
    <xf numFmtId="176" fontId="8" fillId="5" borderId="13" xfId="0" applyNumberFormat="1" applyFont="1" applyFill="1" applyBorder="1">
      <alignment vertical="center"/>
    </xf>
    <xf numFmtId="176" fontId="18" fillId="5" borderId="11" xfId="0" applyNumberFormat="1" applyFont="1" applyFill="1" applyBorder="1" applyAlignment="1"/>
    <xf numFmtId="176" fontId="8" fillId="5" borderId="20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/>
    <xf numFmtId="179" fontId="9" fillId="5" borderId="1" xfId="0" applyNumberFormat="1" applyFont="1" applyFill="1" applyBorder="1" applyAlignment="1">
      <alignment horizontal="left" vertical="center"/>
    </xf>
    <xf numFmtId="184" fontId="8" fillId="5" borderId="35" xfId="0" applyNumberFormat="1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 wrapText="1"/>
    </xf>
    <xf numFmtId="0" fontId="9" fillId="5" borderId="21" xfId="0" applyFont="1" applyFill="1" applyBorder="1" applyAlignment="1">
      <alignment horizontal="left" vertical="center" wrapText="1"/>
    </xf>
    <xf numFmtId="0" fontId="7" fillId="5" borderId="1" xfId="0" applyFont="1" applyFill="1" applyBorder="1">
      <alignment vertical="center"/>
    </xf>
    <xf numFmtId="0" fontId="8" fillId="5" borderId="3" xfId="0" applyFont="1" applyFill="1" applyBorder="1" applyAlignment="1">
      <alignment horizontal="left" vertical="center"/>
    </xf>
    <xf numFmtId="0" fontId="8" fillId="6" borderId="0" xfId="0" applyFont="1" applyFill="1" applyAlignment="1"/>
    <xf numFmtId="0" fontId="8" fillId="6" borderId="0" xfId="0" applyNumberFormat="1" applyFont="1" applyFill="1" applyAlignment="1">
      <alignment vertical="center"/>
    </xf>
    <xf numFmtId="0" fontId="8" fillId="5" borderId="14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/>
    </xf>
    <xf numFmtId="0" fontId="8" fillId="5" borderId="5" xfId="0" applyFont="1" applyFill="1" applyBorder="1">
      <alignment vertical="center"/>
    </xf>
    <xf numFmtId="176" fontId="8" fillId="5" borderId="4" xfId="0" applyNumberFormat="1" applyFont="1" applyFill="1" applyBorder="1">
      <alignment vertical="center"/>
    </xf>
    <xf numFmtId="0" fontId="9" fillId="5" borderId="17" xfId="0" applyFont="1" applyFill="1" applyBorder="1" applyAlignment="1">
      <alignment horizontal="left" vertical="center" wrapText="1"/>
    </xf>
    <xf numFmtId="0" fontId="9" fillId="5" borderId="17" xfId="0" applyFont="1" applyFill="1" applyBorder="1" applyAlignment="1">
      <alignment horizontal="left" vertical="center"/>
    </xf>
    <xf numFmtId="0" fontId="9" fillId="5" borderId="21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center" vertical="top" wrapText="1"/>
    </xf>
    <xf numFmtId="184" fontId="10" fillId="5" borderId="16" xfId="0" applyNumberFormat="1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0" fillId="4" borderId="5" xfId="0" applyFont="1" applyFill="1" applyBorder="1">
      <alignment vertical="center"/>
    </xf>
    <xf numFmtId="176" fontId="10" fillId="4" borderId="7" xfId="0" applyNumberFormat="1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center" vertical="top" wrapText="1"/>
    </xf>
    <xf numFmtId="179" fontId="9" fillId="4" borderId="1" xfId="0" applyNumberFormat="1" applyFont="1" applyFill="1" applyBorder="1" applyAlignment="1">
      <alignment horizontal="left" vertical="center" wrapText="1"/>
    </xf>
    <xf numFmtId="184" fontId="8" fillId="4" borderId="35" xfId="0" applyNumberFormat="1" applyFont="1" applyFill="1" applyBorder="1" applyAlignment="1">
      <alignment horizontal="left" vertical="center"/>
    </xf>
    <xf numFmtId="184" fontId="8" fillId="4" borderId="5" xfId="0" applyNumberFormat="1" applyFont="1" applyFill="1" applyBorder="1" applyAlignment="1">
      <alignment horizontal="left" vertical="center"/>
    </xf>
    <xf numFmtId="176" fontId="10" fillId="4" borderId="6" xfId="0" applyNumberFormat="1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top" wrapText="1"/>
    </xf>
    <xf numFmtId="14" fontId="10" fillId="4" borderId="1" xfId="0" applyNumberFormat="1" applyFont="1" applyFill="1" applyBorder="1">
      <alignment vertical="center"/>
    </xf>
    <xf numFmtId="0" fontId="9" fillId="4" borderId="7" xfId="0" applyFont="1" applyFill="1" applyBorder="1" applyAlignment="1">
      <alignment horizontal="center" vertical="top" wrapText="1"/>
    </xf>
    <xf numFmtId="184" fontId="10" fillId="4" borderId="14" xfId="0" applyNumberFormat="1" applyFont="1" applyFill="1" applyBorder="1" applyAlignment="1">
      <alignment horizontal="left" vertical="center"/>
    </xf>
    <xf numFmtId="176" fontId="8" fillId="5" borderId="2" xfId="0" applyNumberFormat="1" applyFont="1" applyFill="1" applyBorder="1" applyAlignment="1"/>
    <xf numFmtId="0" fontId="10" fillId="4" borderId="5" xfId="0" applyFont="1" applyFill="1" applyBorder="1" applyAlignment="1">
      <alignment horizontal="center" vertical="center"/>
    </xf>
    <xf numFmtId="176" fontId="18" fillId="4" borderId="4" xfId="0" applyNumberFormat="1" applyFont="1" applyFill="1" applyBorder="1">
      <alignment vertical="center"/>
    </xf>
    <xf numFmtId="0" fontId="8" fillId="4" borderId="5" xfId="0" applyFont="1" applyFill="1" applyBorder="1">
      <alignment vertical="center"/>
    </xf>
    <xf numFmtId="0" fontId="10" fillId="4" borderId="12" xfId="0" applyFont="1" applyFill="1" applyBorder="1">
      <alignment vertical="center"/>
    </xf>
    <xf numFmtId="176" fontId="10" fillId="4" borderId="5" xfId="0" applyNumberFormat="1" applyFont="1" applyFill="1" applyBorder="1">
      <alignment vertical="center"/>
    </xf>
    <xf numFmtId="0" fontId="10" fillId="4" borderId="11" xfId="0" applyFont="1" applyFill="1" applyBorder="1">
      <alignment vertical="center"/>
    </xf>
    <xf numFmtId="176" fontId="10" fillId="4" borderId="1" xfId="0" applyNumberFormat="1" applyFont="1" applyFill="1" applyBorder="1" applyAlignment="1"/>
    <xf numFmtId="176" fontId="18" fillId="4" borderId="1" xfId="0" applyNumberFormat="1" applyFont="1" applyFill="1" applyBorder="1" applyAlignment="1"/>
    <xf numFmtId="184" fontId="9" fillId="5" borderId="14" xfId="0" applyNumberFormat="1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center" vertical="center"/>
    </xf>
    <xf numFmtId="179" fontId="10" fillId="4" borderId="1" xfId="0" applyNumberFormat="1" applyFont="1" applyFill="1" applyBorder="1" applyAlignment="1">
      <alignment horizontal="left" vertical="center" wrapText="1"/>
    </xf>
    <xf numFmtId="0" fontId="8" fillId="4" borderId="15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184" fontId="8" fillId="4" borderId="14" xfId="0" applyNumberFormat="1" applyFont="1" applyFill="1" applyBorder="1" applyAlignment="1">
      <alignment horizontal="left" vertical="center"/>
    </xf>
    <xf numFmtId="184" fontId="8" fillId="4" borderId="34" xfId="0" applyNumberFormat="1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176" fontId="8" fillId="4" borderId="5" xfId="0" applyNumberFormat="1" applyFont="1" applyFill="1" applyBorder="1">
      <alignment vertical="center"/>
    </xf>
    <xf numFmtId="176" fontId="8" fillId="4" borderId="7" xfId="0" applyNumberFormat="1" applyFont="1" applyFill="1" applyBorder="1">
      <alignment vertical="center"/>
    </xf>
    <xf numFmtId="0" fontId="10" fillId="4" borderId="6" xfId="0" applyFont="1" applyFill="1" applyBorder="1" applyAlignment="1">
      <alignment horizontal="center" vertical="center"/>
    </xf>
    <xf numFmtId="176" fontId="8" fillId="4" borderId="2" xfId="0" applyNumberFormat="1" applyFont="1" applyFill="1" applyBorder="1">
      <alignment vertical="center"/>
    </xf>
    <xf numFmtId="176" fontId="8" fillId="4" borderId="15" xfId="0" applyNumberFormat="1" applyFont="1" applyFill="1" applyBorder="1">
      <alignment vertical="center"/>
    </xf>
    <xf numFmtId="0" fontId="10" fillId="4" borderId="15" xfId="0" applyFont="1" applyFill="1" applyBorder="1" applyAlignment="1">
      <alignment horizontal="center" vertical="center"/>
    </xf>
    <xf numFmtId="176" fontId="8" fillId="4" borderId="1" xfId="0" applyNumberFormat="1" applyFont="1" applyFill="1" applyBorder="1">
      <alignment vertical="center"/>
    </xf>
    <xf numFmtId="0" fontId="18" fillId="4" borderId="1" xfId="0" applyFont="1" applyFill="1" applyBorder="1">
      <alignment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176" fontId="18" fillId="4" borderId="2" xfId="0" applyNumberFormat="1" applyFont="1" applyFill="1" applyBorder="1">
      <alignment vertical="center"/>
    </xf>
    <xf numFmtId="176" fontId="8" fillId="4" borderId="4" xfId="0" applyNumberFormat="1" applyFont="1" applyFill="1" applyBorder="1">
      <alignment vertical="center"/>
    </xf>
    <xf numFmtId="0" fontId="8" fillId="4" borderId="5" xfId="0" applyFont="1" applyFill="1" applyBorder="1" applyAlignment="1">
      <alignment horizontal="center" vertical="center"/>
    </xf>
    <xf numFmtId="0" fontId="10" fillId="4" borderId="1" xfId="0" applyFont="1" applyFill="1" applyBorder="1" applyAlignment="1"/>
    <xf numFmtId="0" fontId="9" fillId="4" borderId="3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/>
    <xf numFmtId="0" fontId="9" fillId="4" borderId="14" xfId="0" applyFont="1" applyFill="1" applyBorder="1" applyAlignment="1">
      <alignment horizontal="left" vertical="center" wrapText="1"/>
    </xf>
    <xf numFmtId="0" fontId="9" fillId="4" borderId="15" xfId="0" applyFont="1" applyFill="1" applyBorder="1" applyAlignment="1">
      <alignment horizontal="center" vertical="center"/>
    </xf>
    <xf numFmtId="176" fontId="10" fillId="4" borderId="11" xfId="0" applyNumberFormat="1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10" fillId="4" borderId="1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0" fillId="4" borderId="2" xfId="0" applyFont="1" applyFill="1" applyBorder="1">
      <alignment vertical="center"/>
    </xf>
    <xf numFmtId="0" fontId="9" fillId="4" borderId="2" xfId="0" applyFont="1" applyFill="1" applyBorder="1" applyAlignment="1">
      <alignment horizontal="left" vertical="center"/>
    </xf>
    <xf numFmtId="0" fontId="8" fillId="4" borderId="4" xfId="0" applyFont="1" applyFill="1" applyBorder="1">
      <alignment vertical="center"/>
    </xf>
    <xf numFmtId="176" fontId="8" fillId="4" borderId="14" xfId="0" applyNumberFormat="1" applyFont="1" applyFill="1" applyBorder="1" applyAlignment="1"/>
    <xf numFmtId="176" fontId="8" fillId="4" borderId="2" xfId="0" applyNumberFormat="1" applyFont="1" applyFill="1" applyBorder="1" applyAlignment="1"/>
    <xf numFmtId="176" fontId="8" fillId="4" borderId="11" xfId="0" applyNumberFormat="1" applyFont="1" applyFill="1" applyBorder="1" applyAlignment="1"/>
    <xf numFmtId="176" fontId="8" fillId="4" borderId="1" xfId="0" applyNumberFormat="1" applyFont="1" applyFill="1" applyBorder="1" applyAlignment="1"/>
    <xf numFmtId="0" fontId="10" fillId="4" borderId="13" xfId="0" applyFont="1" applyFill="1" applyBorder="1">
      <alignment vertical="center"/>
    </xf>
    <xf numFmtId="176" fontId="10" fillId="4" borderId="11" xfId="0" applyNumberFormat="1" applyFont="1" applyFill="1" applyBorder="1">
      <alignment vertical="center"/>
    </xf>
    <xf numFmtId="176" fontId="18" fillId="4" borderId="11" xfId="0" applyNumberFormat="1" applyFont="1" applyFill="1" applyBorder="1">
      <alignment vertical="center"/>
    </xf>
    <xf numFmtId="176" fontId="8" fillId="4" borderId="3" xfId="0" applyNumberFormat="1" applyFont="1" applyFill="1" applyBorder="1">
      <alignment vertical="center"/>
    </xf>
    <xf numFmtId="176" fontId="8" fillId="4" borderId="14" xfId="0" applyNumberFormat="1" applyFont="1" applyFill="1" applyBorder="1">
      <alignment vertical="center"/>
    </xf>
    <xf numFmtId="0" fontId="10" fillId="4" borderId="3" xfId="0" applyFont="1" applyFill="1" applyBorder="1">
      <alignment vertical="center"/>
    </xf>
    <xf numFmtId="0" fontId="10" fillId="4" borderId="16" xfId="0" applyFont="1" applyFill="1" applyBorder="1">
      <alignment vertical="center"/>
    </xf>
    <xf numFmtId="0" fontId="8" fillId="4" borderId="3" xfId="0" applyFont="1" applyFill="1" applyBorder="1">
      <alignment vertical="center"/>
    </xf>
    <xf numFmtId="0" fontId="8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/>
    </xf>
    <xf numFmtId="0" fontId="10" fillId="4" borderId="18" xfId="0" applyFont="1" applyFill="1" applyBorder="1">
      <alignment vertical="center"/>
    </xf>
    <xf numFmtId="0" fontId="10" fillId="4" borderId="15" xfId="0" applyFont="1" applyFill="1" applyBorder="1">
      <alignment vertical="center"/>
    </xf>
    <xf numFmtId="179" fontId="10" fillId="4" borderId="2" xfId="0" applyNumberFormat="1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184" fontId="10" fillId="4" borderId="1" xfId="0" applyNumberFormat="1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9" fillId="22" borderId="1" xfId="0" applyNumberFormat="1" applyFont="1" applyFill="1" applyBorder="1" applyAlignment="1">
      <alignment vertical="center"/>
    </xf>
    <xf numFmtId="0" fontId="8" fillId="22" borderId="1" xfId="0" applyFont="1" applyFill="1" applyBorder="1" applyAlignment="1">
      <alignment horizontal="left" vertical="center"/>
    </xf>
    <xf numFmtId="0" fontId="9" fillId="22" borderId="1" xfId="0" applyFont="1" applyFill="1" applyBorder="1" applyAlignment="1">
      <alignment horizontal="left" vertical="center" wrapText="1"/>
    </xf>
    <xf numFmtId="0" fontId="8" fillId="22" borderId="1" xfId="0" applyNumberFormat="1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left" vertical="center"/>
    </xf>
    <xf numFmtId="184" fontId="8" fillId="22" borderId="3" xfId="0" applyNumberFormat="1" applyFont="1" applyFill="1" applyBorder="1" applyAlignment="1">
      <alignment horizontal="left" vertical="center"/>
    </xf>
    <xf numFmtId="0" fontId="9" fillId="22" borderId="1" xfId="0" applyNumberFormat="1" applyFont="1" applyFill="1" applyBorder="1" applyAlignment="1">
      <alignment vertical="center"/>
    </xf>
    <xf numFmtId="0" fontId="9" fillId="22" borderId="1" xfId="0" applyFont="1" applyFill="1" applyBorder="1" applyAlignment="1">
      <alignment horizontal="left" vertical="center"/>
    </xf>
    <xf numFmtId="0" fontId="8" fillId="22" borderId="4" xfId="0" applyFont="1" applyFill="1" applyBorder="1" applyAlignment="1">
      <alignment horizontal="left" vertical="center"/>
    </xf>
    <xf numFmtId="176" fontId="8" fillId="4" borderId="3" xfId="0" applyNumberFormat="1" applyFont="1" applyFill="1" applyBorder="1" applyAlignment="1"/>
    <xf numFmtId="0" fontId="18" fillId="4" borderId="2" xfId="0" applyFont="1" applyFill="1" applyBorder="1">
      <alignment vertical="center"/>
    </xf>
    <xf numFmtId="176" fontId="8" fillId="4" borderId="34" xfId="0" applyNumberFormat="1" applyFont="1" applyFill="1" applyBorder="1">
      <alignment vertical="center"/>
    </xf>
    <xf numFmtId="176" fontId="8" fillId="4" borderId="13" xfId="0" applyNumberFormat="1" applyFont="1" applyFill="1" applyBorder="1">
      <alignment vertical="center"/>
    </xf>
    <xf numFmtId="176" fontId="8" fillId="4" borderId="11" xfId="0" applyNumberFormat="1" applyFont="1" applyFill="1" applyBorder="1">
      <alignment vertical="center"/>
    </xf>
    <xf numFmtId="176" fontId="8" fillId="4" borderId="16" xfId="0" applyNumberFormat="1" applyFont="1" applyFill="1" applyBorder="1">
      <alignment vertical="center"/>
    </xf>
    <xf numFmtId="176" fontId="10" fillId="4" borderId="20" xfId="0" applyNumberFormat="1" applyFont="1" applyFill="1" applyBorder="1">
      <alignment vertical="center"/>
    </xf>
    <xf numFmtId="0" fontId="9" fillId="4" borderId="14" xfId="0" applyFont="1" applyFill="1" applyBorder="1">
      <alignment vertical="center"/>
    </xf>
    <xf numFmtId="0" fontId="9" fillId="4" borderId="2" xfId="0" applyFont="1" applyFill="1" applyBorder="1">
      <alignment vertical="center"/>
    </xf>
    <xf numFmtId="0" fontId="10" fillId="4" borderId="14" xfId="0" applyFont="1" applyFill="1" applyBorder="1">
      <alignment vertical="center"/>
    </xf>
    <xf numFmtId="0" fontId="10" fillId="0" borderId="0" xfId="0" applyNumberFormat="1" applyFont="1" applyAlignment="1">
      <alignment vertical="center"/>
    </xf>
    <xf numFmtId="0" fontId="10" fillId="0" borderId="0" xfId="0" applyNumberFormat="1" applyFont="1" applyFill="1" applyAlignment="1">
      <alignment vertical="center"/>
    </xf>
    <xf numFmtId="0" fontId="9" fillId="4" borderId="3" xfId="0" applyNumberFormat="1" applyFont="1" applyFill="1" applyBorder="1" applyAlignment="1">
      <alignment vertical="center"/>
    </xf>
    <xf numFmtId="0" fontId="9" fillId="4" borderId="1" xfId="0" applyNumberFormat="1" applyFont="1" applyFill="1" applyBorder="1" applyAlignment="1">
      <alignment vertical="center"/>
    </xf>
    <xf numFmtId="0" fontId="9" fillId="4" borderId="14" xfId="0" applyNumberFormat="1" applyFont="1" applyFill="1" applyBorder="1" applyAlignment="1">
      <alignment vertical="center"/>
    </xf>
    <xf numFmtId="0" fontId="9" fillId="4" borderId="2" xfId="0" applyNumberFormat="1" applyFont="1" applyFill="1" applyBorder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0" fontId="8" fillId="22" borderId="1" xfId="0" applyFont="1" applyFill="1" applyBorder="1">
      <alignment vertical="center"/>
    </xf>
    <xf numFmtId="14" fontId="8" fillId="22" borderId="3" xfId="0" applyNumberFormat="1" applyFont="1" applyFill="1" applyBorder="1" applyAlignment="1">
      <alignment horizontal="left" vertical="center"/>
    </xf>
    <xf numFmtId="0" fontId="8" fillId="22" borderId="1" xfId="0" applyFont="1" applyFill="1" applyBorder="1" applyAlignment="1">
      <alignment horizontal="center" vertical="center"/>
    </xf>
    <xf numFmtId="0" fontId="10" fillId="22" borderId="1" xfId="0" applyFont="1" applyFill="1" applyBorder="1">
      <alignment vertical="center"/>
    </xf>
    <xf numFmtId="0" fontId="9" fillId="22" borderId="1" xfId="0" applyFont="1" applyFill="1" applyBorder="1" applyAlignment="1">
      <alignment horizontal="center" vertical="center" wrapText="1"/>
    </xf>
    <xf numFmtId="0" fontId="8" fillId="22" borderId="5" xfId="0" applyFont="1" applyFill="1" applyBorder="1" applyAlignment="1">
      <alignment horizontal="left" vertical="center"/>
    </xf>
    <xf numFmtId="0" fontId="10" fillId="9" borderId="1" xfId="0" applyFont="1" applyFill="1" applyBorder="1">
      <alignment vertical="center"/>
    </xf>
    <xf numFmtId="0" fontId="8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179" fontId="10" fillId="9" borderId="2" xfId="0" applyNumberFormat="1" applyFont="1" applyFill="1" applyBorder="1" applyAlignment="1">
      <alignment horizontal="left" vertical="center"/>
    </xf>
    <xf numFmtId="184" fontId="8" fillId="9" borderId="1" xfId="0" applyNumberFormat="1" applyFont="1" applyFill="1" applyBorder="1" applyAlignment="1">
      <alignment horizontal="left" vertical="center"/>
    </xf>
    <xf numFmtId="0" fontId="10" fillId="22" borderId="2" xfId="0" applyFont="1" applyFill="1" applyBorder="1">
      <alignment vertical="center"/>
    </xf>
    <xf numFmtId="0" fontId="8" fillId="22" borderId="2" xfId="0" applyFont="1" applyFill="1" applyBorder="1" applyAlignment="1">
      <alignment horizontal="left" vertical="center"/>
    </xf>
    <xf numFmtId="0" fontId="9" fillId="22" borderId="2" xfId="0" applyFont="1" applyFill="1" applyBorder="1" applyAlignment="1">
      <alignment horizontal="left" vertical="center" wrapText="1"/>
    </xf>
    <xf numFmtId="0" fontId="9" fillId="22" borderId="2" xfId="0" applyFont="1" applyFill="1" applyBorder="1" applyAlignment="1">
      <alignment horizontal="center" vertical="center" wrapText="1"/>
    </xf>
    <xf numFmtId="179" fontId="10" fillId="9" borderId="5" xfId="0" applyNumberFormat="1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/>
    </xf>
    <xf numFmtId="179" fontId="9" fillId="4" borderId="1" xfId="0" applyNumberFormat="1" applyFont="1" applyFill="1" applyBorder="1" applyAlignment="1">
      <alignment horizontal="left" vertical="center"/>
    </xf>
    <xf numFmtId="0" fontId="8" fillId="4" borderId="35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179" fontId="10" fillId="4" borderId="1" xfId="0" applyNumberFormat="1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179" fontId="9" fillId="0" borderId="1" xfId="0" applyNumberFormat="1" applyFont="1" applyBorder="1" applyAlignment="1">
      <alignment horizontal="left" vertical="center"/>
    </xf>
    <xf numFmtId="184" fontId="10" fillId="23" borderId="34" xfId="0" applyNumberFormat="1" applyFont="1" applyFill="1" applyBorder="1" applyAlignment="1">
      <alignment horizontal="left" vertical="center"/>
    </xf>
    <xf numFmtId="184" fontId="10" fillId="23" borderId="3" xfId="0" applyNumberFormat="1" applyFont="1" applyFill="1" applyBorder="1" applyAlignment="1">
      <alignment horizontal="left" vertical="center"/>
    </xf>
    <xf numFmtId="184" fontId="28" fillId="0" borderId="1" xfId="0" applyNumberFormat="1" applyFont="1" applyBorder="1" applyAlignment="1">
      <alignment horizontal="left" vertical="center"/>
    </xf>
    <xf numFmtId="0" fontId="28" fillId="22" borderId="1" xfId="0" applyFont="1" applyFill="1" applyBorder="1">
      <alignment vertical="center"/>
    </xf>
    <xf numFmtId="0" fontId="28" fillId="22" borderId="1" xfId="0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left" vertical="center"/>
    </xf>
    <xf numFmtId="0" fontId="8" fillId="22" borderId="4" xfId="0" applyFont="1" applyFill="1" applyBorder="1" applyAlignment="1">
      <alignment horizontal="left" vertical="center"/>
    </xf>
    <xf numFmtId="0" fontId="8" fillId="9" borderId="1" xfId="0" applyFont="1" applyFill="1" applyBorder="1">
      <alignment vertical="center"/>
    </xf>
    <xf numFmtId="0" fontId="9" fillId="9" borderId="14" xfId="0" applyFont="1" applyFill="1" applyBorder="1">
      <alignment vertical="center"/>
    </xf>
    <xf numFmtId="0" fontId="9" fillId="9" borderId="2" xfId="0" applyFont="1" applyFill="1" applyBorder="1">
      <alignment vertical="center"/>
    </xf>
    <xf numFmtId="0" fontId="8" fillId="9" borderId="1" xfId="0" applyFont="1" applyFill="1" applyBorder="1" applyAlignment="1">
      <alignment horizontal="center" vertical="center"/>
    </xf>
    <xf numFmtId="0" fontId="18" fillId="9" borderId="1" xfId="0" applyFont="1" applyFill="1" applyBorder="1">
      <alignment vertical="center"/>
    </xf>
    <xf numFmtId="14" fontId="8" fillId="22" borderId="14" xfId="0" applyNumberFormat="1" applyFont="1" applyFill="1" applyBorder="1" applyAlignment="1">
      <alignment horizontal="left" vertical="center"/>
    </xf>
    <xf numFmtId="0" fontId="8" fillId="22" borderId="2" xfId="0" applyFont="1" applyFill="1" applyBorder="1">
      <alignment vertical="center"/>
    </xf>
    <xf numFmtId="0" fontId="28" fillId="22" borderId="2" xfId="0" applyFont="1" applyFill="1" applyBorder="1" applyAlignment="1">
      <alignment horizontal="center" vertical="center"/>
    </xf>
    <xf numFmtId="0" fontId="8" fillId="22" borderId="5" xfId="0" applyFont="1" applyFill="1" applyBorder="1" applyAlignment="1">
      <alignment vertical="center"/>
    </xf>
    <xf numFmtId="0" fontId="10" fillId="4" borderId="23" xfId="0" applyFont="1" applyFill="1" applyBorder="1">
      <alignment vertical="center"/>
    </xf>
    <xf numFmtId="176" fontId="10" fillId="4" borderId="12" xfId="0" applyNumberFormat="1" applyFont="1" applyFill="1" applyBorder="1">
      <alignment vertical="center"/>
    </xf>
    <xf numFmtId="0" fontId="9" fillId="4" borderId="0" xfId="0" applyFont="1" applyFill="1">
      <alignment vertical="center"/>
    </xf>
    <xf numFmtId="0" fontId="28" fillId="0" borderId="1" xfId="0" applyFont="1" applyBorder="1">
      <alignment vertical="center"/>
    </xf>
    <xf numFmtId="176" fontId="8" fillId="0" borderId="3" xfId="0" applyNumberFormat="1" applyFont="1" applyBorder="1">
      <alignment vertical="center"/>
    </xf>
    <xf numFmtId="176" fontId="10" fillId="0" borderId="1" xfId="0" applyNumberFormat="1" applyFont="1" applyBorder="1">
      <alignment vertical="center"/>
    </xf>
    <xf numFmtId="0" fontId="28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/>
    <xf numFmtId="176" fontId="18" fillId="0" borderId="1" xfId="0" applyNumberFormat="1" applyFont="1" applyBorder="1" applyAlignment="1"/>
    <xf numFmtId="0" fontId="10" fillId="0" borderId="1" xfId="0" applyFont="1" applyBorder="1" applyAlignment="1"/>
    <xf numFmtId="0" fontId="10" fillId="0" borderId="2" xfId="0" applyFont="1" applyBorder="1" applyAlignment="1"/>
    <xf numFmtId="0" fontId="28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84" fontId="9" fillId="0" borderId="14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184" fontId="9" fillId="0" borderId="1" xfId="0" applyNumberFormat="1" applyFont="1" applyBorder="1" applyAlignment="1">
      <alignment horizontal="left" vertical="center"/>
    </xf>
    <xf numFmtId="179" fontId="10" fillId="0" borderId="1" xfId="0" applyNumberFormat="1" applyFont="1" applyFill="1" applyBorder="1" applyAlignment="1">
      <alignment horizontal="left" vertical="center"/>
    </xf>
    <xf numFmtId="0" fontId="10" fillId="0" borderId="2" xfId="0" applyFont="1" applyBorder="1">
      <alignment vertical="center"/>
    </xf>
    <xf numFmtId="176" fontId="8" fillId="0" borderId="14" xfId="0" applyNumberFormat="1" applyFont="1" applyBorder="1">
      <alignment vertical="center"/>
    </xf>
    <xf numFmtId="176" fontId="10" fillId="0" borderId="2" xfId="0" applyNumberFormat="1" applyFont="1" applyBorder="1">
      <alignment vertical="center"/>
    </xf>
    <xf numFmtId="0" fontId="8" fillId="0" borderId="3" xfId="0" applyFont="1" applyBorder="1">
      <alignment vertical="center"/>
    </xf>
    <xf numFmtId="0" fontId="8" fillId="0" borderId="14" xfId="0" applyFont="1" applyBorder="1">
      <alignment vertical="center"/>
    </xf>
    <xf numFmtId="176" fontId="8" fillId="0" borderId="12" xfId="0" applyNumberFormat="1" applyFont="1" applyBorder="1">
      <alignment vertical="center"/>
    </xf>
    <xf numFmtId="0" fontId="10" fillId="0" borderId="5" xfId="0" applyFont="1" applyBorder="1">
      <alignment vertical="center"/>
    </xf>
    <xf numFmtId="0" fontId="8" fillId="0" borderId="5" xfId="0" applyFont="1" applyBorder="1" applyAlignment="1">
      <alignment horizontal="center" vertical="center"/>
    </xf>
    <xf numFmtId="176" fontId="10" fillId="0" borderId="5" xfId="0" applyNumberFormat="1" applyFont="1" applyBorder="1" applyAlignment="1"/>
    <xf numFmtId="176" fontId="8" fillId="0" borderId="11" xfId="0" applyNumberFormat="1" applyFont="1" applyBorder="1">
      <alignment vertical="center"/>
    </xf>
    <xf numFmtId="176" fontId="8" fillId="0" borderId="2" xfId="0" applyNumberFormat="1" applyFont="1" applyBorder="1">
      <alignment vertical="center"/>
    </xf>
    <xf numFmtId="184" fontId="10" fillId="0" borderId="3" xfId="0" applyNumberFormat="1" applyFont="1" applyBorder="1" applyAlignment="1">
      <alignment horizontal="left" vertical="center"/>
    </xf>
    <xf numFmtId="0" fontId="10" fillId="0" borderId="6" xfId="0" applyFont="1" applyBorder="1">
      <alignment vertical="center"/>
    </xf>
    <xf numFmtId="0" fontId="9" fillId="0" borderId="3" xfId="0" applyFont="1" applyBorder="1" applyAlignment="1">
      <alignment horizontal="left"/>
    </xf>
    <xf numFmtId="0" fontId="9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Border="1" applyAlignment="1"/>
    <xf numFmtId="0" fontId="8" fillId="0" borderId="1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left" vertical="center"/>
    </xf>
    <xf numFmtId="176" fontId="8" fillId="0" borderId="11" xfId="0" applyNumberFormat="1" applyFont="1" applyFill="1" applyBorder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NumberFormat="1" applyFont="1" applyBorder="1" applyAlignment="1">
      <alignment horizontal="left" vertical="center"/>
    </xf>
    <xf numFmtId="0" fontId="9" fillId="0" borderId="1" xfId="0" applyFont="1" applyFill="1" applyBorder="1" applyAlignment="1">
      <alignment horizontal="left"/>
    </xf>
    <xf numFmtId="14" fontId="8" fillId="0" borderId="1" xfId="0" applyNumberFormat="1" applyFont="1" applyBorder="1" applyAlignment="1">
      <alignment horizontal="left" vertical="center"/>
    </xf>
    <xf numFmtId="184" fontId="9" fillId="0" borderId="1" xfId="0" applyNumberFormat="1" applyFont="1" applyFill="1" applyBorder="1" applyAlignment="1">
      <alignment horizontal="left" vertical="center"/>
    </xf>
    <xf numFmtId="176" fontId="8" fillId="0" borderId="1" xfId="0" applyNumberFormat="1" applyFont="1" applyBorder="1">
      <alignment vertical="center"/>
    </xf>
    <xf numFmtId="0" fontId="8" fillId="0" borderId="1" xfId="0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10" fillId="6" borderId="11" xfId="0" applyFont="1" applyFill="1" applyBorder="1">
      <alignment vertical="center"/>
    </xf>
    <xf numFmtId="176" fontId="10" fillId="0" borderId="11" xfId="0" applyNumberFormat="1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184" fontId="10" fillId="6" borderId="13" xfId="0" applyNumberFormat="1" applyFont="1" applyFill="1" applyBorder="1" applyAlignment="1">
      <alignment horizontal="left" vertical="center"/>
    </xf>
    <xf numFmtId="0" fontId="10" fillId="6" borderId="20" xfId="0" applyFont="1" applyFill="1" applyBorder="1">
      <alignment vertical="center"/>
    </xf>
    <xf numFmtId="176" fontId="10" fillId="0" borderId="20" xfId="0" applyNumberFormat="1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184" fontId="10" fillId="6" borderId="16" xfId="0" applyNumberFormat="1" applyFont="1" applyFill="1" applyBorder="1" applyAlignment="1">
      <alignment horizontal="left" vertical="center"/>
    </xf>
    <xf numFmtId="0" fontId="18" fillId="0" borderId="1" xfId="0" applyFont="1" applyFill="1" applyBorder="1">
      <alignment vertical="center"/>
    </xf>
    <xf numFmtId="176" fontId="10" fillId="0" borderId="11" xfId="0" applyNumberFormat="1" applyFont="1" applyBorder="1">
      <alignment vertical="center"/>
    </xf>
    <xf numFmtId="0" fontId="10" fillId="0" borderId="11" xfId="0" applyFont="1" applyBorder="1">
      <alignment vertical="center"/>
    </xf>
    <xf numFmtId="176" fontId="10" fillId="0" borderId="11" xfId="0" applyNumberFormat="1" applyFont="1" applyBorder="1" applyAlignment="1">
      <alignment horizontal="center" vertical="center"/>
    </xf>
    <xf numFmtId="176" fontId="10" fillId="0" borderId="20" xfId="0" applyNumberFormat="1" applyFont="1" applyBorder="1">
      <alignment vertical="center"/>
    </xf>
    <xf numFmtId="0" fontId="10" fillId="0" borderId="20" xfId="0" applyFont="1" applyBorder="1">
      <alignment vertical="center"/>
    </xf>
    <xf numFmtId="176" fontId="10" fillId="0" borderId="20" xfId="0" applyNumberFormat="1" applyFont="1" applyBorder="1" applyAlignment="1">
      <alignment horizontal="center" vertical="center"/>
    </xf>
    <xf numFmtId="0" fontId="8" fillId="6" borderId="1" xfId="0" applyFont="1" applyFill="1" applyBorder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188" fontId="10" fillId="0" borderId="1" xfId="0" applyNumberFormat="1" applyFont="1" applyBorder="1" applyAlignment="1">
      <alignment horizontal="left" vertical="center"/>
    </xf>
    <xf numFmtId="184" fontId="8" fillId="0" borderId="3" xfId="0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176" fontId="8" fillId="0" borderId="1" xfId="0" applyNumberFormat="1" applyFont="1" applyFill="1" applyBorder="1">
      <alignment vertical="center"/>
    </xf>
    <xf numFmtId="0" fontId="18" fillId="0" borderId="1" xfId="0" applyFont="1" applyBorder="1">
      <alignment vertical="center"/>
    </xf>
    <xf numFmtId="0" fontId="8" fillId="0" borderId="1" xfId="0" applyNumberFormat="1" applyFont="1" applyFill="1" applyBorder="1">
      <alignment vertical="center"/>
    </xf>
    <xf numFmtId="0" fontId="8" fillId="0" borderId="2" xfId="0" applyFont="1" applyFill="1" applyBorder="1" applyAlignment="1">
      <alignment horizontal="center" vertical="center"/>
    </xf>
    <xf numFmtId="184" fontId="8" fillId="0" borderId="14" xfId="0" applyNumberFormat="1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176" fontId="10" fillId="0" borderId="11" xfId="0" applyNumberFormat="1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1" xfId="0" applyNumberFormat="1" applyFont="1" applyFill="1" applyBorder="1" applyAlignment="1">
      <alignment horizontal="left" vertical="center"/>
    </xf>
    <xf numFmtId="184" fontId="10" fillId="6" borderId="11" xfId="0" applyNumberFormat="1" applyFont="1" applyFill="1" applyBorder="1" applyAlignment="1">
      <alignment horizontal="left" vertical="center"/>
    </xf>
    <xf numFmtId="184" fontId="8" fillId="0" borderId="11" xfId="0" applyNumberFormat="1" applyFont="1" applyFill="1" applyBorder="1" applyAlignment="1">
      <alignment horizontal="left" vertical="center"/>
    </xf>
    <xf numFmtId="0" fontId="9" fillId="0" borderId="2" xfId="0" applyNumberFormat="1" applyFont="1" applyFill="1" applyBorder="1" applyAlignment="1">
      <alignment vertical="center"/>
    </xf>
    <xf numFmtId="176" fontId="10" fillId="0" borderId="11" xfId="0" applyNumberFormat="1" applyFont="1" applyFill="1" applyBorder="1">
      <alignment vertical="center"/>
    </xf>
    <xf numFmtId="0" fontId="10" fillId="0" borderId="11" xfId="0" applyFont="1" applyFill="1" applyBorder="1">
      <alignment vertical="center"/>
    </xf>
    <xf numFmtId="176" fontId="10" fillId="0" borderId="11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模版-新加坡-TT,OA" xfId="49"/>
    <cellStyle name="常规 1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www.wps.cn/officeDocument/2021/sharedlinks" Target="sharedlink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2102302</xdr:colOff>
      <xdr:row>655</xdr:row>
      <xdr:rowOff>157842</xdr:rowOff>
    </xdr:from>
    <xdr:ext cx="966107" cy="241178"/>
    <xdr:pic>
      <xdr:nvPicPr>
        <xdr:cNvPr id="3" name="图片 2"/>
        <xdr:cNvPicPr/>
      </xdr:nvPicPr>
      <xdr:blipFill>
        <a:blip r:embed="rId1" r:link="rId2"/>
        <a:stretch>
          <a:fillRect/>
        </a:stretch>
      </xdr:blipFill>
      <xdr:spPr>
        <a:xfrm>
          <a:off x="32724725" y="121772680"/>
          <a:ext cx="966470" cy="241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javascript:void(0);" TargetMode="External"/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2603"/>
  <sheetViews>
    <sheetView tabSelected="1" zoomScale="70" zoomScaleNormal="70" workbookViewId="0">
      <pane ySplit="1" topLeftCell="A1868" activePane="bottomLeft" state="frozen"/>
      <selection/>
      <selection pane="bottomLeft" activeCell="O1956" sqref="O1956"/>
    </sheetView>
  </sheetViews>
  <sheetFormatPr defaultColWidth="8.725" defaultRowHeight="15"/>
  <cols>
    <col min="1" max="1" width="10.725" style="477" customWidth="1"/>
    <col min="2" max="2" width="21.1833333333333" style="662" customWidth="1"/>
    <col min="3" max="3" width="21.3583333333333" style="662" customWidth="1"/>
    <col min="4" max="4" width="5.54166666666667" style="477" customWidth="1"/>
    <col min="5" max="5" width="28.3333333333333" style="662" customWidth="1"/>
    <col min="6" max="6" width="13.6083333333333" style="663" customWidth="1"/>
    <col min="7" max="7" width="17.1" style="663" customWidth="1"/>
    <col min="8" max="8" width="11.2833333333333" style="663" customWidth="1"/>
    <col min="9" max="9" width="21.75" style="477" customWidth="1"/>
    <col min="10" max="10" width="14.0916666666667" style="477" customWidth="1"/>
    <col min="11" max="11" width="15.1083333333333" style="477" customWidth="1"/>
    <col min="12" max="12" width="13.375" style="557" customWidth="1"/>
    <col min="13" max="13" width="59.7333333333333" style="477" customWidth="1"/>
    <col min="14" max="23" width="8.725" style="477"/>
  </cols>
  <sheetData>
    <row r="1" s="477" customFormat="1" customHeight="1" spans="1:23">
      <c r="A1" s="452" t="s">
        <v>0</v>
      </c>
      <c r="B1" s="976" t="s">
        <v>1</v>
      </c>
      <c r="C1" s="977" t="s">
        <v>2</v>
      </c>
      <c r="D1" s="978" t="s">
        <v>3</v>
      </c>
      <c r="E1" s="979" t="s">
        <v>4</v>
      </c>
      <c r="F1" s="669" t="s">
        <v>5</v>
      </c>
      <c r="G1" s="980" t="s">
        <v>6</v>
      </c>
      <c r="H1" s="981" t="s">
        <v>7</v>
      </c>
      <c r="I1" s="452" t="s">
        <v>8</v>
      </c>
      <c r="J1" s="452" t="s">
        <v>9</v>
      </c>
      <c r="K1" s="452" t="s">
        <v>10</v>
      </c>
      <c r="L1" s="990" t="s">
        <v>11</v>
      </c>
      <c r="M1" s="990" t="s">
        <v>12</v>
      </c>
      <c r="N1" s="512"/>
      <c r="O1" s="512"/>
      <c r="P1" s="512"/>
      <c r="Q1" s="512"/>
      <c r="R1" s="512"/>
      <c r="S1" s="512"/>
      <c r="T1" s="512"/>
      <c r="U1" s="512"/>
      <c r="V1" s="512"/>
      <c r="W1" s="512"/>
    </row>
    <row r="2" s="477" customFormat="1" ht="15.4" customHeight="1" spans="1:23">
      <c r="A2" s="982" t="s">
        <v>13</v>
      </c>
      <c r="B2" s="982" t="s">
        <v>14</v>
      </c>
      <c r="C2" s="983" t="s">
        <v>15</v>
      </c>
      <c r="D2" s="984">
        <v>25</v>
      </c>
      <c r="E2" s="985" t="s">
        <v>16</v>
      </c>
      <c r="F2" s="986"/>
      <c r="G2" s="986">
        <f>VLOOKUP(CLEAN(SUBSTITUTE(TRIM(MID(E:E,FIND("/",E:E)+1,LEN(E:E)))," ","")),'Customs Decl. &amp; Local Delivery'!D:I,6,0)</f>
        <v>45656</v>
      </c>
      <c r="H2" s="987">
        <f>VLOOKUP(CLEAN(SUBSTITUTE(TRIM(MID(E:E,FIND("/",E:E)+1,LEN(E:E)))," ","")),'Customs Decl. &amp; Local Delivery'!D:J,7,0)</f>
        <v>45682</v>
      </c>
      <c r="I2" s="991" t="s">
        <v>17</v>
      </c>
      <c r="J2" s="982" t="s">
        <v>18</v>
      </c>
      <c r="K2" s="982" t="s">
        <v>19</v>
      </c>
      <c r="L2" s="992" t="s">
        <v>20</v>
      </c>
      <c r="M2" s="982" t="s">
        <v>21</v>
      </c>
      <c r="N2" s="512"/>
      <c r="O2" s="512"/>
      <c r="P2" s="512"/>
      <c r="Q2" s="512"/>
      <c r="R2" s="512"/>
      <c r="S2" s="512"/>
      <c r="T2" s="512"/>
      <c r="U2" s="512"/>
      <c r="V2" s="512"/>
      <c r="W2" s="512"/>
    </row>
    <row r="3" s="477" customFormat="1" ht="15.4" customHeight="1" spans="1:23">
      <c r="A3" s="982" t="s">
        <v>13</v>
      </c>
      <c r="B3" s="982" t="s">
        <v>14</v>
      </c>
      <c r="C3" s="983" t="s">
        <v>22</v>
      </c>
      <c r="D3" s="984">
        <v>25</v>
      </c>
      <c r="E3" s="988"/>
      <c r="F3" s="986"/>
      <c r="G3" s="986">
        <f t="shared" ref="G3:G13" si="0">G2</f>
        <v>45656</v>
      </c>
      <c r="H3" s="987">
        <f t="shared" ref="H3:H13" si="1">H2</f>
        <v>45682</v>
      </c>
      <c r="I3" s="991" t="s">
        <v>17</v>
      </c>
      <c r="J3" s="982" t="s">
        <v>18</v>
      </c>
      <c r="K3" s="982" t="s">
        <v>19</v>
      </c>
      <c r="L3" s="992" t="s">
        <v>20</v>
      </c>
      <c r="M3" s="982" t="s">
        <v>23</v>
      </c>
      <c r="N3" s="512"/>
      <c r="O3" s="512"/>
      <c r="P3" s="512"/>
      <c r="Q3" s="512"/>
      <c r="R3" s="512"/>
      <c r="S3" s="512"/>
      <c r="T3" s="512"/>
      <c r="U3" s="512"/>
      <c r="V3" s="512"/>
      <c r="W3" s="512"/>
    </row>
    <row r="4" s="477" customFormat="1" ht="15.4" customHeight="1" spans="1:23">
      <c r="A4" s="982" t="s">
        <v>13</v>
      </c>
      <c r="B4" s="982" t="s">
        <v>14</v>
      </c>
      <c r="C4" s="983" t="s">
        <v>24</v>
      </c>
      <c r="D4" s="984">
        <v>14</v>
      </c>
      <c r="E4" s="988"/>
      <c r="F4" s="986"/>
      <c r="G4" s="986">
        <f t="shared" si="0"/>
        <v>45656</v>
      </c>
      <c r="H4" s="987">
        <f t="shared" si="1"/>
        <v>45682</v>
      </c>
      <c r="I4" s="991" t="s">
        <v>17</v>
      </c>
      <c r="J4" s="982" t="s">
        <v>18</v>
      </c>
      <c r="K4" s="982" t="s">
        <v>19</v>
      </c>
      <c r="L4" s="992" t="s">
        <v>20</v>
      </c>
      <c r="M4" s="982"/>
      <c r="N4" s="512"/>
      <c r="O4" s="512"/>
      <c r="P4" s="512"/>
      <c r="Q4" s="512"/>
      <c r="R4" s="512"/>
      <c r="S4" s="512"/>
      <c r="T4" s="512"/>
      <c r="U4" s="512"/>
      <c r="V4" s="512"/>
      <c r="W4" s="512"/>
    </row>
    <row r="5" s="477" customFormat="1" ht="15.4" customHeight="1" spans="1:23">
      <c r="A5" s="982" t="s">
        <v>13</v>
      </c>
      <c r="B5" s="982" t="s">
        <v>14</v>
      </c>
      <c r="C5" s="983" t="s">
        <v>25</v>
      </c>
      <c r="D5" s="984">
        <v>14</v>
      </c>
      <c r="E5" s="988"/>
      <c r="F5" s="986"/>
      <c r="G5" s="986">
        <f t="shared" si="0"/>
        <v>45656</v>
      </c>
      <c r="H5" s="987">
        <f t="shared" si="1"/>
        <v>45682</v>
      </c>
      <c r="I5" s="991" t="s">
        <v>17</v>
      </c>
      <c r="J5" s="982" t="s">
        <v>18</v>
      </c>
      <c r="K5" s="982" t="s">
        <v>19</v>
      </c>
      <c r="L5" s="992" t="s">
        <v>20</v>
      </c>
      <c r="M5" s="993" t="s">
        <v>26</v>
      </c>
      <c r="N5" s="512"/>
      <c r="O5" s="512"/>
      <c r="P5" s="512"/>
      <c r="Q5" s="512"/>
      <c r="R5" s="512"/>
      <c r="S5" s="512"/>
      <c r="T5" s="512"/>
      <c r="U5" s="512"/>
      <c r="V5" s="512"/>
      <c r="W5" s="512"/>
    </row>
    <row r="6" s="477" customFormat="1" ht="15.4" customHeight="1" spans="1:23">
      <c r="A6" s="982" t="s">
        <v>13</v>
      </c>
      <c r="B6" s="982" t="s">
        <v>14</v>
      </c>
      <c r="C6" s="983" t="s">
        <v>27</v>
      </c>
      <c r="D6" s="984">
        <v>10</v>
      </c>
      <c r="E6" s="988"/>
      <c r="F6" s="986"/>
      <c r="G6" s="986">
        <f t="shared" si="0"/>
        <v>45656</v>
      </c>
      <c r="H6" s="987">
        <f t="shared" si="1"/>
        <v>45682</v>
      </c>
      <c r="I6" s="991" t="s">
        <v>17</v>
      </c>
      <c r="J6" s="982" t="s">
        <v>18</v>
      </c>
      <c r="K6" s="982" t="s">
        <v>19</v>
      </c>
      <c r="L6" s="992" t="s">
        <v>20</v>
      </c>
      <c r="M6" s="982"/>
      <c r="N6" s="512"/>
      <c r="O6" s="512"/>
      <c r="P6" s="512"/>
      <c r="Q6" s="512"/>
      <c r="R6" s="512"/>
      <c r="S6" s="512"/>
      <c r="T6" s="512"/>
      <c r="U6" s="512"/>
      <c r="V6" s="512"/>
      <c r="W6" s="512"/>
    </row>
    <row r="7" s="477" customFormat="1" ht="15.4" customHeight="1" spans="1:23">
      <c r="A7" s="982" t="s">
        <v>13</v>
      </c>
      <c r="B7" s="982" t="s">
        <v>14</v>
      </c>
      <c r="C7" s="983" t="s">
        <v>28</v>
      </c>
      <c r="D7" s="984">
        <v>10</v>
      </c>
      <c r="E7" s="988"/>
      <c r="F7" s="986"/>
      <c r="G7" s="986">
        <f t="shared" si="0"/>
        <v>45656</v>
      </c>
      <c r="H7" s="987">
        <f t="shared" si="1"/>
        <v>45682</v>
      </c>
      <c r="I7" s="991" t="s">
        <v>17</v>
      </c>
      <c r="J7" s="982" t="s">
        <v>18</v>
      </c>
      <c r="K7" s="982" t="s">
        <v>19</v>
      </c>
      <c r="L7" s="992" t="s">
        <v>20</v>
      </c>
      <c r="M7" s="982"/>
      <c r="N7" s="512"/>
      <c r="O7" s="512"/>
      <c r="P7" s="512"/>
      <c r="Q7" s="512"/>
      <c r="R7" s="512"/>
      <c r="S7" s="512"/>
      <c r="T7" s="512"/>
      <c r="U7" s="512"/>
      <c r="V7" s="512"/>
      <c r="W7" s="512"/>
    </row>
    <row r="8" s="477" customFormat="1" ht="15.4" customHeight="1" spans="1:23">
      <c r="A8" s="982" t="s">
        <v>13</v>
      </c>
      <c r="B8" s="982" t="s">
        <v>14</v>
      </c>
      <c r="C8" s="983" t="s">
        <v>29</v>
      </c>
      <c r="D8" s="984">
        <v>3</v>
      </c>
      <c r="E8" s="988"/>
      <c r="F8" s="986"/>
      <c r="G8" s="986">
        <f t="shared" si="0"/>
        <v>45656</v>
      </c>
      <c r="H8" s="987">
        <f t="shared" si="1"/>
        <v>45682</v>
      </c>
      <c r="I8" s="991" t="s">
        <v>17</v>
      </c>
      <c r="J8" s="982" t="s">
        <v>18</v>
      </c>
      <c r="K8" s="982" t="s">
        <v>19</v>
      </c>
      <c r="L8" s="992" t="s">
        <v>20</v>
      </c>
      <c r="M8" s="982"/>
      <c r="N8" s="512"/>
      <c r="O8" s="512"/>
      <c r="P8" s="512"/>
      <c r="Q8" s="512"/>
      <c r="R8" s="512"/>
      <c r="S8" s="512"/>
      <c r="T8" s="512"/>
      <c r="U8" s="512"/>
      <c r="V8" s="512"/>
      <c r="W8" s="512"/>
    </row>
    <row r="9" s="477" customFormat="1" ht="15.4" customHeight="1" spans="1:23">
      <c r="A9" s="982" t="s">
        <v>13</v>
      </c>
      <c r="B9" s="982" t="s">
        <v>14</v>
      </c>
      <c r="C9" s="983" t="s">
        <v>30</v>
      </c>
      <c r="D9" s="984">
        <v>3</v>
      </c>
      <c r="E9" s="988"/>
      <c r="F9" s="986"/>
      <c r="G9" s="986">
        <f t="shared" si="0"/>
        <v>45656</v>
      </c>
      <c r="H9" s="987">
        <f t="shared" si="1"/>
        <v>45682</v>
      </c>
      <c r="I9" s="991" t="s">
        <v>17</v>
      </c>
      <c r="J9" s="982" t="s">
        <v>18</v>
      </c>
      <c r="K9" s="982" t="s">
        <v>19</v>
      </c>
      <c r="L9" s="992" t="s">
        <v>20</v>
      </c>
      <c r="M9" s="982"/>
      <c r="N9" s="512"/>
      <c r="O9" s="512"/>
      <c r="P9" s="512"/>
      <c r="Q9" s="512"/>
      <c r="R9" s="512"/>
      <c r="S9" s="512"/>
      <c r="T9" s="512"/>
      <c r="U9" s="512"/>
      <c r="V9" s="512"/>
      <c r="W9" s="512"/>
    </row>
    <row r="10" s="477" customFormat="1" ht="15.4" customHeight="1" spans="1:23">
      <c r="A10" s="982" t="s">
        <v>13</v>
      </c>
      <c r="B10" s="982" t="s">
        <v>14</v>
      </c>
      <c r="C10" s="983" t="s">
        <v>31</v>
      </c>
      <c r="D10" s="984">
        <v>7</v>
      </c>
      <c r="E10" s="988"/>
      <c r="F10" s="986"/>
      <c r="G10" s="986">
        <f t="shared" si="0"/>
        <v>45656</v>
      </c>
      <c r="H10" s="987">
        <f t="shared" si="1"/>
        <v>45682</v>
      </c>
      <c r="I10" s="991" t="s">
        <v>17</v>
      </c>
      <c r="J10" s="982" t="s">
        <v>18</v>
      </c>
      <c r="K10" s="982" t="s">
        <v>19</v>
      </c>
      <c r="L10" s="992" t="s">
        <v>20</v>
      </c>
      <c r="M10" s="982"/>
      <c r="N10" s="512"/>
      <c r="O10" s="512"/>
      <c r="P10" s="512"/>
      <c r="Q10" s="512"/>
      <c r="R10" s="512"/>
      <c r="S10" s="512"/>
      <c r="T10" s="512"/>
      <c r="U10" s="512"/>
      <c r="V10" s="512"/>
      <c r="W10" s="512"/>
    </row>
    <row r="11" s="477" customFormat="1" ht="15.4" customHeight="1" spans="1:23">
      <c r="A11" s="982" t="s">
        <v>13</v>
      </c>
      <c r="B11" s="982" t="s">
        <v>14</v>
      </c>
      <c r="C11" s="983" t="s">
        <v>32</v>
      </c>
      <c r="D11" s="984">
        <v>7</v>
      </c>
      <c r="E11" s="988"/>
      <c r="F11" s="986"/>
      <c r="G11" s="986">
        <f t="shared" si="0"/>
        <v>45656</v>
      </c>
      <c r="H11" s="987">
        <f t="shared" si="1"/>
        <v>45682</v>
      </c>
      <c r="I11" s="991" t="s">
        <v>17</v>
      </c>
      <c r="J11" s="982" t="s">
        <v>18</v>
      </c>
      <c r="K11" s="982" t="s">
        <v>19</v>
      </c>
      <c r="L11" s="992" t="s">
        <v>20</v>
      </c>
      <c r="M11" s="982"/>
      <c r="N11" s="512"/>
      <c r="O11" s="512"/>
      <c r="P11" s="512"/>
      <c r="Q11" s="512"/>
      <c r="R11" s="512"/>
      <c r="S11" s="512"/>
      <c r="T11" s="512"/>
      <c r="U11" s="512"/>
      <c r="V11" s="512"/>
      <c r="W11" s="512"/>
    </row>
    <row r="12" s="477" customFormat="1" ht="15.4" customHeight="1" spans="1:23">
      <c r="A12" s="982" t="s">
        <v>13</v>
      </c>
      <c r="B12" s="982" t="s">
        <v>14</v>
      </c>
      <c r="C12" s="983" t="s">
        <v>33</v>
      </c>
      <c r="D12" s="984">
        <v>27</v>
      </c>
      <c r="E12" s="988"/>
      <c r="F12" s="986"/>
      <c r="G12" s="986">
        <f t="shared" si="0"/>
        <v>45656</v>
      </c>
      <c r="H12" s="987">
        <f t="shared" si="1"/>
        <v>45682</v>
      </c>
      <c r="I12" s="991" t="s">
        <v>17</v>
      </c>
      <c r="J12" s="982" t="s">
        <v>18</v>
      </c>
      <c r="K12" s="982" t="s">
        <v>19</v>
      </c>
      <c r="L12" s="992" t="s">
        <v>20</v>
      </c>
      <c r="M12" s="982"/>
      <c r="N12" s="512"/>
      <c r="O12" s="512"/>
      <c r="P12" s="512"/>
      <c r="Q12" s="512"/>
      <c r="R12" s="512"/>
      <c r="S12" s="512"/>
      <c r="T12" s="512"/>
      <c r="U12" s="512"/>
      <c r="V12" s="512"/>
      <c r="W12" s="512"/>
    </row>
    <row r="13" s="477" customFormat="1" ht="15.4" customHeight="1" spans="1:23">
      <c r="A13" s="982" t="s">
        <v>13</v>
      </c>
      <c r="B13" s="982" t="s">
        <v>14</v>
      </c>
      <c r="C13" s="983" t="s">
        <v>34</v>
      </c>
      <c r="D13" s="984">
        <v>27</v>
      </c>
      <c r="E13" s="988"/>
      <c r="F13" s="986"/>
      <c r="G13" s="986">
        <f t="shared" si="0"/>
        <v>45656</v>
      </c>
      <c r="H13" s="987">
        <f t="shared" si="1"/>
        <v>45682</v>
      </c>
      <c r="I13" s="991" t="s">
        <v>17</v>
      </c>
      <c r="J13" s="982" t="s">
        <v>18</v>
      </c>
      <c r="K13" s="982" t="s">
        <v>19</v>
      </c>
      <c r="L13" s="992" t="s">
        <v>20</v>
      </c>
      <c r="M13" s="982"/>
      <c r="N13" s="512"/>
      <c r="O13" s="512"/>
      <c r="P13" s="512"/>
      <c r="Q13" s="512"/>
      <c r="R13" s="512"/>
      <c r="S13" s="512"/>
      <c r="T13" s="512"/>
      <c r="U13" s="512"/>
      <c r="V13" s="512"/>
      <c r="W13" s="512"/>
    </row>
    <row r="14" s="477" customFormat="1" spans="1:23">
      <c r="A14" s="982" t="s">
        <v>13</v>
      </c>
      <c r="B14" s="982" t="s">
        <v>35</v>
      </c>
      <c r="C14" s="983" t="s">
        <v>36</v>
      </c>
      <c r="D14" s="984">
        <v>50</v>
      </c>
      <c r="E14" s="985" t="s">
        <v>37</v>
      </c>
      <c r="F14" s="986"/>
      <c r="G14" s="986">
        <f>VLOOKUP(CLEAN(SUBSTITUTE(TRIM(MID(E:E,FIND("/",E:E)+1,LEN(E:E)))," ","")),'Customs Decl. &amp; Local Delivery'!D:I,6,0)</f>
        <v>45660</v>
      </c>
      <c r="H14" s="987">
        <f>VLOOKUP(CLEAN(SUBSTITUTE(TRIM(MID(E:E,FIND("/",E:E)+1,LEN(E:E)))," ","")),'Customs Decl. &amp; Local Delivery'!D:J,7,0)</f>
        <v>45696</v>
      </c>
      <c r="I14" s="991" t="s">
        <v>38</v>
      </c>
      <c r="J14" s="982" t="s">
        <v>39</v>
      </c>
      <c r="K14" s="982" t="s">
        <v>19</v>
      </c>
      <c r="L14" s="992" t="s">
        <v>20</v>
      </c>
      <c r="M14" s="982" t="s">
        <v>40</v>
      </c>
      <c r="N14" s="512"/>
      <c r="O14" s="512"/>
      <c r="P14" s="512"/>
      <c r="Q14" s="512"/>
      <c r="R14" s="512"/>
      <c r="S14" s="512"/>
      <c r="T14" s="512"/>
      <c r="U14" s="512"/>
      <c r="V14" s="512"/>
      <c r="W14" s="512"/>
    </row>
    <row r="15" s="477" customFormat="1" spans="1:23">
      <c r="A15" s="982" t="s">
        <v>13</v>
      </c>
      <c r="B15" s="982" t="s">
        <v>35</v>
      </c>
      <c r="C15" s="983" t="s">
        <v>41</v>
      </c>
      <c r="D15" s="984">
        <v>50</v>
      </c>
      <c r="E15" s="914"/>
      <c r="F15" s="986"/>
      <c r="G15" s="986">
        <f t="shared" ref="G15:G25" si="2">G14</f>
        <v>45660</v>
      </c>
      <c r="H15" s="987">
        <f t="shared" ref="H15:H25" si="3">H14</f>
        <v>45696</v>
      </c>
      <c r="I15" s="991" t="s">
        <v>38</v>
      </c>
      <c r="J15" s="982" t="s">
        <v>39</v>
      </c>
      <c r="K15" s="982" t="s">
        <v>19</v>
      </c>
      <c r="L15" s="992" t="s">
        <v>20</v>
      </c>
      <c r="M15" s="982" t="s">
        <v>42</v>
      </c>
      <c r="N15" s="512"/>
      <c r="O15" s="512"/>
      <c r="P15" s="512"/>
      <c r="Q15" s="512"/>
      <c r="R15" s="512"/>
      <c r="S15" s="512"/>
      <c r="T15" s="512"/>
      <c r="U15" s="512"/>
      <c r="V15" s="512"/>
      <c r="W15" s="512"/>
    </row>
    <row r="16" s="477" customFormat="1" spans="1:23">
      <c r="A16" s="982" t="s">
        <v>13</v>
      </c>
      <c r="B16" s="982" t="s">
        <v>35</v>
      </c>
      <c r="C16" s="983" t="s">
        <v>43</v>
      </c>
      <c r="D16" s="984">
        <v>20</v>
      </c>
      <c r="E16" s="914"/>
      <c r="F16" s="986"/>
      <c r="G16" s="986">
        <f t="shared" si="2"/>
        <v>45660</v>
      </c>
      <c r="H16" s="987">
        <f t="shared" si="3"/>
        <v>45696</v>
      </c>
      <c r="I16" s="991" t="s">
        <v>38</v>
      </c>
      <c r="J16" s="982" t="s">
        <v>39</v>
      </c>
      <c r="K16" s="982" t="s">
        <v>19</v>
      </c>
      <c r="L16" s="992" t="s">
        <v>20</v>
      </c>
      <c r="M16" s="982" t="s">
        <v>44</v>
      </c>
      <c r="N16" s="512"/>
      <c r="O16" s="512"/>
      <c r="P16" s="512"/>
      <c r="Q16" s="512"/>
      <c r="R16" s="512"/>
      <c r="S16" s="512"/>
      <c r="T16" s="512"/>
      <c r="U16" s="512"/>
      <c r="V16" s="512"/>
      <c r="W16" s="512"/>
    </row>
    <row r="17" s="477" customFormat="1" spans="1:23">
      <c r="A17" s="982" t="s">
        <v>13</v>
      </c>
      <c r="B17" s="982" t="s">
        <v>35</v>
      </c>
      <c r="C17" s="983" t="s">
        <v>45</v>
      </c>
      <c r="D17" s="984">
        <v>20</v>
      </c>
      <c r="E17" s="914"/>
      <c r="F17" s="986"/>
      <c r="G17" s="986">
        <f t="shared" si="2"/>
        <v>45660</v>
      </c>
      <c r="H17" s="987">
        <f t="shared" si="3"/>
        <v>45696</v>
      </c>
      <c r="I17" s="991" t="s">
        <v>38</v>
      </c>
      <c r="J17" s="982" t="s">
        <v>39</v>
      </c>
      <c r="K17" s="982" t="s">
        <v>19</v>
      </c>
      <c r="L17" s="992" t="s">
        <v>20</v>
      </c>
      <c r="M17" s="993" t="s">
        <v>46</v>
      </c>
      <c r="N17" s="512"/>
      <c r="O17" s="512"/>
      <c r="P17" s="512"/>
      <c r="Q17" s="512"/>
      <c r="R17" s="512"/>
      <c r="S17" s="512"/>
      <c r="T17" s="512"/>
      <c r="U17" s="512"/>
      <c r="V17" s="512"/>
      <c r="W17" s="512"/>
    </row>
    <row r="18" s="477" customFormat="1" spans="1:23">
      <c r="A18" s="982" t="s">
        <v>13</v>
      </c>
      <c r="B18" s="982" t="s">
        <v>35</v>
      </c>
      <c r="C18" s="983" t="s">
        <v>47</v>
      </c>
      <c r="D18" s="984">
        <v>20</v>
      </c>
      <c r="E18" s="914"/>
      <c r="F18" s="986"/>
      <c r="G18" s="986">
        <f t="shared" si="2"/>
        <v>45660</v>
      </c>
      <c r="H18" s="987">
        <f t="shared" si="3"/>
        <v>45696</v>
      </c>
      <c r="I18" s="991" t="s">
        <v>38</v>
      </c>
      <c r="J18" s="982" t="s">
        <v>39</v>
      </c>
      <c r="K18" s="982" t="s">
        <v>19</v>
      </c>
      <c r="L18" s="992" t="s">
        <v>20</v>
      </c>
      <c r="M18" s="982"/>
      <c r="N18" s="512"/>
      <c r="O18" s="512"/>
      <c r="P18" s="512"/>
      <c r="Q18" s="512"/>
      <c r="R18" s="512"/>
      <c r="S18" s="512"/>
      <c r="T18" s="512"/>
      <c r="U18" s="512"/>
      <c r="V18" s="512"/>
      <c r="W18" s="512"/>
    </row>
    <row r="19" s="477" customFormat="1" spans="1:23">
      <c r="A19" s="982" t="s">
        <v>13</v>
      </c>
      <c r="B19" s="982" t="s">
        <v>35</v>
      </c>
      <c r="C19" s="983" t="s">
        <v>48</v>
      </c>
      <c r="D19" s="984">
        <v>20</v>
      </c>
      <c r="E19" s="914"/>
      <c r="F19" s="986"/>
      <c r="G19" s="986">
        <f t="shared" si="2"/>
        <v>45660</v>
      </c>
      <c r="H19" s="987">
        <f t="shared" si="3"/>
        <v>45696</v>
      </c>
      <c r="I19" s="991" t="s">
        <v>38</v>
      </c>
      <c r="J19" s="982" t="s">
        <v>39</v>
      </c>
      <c r="K19" s="982" t="s">
        <v>19</v>
      </c>
      <c r="L19" s="992" t="s">
        <v>20</v>
      </c>
      <c r="M19" s="982"/>
      <c r="N19" s="512"/>
      <c r="O19" s="512"/>
      <c r="P19" s="512"/>
      <c r="Q19" s="512"/>
      <c r="R19" s="512"/>
      <c r="S19" s="512"/>
      <c r="T19" s="512"/>
      <c r="U19" s="512"/>
      <c r="V19" s="512"/>
      <c r="W19" s="512"/>
    </row>
    <row r="20" s="477" customFormat="1" spans="1:23">
      <c r="A20" s="982" t="s">
        <v>13</v>
      </c>
      <c r="B20" s="982" t="s">
        <v>35</v>
      </c>
      <c r="C20" s="983" t="s">
        <v>49</v>
      </c>
      <c r="D20" s="984">
        <v>28</v>
      </c>
      <c r="E20" s="914"/>
      <c r="F20" s="986"/>
      <c r="G20" s="986">
        <f t="shared" si="2"/>
        <v>45660</v>
      </c>
      <c r="H20" s="987">
        <f t="shared" si="3"/>
        <v>45696</v>
      </c>
      <c r="I20" s="991" t="s">
        <v>38</v>
      </c>
      <c r="J20" s="982" t="s">
        <v>39</v>
      </c>
      <c r="K20" s="982" t="s">
        <v>19</v>
      </c>
      <c r="L20" s="992" t="s">
        <v>20</v>
      </c>
      <c r="M20" s="982"/>
      <c r="N20" s="512"/>
      <c r="O20" s="512"/>
      <c r="P20" s="512"/>
      <c r="Q20" s="512"/>
      <c r="R20" s="512"/>
      <c r="S20" s="512"/>
      <c r="T20" s="512"/>
      <c r="U20" s="512"/>
      <c r="V20" s="512"/>
      <c r="W20" s="512"/>
    </row>
    <row r="21" s="477" customFormat="1" spans="1:23">
      <c r="A21" s="982" t="s">
        <v>13</v>
      </c>
      <c r="B21" s="982" t="s">
        <v>35</v>
      </c>
      <c r="C21" s="983" t="s">
        <v>50</v>
      </c>
      <c r="D21" s="984">
        <v>28</v>
      </c>
      <c r="E21" s="914"/>
      <c r="F21" s="986"/>
      <c r="G21" s="986">
        <f t="shared" si="2"/>
        <v>45660</v>
      </c>
      <c r="H21" s="987">
        <f t="shared" si="3"/>
        <v>45696</v>
      </c>
      <c r="I21" s="991" t="s">
        <v>38</v>
      </c>
      <c r="J21" s="982" t="s">
        <v>39</v>
      </c>
      <c r="K21" s="982" t="s">
        <v>19</v>
      </c>
      <c r="L21" s="992" t="s">
        <v>20</v>
      </c>
      <c r="M21" s="982"/>
      <c r="N21" s="512"/>
      <c r="O21" s="512"/>
      <c r="P21" s="512"/>
      <c r="Q21" s="512"/>
      <c r="R21" s="512"/>
      <c r="S21" s="512"/>
      <c r="T21" s="512"/>
      <c r="U21" s="512"/>
      <c r="V21" s="512"/>
      <c r="W21" s="512"/>
    </row>
    <row r="22" s="477" customFormat="1" spans="1:23">
      <c r="A22" s="982" t="s">
        <v>13</v>
      </c>
      <c r="B22" s="982" t="s">
        <v>35</v>
      </c>
      <c r="C22" s="983" t="s">
        <v>29</v>
      </c>
      <c r="D22" s="984">
        <v>12</v>
      </c>
      <c r="E22" s="914"/>
      <c r="F22" s="986"/>
      <c r="G22" s="986">
        <f t="shared" si="2"/>
        <v>45660</v>
      </c>
      <c r="H22" s="987">
        <f t="shared" si="3"/>
        <v>45696</v>
      </c>
      <c r="I22" s="991" t="s">
        <v>38</v>
      </c>
      <c r="J22" s="982" t="s">
        <v>39</v>
      </c>
      <c r="K22" s="982" t="s">
        <v>19</v>
      </c>
      <c r="L22" s="992" t="s">
        <v>20</v>
      </c>
      <c r="M22" s="982"/>
      <c r="N22" s="512"/>
      <c r="O22" s="512"/>
      <c r="P22" s="512"/>
      <c r="Q22" s="512"/>
      <c r="R22" s="512"/>
      <c r="S22" s="512"/>
      <c r="T22" s="512"/>
      <c r="U22" s="512"/>
      <c r="V22" s="512"/>
      <c r="W22" s="512"/>
    </row>
    <row r="23" s="477" customFormat="1" spans="1:23">
      <c r="A23" s="982" t="s">
        <v>13</v>
      </c>
      <c r="B23" s="982" t="s">
        <v>35</v>
      </c>
      <c r="C23" s="983" t="s">
        <v>30</v>
      </c>
      <c r="D23" s="984">
        <v>12</v>
      </c>
      <c r="E23" s="914"/>
      <c r="F23" s="986"/>
      <c r="G23" s="986">
        <f t="shared" si="2"/>
        <v>45660</v>
      </c>
      <c r="H23" s="987">
        <f t="shared" si="3"/>
        <v>45696</v>
      </c>
      <c r="I23" s="991" t="s">
        <v>38</v>
      </c>
      <c r="J23" s="982" t="s">
        <v>39</v>
      </c>
      <c r="K23" s="982" t="s">
        <v>19</v>
      </c>
      <c r="L23" s="992" t="s">
        <v>20</v>
      </c>
      <c r="M23" s="982"/>
      <c r="N23" s="512"/>
      <c r="O23" s="512"/>
      <c r="P23" s="512"/>
      <c r="Q23" s="512"/>
      <c r="R23" s="512"/>
      <c r="S23" s="512"/>
      <c r="T23" s="512"/>
      <c r="U23" s="512"/>
      <c r="V23" s="512"/>
      <c r="W23" s="512"/>
    </row>
    <row r="24" s="477" customFormat="1" spans="1:23">
      <c r="A24" s="982" t="s">
        <v>13</v>
      </c>
      <c r="B24" s="982" t="s">
        <v>35</v>
      </c>
      <c r="C24" s="983" t="s">
        <v>31</v>
      </c>
      <c r="D24" s="984">
        <v>6</v>
      </c>
      <c r="E24" s="914"/>
      <c r="F24" s="986"/>
      <c r="G24" s="986">
        <f t="shared" si="2"/>
        <v>45660</v>
      </c>
      <c r="H24" s="987">
        <f t="shared" si="3"/>
        <v>45696</v>
      </c>
      <c r="I24" s="991" t="s">
        <v>38</v>
      </c>
      <c r="J24" s="982" t="s">
        <v>39</v>
      </c>
      <c r="K24" s="982" t="s">
        <v>19</v>
      </c>
      <c r="L24" s="992" t="s">
        <v>20</v>
      </c>
      <c r="M24" s="982"/>
      <c r="N24" s="512"/>
      <c r="O24" s="512"/>
      <c r="P24" s="512"/>
      <c r="Q24" s="512"/>
      <c r="R24" s="512"/>
      <c r="S24" s="512"/>
      <c r="T24" s="512"/>
      <c r="U24" s="512"/>
      <c r="V24" s="512"/>
      <c r="W24" s="512"/>
    </row>
    <row r="25" s="477" customFormat="1" spans="1:23">
      <c r="A25" s="982" t="s">
        <v>13</v>
      </c>
      <c r="B25" s="982" t="s">
        <v>35</v>
      </c>
      <c r="C25" s="983" t="s">
        <v>32</v>
      </c>
      <c r="D25" s="984">
        <v>6</v>
      </c>
      <c r="E25" s="914"/>
      <c r="F25" s="986"/>
      <c r="G25" s="986">
        <f t="shared" si="2"/>
        <v>45660</v>
      </c>
      <c r="H25" s="987">
        <f t="shared" si="3"/>
        <v>45696</v>
      </c>
      <c r="I25" s="991" t="s">
        <v>38</v>
      </c>
      <c r="J25" s="982" t="s">
        <v>39</v>
      </c>
      <c r="K25" s="982" t="s">
        <v>19</v>
      </c>
      <c r="L25" s="992" t="s">
        <v>20</v>
      </c>
      <c r="M25" s="982"/>
      <c r="N25" s="512"/>
      <c r="O25" s="512"/>
      <c r="P25" s="512"/>
      <c r="Q25" s="512"/>
      <c r="R25" s="512"/>
      <c r="S25" s="512"/>
      <c r="T25" s="512"/>
      <c r="U25" s="512"/>
      <c r="V25" s="512"/>
      <c r="W25" s="512"/>
    </row>
    <row r="26" s="477" customFormat="1" spans="1:23">
      <c r="A26" s="982" t="s">
        <v>13</v>
      </c>
      <c r="B26" s="982" t="s">
        <v>51</v>
      </c>
      <c r="C26" s="983" t="s">
        <v>52</v>
      </c>
      <c r="D26" s="984">
        <v>35</v>
      </c>
      <c r="E26" s="985" t="s">
        <v>53</v>
      </c>
      <c r="F26" s="986"/>
      <c r="G26" s="986">
        <f>VLOOKUP(CLEAN(SUBSTITUTE(TRIM(MID(E:E,FIND("/",E:E)+1,LEN(E:E)))," ","")),'Customs Decl. &amp; Local Delivery'!D:I,6,0)</f>
        <v>45660</v>
      </c>
      <c r="H26" s="987">
        <f>VLOOKUP(CLEAN(SUBSTITUTE(TRIM(MID(E:E,FIND("/",E:E)+1,LEN(E:E)))," ","")),'Customs Decl. &amp; Local Delivery'!D:J,7,0)</f>
        <v>45696</v>
      </c>
      <c r="I26" s="991" t="s">
        <v>54</v>
      </c>
      <c r="J26" s="982" t="s">
        <v>39</v>
      </c>
      <c r="K26" s="982" t="s">
        <v>19</v>
      </c>
      <c r="L26" s="992" t="s">
        <v>20</v>
      </c>
      <c r="M26" s="982" t="s">
        <v>55</v>
      </c>
      <c r="N26" s="512"/>
      <c r="O26" s="512"/>
      <c r="P26" s="512"/>
      <c r="Q26" s="512"/>
      <c r="R26" s="512"/>
      <c r="S26" s="512"/>
      <c r="T26" s="512"/>
      <c r="U26" s="512"/>
      <c r="V26" s="512"/>
      <c r="W26" s="512"/>
    </row>
    <row r="27" s="477" customFormat="1" spans="1:23">
      <c r="A27" s="982" t="s">
        <v>13</v>
      </c>
      <c r="B27" s="982" t="s">
        <v>51</v>
      </c>
      <c r="C27" s="983" t="s">
        <v>56</v>
      </c>
      <c r="D27" s="984">
        <v>35</v>
      </c>
      <c r="E27" s="914"/>
      <c r="F27" s="986"/>
      <c r="G27" s="986">
        <f t="shared" ref="G27:G41" si="4">G26</f>
        <v>45660</v>
      </c>
      <c r="H27" s="987">
        <f t="shared" ref="H27:H41" si="5">H26</f>
        <v>45696</v>
      </c>
      <c r="I27" s="991" t="s">
        <v>54</v>
      </c>
      <c r="J27" s="982" t="s">
        <v>39</v>
      </c>
      <c r="K27" s="982" t="s">
        <v>19</v>
      </c>
      <c r="L27" s="992" t="s">
        <v>20</v>
      </c>
      <c r="M27" s="982" t="s">
        <v>42</v>
      </c>
      <c r="N27" s="512"/>
      <c r="O27" s="512"/>
      <c r="P27" s="512"/>
      <c r="Q27" s="512"/>
      <c r="R27" s="512"/>
      <c r="S27" s="512"/>
      <c r="T27" s="512"/>
      <c r="U27" s="512"/>
      <c r="V27" s="512"/>
      <c r="W27" s="512"/>
    </row>
    <row r="28" s="477" customFormat="1" spans="1:23">
      <c r="A28" s="982" t="s">
        <v>13</v>
      </c>
      <c r="B28" s="982" t="s">
        <v>51</v>
      </c>
      <c r="C28" s="983" t="s">
        <v>43</v>
      </c>
      <c r="D28" s="984">
        <v>60</v>
      </c>
      <c r="E28" s="914"/>
      <c r="F28" s="986"/>
      <c r="G28" s="986">
        <f t="shared" si="4"/>
        <v>45660</v>
      </c>
      <c r="H28" s="987">
        <f t="shared" si="5"/>
        <v>45696</v>
      </c>
      <c r="I28" s="991" t="s">
        <v>54</v>
      </c>
      <c r="J28" s="982" t="s">
        <v>39</v>
      </c>
      <c r="K28" s="982" t="s">
        <v>19</v>
      </c>
      <c r="L28" s="992" t="s">
        <v>20</v>
      </c>
      <c r="M28" s="982" t="s">
        <v>44</v>
      </c>
      <c r="N28" s="512"/>
      <c r="O28" s="512"/>
      <c r="P28" s="512"/>
      <c r="Q28" s="512"/>
      <c r="R28" s="512"/>
      <c r="S28" s="512"/>
      <c r="T28" s="512"/>
      <c r="U28" s="512"/>
      <c r="V28" s="512"/>
      <c r="W28" s="512"/>
    </row>
    <row r="29" s="477" customFormat="1" spans="1:23">
      <c r="A29" s="982" t="s">
        <v>13</v>
      </c>
      <c r="B29" s="982" t="s">
        <v>51</v>
      </c>
      <c r="C29" s="983" t="s">
        <v>45</v>
      </c>
      <c r="D29" s="984">
        <v>60</v>
      </c>
      <c r="E29" s="914"/>
      <c r="F29" s="986"/>
      <c r="G29" s="986">
        <f t="shared" si="4"/>
        <v>45660</v>
      </c>
      <c r="H29" s="987">
        <f t="shared" si="5"/>
        <v>45696</v>
      </c>
      <c r="I29" s="991" t="s">
        <v>54</v>
      </c>
      <c r="J29" s="982" t="s">
        <v>39</v>
      </c>
      <c r="K29" s="982" t="s">
        <v>19</v>
      </c>
      <c r="L29" s="992" t="s">
        <v>20</v>
      </c>
      <c r="M29" s="993" t="s">
        <v>46</v>
      </c>
      <c r="N29" s="512"/>
      <c r="O29" s="512"/>
      <c r="P29" s="512"/>
      <c r="Q29" s="512"/>
      <c r="R29" s="512"/>
      <c r="S29" s="512"/>
      <c r="T29" s="512"/>
      <c r="U29" s="512"/>
      <c r="V29" s="512"/>
      <c r="W29" s="512"/>
    </row>
    <row r="30" s="477" customFormat="1" spans="1:23">
      <c r="A30" s="982" t="s">
        <v>13</v>
      </c>
      <c r="B30" s="982" t="s">
        <v>51</v>
      </c>
      <c r="C30" s="983" t="s">
        <v>47</v>
      </c>
      <c r="D30" s="984">
        <v>15</v>
      </c>
      <c r="E30" s="914"/>
      <c r="F30" s="986"/>
      <c r="G30" s="986">
        <f t="shared" si="4"/>
        <v>45660</v>
      </c>
      <c r="H30" s="987">
        <f t="shared" si="5"/>
        <v>45696</v>
      </c>
      <c r="I30" s="991" t="s">
        <v>54</v>
      </c>
      <c r="J30" s="982" t="s">
        <v>39</v>
      </c>
      <c r="K30" s="982" t="s">
        <v>19</v>
      </c>
      <c r="L30" s="992" t="s">
        <v>20</v>
      </c>
      <c r="M30" s="982"/>
      <c r="N30" s="512"/>
      <c r="O30" s="512"/>
      <c r="P30" s="512"/>
      <c r="Q30" s="512"/>
      <c r="R30" s="512"/>
      <c r="S30" s="512"/>
      <c r="T30" s="512"/>
      <c r="U30" s="512"/>
      <c r="V30" s="512"/>
      <c r="W30" s="512"/>
    </row>
    <row r="31" s="477" customFormat="1" spans="1:23">
      <c r="A31" s="982" t="s">
        <v>13</v>
      </c>
      <c r="B31" s="982" t="s">
        <v>51</v>
      </c>
      <c r="C31" s="983" t="s">
        <v>48</v>
      </c>
      <c r="D31" s="984">
        <v>15</v>
      </c>
      <c r="E31" s="914"/>
      <c r="F31" s="986"/>
      <c r="G31" s="986">
        <f t="shared" si="4"/>
        <v>45660</v>
      </c>
      <c r="H31" s="987">
        <f t="shared" si="5"/>
        <v>45696</v>
      </c>
      <c r="I31" s="991" t="s">
        <v>54</v>
      </c>
      <c r="J31" s="982" t="s">
        <v>39</v>
      </c>
      <c r="K31" s="982" t="s">
        <v>19</v>
      </c>
      <c r="L31" s="992" t="s">
        <v>20</v>
      </c>
      <c r="M31" s="982"/>
      <c r="N31" s="512"/>
      <c r="O31" s="512"/>
      <c r="P31" s="512"/>
      <c r="Q31" s="512"/>
      <c r="R31" s="512"/>
      <c r="S31" s="512"/>
      <c r="T31" s="512"/>
      <c r="U31" s="512"/>
      <c r="V31" s="512"/>
      <c r="W31" s="512"/>
    </row>
    <row r="32" s="477" customFormat="1" spans="1:23">
      <c r="A32" s="982" t="s">
        <v>13</v>
      </c>
      <c r="B32" s="982" t="s">
        <v>51</v>
      </c>
      <c r="C32" s="983" t="s">
        <v>49</v>
      </c>
      <c r="D32" s="984">
        <v>30</v>
      </c>
      <c r="E32" s="914"/>
      <c r="F32" s="986"/>
      <c r="G32" s="986">
        <f t="shared" si="4"/>
        <v>45660</v>
      </c>
      <c r="H32" s="987">
        <f t="shared" si="5"/>
        <v>45696</v>
      </c>
      <c r="I32" s="991" t="s">
        <v>54</v>
      </c>
      <c r="J32" s="982" t="s">
        <v>39</v>
      </c>
      <c r="K32" s="982" t="s">
        <v>19</v>
      </c>
      <c r="L32" s="992" t="s">
        <v>20</v>
      </c>
      <c r="M32" s="982"/>
      <c r="N32" s="512"/>
      <c r="O32" s="512"/>
      <c r="P32" s="512"/>
      <c r="Q32" s="512"/>
      <c r="R32" s="512"/>
      <c r="S32" s="512"/>
      <c r="T32" s="512"/>
      <c r="U32" s="512"/>
      <c r="V32" s="512"/>
      <c r="W32" s="512"/>
    </row>
    <row r="33" s="477" customFormat="1" spans="1:23">
      <c r="A33" s="982" t="s">
        <v>13</v>
      </c>
      <c r="B33" s="982" t="s">
        <v>51</v>
      </c>
      <c r="C33" s="983" t="s">
        <v>50</v>
      </c>
      <c r="D33" s="984">
        <v>30</v>
      </c>
      <c r="E33" s="914"/>
      <c r="F33" s="986"/>
      <c r="G33" s="986">
        <f t="shared" si="4"/>
        <v>45660</v>
      </c>
      <c r="H33" s="987">
        <f t="shared" si="5"/>
        <v>45696</v>
      </c>
      <c r="I33" s="991" t="s">
        <v>54</v>
      </c>
      <c r="J33" s="982" t="s">
        <v>39</v>
      </c>
      <c r="K33" s="982" t="s">
        <v>19</v>
      </c>
      <c r="L33" s="992" t="s">
        <v>20</v>
      </c>
      <c r="M33" s="982"/>
      <c r="N33" s="512"/>
      <c r="O33" s="512"/>
      <c r="P33" s="512"/>
      <c r="Q33" s="512"/>
      <c r="R33" s="512"/>
      <c r="S33" s="512"/>
      <c r="T33" s="512"/>
      <c r="U33" s="512"/>
      <c r="V33" s="512"/>
      <c r="W33" s="512"/>
    </row>
    <row r="34" s="477" customFormat="1" spans="1:23">
      <c r="A34" s="982" t="s">
        <v>13</v>
      </c>
      <c r="B34" s="982" t="s">
        <v>51</v>
      </c>
      <c r="C34" s="983" t="s">
        <v>57</v>
      </c>
      <c r="D34" s="984">
        <v>5</v>
      </c>
      <c r="E34" s="914"/>
      <c r="F34" s="986"/>
      <c r="G34" s="986">
        <f t="shared" si="4"/>
        <v>45660</v>
      </c>
      <c r="H34" s="987">
        <f t="shared" si="5"/>
        <v>45696</v>
      </c>
      <c r="I34" s="991" t="s">
        <v>54</v>
      </c>
      <c r="J34" s="982" t="s">
        <v>39</v>
      </c>
      <c r="K34" s="982" t="s">
        <v>19</v>
      </c>
      <c r="L34" s="992" t="s">
        <v>20</v>
      </c>
      <c r="M34" s="982"/>
      <c r="N34" s="512"/>
      <c r="O34" s="512"/>
      <c r="P34" s="512"/>
      <c r="Q34" s="512"/>
      <c r="R34" s="512"/>
      <c r="S34" s="512"/>
      <c r="T34" s="512"/>
      <c r="U34" s="512"/>
      <c r="V34" s="512"/>
      <c r="W34" s="512"/>
    </row>
    <row r="35" s="477" customFormat="1" spans="1:23">
      <c r="A35" s="982" t="s">
        <v>13</v>
      </c>
      <c r="B35" s="982" t="s">
        <v>51</v>
      </c>
      <c r="C35" s="983" t="s">
        <v>58</v>
      </c>
      <c r="D35" s="984">
        <v>5</v>
      </c>
      <c r="E35" s="914"/>
      <c r="F35" s="986"/>
      <c r="G35" s="986">
        <f t="shared" si="4"/>
        <v>45660</v>
      </c>
      <c r="H35" s="987">
        <f t="shared" si="5"/>
        <v>45696</v>
      </c>
      <c r="I35" s="991" t="s">
        <v>54</v>
      </c>
      <c r="J35" s="982" t="s">
        <v>39</v>
      </c>
      <c r="K35" s="982" t="s">
        <v>19</v>
      </c>
      <c r="L35" s="992" t="s">
        <v>20</v>
      </c>
      <c r="M35" s="982"/>
      <c r="N35" s="512"/>
      <c r="O35" s="512"/>
      <c r="P35" s="512"/>
      <c r="Q35" s="512"/>
      <c r="R35" s="512"/>
      <c r="S35" s="512"/>
      <c r="T35" s="512"/>
      <c r="U35" s="512"/>
      <c r="V35" s="512"/>
      <c r="W35" s="512"/>
    </row>
    <row r="36" s="477" customFormat="1" spans="1:23">
      <c r="A36" s="982" t="s">
        <v>13</v>
      </c>
      <c r="B36" s="982" t="s">
        <v>51</v>
      </c>
      <c r="C36" s="983" t="s">
        <v>29</v>
      </c>
      <c r="D36" s="984">
        <v>4</v>
      </c>
      <c r="E36" s="914"/>
      <c r="F36" s="986"/>
      <c r="G36" s="986">
        <f t="shared" si="4"/>
        <v>45660</v>
      </c>
      <c r="H36" s="987">
        <f t="shared" si="5"/>
        <v>45696</v>
      </c>
      <c r="I36" s="991" t="s">
        <v>54</v>
      </c>
      <c r="J36" s="982" t="s">
        <v>39</v>
      </c>
      <c r="K36" s="982" t="s">
        <v>19</v>
      </c>
      <c r="L36" s="992" t="s">
        <v>20</v>
      </c>
      <c r="M36" s="982"/>
      <c r="N36" s="512"/>
      <c r="O36" s="512"/>
      <c r="P36" s="512"/>
      <c r="Q36" s="512"/>
      <c r="R36" s="512"/>
      <c r="S36" s="512"/>
      <c r="T36" s="512"/>
      <c r="U36" s="512"/>
      <c r="V36" s="512"/>
      <c r="W36" s="512"/>
    </row>
    <row r="37" s="477" customFormat="1" spans="1:23">
      <c r="A37" s="982" t="s">
        <v>13</v>
      </c>
      <c r="B37" s="982" t="s">
        <v>51</v>
      </c>
      <c r="C37" s="983" t="s">
        <v>30</v>
      </c>
      <c r="D37" s="984">
        <v>4</v>
      </c>
      <c r="E37" s="914"/>
      <c r="F37" s="986"/>
      <c r="G37" s="986">
        <f t="shared" si="4"/>
        <v>45660</v>
      </c>
      <c r="H37" s="987">
        <f t="shared" si="5"/>
        <v>45696</v>
      </c>
      <c r="I37" s="991" t="s">
        <v>54</v>
      </c>
      <c r="J37" s="982" t="s">
        <v>39</v>
      </c>
      <c r="K37" s="982" t="s">
        <v>19</v>
      </c>
      <c r="L37" s="992" t="s">
        <v>20</v>
      </c>
      <c r="M37" s="982"/>
      <c r="N37" s="512"/>
      <c r="O37" s="512"/>
      <c r="P37" s="512"/>
      <c r="Q37" s="512"/>
      <c r="R37" s="512"/>
      <c r="S37" s="512"/>
      <c r="T37" s="512"/>
      <c r="U37" s="512"/>
      <c r="V37" s="512"/>
      <c r="W37" s="512"/>
    </row>
    <row r="38" s="477" customFormat="1" spans="1:23">
      <c r="A38" s="982" t="s">
        <v>13</v>
      </c>
      <c r="B38" s="982" t="s">
        <v>51</v>
      </c>
      <c r="C38" s="983" t="s">
        <v>31</v>
      </c>
      <c r="D38" s="984">
        <v>5</v>
      </c>
      <c r="E38" s="914"/>
      <c r="F38" s="986"/>
      <c r="G38" s="986">
        <f t="shared" si="4"/>
        <v>45660</v>
      </c>
      <c r="H38" s="987">
        <f t="shared" si="5"/>
        <v>45696</v>
      </c>
      <c r="I38" s="991" t="s">
        <v>54</v>
      </c>
      <c r="J38" s="982" t="s">
        <v>39</v>
      </c>
      <c r="K38" s="982" t="s">
        <v>19</v>
      </c>
      <c r="L38" s="992" t="s">
        <v>20</v>
      </c>
      <c r="M38" s="982"/>
      <c r="N38" s="512"/>
      <c r="O38" s="512"/>
      <c r="P38" s="512"/>
      <c r="Q38" s="512"/>
      <c r="R38" s="512"/>
      <c r="S38" s="512"/>
      <c r="T38" s="512"/>
      <c r="U38" s="512"/>
      <c r="V38" s="512"/>
      <c r="W38" s="512"/>
    </row>
    <row r="39" s="477" customFormat="1" spans="1:23">
      <c r="A39" s="982" t="s">
        <v>13</v>
      </c>
      <c r="B39" s="982" t="s">
        <v>51</v>
      </c>
      <c r="C39" s="983" t="s">
        <v>32</v>
      </c>
      <c r="D39" s="984">
        <v>5</v>
      </c>
      <c r="E39" s="914"/>
      <c r="F39" s="986"/>
      <c r="G39" s="986">
        <f t="shared" si="4"/>
        <v>45660</v>
      </c>
      <c r="H39" s="987">
        <f t="shared" si="5"/>
        <v>45696</v>
      </c>
      <c r="I39" s="991" t="s">
        <v>54</v>
      </c>
      <c r="J39" s="982" t="s">
        <v>39</v>
      </c>
      <c r="K39" s="982" t="s">
        <v>19</v>
      </c>
      <c r="L39" s="992" t="s">
        <v>20</v>
      </c>
      <c r="M39" s="982"/>
      <c r="N39" s="512"/>
      <c r="O39" s="512"/>
      <c r="P39" s="512"/>
      <c r="Q39" s="512"/>
      <c r="R39" s="512"/>
      <c r="S39" s="512"/>
      <c r="T39" s="512"/>
      <c r="U39" s="512"/>
      <c r="V39" s="512"/>
      <c r="W39" s="512"/>
    </row>
    <row r="40" s="477" customFormat="1" spans="1:23">
      <c r="A40" s="982" t="s">
        <v>13</v>
      </c>
      <c r="B40" s="982" t="s">
        <v>51</v>
      </c>
      <c r="C40" s="983" t="s">
        <v>59</v>
      </c>
      <c r="D40" s="984">
        <v>1</v>
      </c>
      <c r="E40" s="914"/>
      <c r="F40" s="986"/>
      <c r="G40" s="986">
        <f t="shared" si="4"/>
        <v>45660</v>
      </c>
      <c r="H40" s="987">
        <f t="shared" si="5"/>
        <v>45696</v>
      </c>
      <c r="I40" s="991" t="s">
        <v>54</v>
      </c>
      <c r="J40" s="982" t="s">
        <v>39</v>
      </c>
      <c r="K40" s="982" t="s">
        <v>19</v>
      </c>
      <c r="L40" s="992" t="s">
        <v>20</v>
      </c>
      <c r="M40" s="982"/>
      <c r="N40" s="512"/>
      <c r="O40" s="512"/>
      <c r="P40" s="512"/>
      <c r="Q40" s="512"/>
      <c r="R40" s="512"/>
      <c r="S40" s="512"/>
      <c r="T40" s="512"/>
      <c r="U40" s="512"/>
      <c r="V40" s="512"/>
      <c r="W40" s="512"/>
    </row>
    <row r="41" s="477" customFormat="1" spans="1:23">
      <c r="A41" s="982" t="s">
        <v>13</v>
      </c>
      <c r="B41" s="982" t="s">
        <v>51</v>
      </c>
      <c r="C41" s="983" t="s">
        <v>60</v>
      </c>
      <c r="D41" s="984">
        <v>1</v>
      </c>
      <c r="E41" s="914"/>
      <c r="F41" s="986"/>
      <c r="G41" s="986">
        <f t="shared" si="4"/>
        <v>45660</v>
      </c>
      <c r="H41" s="987">
        <f t="shared" si="5"/>
        <v>45696</v>
      </c>
      <c r="I41" s="991" t="s">
        <v>54</v>
      </c>
      <c r="J41" s="982" t="s">
        <v>39</v>
      </c>
      <c r="K41" s="982" t="s">
        <v>19</v>
      </c>
      <c r="L41" s="992" t="s">
        <v>20</v>
      </c>
      <c r="M41" s="982"/>
      <c r="N41" s="512"/>
      <c r="O41" s="512"/>
      <c r="P41" s="512"/>
      <c r="Q41" s="512"/>
      <c r="R41" s="512"/>
      <c r="S41" s="512"/>
      <c r="T41" s="512"/>
      <c r="U41" s="512"/>
      <c r="V41" s="512"/>
      <c r="W41" s="512"/>
    </row>
    <row r="42" s="178" customFormat="1" spans="1:23">
      <c r="A42" s="982" t="s">
        <v>13</v>
      </c>
      <c r="B42" s="982" t="s">
        <v>61</v>
      </c>
      <c r="C42" s="982" t="s">
        <v>27</v>
      </c>
      <c r="D42" s="187">
        <v>31</v>
      </c>
      <c r="E42" s="989" t="s">
        <v>62</v>
      </c>
      <c r="F42" s="986"/>
      <c r="G42" s="986">
        <f>VLOOKUP(CLEAN(SUBSTITUTE(TRIM(MID(E:E,FIND("/",E:E)+1,LEN(E:E)))," ","")),'Customs Decl. &amp; Local Delivery'!D:I,6,0)</f>
        <v>45666</v>
      </c>
      <c r="H42" s="987">
        <f>VLOOKUP(CLEAN(SUBSTITUTE(TRIM(MID(E:E,FIND("/",E:E)+1,LEN(E:E)))," ","")),'Customs Decl. &amp; Local Delivery'!D:J,7,0)</f>
        <v>45685</v>
      </c>
      <c r="I42" s="991" t="s">
        <v>63</v>
      </c>
      <c r="J42" s="982" t="s">
        <v>18</v>
      </c>
      <c r="K42" s="993" t="s">
        <v>64</v>
      </c>
      <c r="L42" s="992" t="s">
        <v>20</v>
      </c>
      <c r="M42" s="982" t="s">
        <v>65</v>
      </c>
      <c r="N42" s="203"/>
      <c r="O42" s="512"/>
      <c r="P42" s="512"/>
      <c r="Q42" s="512"/>
      <c r="R42" s="512"/>
      <c r="S42" s="512"/>
      <c r="T42" s="512"/>
      <c r="U42" s="512"/>
      <c r="V42" s="512"/>
      <c r="W42" s="512"/>
    </row>
    <row r="43" s="178" customFormat="1" spans="1:23">
      <c r="A43" s="982" t="s">
        <v>13</v>
      </c>
      <c r="B43" s="982" t="s">
        <v>61</v>
      </c>
      <c r="C43" s="982" t="s">
        <v>28</v>
      </c>
      <c r="D43" s="187">
        <v>31</v>
      </c>
      <c r="E43" s="914"/>
      <c r="F43" s="986"/>
      <c r="G43" s="986">
        <f>G42</f>
        <v>45666</v>
      </c>
      <c r="H43" s="987">
        <f>H42</f>
        <v>45685</v>
      </c>
      <c r="I43" s="991" t="s">
        <v>63</v>
      </c>
      <c r="J43" s="982" t="s">
        <v>18</v>
      </c>
      <c r="K43" s="982" t="s">
        <v>64</v>
      </c>
      <c r="L43" s="992" t="s">
        <v>20</v>
      </c>
      <c r="M43" s="982" t="s">
        <v>66</v>
      </c>
      <c r="N43" s="203"/>
      <c r="O43" s="512"/>
      <c r="P43" s="512"/>
      <c r="Q43" s="512"/>
      <c r="R43" s="512"/>
      <c r="S43" s="512"/>
      <c r="T43" s="512"/>
      <c r="U43" s="512"/>
      <c r="V43" s="512"/>
      <c r="W43" s="512"/>
    </row>
    <row r="44" s="178" customFormat="1" spans="1:23">
      <c r="A44" s="982" t="s">
        <v>13</v>
      </c>
      <c r="B44" s="982" t="s">
        <v>61</v>
      </c>
      <c r="C44" s="982" t="s">
        <v>67</v>
      </c>
      <c r="D44" s="187">
        <v>78</v>
      </c>
      <c r="E44" s="914"/>
      <c r="F44" s="986"/>
      <c r="G44" s="986">
        <f>G43</f>
        <v>45666</v>
      </c>
      <c r="H44" s="987">
        <f>H43</f>
        <v>45685</v>
      </c>
      <c r="I44" s="991" t="s">
        <v>63</v>
      </c>
      <c r="J44" s="982" t="s">
        <v>18</v>
      </c>
      <c r="K44" s="982" t="s">
        <v>64</v>
      </c>
      <c r="L44" s="992" t="s">
        <v>20</v>
      </c>
      <c r="M44" s="993" t="s">
        <v>68</v>
      </c>
      <c r="N44" s="203"/>
      <c r="O44" s="512"/>
      <c r="P44" s="512"/>
      <c r="Q44" s="512"/>
      <c r="R44" s="512"/>
      <c r="S44" s="512"/>
      <c r="T44" s="512"/>
      <c r="U44" s="512"/>
      <c r="V44" s="512"/>
      <c r="W44" s="512"/>
    </row>
    <row r="45" s="178" customFormat="1" spans="1:23">
      <c r="A45" s="982" t="s">
        <v>13</v>
      </c>
      <c r="B45" s="982" t="s">
        <v>61</v>
      </c>
      <c r="C45" s="982" t="s">
        <v>69</v>
      </c>
      <c r="D45" s="187">
        <v>78</v>
      </c>
      <c r="E45" s="914"/>
      <c r="F45" s="986"/>
      <c r="G45" s="986">
        <f>G44</f>
        <v>45666</v>
      </c>
      <c r="H45" s="987">
        <f>H44</f>
        <v>45685</v>
      </c>
      <c r="I45" s="991" t="s">
        <v>63</v>
      </c>
      <c r="J45" s="982" t="s">
        <v>18</v>
      </c>
      <c r="K45" s="982" t="s">
        <v>64</v>
      </c>
      <c r="L45" s="992" t="s">
        <v>20</v>
      </c>
      <c r="M45" s="982"/>
      <c r="N45" s="203"/>
      <c r="O45" s="512"/>
      <c r="P45" s="512"/>
      <c r="Q45" s="512"/>
      <c r="R45" s="512"/>
      <c r="S45" s="512"/>
      <c r="T45" s="512"/>
      <c r="U45" s="512"/>
      <c r="V45" s="512"/>
      <c r="W45" s="512"/>
    </row>
    <row r="46" s="178" customFormat="1" spans="1:23">
      <c r="A46" s="982" t="s">
        <v>13</v>
      </c>
      <c r="B46" s="982" t="s">
        <v>61</v>
      </c>
      <c r="C46" s="982" t="s">
        <v>70</v>
      </c>
      <c r="D46" s="187">
        <v>20</v>
      </c>
      <c r="E46" s="914"/>
      <c r="F46" s="986"/>
      <c r="G46" s="986">
        <f>G45</f>
        <v>45666</v>
      </c>
      <c r="H46" s="987">
        <f>H45</f>
        <v>45685</v>
      </c>
      <c r="I46" s="991" t="s">
        <v>63</v>
      </c>
      <c r="J46" s="982" t="s">
        <v>18</v>
      </c>
      <c r="K46" s="982" t="s">
        <v>64</v>
      </c>
      <c r="L46" s="992" t="s">
        <v>20</v>
      </c>
      <c r="M46" s="982"/>
      <c r="N46" s="203"/>
      <c r="O46" s="512"/>
      <c r="P46" s="512"/>
      <c r="Q46" s="512"/>
      <c r="R46" s="512"/>
      <c r="S46" s="512"/>
      <c r="T46" s="512"/>
      <c r="U46" s="512"/>
      <c r="V46" s="512"/>
      <c r="W46" s="512"/>
    </row>
    <row r="47" s="178" customFormat="1" spans="1:23">
      <c r="A47" s="982" t="s">
        <v>13</v>
      </c>
      <c r="B47" s="982" t="s">
        <v>61</v>
      </c>
      <c r="C47" s="982" t="s">
        <v>71</v>
      </c>
      <c r="D47" s="187">
        <v>20</v>
      </c>
      <c r="E47" s="914"/>
      <c r="F47" s="986"/>
      <c r="G47" s="986">
        <f>G46</f>
        <v>45666</v>
      </c>
      <c r="H47" s="987">
        <f>H46</f>
        <v>45685</v>
      </c>
      <c r="I47" s="991" t="s">
        <v>63</v>
      </c>
      <c r="J47" s="982" t="s">
        <v>18</v>
      </c>
      <c r="K47" s="982" t="s">
        <v>64</v>
      </c>
      <c r="L47" s="992" t="s">
        <v>20</v>
      </c>
      <c r="M47" s="982"/>
      <c r="N47" s="203"/>
      <c r="O47" s="512"/>
      <c r="P47" s="512"/>
      <c r="Q47" s="512"/>
      <c r="R47" s="512"/>
      <c r="S47" s="512"/>
      <c r="T47" s="512"/>
      <c r="U47" s="512"/>
      <c r="V47" s="512"/>
      <c r="W47" s="512"/>
    </row>
    <row r="48" s="178" customFormat="1" spans="1:23">
      <c r="A48" s="982" t="s">
        <v>72</v>
      </c>
      <c r="B48" s="982" t="s">
        <v>73</v>
      </c>
      <c r="C48" s="982" t="s">
        <v>24</v>
      </c>
      <c r="D48" s="187">
        <v>96</v>
      </c>
      <c r="E48" s="989" t="s">
        <v>74</v>
      </c>
      <c r="F48" s="986"/>
      <c r="G48" s="986">
        <f>VLOOKUP(CLEAN(SUBSTITUTE(TRIM(MID(E:E,FIND("/",E:E)+1,LEN(E:E)))," ","")),'Customs Decl. &amp; Local Delivery'!D:I,6,0)</f>
        <v>45666</v>
      </c>
      <c r="H48" s="987">
        <f>VLOOKUP(CLEAN(SUBSTITUTE(TRIM(MID(E:E,FIND("/",E:E)+1,LEN(E:E)))," ","")),'Customs Decl. &amp; Local Delivery'!D:J,7,0)</f>
        <v>45685</v>
      </c>
      <c r="I48" s="991" t="s">
        <v>75</v>
      </c>
      <c r="J48" s="982" t="s">
        <v>18</v>
      </c>
      <c r="K48" s="982" t="s">
        <v>64</v>
      </c>
      <c r="L48" s="992" t="s">
        <v>20</v>
      </c>
      <c r="M48" s="982" t="s">
        <v>76</v>
      </c>
      <c r="N48" s="203"/>
      <c r="O48" s="512"/>
      <c r="P48" s="512"/>
      <c r="Q48" s="512"/>
      <c r="R48" s="512"/>
      <c r="S48" s="512"/>
      <c r="T48" s="512"/>
      <c r="U48" s="512"/>
      <c r="V48" s="512"/>
      <c r="W48" s="512"/>
    </row>
    <row r="49" s="178" customFormat="1" spans="1:23">
      <c r="A49" s="982" t="s">
        <v>72</v>
      </c>
      <c r="B49" s="982" t="s">
        <v>73</v>
      </c>
      <c r="C49" s="982" t="s">
        <v>27</v>
      </c>
      <c r="D49" s="187">
        <v>48</v>
      </c>
      <c r="E49" s="914"/>
      <c r="F49" s="986"/>
      <c r="G49" s="986">
        <f>G48</f>
        <v>45666</v>
      </c>
      <c r="H49" s="987">
        <f>H48</f>
        <v>45685</v>
      </c>
      <c r="I49" s="991" t="s">
        <v>75</v>
      </c>
      <c r="J49" s="982" t="s">
        <v>18</v>
      </c>
      <c r="K49" s="982" t="s">
        <v>64</v>
      </c>
      <c r="L49" s="992" t="s">
        <v>20</v>
      </c>
      <c r="M49" s="982" t="s">
        <v>66</v>
      </c>
      <c r="N49" s="203"/>
      <c r="O49" s="512"/>
      <c r="P49" s="512"/>
      <c r="Q49" s="512"/>
      <c r="R49" s="512"/>
      <c r="S49" s="512"/>
      <c r="T49" s="512"/>
      <c r="U49" s="512"/>
      <c r="V49" s="512"/>
      <c r="W49" s="512"/>
    </row>
    <row r="50" s="178" customFormat="1" spans="1:23">
      <c r="A50" s="982" t="s">
        <v>72</v>
      </c>
      <c r="B50" s="982" t="s">
        <v>73</v>
      </c>
      <c r="C50" s="982" t="s">
        <v>67</v>
      </c>
      <c r="D50" s="187">
        <v>48</v>
      </c>
      <c r="E50" s="914"/>
      <c r="F50" s="986"/>
      <c r="G50" s="986">
        <f>G49</f>
        <v>45666</v>
      </c>
      <c r="H50" s="987">
        <f>H49</f>
        <v>45685</v>
      </c>
      <c r="I50" s="991" t="s">
        <v>75</v>
      </c>
      <c r="J50" s="982" t="s">
        <v>18</v>
      </c>
      <c r="K50" s="982" t="s">
        <v>64</v>
      </c>
      <c r="L50" s="992" t="s">
        <v>20</v>
      </c>
      <c r="M50" s="993" t="s">
        <v>68</v>
      </c>
      <c r="N50" s="203"/>
      <c r="O50" s="512"/>
      <c r="P50" s="512"/>
      <c r="Q50" s="512"/>
      <c r="R50" s="512"/>
      <c r="S50" s="512"/>
      <c r="T50" s="512"/>
      <c r="U50" s="512"/>
      <c r="V50" s="512"/>
      <c r="W50" s="512"/>
    </row>
    <row r="51" s="178" customFormat="1" spans="1:23">
      <c r="A51" s="982" t="s">
        <v>72</v>
      </c>
      <c r="B51" s="982" t="s">
        <v>73</v>
      </c>
      <c r="C51" s="982" t="s">
        <v>77</v>
      </c>
      <c r="D51" s="187">
        <v>48</v>
      </c>
      <c r="E51" s="914"/>
      <c r="F51" s="986"/>
      <c r="G51" s="986">
        <f>G50</f>
        <v>45666</v>
      </c>
      <c r="H51" s="987">
        <f>H50</f>
        <v>45685</v>
      </c>
      <c r="I51" s="991" t="s">
        <v>75</v>
      </c>
      <c r="J51" s="982" t="s">
        <v>18</v>
      </c>
      <c r="K51" s="982" t="s">
        <v>64</v>
      </c>
      <c r="L51" s="992" t="s">
        <v>20</v>
      </c>
      <c r="M51" s="982"/>
      <c r="N51" s="203"/>
      <c r="O51" s="512"/>
      <c r="P51" s="512"/>
      <c r="Q51" s="512"/>
      <c r="R51" s="512"/>
      <c r="S51" s="512"/>
      <c r="T51" s="512"/>
      <c r="U51" s="512"/>
      <c r="V51" s="512"/>
      <c r="W51" s="512"/>
    </row>
    <row r="52" s="178" customFormat="1" spans="1:23">
      <c r="A52" s="982" t="s">
        <v>78</v>
      </c>
      <c r="B52" s="982" t="s">
        <v>79</v>
      </c>
      <c r="C52" s="982" t="s">
        <v>24</v>
      </c>
      <c r="D52" s="187">
        <v>96</v>
      </c>
      <c r="E52" s="989" t="s">
        <v>80</v>
      </c>
      <c r="F52" s="986"/>
      <c r="G52" s="986">
        <f>VLOOKUP(CLEAN(SUBSTITUTE(TRIM(MID(E:E,FIND("/",E:E)+1,LEN(E:E)))," ","")),'Customs Decl. &amp; Local Delivery'!D:I,6,0)</f>
        <v>45666</v>
      </c>
      <c r="H52" s="987">
        <f>VLOOKUP(CLEAN(SUBSTITUTE(TRIM(MID(E:E,FIND("/",E:E)+1,LEN(E:E)))," ","")),'Customs Decl. &amp; Local Delivery'!D:J,7,0)</f>
        <v>45685</v>
      </c>
      <c r="I52" s="991" t="s">
        <v>81</v>
      </c>
      <c r="J52" s="982" t="s">
        <v>18</v>
      </c>
      <c r="K52" s="982" t="s">
        <v>64</v>
      </c>
      <c r="L52" s="992" t="s">
        <v>20</v>
      </c>
      <c r="M52" s="982" t="s">
        <v>82</v>
      </c>
      <c r="N52" s="203"/>
      <c r="O52" s="512"/>
      <c r="P52" s="512"/>
      <c r="Q52" s="512"/>
      <c r="R52" s="512"/>
      <c r="S52" s="512"/>
      <c r="T52" s="512"/>
      <c r="U52" s="512"/>
      <c r="V52" s="512"/>
      <c r="W52" s="512"/>
    </row>
    <row r="53" s="178" customFormat="1" spans="1:23">
      <c r="A53" s="982" t="s">
        <v>78</v>
      </c>
      <c r="B53" s="982" t="s">
        <v>79</v>
      </c>
      <c r="C53" s="982" t="s">
        <v>27</v>
      </c>
      <c r="D53" s="187">
        <v>48</v>
      </c>
      <c r="E53" s="914"/>
      <c r="F53" s="986"/>
      <c r="G53" s="986">
        <f>G52</f>
        <v>45666</v>
      </c>
      <c r="H53" s="987">
        <f>H52</f>
        <v>45685</v>
      </c>
      <c r="I53" s="991" t="s">
        <v>81</v>
      </c>
      <c r="J53" s="982" t="s">
        <v>18</v>
      </c>
      <c r="K53" s="982" t="s">
        <v>64</v>
      </c>
      <c r="L53" s="992" t="s">
        <v>20</v>
      </c>
      <c r="M53" s="982" t="s">
        <v>83</v>
      </c>
      <c r="N53" s="203"/>
      <c r="O53" s="512"/>
      <c r="P53" s="512"/>
      <c r="Q53" s="512"/>
      <c r="R53" s="512"/>
      <c r="S53" s="512"/>
      <c r="T53" s="512"/>
      <c r="U53" s="512"/>
      <c r="V53" s="512"/>
      <c r="W53" s="512"/>
    </row>
    <row r="54" s="178" customFormat="1" spans="1:23">
      <c r="A54" s="982" t="s">
        <v>78</v>
      </c>
      <c r="B54" s="982" t="s">
        <v>79</v>
      </c>
      <c r="C54" s="982" t="s">
        <v>67</v>
      </c>
      <c r="D54" s="187">
        <v>48</v>
      </c>
      <c r="E54" s="914"/>
      <c r="F54" s="986"/>
      <c r="G54" s="986">
        <f>G53</f>
        <v>45666</v>
      </c>
      <c r="H54" s="987">
        <f>H53</f>
        <v>45685</v>
      </c>
      <c r="I54" s="991" t="s">
        <v>81</v>
      </c>
      <c r="J54" s="982" t="s">
        <v>18</v>
      </c>
      <c r="K54" s="982" t="s">
        <v>64</v>
      </c>
      <c r="L54" s="992" t="s">
        <v>20</v>
      </c>
      <c r="M54" s="982"/>
      <c r="N54" s="203"/>
      <c r="O54" s="512"/>
      <c r="P54" s="512"/>
      <c r="Q54" s="512"/>
      <c r="R54" s="512"/>
      <c r="S54" s="512"/>
      <c r="T54" s="512"/>
      <c r="U54" s="512"/>
      <c r="V54" s="512"/>
      <c r="W54" s="512"/>
    </row>
    <row r="55" s="178" customFormat="1" spans="1:23">
      <c r="A55" s="982" t="s">
        <v>78</v>
      </c>
      <c r="B55" s="982" t="s">
        <v>79</v>
      </c>
      <c r="C55" s="982" t="s">
        <v>77</v>
      </c>
      <c r="D55" s="187">
        <v>48</v>
      </c>
      <c r="E55" s="989" t="s">
        <v>84</v>
      </c>
      <c r="F55" s="986"/>
      <c r="G55" s="986">
        <f>VLOOKUP(CLEAN(SUBSTITUTE(TRIM(MID(E:E,FIND("/",E:E)+1,LEN(E:E)))," ","")),'Customs Decl. &amp; Local Delivery'!D:I,6,0)</f>
        <v>45666</v>
      </c>
      <c r="H55" s="987">
        <f>VLOOKUP(CLEAN(SUBSTITUTE(TRIM(MID(E:E,FIND("/",E:E)+1,LEN(E:E)))," ","")),'Customs Decl. &amp; Local Delivery'!D:J,7,0)</f>
        <v>45685</v>
      </c>
      <c r="I55" s="991" t="s">
        <v>85</v>
      </c>
      <c r="J55" s="982" t="s">
        <v>18</v>
      </c>
      <c r="K55" s="982" t="s">
        <v>64</v>
      </c>
      <c r="L55" s="992" t="s">
        <v>20</v>
      </c>
      <c r="M55" s="982"/>
      <c r="N55" s="203"/>
      <c r="O55" s="512"/>
      <c r="P55" s="512"/>
      <c r="Q55" s="512"/>
      <c r="R55" s="512"/>
      <c r="S55" s="512"/>
      <c r="T55" s="512"/>
      <c r="U55" s="512"/>
      <c r="V55" s="512"/>
      <c r="W55" s="512"/>
    </row>
    <row r="56" s="178" customFormat="1" spans="1:23">
      <c r="A56" s="982" t="s">
        <v>78</v>
      </c>
      <c r="B56" s="982" t="s">
        <v>86</v>
      </c>
      <c r="C56" s="982" t="s">
        <v>24</v>
      </c>
      <c r="D56" s="187">
        <v>400</v>
      </c>
      <c r="E56" s="914"/>
      <c r="F56" s="986"/>
      <c r="G56" s="986">
        <f>G55</f>
        <v>45666</v>
      </c>
      <c r="H56" s="987">
        <f>H55</f>
        <v>45685</v>
      </c>
      <c r="I56" s="991" t="s">
        <v>85</v>
      </c>
      <c r="J56" s="982" t="s">
        <v>18</v>
      </c>
      <c r="K56" s="982" t="s">
        <v>64</v>
      </c>
      <c r="L56" s="992" t="s">
        <v>20</v>
      </c>
      <c r="M56" s="982" t="s">
        <v>87</v>
      </c>
      <c r="N56" s="203"/>
      <c r="O56" s="512"/>
      <c r="P56" s="512"/>
      <c r="Q56" s="512"/>
      <c r="R56" s="512"/>
      <c r="S56" s="512"/>
      <c r="T56" s="512"/>
      <c r="U56" s="512"/>
      <c r="V56" s="512"/>
      <c r="W56" s="512"/>
    </row>
    <row r="57" s="178" customFormat="1" spans="1:23">
      <c r="A57" s="982" t="s">
        <v>78</v>
      </c>
      <c r="B57" s="982" t="s">
        <v>86</v>
      </c>
      <c r="C57" s="982" t="s">
        <v>27</v>
      </c>
      <c r="D57" s="187">
        <v>62</v>
      </c>
      <c r="E57" s="914"/>
      <c r="F57" s="986"/>
      <c r="G57" s="986">
        <f>G56</f>
        <v>45666</v>
      </c>
      <c r="H57" s="987">
        <f>H56</f>
        <v>45685</v>
      </c>
      <c r="I57" s="991" t="s">
        <v>85</v>
      </c>
      <c r="J57" s="982" t="s">
        <v>18</v>
      </c>
      <c r="K57" s="982" t="s">
        <v>64</v>
      </c>
      <c r="L57" s="992" t="s">
        <v>20</v>
      </c>
      <c r="M57" s="982" t="s">
        <v>83</v>
      </c>
      <c r="N57" s="203"/>
      <c r="O57" s="512"/>
      <c r="P57" s="512"/>
      <c r="Q57" s="512"/>
      <c r="R57" s="512"/>
      <c r="S57" s="512"/>
      <c r="T57" s="512"/>
      <c r="U57" s="512"/>
      <c r="V57" s="512"/>
      <c r="W57" s="512"/>
    </row>
    <row r="58" s="178" customFormat="1" spans="1:23">
      <c r="A58" s="982" t="s">
        <v>78</v>
      </c>
      <c r="B58" s="982" t="s">
        <v>86</v>
      </c>
      <c r="C58" s="982" t="s">
        <v>67</v>
      </c>
      <c r="D58" s="187">
        <v>62</v>
      </c>
      <c r="E58" s="914"/>
      <c r="F58" s="986"/>
      <c r="G58" s="986">
        <f>G57</f>
        <v>45666</v>
      </c>
      <c r="H58" s="987">
        <f>H57</f>
        <v>45685</v>
      </c>
      <c r="I58" s="991" t="s">
        <v>85</v>
      </c>
      <c r="J58" s="982" t="s">
        <v>18</v>
      </c>
      <c r="K58" s="982" t="s">
        <v>64</v>
      </c>
      <c r="L58" s="992" t="s">
        <v>20</v>
      </c>
      <c r="M58" s="982"/>
      <c r="N58" s="203"/>
      <c r="O58" s="512"/>
      <c r="P58" s="512"/>
      <c r="Q58" s="512"/>
      <c r="R58" s="512"/>
      <c r="S58" s="512"/>
      <c r="T58" s="512"/>
      <c r="U58" s="512"/>
      <c r="V58" s="512"/>
      <c r="W58" s="512"/>
    </row>
    <row r="59" s="178" customFormat="1" spans="1:23">
      <c r="A59" s="982" t="s">
        <v>78</v>
      </c>
      <c r="B59" s="982" t="s">
        <v>86</v>
      </c>
      <c r="C59" s="982" t="s">
        <v>70</v>
      </c>
      <c r="D59" s="187">
        <v>62</v>
      </c>
      <c r="E59" s="989" t="s">
        <v>88</v>
      </c>
      <c r="F59" s="986"/>
      <c r="G59" s="986">
        <f>VLOOKUP(CLEAN(SUBSTITUTE(TRIM(MID(E:E,FIND("/",E:E)+1,LEN(E:E)))," ","")),'Customs Decl. &amp; Local Delivery'!D:I,6,0)</f>
        <v>45666</v>
      </c>
      <c r="H59" s="987">
        <f>VLOOKUP(CLEAN(SUBSTITUTE(TRIM(MID(E:E,FIND("/",E:E)+1,LEN(E:E)))," ","")),'Customs Decl. &amp; Local Delivery'!D:J,7,0)</f>
        <v>45685</v>
      </c>
      <c r="I59" s="991" t="s">
        <v>86</v>
      </c>
      <c r="J59" s="982" t="s">
        <v>18</v>
      </c>
      <c r="K59" s="982" t="s">
        <v>64</v>
      </c>
      <c r="L59" s="992" t="s">
        <v>20</v>
      </c>
      <c r="M59" s="982"/>
      <c r="N59" s="203"/>
      <c r="O59" s="512"/>
      <c r="P59" s="512"/>
      <c r="Q59" s="512"/>
      <c r="R59" s="512"/>
      <c r="S59" s="512"/>
      <c r="T59" s="512"/>
      <c r="U59" s="512"/>
      <c r="V59" s="512"/>
      <c r="W59" s="512"/>
    </row>
    <row r="60" s="178" customFormat="1" spans="1:23">
      <c r="A60" s="982" t="s">
        <v>72</v>
      </c>
      <c r="B60" s="982" t="s">
        <v>89</v>
      </c>
      <c r="C60" s="982" t="s">
        <v>24</v>
      </c>
      <c r="D60" s="187">
        <v>132</v>
      </c>
      <c r="E60" s="914"/>
      <c r="F60" s="986"/>
      <c r="G60" s="986">
        <f>G59</f>
        <v>45666</v>
      </c>
      <c r="H60" s="987">
        <f>H59</f>
        <v>45685</v>
      </c>
      <c r="I60" s="991" t="s">
        <v>86</v>
      </c>
      <c r="J60" s="982" t="s">
        <v>18</v>
      </c>
      <c r="K60" s="982" t="s">
        <v>64</v>
      </c>
      <c r="L60" s="992" t="s">
        <v>20</v>
      </c>
      <c r="M60" s="982" t="s">
        <v>90</v>
      </c>
      <c r="N60" s="203"/>
      <c r="O60" s="512"/>
      <c r="P60" s="512"/>
      <c r="Q60" s="512"/>
      <c r="R60" s="512"/>
      <c r="S60" s="512"/>
      <c r="T60" s="512"/>
      <c r="U60" s="512"/>
      <c r="V60" s="512"/>
      <c r="W60" s="512"/>
    </row>
    <row r="61" s="178" customFormat="1" spans="1:23">
      <c r="A61" s="982" t="s">
        <v>72</v>
      </c>
      <c r="B61" s="982" t="s">
        <v>89</v>
      </c>
      <c r="C61" s="982" t="s">
        <v>67</v>
      </c>
      <c r="D61" s="187">
        <v>66</v>
      </c>
      <c r="E61" s="914"/>
      <c r="F61" s="986"/>
      <c r="G61" s="986">
        <f>G60</f>
        <v>45666</v>
      </c>
      <c r="H61" s="987">
        <f>H60</f>
        <v>45685</v>
      </c>
      <c r="I61" s="991" t="s">
        <v>86</v>
      </c>
      <c r="J61" s="982" t="s">
        <v>18</v>
      </c>
      <c r="K61" s="982" t="s">
        <v>64</v>
      </c>
      <c r="L61" s="992" t="s">
        <v>20</v>
      </c>
      <c r="M61" s="982" t="s">
        <v>66</v>
      </c>
      <c r="N61" s="203"/>
      <c r="O61" s="512"/>
      <c r="P61" s="512"/>
      <c r="Q61" s="512"/>
      <c r="R61" s="512"/>
      <c r="S61" s="512"/>
      <c r="T61" s="512"/>
      <c r="U61" s="512"/>
      <c r="V61" s="512"/>
      <c r="W61" s="512"/>
    </row>
    <row r="62" s="178" customFormat="1" spans="1:23">
      <c r="A62" s="982" t="s">
        <v>72</v>
      </c>
      <c r="B62" s="982" t="s">
        <v>89</v>
      </c>
      <c r="C62" s="982" t="s">
        <v>91</v>
      </c>
      <c r="D62" s="187">
        <v>66</v>
      </c>
      <c r="E62" s="914"/>
      <c r="F62" s="986"/>
      <c r="G62" s="986">
        <f>G61</f>
        <v>45666</v>
      </c>
      <c r="H62" s="987">
        <f>H61</f>
        <v>45685</v>
      </c>
      <c r="I62" s="991" t="s">
        <v>86</v>
      </c>
      <c r="J62" s="982" t="s">
        <v>18</v>
      </c>
      <c r="K62" s="982" t="s">
        <v>64</v>
      </c>
      <c r="L62" s="992" t="s">
        <v>20</v>
      </c>
      <c r="M62" s="982"/>
      <c r="N62" s="203"/>
      <c r="O62" s="512"/>
      <c r="P62" s="512"/>
      <c r="Q62" s="512"/>
      <c r="R62" s="512"/>
      <c r="S62" s="512"/>
      <c r="T62" s="512"/>
      <c r="U62" s="512"/>
      <c r="V62" s="512"/>
      <c r="W62" s="512"/>
    </row>
    <row r="63" s="178" customFormat="1" spans="1:23">
      <c r="A63" s="982" t="s">
        <v>92</v>
      </c>
      <c r="B63" s="982" t="s">
        <v>93</v>
      </c>
      <c r="C63" s="982" t="s">
        <v>24</v>
      </c>
      <c r="D63" s="187">
        <v>66</v>
      </c>
      <c r="E63" s="989" t="s">
        <v>94</v>
      </c>
      <c r="F63" s="986"/>
      <c r="G63" s="986">
        <f>VLOOKUP(CLEAN(SUBSTITUTE(TRIM(MID(E:E,FIND("/",E:E)+1,LEN(E:E)))," ","")),'Customs Decl. &amp; Local Delivery'!D:I,6,0)</f>
        <v>45666</v>
      </c>
      <c r="H63" s="987">
        <f>VLOOKUP(CLEAN(SUBSTITUTE(TRIM(MID(E:E,FIND("/",E:E)+1,LEN(E:E)))," ","")),'Customs Decl. &amp; Local Delivery'!D:J,7,0)</f>
        <v>45698</v>
      </c>
      <c r="I63" s="991" t="s">
        <v>95</v>
      </c>
      <c r="J63" s="982" t="s">
        <v>18</v>
      </c>
      <c r="K63" s="982" t="s">
        <v>64</v>
      </c>
      <c r="L63" s="992" t="s">
        <v>20</v>
      </c>
      <c r="M63" s="982" t="s">
        <v>96</v>
      </c>
      <c r="N63" s="203"/>
      <c r="O63" s="512"/>
      <c r="P63" s="512"/>
      <c r="Q63" s="512"/>
      <c r="R63" s="512"/>
      <c r="S63" s="512"/>
      <c r="T63" s="512"/>
      <c r="U63" s="512"/>
      <c r="V63" s="512"/>
      <c r="W63" s="512"/>
    </row>
    <row r="64" s="178" customFormat="1" spans="1:23">
      <c r="A64" s="982" t="s">
        <v>92</v>
      </c>
      <c r="B64" s="982" t="s">
        <v>93</v>
      </c>
      <c r="C64" s="982" t="s">
        <v>27</v>
      </c>
      <c r="D64" s="187">
        <v>44</v>
      </c>
      <c r="E64" s="914"/>
      <c r="F64" s="986"/>
      <c r="G64" s="986">
        <f>G63</f>
        <v>45666</v>
      </c>
      <c r="H64" s="987">
        <f>H63</f>
        <v>45698</v>
      </c>
      <c r="I64" s="991" t="s">
        <v>95</v>
      </c>
      <c r="J64" s="982" t="s">
        <v>18</v>
      </c>
      <c r="K64" s="982" t="s">
        <v>64</v>
      </c>
      <c r="L64" s="992" t="s">
        <v>20</v>
      </c>
      <c r="M64" s="982" t="s">
        <v>97</v>
      </c>
      <c r="N64" s="203"/>
      <c r="O64" s="512"/>
      <c r="P64" s="512"/>
      <c r="Q64" s="512"/>
      <c r="R64" s="512"/>
      <c r="S64" s="512"/>
      <c r="T64" s="512"/>
      <c r="U64" s="512"/>
      <c r="V64" s="512"/>
      <c r="W64" s="512"/>
    </row>
    <row r="65" s="178" customFormat="1" spans="1:23">
      <c r="A65" s="982" t="s">
        <v>92</v>
      </c>
      <c r="B65" s="993" t="s">
        <v>93</v>
      </c>
      <c r="C65" s="982" t="s">
        <v>67</v>
      </c>
      <c r="D65" s="187">
        <v>44</v>
      </c>
      <c r="E65" s="914"/>
      <c r="F65" s="986"/>
      <c r="G65" s="986">
        <f>G64</f>
        <v>45666</v>
      </c>
      <c r="H65" s="987">
        <f>H64</f>
        <v>45698</v>
      </c>
      <c r="I65" s="991" t="s">
        <v>95</v>
      </c>
      <c r="J65" s="982" t="s">
        <v>18</v>
      </c>
      <c r="K65" s="982" t="s">
        <v>64</v>
      </c>
      <c r="L65" s="992" t="s">
        <v>20</v>
      </c>
      <c r="M65" s="982"/>
      <c r="N65" s="203"/>
      <c r="O65" s="512"/>
      <c r="P65" s="512"/>
      <c r="Q65" s="512"/>
      <c r="R65" s="512"/>
      <c r="S65" s="512"/>
      <c r="T65" s="512"/>
      <c r="U65" s="512"/>
      <c r="V65" s="512"/>
      <c r="W65" s="512"/>
    </row>
    <row r="66" s="178" customFormat="1" spans="1:23">
      <c r="A66" s="982" t="s">
        <v>92</v>
      </c>
      <c r="B66" s="982" t="s">
        <v>93</v>
      </c>
      <c r="C66" s="982" t="s">
        <v>70</v>
      </c>
      <c r="D66" s="187">
        <v>44</v>
      </c>
      <c r="E66" s="914"/>
      <c r="F66" s="986"/>
      <c r="G66" s="986">
        <f>G65</f>
        <v>45666</v>
      </c>
      <c r="H66" s="987">
        <f>H65</f>
        <v>45698</v>
      </c>
      <c r="I66" s="991" t="s">
        <v>95</v>
      </c>
      <c r="J66" s="982" t="s">
        <v>18</v>
      </c>
      <c r="K66" s="982" t="s">
        <v>64</v>
      </c>
      <c r="L66" s="992" t="s">
        <v>20</v>
      </c>
      <c r="M66" s="982" t="s">
        <v>98</v>
      </c>
      <c r="N66" s="203"/>
      <c r="O66" s="512"/>
      <c r="P66" s="512"/>
      <c r="Q66" s="512"/>
      <c r="R66" s="512"/>
      <c r="S66" s="512"/>
      <c r="T66" s="512"/>
      <c r="U66" s="512"/>
      <c r="V66" s="512"/>
      <c r="W66" s="512"/>
    </row>
    <row r="67" s="178" customFormat="1" spans="1:23">
      <c r="A67" s="982" t="s">
        <v>92</v>
      </c>
      <c r="B67" s="982" t="s">
        <v>93</v>
      </c>
      <c r="C67" s="982" t="s">
        <v>91</v>
      </c>
      <c r="D67" s="187">
        <v>66</v>
      </c>
      <c r="E67" s="914"/>
      <c r="F67" s="986"/>
      <c r="G67" s="986">
        <f>G66</f>
        <v>45666</v>
      </c>
      <c r="H67" s="987">
        <f>H66</f>
        <v>45698</v>
      </c>
      <c r="I67" s="991" t="s">
        <v>95</v>
      </c>
      <c r="J67" s="982" t="s">
        <v>18</v>
      </c>
      <c r="K67" s="982" t="s">
        <v>64</v>
      </c>
      <c r="L67" s="992" t="s">
        <v>20</v>
      </c>
      <c r="M67" s="996"/>
      <c r="N67" s="203"/>
      <c r="O67" s="512"/>
      <c r="P67" s="512"/>
      <c r="Q67" s="512"/>
      <c r="R67" s="512"/>
      <c r="S67" s="512"/>
      <c r="T67" s="512"/>
      <c r="U67" s="512"/>
      <c r="V67" s="512"/>
      <c r="W67" s="512"/>
    </row>
    <row r="68" s="178" customFormat="1" spans="1:23">
      <c r="A68" s="982" t="s">
        <v>72</v>
      </c>
      <c r="B68" s="982" t="s">
        <v>99</v>
      </c>
      <c r="C68" s="982" t="s">
        <v>24</v>
      </c>
      <c r="D68" s="187">
        <v>96</v>
      </c>
      <c r="E68" s="989" t="s">
        <v>100</v>
      </c>
      <c r="F68" s="986"/>
      <c r="G68" s="986">
        <f>VLOOKUP(CLEAN(SUBSTITUTE(TRIM(MID(E:E,FIND("/",E:E)+1,LEN(E:E)))," ","")),'Customs Decl. &amp; Local Delivery'!D:I,6,0)</f>
        <v>45666</v>
      </c>
      <c r="H68" s="987">
        <f>VLOOKUP(CLEAN(SUBSTITUTE(TRIM(MID(E:E,FIND("/",E:E)+1,LEN(E:E)))," ","")),'Customs Decl. &amp; Local Delivery'!D:J,7,0)</f>
        <v>45698</v>
      </c>
      <c r="I68" s="991" t="s">
        <v>95</v>
      </c>
      <c r="J68" s="982" t="s">
        <v>18</v>
      </c>
      <c r="K68" s="982" t="s">
        <v>64</v>
      </c>
      <c r="L68" s="992" t="s">
        <v>20</v>
      </c>
      <c r="M68" s="982" t="s">
        <v>101</v>
      </c>
      <c r="N68" s="203"/>
      <c r="O68" s="512"/>
      <c r="P68" s="512"/>
      <c r="Q68" s="512"/>
      <c r="R68" s="512"/>
      <c r="S68" s="512"/>
      <c r="T68" s="512"/>
      <c r="U68" s="512"/>
      <c r="V68" s="512"/>
      <c r="W68" s="512"/>
    </row>
    <row r="69" s="178" customFormat="1" spans="1:23">
      <c r="A69" s="982" t="s">
        <v>72</v>
      </c>
      <c r="B69" s="982" t="s">
        <v>99</v>
      </c>
      <c r="C69" s="982" t="s">
        <v>27</v>
      </c>
      <c r="D69" s="187">
        <v>48</v>
      </c>
      <c r="E69" s="914"/>
      <c r="F69" s="986"/>
      <c r="G69" s="986">
        <f>G68</f>
        <v>45666</v>
      </c>
      <c r="H69" s="987">
        <f>H68</f>
        <v>45698</v>
      </c>
      <c r="I69" s="991" t="s">
        <v>95</v>
      </c>
      <c r="J69" s="982" t="s">
        <v>18</v>
      </c>
      <c r="K69" s="982" t="s">
        <v>64</v>
      </c>
      <c r="L69" s="992" t="s">
        <v>20</v>
      </c>
      <c r="M69" s="982" t="s">
        <v>102</v>
      </c>
      <c r="N69" s="203"/>
      <c r="O69" s="512"/>
      <c r="P69" s="512"/>
      <c r="Q69" s="512"/>
      <c r="R69" s="512"/>
      <c r="S69" s="512"/>
      <c r="T69" s="512"/>
      <c r="U69" s="512"/>
      <c r="V69" s="512"/>
      <c r="W69" s="512"/>
    </row>
    <row r="70" s="178" customFormat="1" spans="1:23">
      <c r="A70" s="982" t="s">
        <v>72</v>
      </c>
      <c r="B70" s="982" t="s">
        <v>99</v>
      </c>
      <c r="C70" s="982" t="s">
        <v>67</v>
      </c>
      <c r="D70" s="187">
        <v>48</v>
      </c>
      <c r="E70" s="914"/>
      <c r="F70" s="986"/>
      <c r="G70" s="986">
        <f>G69</f>
        <v>45666</v>
      </c>
      <c r="H70" s="987">
        <f>H69</f>
        <v>45698</v>
      </c>
      <c r="I70" s="991" t="s">
        <v>95</v>
      </c>
      <c r="J70" s="982" t="s">
        <v>18</v>
      </c>
      <c r="K70" s="982" t="s">
        <v>64</v>
      </c>
      <c r="L70" s="992" t="s">
        <v>20</v>
      </c>
      <c r="M70" s="982" t="s">
        <v>97</v>
      </c>
      <c r="N70" s="203"/>
      <c r="O70" s="512"/>
      <c r="P70" s="512"/>
      <c r="Q70" s="512"/>
      <c r="R70" s="512"/>
      <c r="S70" s="512"/>
      <c r="T70" s="512"/>
      <c r="U70" s="512"/>
      <c r="V70" s="512"/>
      <c r="W70" s="512"/>
    </row>
    <row r="71" s="178" customFormat="1" spans="1:23">
      <c r="A71" s="982" t="s">
        <v>72</v>
      </c>
      <c r="B71" s="982" t="s">
        <v>99</v>
      </c>
      <c r="C71" s="982" t="s">
        <v>77</v>
      </c>
      <c r="D71" s="187">
        <v>48</v>
      </c>
      <c r="E71" s="914"/>
      <c r="F71" s="986"/>
      <c r="G71" s="986">
        <f>G70</f>
        <v>45666</v>
      </c>
      <c r="H71" s="987">
        <f>H70</f>
        <v>45698</v>
      </c>
      <c r="I71" s="991" t="s">
        <v>95</v>
      </c>
      <c r="J71" s="982" t="s">
        <v>18</v>
      </c>
      <c r="K71" s="982" t="s">
        <v>64</v>
      </c>
      <c r="L71" s="992" t="s">
        <v>20</v>
      </c>
      <c r="M71" s="982" t="s">
        <v>98</v>
      </c>
      <c r="N71" s="203"/>
      <c r="O71" s="512"/>
      <c r="P71" s="512"/>
      <c r="Q71" s="512"/>
      <c r="R71" s="512"/>
      <c r="S71" s="512"/>
      <c r="T71" s="512"/>
      <c r="U71" s="512"/>
      <c r="V71" s="512"/>
      <c r="W71" s="512"/>
    </row>
    <row r="72" s="178" customFormat="1" spans="1:23">
      <c r="A72" s="982" t="s">
        <v>13</v>
      </c>
      <c r="B72" s="982" t="s">
        <v>103</v>
      </c>
      <c r="C72" s="983" t="s">
        <v>104</v>
      </c>
      <c r="D72" s="984">
        <v>25</v>
      </c>
      <c r="E72" s="994" t="s">
        <v>105</v>
      </c>
      <c r="F72" s="986"/>
      <c r="G72" s="986">
        <f>VLOOKUP(CLEAN(SUBSTITUTE(TRIM(MID(E:E,FIND("/",E:E)+1,LEN(E:E)))," ","")),'Customs Decl. &amp; Local Delivery'!D:I,6,0)</f>
        <v>45667</v>
      </c>
      <c r="H72" s="987">
        <f>VLOOKUP(CLEAN(SUBSTITUTE(TRIM(MID(E:E,FIND("/",E:E)+1,LEN(E:E)))," ","")),'Customs Decl. &amp; Local Delivery'!D:J,7,0)</f>
        <v>45678</v>
      </c>
      <c r="I72" s="991" t="s">
        <v>106</v>
      </c>
      <c r="J72" s="982" t="s">
        <v>39</v>
      </c>
      <c r="K72" s="982" t="s">
        <v>107</v>
      </c>
      <c r="L72" s="992" t="s">
        <v>20</v>
      </c>
      <c r="M72" s="993" t="s">
        <v>108</v>
      </c>
      <c r="N72" s="203"/>
      <c r="O72" s="512"/>
      <c r="P72" s="512"/>
      <c r="Q72" s="512"/>
      <c r="R72" s="512"/>
      <c r="S72" s="512"/>
      <c r="T72" s="512"/>
      <c r="U72" s="512"/>
      <c r="V72" s="512"/>
      <c r="W72" s="512"/>
    </row>
    <row r="73" s="178" customFormat="1" spans="1:23">
      <c r="A73" s="982" t="s">
        <v>13</v>
      </c>
      <c r="B73" s="982" t="s">
        <v>103</v>
      </c>
      <c r="C73" s="983" t="s">
        <v>109</v>
      </c>
      <c r="D73" s="984">
        <v>25</v>
      </c>
      <c r="E73" s="914"/>
      <c r="F73" s="986"/>
      <c r="G73" s="986">
        <f t="shared" ref="G73:G83" si="6">G72</f>
        <v>45667</v>
      </c>
      <c r="H73" s="987">
        <f t="shared" ref="H73:H83" si="7">H72</f>
        <v>45678</v>
      </c>
      <c r="I73" s="991" t="s">
        <v>106</v>
      </c>
      <c r="J73" s="982" t="s">
        <v>39</v>
      </c>
      <c r="K73" s="982" t="s">
        <v>107</v>
      </c>
      <c r="L73" s="992" t="s">
        <v>20</v>
      </c>
      <c r="M73" s="982" t="s">
        <v>110</v>
      </c>
      <c r="N73" s="203"/>
      <c r="O73" s="512"/>
      <c r="P73" s="512"/>
      <c r="Q73" s="512"/>
      <c r="R73" s="512"/>
      <c r="S73" s="512"/>
      <c r="T73" s="512"/>
      <c r="U73" s="512"/>
      <c r="V73" s="512"/>
      <c r="W73" s="512"/>
    </row>
    <row r="74" s="178" customFormat="1" spans="1:23">
      <c r="A74" s="982" t="s">
        <v>13</v>
      </c>
      <c r="B74" s="982" t="s">
        <v>103</v>
      </c>
      <c r="C74" s="983" t="s">
        <v>111</v>
      </c>
      <c r="D74" s="984">
        <v>65</v>
      </c>
      <c r="E74" s="914"/>
      <c r="F74" s="986"/>
      <c r="G74" s="986">
        <f t="shared" si="6"/>
        <v>45667</v>
      </c>
      <c r="H74" s="987">
        <f t="shared" si="7"/>
        <v>45678</v>
      </c>
      <c r="I74" s="991" t="s">
        <v>106</v>
      </c>
      <c r="J74" s="982" t="s">
        <v>39</v>
      </c>
      <c r="K74" s="982" t="s">
        <v>107</v>
      </c>
      <c r="L74" s="992" t="s">
        <v>20</v>
      </c>
      <c r="M74" s="982"/>
      <c r="N74" s="203"/>
      <c r="O74" s="512"/>
      <c r="P74" s="512"/>
      <c r="Q74" s="512"/>
      <c r="R74" s="512"/>
      <c r="S74" s="512"/>
      <c r="T74" s="512"/>
      <c r="U74" s="512"/>
      <c r="V74" s="512"/>
      <c r="W74" s="512"/>
    </row>
    <row r="75" s="178" customFormat="1" spans="1:23">
      <c r="A75" s="982" t="s">
        <v>13</v>
      </c>
      <c r="B75" s="982" t="s">
        <v>103</v>
      </c>
      <c r="C75" s="983" t="s">
        <v>112</v>
      </c>
      <c r="D75" s="984">
        <v>65</v>
      </c>
      <c r="E75" s="914"/>
      <c r="F75" s="986"/>
      <c r="G75" s="986">
        <f t="shared" si="6"/>
        <v>45667</v>
      </c>
      <c r="H75" s="987">
        <f t="shared" si="7"/>
        <v>45678</v>
      </c>
      <c r="I75" s="991" t="s">
        <v>106</v>
      </c>
      <c r="J75" s="982" t="s">
        <v>39</v>
      </c>
      <c r="K75" s="982" t="s">
        <v>107</v>
      </c>
      <c r="L75" s="992" t="s">
        <v>20</v>
      </c>
      <c r="M75" s="997" t="s">
        <v>113</v>
      </c>
      <c r="N75" s="203"/>
      <c r="O75" s="512"/>
      <c r="P75" s="512"/>
      <c r="Q75" s="512"/>
      <c r="R75" s="512"/>
      <c r="S75" s="512"/>
      <c r="T75" s="512"/>
      <c r="U75" s="512"/>
      <c r="V75" s="512"/>
      <c r="W75" s="512"/>
    </row>
    <row r="76" s="178" customFormat="1" spans="1:23">
      <c r="A76" s="982" t="s">
        <v>13</v>
      </c>
      <c r="B76" s="982" t="s">
        <v>103</v>
      </c>
      <c r="C76" s="983" t="s">
        <v>114</v>
      </c>
      <c r="D76" s="984">
        <v>25</v>
      </c>
      <c r="E76" s="914"/>
      <c r="F76" s="986"/>
      <c r="G76" s="986">
        <f t="shared" si="6"/>
        <v>45667</v>
      </c>
      <c r="H76" s="987">
        <f t="shared" si="7"/>
        <v>45678</v>
      </c>
      <c r="I76" s="991" t="s">
        <v>106</v>
      </c>
      <c r="J76" s="982" t="s">
        <v>39</v>
      </c>
      <c r="K76" s="982" t="s">
        <v>107</v>
      </c>
      <c r="L76" s="992" t="s">
        <v>20</v>
      </c>
      <c r="M76" s="982"/>
      <c r="N76" s="203"/>
      <c r="O76" s="512"/>
      <c r="P76" s="512"/>
      <c r="Q76" s="512"/>
      <c r="R76" s="512"/>
      <c r="S76" s="512"/>
      <c r="T76" s="512"/>
      <c r="U76" s="512"/>
      <c r="V76" s="512"/>
      <c r="W76" s="512"/>
    </row>
    <row r="77" s="178" customFormat="1" spans="1:23">
      <c r="A77" s="982" t="s">
        <v>13</v>
      </c>
      <c r="B77" s="982" t="s">
        <v>103</v>
      </c>
      <c r="C77" s="983" t="s">
        <v>115</v>
      </c>
      <c r="D77" s="984">
        <v>25</v>
      </c>
      <c r="E77" s="914"/>
      <c r="F77" s="986"/>
      <c r="G77" s="986">
        <f t="shared" si="6"/>
        <v>45667</v>
      </c>
      <c r="H77" s="987">
        <f t="shared" si="7"/>
        <v>45678</v>
      </c>
      <c r="I77" s="991" t="s">
        <v>106</v>
      </c>
      <c r="J77" s="982" t="s">
        <v>39</v>
      </c>
      <c r="K77" s="982" t="s">
        <v>107</v>
      </c>
      <c r="L77" s="992" t="s">
        <v>20</v>
      </c>
      <c r="M77" s="982"/>
      <c r="N77" s="203"/>
      <c r="O77" s="512"/>
      <c r="P77" s="512"/>
      <c r="Q77" s="512"/>
      <c r="R77" s="512"/>
      <c r="S77" s="512"/>
      <c r="T77" s="512"/>
      <c r="U77" s="512"/>
      <c r="V77" s="512"/>
      <c r="W77" s="512"/>
    </row>
    <row r="78" s="178" customFormat="1" spans="1:23">
      <c r="A78" s="982" t="s">
        <v>13</v>
      </c>
      <c r="B78" s="982" t="s">
        <v>103</v>
      </c>
      <c r="C78" s="983" t="s">
        <v>116</v>
      </c>
      <c r="D78" s="984">
        <v>30</v>
      </c>
      <c r="E78" s="914"/>
      <c r="F78" s="986"/>
      <c r="G78" s="986">
        <f t="shared" si="6"/>
        <v>45667</v>
      </c>
      <c r="H78" s="987">
        <f t="shared" si="7"/>
        <v>45678</v>
      </c>
      <c r="I78" s="991" t="s">
        <v>106</v>
      </c>
      <c r="J78" s="982" t="s">
        <v>39</v>
      </c>
      <c r="K78" s="982" t="s">
        <v>107</v>
      </c>
      <c r="L78" s="992" t="s">
        <v>20</v>
      </c>
      <c r="M78" s="982"/>
      <c r="N78" s="203"/>
      <c r="O78" s="512"/>
      <c r="P78" s="512"/>
      <c r="Q78" s="512"/>
      <c r="R78" s="512"/>
      <c r="S78" s="512"/>
      <c r="T78" s="512"/>
      <c r="U78" s="512"/>
      <c r="V78" s="512"/>
      <c r="W78" s="512"/>
    </row>
    <row r="79" s="178" customFormat="1" spans="1:23">
      <c r="A79" s="982" t="s">
        <v>13</v>
      </c>
      <c r="B79" s="982" t="s">
        <v>103</v>
      </c>
      <c r="C79" s="983" t="s">
        <v>117</v>
      </c>
      <c r="D79" s="984">
        <v>30</v>
      </c>
      <c r="E79" s="914"/>
      <c r="F79" s="986"/>
      <c r="G79" s="986">
        <f t="shared" si="6"/>
        <v>45667</v>
      </c>
      <c r="H79" s="987">
        <f t="shared" si="7"/>
        <v>45678</v>
      </c>
      <c r="I79" s="991" t="s">
        <v>106</v>
      </c>
      <c r="J79" s="982" t="s">
        <v>39</v>
      </c>
      <c r="K79" s="982" t="s">
        <v>107</v>
      </c>
      <c r="L79" s="992" t="s">
        <v>20</v>
      </c>
      <c r="M79" s="982"/>
      <c r="N79" s="203"/>
      <c r="O79" s="512"/>
      <c r="P79" s="512"/>
      <c r="Q79" s="512"/>
      <c r="R79" s="512"/>
      <c r="S79" s="512"/>
      <c r="T79" s="512"/>
      <c r="U79" s="512"/>
      <c r="V79" s="512"/>
      <c r="W79" s="512"/>
    </row>
    <row r="80" s="178" customFormat="1" spans="1:23">
      <c r="A80" s="982" t="s">
        <v>13</v>
      </c>
      <c r="B80" s="982" t="s">
        <v>103</v>
      </c>
      <c r="C80" s="983" t="s">
        <v>118</v>
      </c>
      <c r="D80" s="984">
        <v>30</v>
      </c>
      <c r="E80" s="914"/>
      <c r="F80" s="986"/>
      <c r="G80" s="986">
        <f t="shared" si="6"/>
        <v>45667</v>
      </c>
      <c r="H80" s="987">
        <f t="shared" si="7"/>
        <v>45678</v>
      </c>
      <c r="I80" s="991" t="s">
        <v>106</v>
      </c>
      <c r="J80" s="982" t="s">
        <v>39</v>
      </c>
      <c r="K80" s="982" t="s">
        <v>107</v>
      </c>
      <c r="L80" s="992" t="s">
        <v>20</v>
      </c>
      <c r="M80" s="982"/>
      <c r="N80" s="203"/>
      <c r="O80" s="512"/>
      <c r="P80" s="512"/>
      <c r="Q80" s="512"/>
      <c r="R80" s="512"/>
      <c r="S80" s="512"/>
      <c r="T80" s="512"/>
      <c r="U80" s="512"/>
      <c r="V80" s="512"/>
      <c r="W80" s="512"/>
    </row>
    <row r="81" s="178" customFormat="1" spans="1:23">
      <c r="A81" s="982" t="s">
        <v>13</v>
      </c>
      <c r="B81" s="982" t="s">
        <v>103</v>
      </c>
      <c r="C81" s="983" t="s">
        <v>119</v>
      </c>
      <c r="D81" s="984">
        <v>30</v>
      </c>
      <c r="E81" s="914"/>
      <c r="F81" s="986"/>
      <c r="G81" s="986">
        <f t="shared" si="6"/>
        <v>45667</v>
      </c>
      <c r="H81" s="987">
        <f t="shared" si="7"/>
        <v>45678</v>
      </c>
      <c r="I81" s="991" t="s">
        <v>106</v>
      </c>
      <c r="J81" s="982" t="s">
        <v>39</v>
      </c>
      <c r="K81" s="982" t="s">
        <v>107</v>
      </c>
      <c r="L81" s="992" t="s">
        <v>20</v>
      </c>
      <c r="M81" s="982"/>
      <c r="N81" s="203"/>
      <c r="O81" s="512"/>
      <c r="P81" s="512"/>
      <c r="Q81" s="512"/>
      <c r="R81" s="512"/>
      <c r="S81" s="512"/>
      <c r="T81" s="512"/>
      <c r="U81" s="512"/>
      <c r="V81" s="512"/>
      <c r="W81" s="512"/>
    </row>
    <row r="82" s="178" customFormat="1" spans="1:23">
      <c r="A82" s="982" t="s">
        <v>13</v>
      </c>
      <c r="B82" s="982" t="s">
        <v>103</v>
      </c>
      <c r="C82" s="983" t="s">
        <v>120</v>
      </c>
      <c r="D82" s="984">
        <v>10</v>
      </c>
      <c r="E82" s="914"/>
      <c r="F82" s="986"/>
      <c r="G82" s="986">
        <f t="shared" si="6"/>
        <v>45667</v>
      </c>
      <c r="H82" s="987">
        <f t="shared" si="7"/>
        <v>45678</v>
      </c>
      <c r="I82" s="991" t="s">
        <v>106</v>
      </c>
      <c r="J82" s="982" t="s">
        <v>39</v>
      </c>
      <c r="K82" s="982" t="s">
        <v>107</v>
      </c>
      <c r="L82" s="992" t="s">
        <v>20</v>
      </c>
      <c r="M82" s="982"/>
      <c r="N82" s="203"/>
      <c r="O82" s="512"/>
      <c r="P82" s="512"/>
      <c r="Q82" s="512"/>
      <c r="R82" s="512"/>
      <c r="S82" s="512"/>
      <c r="T82" s="512"/>
      <c r="U82" s="512"/>
      <c r="V82" s="512"/>
      <c r="W82" s="512"/>
    </row>
    <row r="83" s="178" customFormat="1" spans="1:23">
      <c r="A83" s="982" t="s">
        <v>13</v>
      </c>
      <c r="B83" s="982" t="s">
        <v>103</v>
      </c>
      <c r="C83" s="983" t="s">
        <v>121</v>
      </c>
      <c r="D83" s="984">
        <v>10</v>
      </c>
      <c r="E83" s="914"/>
      <c r="F83" s="986"/>
      <c r="G83" s="986">
        <f t="shared" si="6"/>
        <v>45667</v>
      </c>
      <c r="H83" s="987">
        <f t="shared" si="7"/>
        <v>45678</v>
      </c>
      <c r="I83" s="991" t="s">
        <v>106</v>
      </c>
      <c r="J83" s="982" t="s">
        <v>39</v>
      </c>
      <c r="K83" s="982" t="s">
        <v>107</v>
      </c>
      <c r="L83" s="992" t="s">
        <v>20</v>
      </c>
      <c r="M83" s="982"/>
      <c r="N83" s="203"/>
      <c r="O83" s="512"/>
      <c r="P83" s="512"/>
      <c r="Q83" s="512"/>
      <c r="R83" s="512"/>
      <c r="S83" s="512"/>
      <c r="T83" s="512"/>
      <c r="U83" s="512"/>
      <c r="V83" s="512"/>
      <c r="W83" s="512"/>
    </row>
    <row r="84" s="178" customFormat="1" spans="1:23">
      <c r="A84" s="982" t="s">
        <v>13</v>
      </c>
      <c r="B84" s="982" t="s">
        <v>122</v>
      </c>
      <c r="C84" s="995" t="s">
        <v>104</v>
      </c>
      <c r="D84" s="984">
        <v>25</v>
      </c>
      <c r="E84" s="994" t="s">
        <v>123</v>
      </c>
      <c r="F84" s="986"/>
      <c r="G84" s="986">
        <f>VLOOKUP(CLEAN(SUBSTITUTE(TRIM(MID(E:E,FIND("/",E:E)+1,LEN(E:E)))," ","")),'Customs Decl. &amp; Local Delivery'!D:I,6,0)</f>
        <v>45667</v>
      </c>
      <c r="H84" s="987">
        <f>VLOOKUP(CLEAN(SUBSTITUTE(TRIM(MID(E:E,FIND("/",E:E)+1,LEN(E:E)))," ","")),'Customs Decl. &amp; Local Delivery'!D:J,7,0)</f>
        <v>45678</v>
      </c>
      <c r="I84" s="991" t="s">
        <v>124</v>
      </c>
      <c r="J84" s="982" t="s">
        <v>39</v>
      </c>
      <c r="K84" s="982" t="s">
        <v>107</v>
      </c>
      <c r="L84" s="992" t="s">
        <v>20</v>
      </c>
      <c r="M84" s="982" t="s">
        <v>125</v>
      </c>
      <c r="N84" s="203"/>
      <c r="O84" s="512"/>
      <c r="P84" s="512"/>
      <c r="Q84" s="512"/>
      <c r="R84" s="512"/>
      <c r="S84" s="512"/>
      <c r="T84" s="512"/>
      <c r="U84" s="512"/>
      <c r="V84" s="512"/>
      <c r="W84" s="512"/>
    </row>
    <row r="85" s="178" customFormat="1" spans="1:23">
      <c r="A85" s="982" t="s">
        <v>13</v>
      </c>
      <c r="B85" s="982" t="s">
        <v>122</v>
      </c>
      <c r="C85" s="995" t="s">
        <v>109</v>
      </c>
      <c r="D85" s="984">
        <v>25</v>
      </c>
      <c r="E85" s="914"/>
      <c r="F85" s="986"/>
      <c r="G85" s="986">
        <f t="shared" ref="G85:G95" si="8">G84</f>
        <v>45667</v>
      </c>
      <c r="H85" s="987">
        <f t="shared" ref="H85:H95" si="9">H84</f>
        <v>45678</v>
      </c>
      <c r="I85" s="991" t="s">
        <v>124</v>
      </c>
      <c r="J85" s="982" t="s">
        <v>39</v>
      </c>
      <c r="K85" s="998" t="s">
        <v>107</v>
      </c>
      <c r="L85" s="992" t="s">
        <v>20</v>
      </c>
      <c r="M85" s="982" t="s">
        <v>126</v>
      </c>
      <c r="N85" s="203"/>
      <c r="O85" s="512"/>
      <c r="P85" s="512"/>
      <c r="Q85" s="512"/>
      <c r="R85" s="512"/>
      <c r="S85" s="512"/>
      <c r="T85" s="512"/>
      <c r="U85" s="512"/>
      <c r="V85" s="512"/>
      <c r="W85" s="512"/>
    </row>
    <row r="86" s="178" customFormat="1" spans="1:23">
      <c r="A86" s="982" t="s">
        <v>13</v>
      </c>
      <c r="B86" s="982" t="s">
        <v>122</v>
      </c>
      <c r="C86" s="995" t="s">
        <v>111</v>
      </c>
      <c r="D86" s="984">
        <v>65</v>
      </c>
      <c r="E86" s="914"/>
      <c r="F86" s="986"/>
      <c r="G86" s="986">
        <f t="shared" si="8"/>
        <v>45667</v>
      </c>
      <c r="H86" s="987">
        <f t="shared" si="9"/>
        <v>45678</v>
      </c>
      <c r="I86" s="991" t="s">
        <v>124</v>
      </c>
      <c r="J86" s="982" t="s">
        <v>39</v>
      </c>
      <c r="K86" s="998" t="s">
        <v>107</v>
      </c>
      <c r="L86" s="992" t="s">
        <v>20</v>
      </c>
      <c r="M86" s="982"/>
      <c r="N86" s="203"/>
      <c r="O86" s="512"/>
      <c r="P86" s="512"/>
      <c r="Q86" s="512"/>
      <c r="R86" s="512"/>
      <c r="S86" s="512"/>
      <c r="T86" s="512"/>
      <c r="U86" s="512"/>
      <c r="V86" s="512"/>
      <c r="W86" s="512"/>
    </row>
    <row r="87" s="178" customFormat="1" spans="1:23">
      <c r="A87" s="982" t="s">
        <v>13</v>
      </c>
      <c r="B87" s="982" t="s">
        <v>122</v>
      </c>
      <c r="C87" s="995" t="s">
        <v>112</v>
      </c>
      <c r="D87" s="984">
        <v>65</v>
      </c>
      <c r="E87" s="914"/>
      <c r="F87" s="986"/>
      <c r="G87" s="986">
        <f t="shared" si="8"/>
        <v>45667</v>
      </c>
      <c r="H87" s="987">
        <f t="shared" si="9"/>
        <v>45678</v>
      </c>
      <c r="I87" s="991" t="s">
        <v>124</v>
      </c>
      <c r="J87" s="982" t="s">
        <v>39</v>
      </c>
      <c r="K87" s="998" t="s">
        <v>107</v>
      </c>
      <c r="L87" s="992" t="s">
        <v>20</v>
      </c>
      <c r="M87" s="997" t="s">
        <v>113</v>
      </c>
      <c r="N87" s="203"/>
      <c r="O87" s="512"/>
      <c r="P87" s="512"/>
      <c r="Q87" s="512"/>
      <c r="R87" s="512"/>
      <c r="S87" s="512"/>
      <c r="T87" s="512"/>
      <c r="U87" s="512"/>
      <c r="V87" s="512"/>
      <c r="W87" s="512"/>
    </row>
    <row r="88" s="178" customFormat="1" spans="1:23">
      <c r="A88" s="982" t="s">
        <v>13</v>
      </c>
      <c r="B88" s="982" t="s">
        <v>122</v>
      </c>
      <c r="C88" s="995" t="s">
        <v>114</v>
      </c>
      <c r="D88" s="984">
        <v>25</v>
      </c>
      <c r="E88" s="914"/>
      <c r="F88" s="986"/>
      <c r="G88" s="986">
        <f t="shared" si="8"/>
        <v>45667</v>
      </c>
      <c r="H88" s="987">
        <f t="shared" si="9"/>
        <v>45678</v>
      </c>
      <c r="I88" s="991" t="s">
        <v>124</v>
      </c>
      <c r="J88" s="982" t="s">
        <v>39</v>
      </c>
      <c r="K88" s="998" t="s">
        <v>107</v>
      </c>
      <c r="L88" s="992" t="s">
        <v>20</v>
      </c>
      <c r="M88" s="982"/>
      <c r="N88" s="203"/>
      <c r="O88" s="512"/>
      <c r="P88" s="512"/>
      <c r="Q88" s="512"/>
      <c r="R88" s="512"/>
      <c r="S88" s="512"/>
      <c r="T88" s="512"/>
      <c r="U88" s="512"/>
      <c r="V88" s="512"/>
      <c r="W88" s="512"/>
    </row>
    <row r="89" s="178" customFormat="1" spans="1:23">
      <c r="A89" s="982" t="s">
        <v>13</v>
      </c>
      <c r="B89" s="982" t="s">
        <v>122</v>
      </c>
      <c r="C89" s="995" t="s">
        <v>115</v>
      </c>
      <c r="D89" s="984">
        <v>25</v>
      </c>
      <c r="E89" s="914"/>
      <c r="F89" s="986"/>
      <c r="G89" s="986">
        <f t="shared" si="8"/>
        <v>45667</v>
      </c>
      <c r="H89" s="987">
        <f t="shared" si="9"/>
        <v>45678</v>
      </c>
      <c r="I89" s="991" t="s">
        <v>124</v>
      </c>
      <c r="J89" s="982" t="s">
        <v>39</v>
      </c>
      <c r="K89" s="998" t="s">
        <v>107</v>
      </c>
      <c r="L89" s="992" t="s">
        <v>20</v>
      </c>
      <c r="M89" s="982"/>
      <c r="N89" s="203"/>
      <c r="O89" s="512"/>
      <c r="P89" s="512"/>
      <c r="Q89" s="512"/>
      <c r="R89" s="512"/>
      <c r="S89" s="512"/>
      <c r="T89" s="512"/>
      <c r="U89" s="512"/>
      <c r="V89" s="512"/>
      <c r="W89" s="512"/>
    </row>
    <row r="90" s="178" customFormat="1" spans="1:23">
      <c r="A90" s="982" t="s">
        <v>13</v>
      </c>
      <c r="B90" s="982" t="s">
        <v>122</v>
      </c>
      <c r="C90" s="995" t="s">
        <v>116</v>
      </c>
      <c r="D90" s="984">
        <v>30</v>
      </c>
      <c r="E90" s="914"/>
      <c r="F90" s="986"/>
      <c r="G90" s="986">
        <f t="shared" si="8"/>
        <v>45667</v>
      </c>
      <c r="H90" s="987">
        <f t="shared" si="9"/>
        <v>45678</v>
      </c>
      <c r="I90" s="991" t="s">
        <v>124</v>
      </c>
      <c r="J90" s="982" t="s">
        <v>39</v>
      </c>
      <c r="K90" s="998" t="s">
        <v>107</v>
      </c>
      <c r="L90" s="992" t="s">
        <v>20</v>
      </c>
      <c r="M90" s="982"/>
      <c r="N90" s="203"/>
      <c r="O90" s="512"/>
      <c r="P90" s="512"/>
      <c r="Q90" s="512"/>
      <c r="R90" s="512"/>
      <c r="S90" s="512"/>
      <c r="T90" s="512"/>
      <c r="U90" s="512"/>
      <c r="V90" s="512"/>
      <c r="W90" s="512"/>
    </row>
    <row r="91" s="178" customFormat="1" spans="1:23">
      <c r="A91" s="982" t="s">
        <v>13</v>
      </c>
      <c r="B91" s="982" t="s">
        <v>122</v>
      </c>
      <c r="C91" s="995" t="s">
        <v>117</v>
      </c>
      <c r="D91" s="984">
        <v>30</v>
      </c>
      <c r="E91" s="914"/>
      <c r="F91" s="986"/>
      <c r="G91" s="986">
        <f t="shared" si="8"/>
        <v>45667</v>
      </c>
      <c r="H91" s="987">
        <f t="shared" si="9"/>
        <v>45678</v>
      </c>
      <c r="I91" s="991" t="s">
        <v>124</v>
      </c>
      <c r="J91" s="982" t="s">
        <v>39</v>
      </c>
      <c r="K91" s="998" t="s">
        <v>107</v>
      </c>
      <c r="L91" s="992" t="s">
        <v>20</v>
      </c>
      <c r="M91" s="982"/>
      <c r="N91" s="203"/>
      <c r="O91" s="512"/>
      <c r="P91" s="512"/>
      <c r="Q91" s="512"/>
      <c r="R91" s="512"/>
      <c r="S91" s="512"/>
      <c r="T91" s="512"/>
      <c r="U91" s="512"/>
      <c r="V91" s="512"/>
      <c r="W91" s="512"/>
    </row>
    <row r="92" s="178" customFormat="1" spans="1:23">
      <c r="A92" s="982" t="s">
        <v>13</v>
      </c>
      <c r="B92" s="982" t="s">
        <v>122</v>
      </c>
      <c r="C92" s="995" t="s">
        <v>118</v>
      </c>
      <c r="D92" s="984">
        <v>30</v>
      </c>
      <c r="E92" s="914"/>
      <c r="F92" s="986"/>
      <c r="G92" s="986">
        <f t="shared" si="8"/>
        <v>45667</v>
      </c>
      <c r="H92" s="987">
        <f t="shared" si="9"/>
        <v>45678</v>
      </c>
      <c r="I92" s="991" t="s">
        <v>124</v>
      </c>
      <c r="J92" s="982" t="s">
        <v>39</v>
      </c>
      <c r="K92" s="998" t="s">
        <v>107</v>
      </c>
      <c r="L92" s="992" t="s">
        <v>20</v>
      </c>
      <c r="M92" s="982"/>
      <c r="N92" s="203"/>
      <c r="O92" s="512"/>
      <c r="P92" s="512"/>
      <c r="Q92" s="512"/>
      <c r="R92" s="512"/>
      <c r="S92" s="512"/>
      <c r="T92" s="512"/>
      <c r="U92" s="512"/>
      <c r="V92" s="512"/>
      <c r="W92" s="512"/>
    </row>
    <row r="93" s="178" customFormat="1" spans="1:23">
      <c r="A93" s="982" t="s">
        <v>13</v>
      </c>
      <c r="B93" s="982" t="s">
        <v>122</v>
      </c>
      <c r="C93" s="995" t="s">
        <v>119</v>
      </c>
      <c r="D93" s="984">
        <v>30</v>
      </c>
      <c r="E93" s="914"/>
      <c r="F93" s="986"/>
      <c r="G93" s="986">
        <f t="shared" si="8"/>
        <v>45667</v>
      </c>
      <c r="H93" s="987">
        <f t="shared" si="9"/>
        <v>45678</v>
      </c>
      <c r="I93" s="991" t="s">
        <v>124</v>
      </c>
      <c r="J93" s="982" t="s">
        <v>39</v>
      </c>
      <c r="K93" s="998" t="s">
        <v>107</v>
      </c>
      <c r="L93" s="992" t="s">
        <v>20</v>
      </c>
      <c r="M93" s="982"/>
      <c r="N93" s="203"/>
      <c r="O93" s="512"/>
      <c r="P93" s="512"/>
      <c r="Q93" s="512"/>
      <c r="R93" s="512"/>
      <c r="S93" s="512"/>
      <c r="T93" s="512"/>
      <c r="U93" s="512"/>
      <c r="V93" s="512"/>
      <c r="W93" s="512"/>
    </row>
    <row r="94" s="178" customFormat="1" spans="1:23">
      <c r="A94" s="982" t="s">
        <v>13</v>
      </c>
      <c r="B94" s="982" t="s">
        <v>122</v>
      </c>
      <c r="C94" s="983" t="s">
        <v>120</v>
      </c>
      <c r="D94" s="984">
        <v>10</v>
      </c>
      <c r="E94" s="914"/>
      <c r="F94" s="986"/>
      <c r="G94" s="986">
        <f t="shared" si="8"/>
        <v>45667</v>
      </c>
      <c r="H94" s="987">
        <f t="shared" si="9"/>
        <v>45678</v>
      </c>
      <c r="I94" s="991" t="s">
        <v>124</v>
      </c>
      <c r="J94" s="982" t="s">
        <v>39</v>
      </c>
      <c r="K94" s="998" t="s">
        <v>107</v>
      </c>
      <c r="L94" s="992" t="s">
        <v>20</v>
      </c>
      <c r="M94" s="982"/>
      <c r="N94" s="203"/>
      <c r="O94" s="512"/>
      <c r="P94" s="512"/>
      <c r="Q94" s="512"/>
      <c r="R94" s="512"/>
      <c r="S94" s="512"/>
      <c r="T94" s="512"/>
      <c r="U94" s="512"/>
      <c r="V94" s="512"/>
      <c r="W94" s="512"/>
    </row>
    <row r="95" s="178" customFormat="1" spans="1:23">
      <c r="A95" s="982" t="s">
        <v>13</v>
      </c>
      <c r="B95" s="982" t="s">
        <v>122</v>
      </c>
      <c r="C95" s="983" t="s">
        <v>121</v>
      </c>
      <c r="D95" s="984">
        <v>10</v>
      </c>
      <c r="E95" s="914"/>
      <c r="F95" s="986"/>
      <c r="G95" s="986">
        <f t="shared" si="8"/>
        <v>45667</v>
      </c>
      <c r="H95" s="987">
        <f t="shared" si="9"/>
        <v>45678</v>
      </c>
      <c r="I95" s="991" t="s">
        <v>124</v>
      </c>
      <c r="J95" s="982" t="s">
        <v>39</v>
      </c>
      <c r="K95" s="998" t="s">
        <v>107</v>
      </c>
      <c r="L95" s="992" t="s">
        <v>20</v>
      </c>
      <c r="M95" s="982"/>
      <c r="N95" s="203"/>
      <c r="O95" s="512"/>
      <c r="P95" s="512"/>
      <c r="Q95" s="512"/>
      <c r="R95" s="512"/>
      <c r="S95" s="512"/>
      <c r="T95" s="512"/>
      <c r="U95" s="512"/>
      <c r="V95" s="512"/>
      <c r="W95" s="512"/>
    </row>
    <row r="96" s="477" customFormat="1" spans="1:23">
      <c r="A96" s="982" t="s">
        <v>127</v>
      </c>
      <c r="B96" s="996" t="s">
        <v>128</v>
      </c>
      <c r="C96" s="983" t="s">
        <v>129</v>
      </c>
      <c r="D96" s="984">
        <v>15</v>
      </c>
      <c r="E96" s="989" t="s">
        <v>130</v>
      </c>
      <c r="F96" s="986"/>
      <c r="G96" s="986">
        <f>VLOOKUP(CLEAN(SUBSTITUTE(TRIM(MID(E:E,FIND("/",E:E)+1,LEN(E:E)))," ","")),'Customs Decl. &amp; Local Delivery'!D:I,6,0)</f>
        <v>45667</v>
      </c>
      <c r="H96" s="987">
        <f>VLOOKUP(CLEAN(SUBSTITUTE(TRIM(MID(E:E,FIND("/",E:E)+1,LEN(E:E)))," ","")),'Customs Decl. &amp; Local Delivery'!D:J,7,0)</f>
        <v>45678</v>
      </c>
      <c r="I96" s="991" t="s">
        <v>131</v>
      </c>
      <c r="J96" s="982" t="s">
        <v>39</v>
      </c>
      <c r="K96" s="982" t="s">
        <v>19</v>
      </c>
      <c r="L96" s="992" t="s">
        <v>20</v>
      </c>
      <c r="M96" s="982" t="s">
        <v>132</v>
      </c>
      <c r="N96" s="512"/>
      <c r="O96" s="512"/>
      <c r="P96" s="512"/>
      <c r="Q96" s="512"/>
      <c r="R96" s="512"/>
      <c r="S96" s="512"/>
      <c r="T96" s="512"/>
      <c r="U96" s="512"/>
      <c r="V96" s="512"/>
      <c r="W96" s="512"/>
    </row>
    <row r="97" s="477" customFormat="1" spans="1:23">
      <c r="A97" s="982" t="s">
        <v>127</v>
      </c>
      <c r="B97" s="996" t="s">
        <v>128</v>
      </c>
      <c r="C97" s="983" t="s">
        <v>133</v>
      </c>
      <c r="D97" s="984">
        <v>15</v>
      </c>
      <c r="E97" s="914"/>
      <c r="F97" s="986"/>
      <c r="G97" s="986">
        <f t="shared" ref="G97:G109" si="10">G96</f>
        <v>45667</v>
      </c>
      <c r="H97" s="987">
        <f t="shared" ref="H97:H109" si="11">H96</f>
        <v>45678</v>
      </c>
      <c r="I97" s="991" t="s">
        <v>131</v>
      </c>
      <c r="J97" s="982" t="s">
        <v>39</v>
      </c>
      <c r="K97" s="982" t="s">
        <v>19</v>
      </c>
      <c r="L97" s="992" t="s">
        <v>20</v>
      </c>
      <c r="M97" s="982" t="s">
        <v>134</v>
      </c>
      <c r="N97" s="512"/>
      <c r="O97" s="512"/>
      <c r="P97" s="512"/>
      <c r="Q97" s="512"/>
      <c r="R97" s="512"/>
      <c r="S97" s="512"/>
      <c r="T97" s="512"/>
      <c r="U97" s="512"/>
      <c r="V97" s="512"/>
      <c r="W97" s="512"/>
    </row>
    <row r="98" s="477" customFormat="1" spans="1:23">
      <c r="A98" s="982" t="s">
        <v>127</v>
      </c>
      <c r="B98" s="996" t="s">
        <v>128</v>
      </c>
      <c r="C98" s="983" t="s">
        <v>15</v>
      </c>
      <c r="D98" s="984">
        <v>85</v>
      </c>
      <c r="E98" s="914"/>
      <c r="F98" s="986"/>
      <c r="G98" s="986">
        <f t="shared" si="10"/>
        <v>45667</v>
      </c>
      <c r="H98" s="987">
        <f t="shared" si="11"/>
        <v>45678</v>
      </c>
      <c r="I98" s="991" t="s">
        <v>131</v>
      </c>
      <c r="J98" s="982" t="s">
        <v>39</v>
      </c>
      <c r="K98" s="982" t="s">
        <v>19</v>
      </c>
      <c r="L98" s="992" t="s">
        <v>20</v>
      </c>
      <c r="M98" s="996"/>
      <c r="N98" s="512"/>
      <c r="O98" s="512"/>
      <c r="P98" s="512"/>
      <c r="Q98" s="512"/>
      <c r="R98" s="512"/>
      <c r="S98" s="512"/>
      <c r="T98" s="512"/>
      <c r="U98" s="512"/>
      <c r="V98" s="512"/>
      <c r="W98" s="512"/>
    </row>
    <row r="99" s="477" customFormat="1" spans="1:23">
      <c r="A99" s="982" t="s">
        <v>127</v>
      </c>
      <c r="B99" s="996" t="s">
        <v>128</v>
      </c>
      <c r="C99" s="983" t="s">
        <v>22</v>
      </c>
      <c r="D99" s="984">
        <v>85</v>
      </c>
      <c r="E99" s="914"/>
      <c r="F99" s="986"/>
      <c r="G99" s="986">
        <f t="shared" si="10"/>
        <v>45667</v>
      </c>
      <c r="H99" s="987">
        <f t="shared" si="11"/>
        <v>45678</v>
      </c>
      <c r="I99" s="991" t="s">
        <v>131</v>
      </c>
      <c r="J99" s="982" t="s">
        <v>39</v>
      </c>
      <c r="K99" s="982" t="s">
        <v>19</v>
      </c>
      <c r="L99" s="992" t="s">
        <v>20</v>
      </c>
      <c r="M99" s="997" t="s">
        <v>113</v>
      </c>
      <c r="N99" s="512"/>
      <c r="O99" s="512"/>
      <c r="P99" s="512"/>
      <c r="Q99" s="512"/>
      <c r="R99" s="512"/>
      <c r="S99" s="512"/>
      <c r="T99" s="512"/>
      <c r="U99" s="512"/>
      <c r="V99" s="512"/>
      <c r="W99" s="512"/>
    </row>
    <row r="100" s="477" customFormat="1" spans="1:23">
      <c r="A100" s="982" t="s">
        <v>127</v>
      </c>
      <c r="B100" s="996" t="s">
        <v>128</v>
      </c>
      <c r="C100" s="983" t="s">
        <v>24</v>
      </c>
      <c r="D100" s="984">
        <v>20</v>
      </c>
      <c r="E100" s="914"/>
      <c r="F100" s="986"/>
      <c r="G100" s="986">
        <f t="shared" si="10"/>
        <v>45667</v>
      </c>
      <c r="H100" s="987">
        <f t="shared" si="11"/>
        <v>45678</v>
      </c>
      <c r="I100" s="991" t="s">
        <v>131</v>
      </c>
      <c r="J100" s="982" t="s">
        <v>39</v>
      </c>
      <c r="K100" s="982" t="s">
        <v>19</v>
      </c>
      <c r="L100" s="992" t="s">
        <v>20</v>
      </c>
      <c r="M100" s="996"/>
      <c r="N100" s="512"/>
      <c r="O100" s="512"/>
      <c r="P100" s="512"/>
      <c r="Q100" s="512"/>
      <c r="R100" s="512"/>
      <c r="S100" s="512"/>
      <c r="T100" s="512"/>
      <c r="U100" s="512"/>
      <c r="V100" s="512"/>
      <c r="W100" s="512"/>
    </row>
    <row r="101" s="477" customFormat="1" spans="1:23">
      <c r="A101" s="982" t="s">
        <v>127</v>
      </c>
      <c r="B101" s="996" t="s">
        <v>128</v>
      </c>
      <c r="C101" s="983" t="s">
        <v>25</v>
      </c>
      <c r="D101" s="984">
        <v>20</v>
      </c>
      <c r="E101" s="914"/>
      <c r="F101" s="986"/>
      <c r="G101" s="986">
        <f t="shared" si="10"/>
        <v>45667</v>
      </c>
      <c r="H101" s="987">
        <f t="shared" si="11"/>
        <v>45678</v>
      </c>
      <c r="I101" s="991" t="s">
        <v>131</v>
      </c>
      <c r="J101" s="982" t="s">
        <v>39</v>
      </c>
      <c r="K101" s="982" t="s">
        <v>19</v>
      </c>
      <c r="L101" s="992" t="s">
        <v>20</v>
      </c>
      <c r="M101" s="996"/>
      <c r="N101" s="512"/>
      <c r="O101" s="512"/>
      <c r="P101" s="512"/>
      <c r="Q101" s="512"/>
      <c r="R101" s="512"/>
      <c r="S101" s="512"/>
      <c r="T101" s="512"/>
      <c r="U101" s="512"/>
      <c r="V101" s="512"/>
      <c r="W101" s="512"/>
    </row>
    <row r="102" s="477" customFormat="1" spans="1:23">
      <c r="A102" s="982" t="s">
        <v>127</v>
      </c>
      <c r="B102" s="996" t="s">
        <v>128</v>
      </c>
      <c r="C102" s="983" t="s">
        <v>27</v>
      </c>
      <c r="D102" s="984">
        <v>20</v>
      </c>
      <c r="E102" s="914"/>
      <c r="F102" s="986"/>
      <c r="G102" s="986">
        <f t="shared" si="10"/>
        <v>45667</v>
      </c>
      <c r="H102" s="987">
        <f t="shared" si="11"/>
        <v>45678</v>
      </c>
      <c r="I102" s="991" t="s">
        <v>131</v>
      </c>
      <c r="J102" s="982" t="s">
        <v>39</v>
      </c>
      <c r="K102" s="982" t="s">
        <v>19</v>
      </c>
      <c r="L102" s="992" t="s">
        <v>20</v>
      </c>
      <c r="M102" s="996"/>
      <c r="N102" s="512"/>
      <c r="O102" s="512"/>
      <c r="P102" s="512"/>
      <c r="Q102" s="512"/>
      <c r="R102" s="512"/>
      <c r="S102" s="512"/>
      <c r="T102" s="512"/>
      <c r="U102" s="512"/>
      <c r="V102" s="512"/>
      <c r="W102" s="512"/>
    </row>
    <row r="103" s="477" customFormat="1" spans="1:23">
      <c r="A103" s="982" t="s">
        <v>127</v>
      </c>
      <c r="B103" s="996" t="s">
        <v>128</v>
      </c>
      <c r="C103" s="983" t="s">
        <v>28</v>
      </c>
      <c r="D103" s="984">
        <v>20</v>
      </c>
      <c r="E103" s="914"/>
      <c r="F103" s="986"/>
      <c r="G103" s="986">
        <f t="shared" si="10"/>
        <v>45667</v>
      </c>
      <c r="H103" s="987">
        <f t="shared" si="11"/>
        <v>45678</v>
      </c>
      <c r="I103" s="991" t="s">
        <v>131</v>
      </c>
      <c r="J103" s="982" t="s">
        <v>39</v>
      </c>
      <c r="K103" s="982" t="s">
        <v>19</v>
      </c>
      <c r="L103" s="992" t="s">
        <v>20</v>
      </c>
      <c r="M103" s="996"/>
      <c r="N103" s="512"/>
      <c r="O103" s="512"/>
      <c r="P103" s="512"/>
      <c r="Q103" s="512"/>
      <c r="R103" s="512"/>
      <c r="S103" s="512"/>
      <c r="T103" s="512"/>
      <c r="U103" s="512"/>
      <c r="V103" s="512"/>
      <c r="W103" s="512"/>
    </row>
    <row r="104" s="477" customFormat="1" spans="1:23">
      <c r="A104" s="982" t="s">
        <v>127</v>
      </c>
      <c r="B104" s="996" t="s">
        <v>128</v>
      </c>
      <c r="C104" s="983" t="s">
        <v>135</v>
      </c>
      <c r="D104" s="984">
        <v>5</v>
      </c>
      <c r="E104" s="914"/>
      <c r="F104" s="986"/>
      <c r="G104" s="986">
        <f t="shared" si="10"/>
        <v>45667</v>
      </c>
      <c r="H104" s="987">
        <f t="shared" si="11"/>
        <v>45678</v>
      </c>
      <c r="I104" s="991" t="s">
        <v>131</v>
      </c>
      <c r="J104" s="982" t="s">
        <v>39</v>
      </c>
      <c r="K104" s="982" t="s">
        <v>19</v>
      </c>
      <c r="L104" s="992" t="s">
        <v>20</v>
      </c>
      <c r="M104" s="996"/>
      <c r="N104" s="512"/>
      <c r="O104" s="512"/>
      <c r="P104" s="512"/>
      <c r="Q104" s="512"/>
      <c r="R104" s="512"/>
      <c r="S104" s="512"/>
      <c r="T104" s="512"/>
      <c r="U104" s="512"/>
      <c r="V104" s="512"/>
      <c r="W104" s="512"/>
    </row>
    <row r="105" s="477" customFormat="1" spans="1:23">
      <c r="A105" s="982" t="s">
        <v>127</v>
      </c>
      <c r="B105" s="996" t="s">
        <v>128</v>
      </c>
      <c r="C105" s="983" t="s">
        <v>136</v>
      </c>
      <c r="D105" s="984">
        <v>5</v>
      </c>
      <c r="E105" s="914"/>
      <c r="F105" s="986"/>
      <c r="G105" s="986">
        <f t="shared" si="10"/>
        <v>45667</v>
      </c>
      <c r="H105" s="987">
        <f t="shared" si="11"/>
        <v>45678</v>
      </c>
      <c r="I105" s="991" t="s">
        <v>131</v>
      </c>
      <c r="J105" s="982" t="s">
        <v>39</v>
      </c>
      <c r="K105" s="982" t="s">
        <v>19</v>
      </c>
      <c r="L105" s="992" t="s">
        <v>20</v>
      </c>
      <c r="M105" s="996"/>
      <c r="N105" s="512"/>
      <c r="O105" s="512"/>
      <c r="P105" s="512"/>
      <c r="Q105" s="512"/>
      <c r="R105" s="512"/>
      <c r="S105" s="512"/>
      <c r="T105" s="512"/>
      <c r="U105" s="512"/>
      <c r="V105" s="512"/>
      <c r="W105" s="512"/>
    </row>
    <row r="106" s="477" customFormat="1" spans="1:23">
      <c r="A106" s="982" t="s">
        <v>127</v>
      </c>
      <c r="B106" s="996" t="s">
        <v>128</v>
      </c>
      <c r="C106" s="983" t="s">
        <v>67</v>
      </c>
      <c r="D106" s="984">
        <v>35</v>
      </c>
      <c r="E106" s="914"/>
      <c r="F106" s="986"/>
      <c r="G106" s="986">
        <f t="shared" si="10"/>
        <v>45667</v>
      </c>
      <c r="H106" s="987">
        <f t="shared" si="11"/>
        <v>45678</v>
      </c>
      <c r="I106" s="991" t="s">
        <v>131</v>
      </c>
      <c r="J106" s="982" t="s">
        <v>39</v>
      </c>
      <c r="K106" s="982" t="s">
        <v>19</v>
      </c>
      <c r="L106" s="992" t="s">
        <v>20</v>
      </c>
      <c r="M106" s="996"/>
      <c r="N106" s="512"/>
      <c r="O106" s="512"/>
      <c r="P106" s="512"/>
      <c r="Q106" s="512"/>
      <c r="R106" s="512"/>
      <c r="S106" s="512"/>
      <c r="T106" s="512"/>
      <c r="U106" s="512"/>
      <c r="V106" s="512"/>
      <c r="W106" s="512"/>
    </row>
    <row r="107" s="477" customFormat="1" spans="1:23">
      <c r="A107" s="982" t="s">
        <v>127</v>
      </c>
      <c r="B107" s="996" t="s">
        <v>128</v>
      </c>
      <c r="C107" s="983" t="s">
        <v>69</v>
      </c>
      <c r="D107" s="984">
        <v>35</v>
      </c>
      <c r="E107" s="914"/>
      <c r="F107" s="986"/>
      <c r="G107" s="986">
        <f t="shared" si="10"/>
        <v>45667</v>
      </c>
      <c r="H107" s="987">
        <f t="shared" si="11"/>
        <v>45678</v>
      </c>
      <c r="I107" s="991" t="s">
        <v>131</v>
      </c>
      <c r="J107" s="982" t="s">
        <v>39</v>
      </c>
      <c r="K107" s="982" t="s">
        <v>19</v>
      </c>
      <c r="L107" s="992" t="s">
        <v>20</v>
      </c>
      <c r="M107" s="996"/>
      <c r="N107" s="512"/>
      <c r="O107" s="512"/>
      <c r="P107" s="512"/>
      <c r="Q107" s="512"/>
      <c r="R107" s="512"/>
      <c r="S107" s="512"/>
      <c r="T107" s="512"/>
      <c r="U107" s="512"/>
      <c r="V107" s="512"/>
      <c r="W107" s="512"/>
    </row>
    <row r="108" s="477" customFormat="1" spans="1:23">
      <c r="A108" s="982" t="s">
        <v>127</v>
      </c>
      <c r="B108" s="996" t="s">
        <v>128</v>
      </c>
      <c r="C108" s="983" t="s">
        <v>70</v>
      </c>
      <c r="D108" s="984">
        <v>5</v>
      </c>
      <c r="E108" s="914"/>
      <c r="F108" s="986"/>
      <c r="G108" s="986">
        <f t="shared" si="10"/>
        <v>45667</v>
      </c>
      <c r="H108" s="987">
        <f t="shared" si="11"/>
        <v>45678</v>
      </c>
      <c r="I108" s="991" t="s">
        <v>131</v>
      </c>
      <c r="J108" s="982" t="s">
        <v>39</v>
      </c>
      <c r="K108" s="982" t="s">
        <v>19</v>
      </c>
      <c r="L108" s="992" t="s">
        <v>20</v>
      </c>
      <c r="M108" s="996"/>
      <c r="N108" s="512"/>
      <c r="O108" s="512"/>
      <c r="P108" s="512"/>
      <c r="Q108" s="512"/>
      <c r="R108" s="512"/>
      <c r="S108" s="512"/>
      <c r="T108" s="512"/>
      <c r="U108" s="512"/>
      <c r="V108" s="512"/>
      <c r="W108" s="512"/>
    </row>
    <row r="109" s="477" customFormat="1" spans="1:23">
      <c r="A109" s="982" t="s">
        <v>127</v>
      </c>
      <c r="B109" s="996" t="s">
        <v>128</v>
      </c>
      <c r="C109" s="983" t="s">
        <v>71</v>
      </c>
      <c r="D109" s="984">
        <v>5</v>
      </c>
      <c r="E109" s="914"/>
      <c r="F109" s="986"/>
      <c r="G109" s="986">
        <f t="shared" si="10"/>
        <v>45667</v>
      </c>
      <c r="H109" s="987">
        <f t="shared" si="11"/>
        <v>45678</v>
      </c>
      <c r="I109" s="991" t="s">
        <v>131</v>
      </c>
      <c r="J109" s="982" t="s">
        <v>39</v>
      </c>
      <c r="K109" s="982" t="s">
        <v>19</v>
      </c>
      <c r="L109" s="992" t="s">
        <v>20</v>
      </c>
      <c r="M109" s="996"/>
      <c r="N109" s="512"/>
      <c r="O109" s="512"/>
      <c r="P109" s="512"/>
      <c r="Q109" s="512"/>
      <c r="R109" s="512"/>
      <c r="S109" s="512"/>
      <c r="T109" s="512"/>
      <c r="U109" s="512"/>
      <c r="V109" s="512"/>
      <c r="W109" s="512"/>
    </row>
    <row r="110" s="477" customFormat="1" spans="1:23">
      <c r="A110" s="982" t="s">
        <v>78</v>
      </c>
      <c r="B110" s="982" t="s">
        <v>137</v>
      </c>
      <c r="C110" s="983" t="s">
        <v>52</v>
      </c>
      <c r="D110" s="984">
        <v>50</v>
      </c>
      <c r="E110" s="989" t="s">
        <v>138</v>
      </c>
      <c r="F110" s="986"/>
      <c r="G110" s="986">
        <f>VLOOKUP(CLEAN(SUBSTITUTE(TRIM(MID(E:E,FIND("/",E:E)+1,LEN(E:E)))," ","")),'Customs Decl. &amp; Local Delivery'!D:I,6,0)</f>
        <v>45667</v>
      </c>
      <c r="H110" s="987">
        <f>VLOOKUP(CLEAN(SUBSTITUTE(TRIM(MID(E:E,FIND("/",E:E)+1,LEN(E:E)))," ","")),'Customs Decl. &amp; Local Delivery'!D:J,7,0)</f>
        <v>45678</v>
      </c>
      <c r="I110" s="991" t="s">
        <v>139</v>
      </c>
      <c r="J110" s="982" t="s">
        <v>39</v>
      </c>
      <c r="K110" s="982" t="s">
        <v>19</v>
      </c>
      <c r="L110" s="992" t="s">
        <v>20</v>
      </c>
      <c r="M110" s="982" t="s">
        <v>140</v>
      </c>
      <c r="N110" s="512"/>
      <c r="O110" s="512"/>
      <c r="P110" s="512"/>
      <c r="Q110" s="512"/>
      <c r="R110" s="512"/>
      <c r="S110" s="512"/>
      <c r="T110" s="512"/>
      <c r="U110" s="512"/>
      <c r="V110" s="512"/>
      <c r="W110" s="512"/>
    </row>
    <row r="111" s="477" customFormat="1" spans="1:23">
      <c r="A111" s="982" t="s">
        <v>78</v>
      </c>
      <c r="B111" s="982" t="s">
        <v>137</v>
      </c>
      <c r="C111" s="983" t="s">
        <v>56</v>
      </c>
      <c r="D111" s="984">
        <v>50</v>
      </c>
      <c r="E111" s="914"/>
      <c r="F111" s="986"/>
      <c r="G111" s="986">
        <f t="shared" ref="G111:G119" si="12">G110</f>
        <v>45667</v>
      </c>
      <c r="H111" s="987">
        <f t="shared" ref="H111:H119" si="13">H110</f>
        <v>45678</v>
      </c>
      <c r="I111" s="991" t="s">
        <v>139</v>
      </c>
      <c r="J111" s="982" t="s">
        <v>39</v>
      </c>
      <c r="K111" s="982" t="s">
        <v>19</v>
      </c>
      <c r="L111" s="992" t="s">
        <v>20</v>
      </c>
      <c r="M111" s="982" t="s">
        <v>141</v>
      </c>
      <c r="N111" s="512"/>
      <c r="O111" s="512"/>
      <c r="P111" s="512"/>
      <c r="Q111" s="512"/>
      <c r="R111" s="512"/>
      <c r="S111" s="512"/>
      <c r="T111" s="512"/>
      <c r="U111" s="512"/>
      <c r="V111" s="512"/>
      <c r="W111" s="512"/>
    </row>
    <row r="112" s="477" customFormat="1" spans="1:23">
      <c r="A112" s="982" t="s">
        <v>78</v>
      </c>
      <c r="B112" s="982" t="s">
        <v>137</v>
      </c>
      <c r="C112" s="983" t="s">
        <v>36</v>
      </c>
      <c r="D112" s="984">
        <v>90</v>
      </c>
      <c r="E112" s="914"/>
      <c r="F112" s="986"/>
      <c r="G112" s="986">
        <f t="shared" si="12"/>
        <v>45667</v>
      </c>
      <c r="H112" s="987">
        <f t="shared" si="13"/>
        <v>45678</v>
      </c>
      <c r="I112" s="991" t="s">
        <v>139</v>
      </c>
      <c r="J112" s="982" t="s">
        <v>39</v>
      </c>
      <c r="K112" s="982" t="s">
        <v>19</v>
      </c>
      <c r="L112" s="992" t="s">
        <v>20</v>
      </c>
      <c r="M112" s="996"/>
      <c r="N112" s="512"/>
      <c r="O112" s="512"/>
      <c r="P112" s="512"/>
      <c r="Q112" s="512"/>
      <c r="R112" s="512"/>
      <c r="S112" s="512"/>
      <c r="T112" s="512"/>
      <c r="U112" s="512"/>
      <c r="V112" s="512"/>
      <c r="W112" s="512"/>
    </row>
    <row r="113" s="477" customFormat="1" spans="1:23">
      <c r="A113" s="982" t="s">
        <v>78</v>
      </c>
      <c r="B113" s="982" t="s">
        <v>137</v>
      </c>
      <c r="C113" s="983" t="s">
        <v>41</v>
      </c>
      <c r="D113" s="984">
        <v>90</v>
      </c>
      <c r="E113" s="914"/>
      <c r="F113" s="986"/>
      <c r="G113" s="986">
        <f t="shared" si="12"/>
        <v>45667</v>
      </c>
      <c r="H113" s="987">
        <f t="shared" si="13"/>
        <v>45678</v>
      </c>
      <c r="I113" s="991" t="s">
        <v>139</v>
      </c>
      <c r="J113" s="982" t="s">
        <v>39</v>
      </c>
      <c r="K113" s="982" t="s">
        <v>19</v>
      </c>
      <c r="L113" s="992" t="s">
        <v>20</v>
      </c>
      <c r="M113" s="997" t="s">
        <v>113</v>
      </c>
      <c r="N113" s="512"/>
      <c r="O113" s="512"/>
      <c r="P113" s="512"/>
      <c r="Q113" s="512"/>
      <c r="R113" s="512"/>
      <c r="S113" s="512"/>
      <c r="T113" s="512"/>
      <c r="U113" s="512"/>
      <c r="V113" s="512"/>
      <c r="W113" s="512"/>
    </row>
    <row r="114" s="477" customFormat="1" spans="1:23">
      <c r="A114" s="982" t="s">
        <v>78</v>
      </c>
      <c r="B114" s="982" t="s">
        <v>137</v>
      </c>
      <c r="C114" s="983" t="s">
        <v>43</v>
      </c>
      <c r="D114" s="984">
        <v>15</v>
      </c>
      <c r="E114" s="914"/>
      <c r="F114" s="986"/>
      <c r="G114" s="986">
        <f t="shared" si="12"/>
        <v>45667</v>
      </c>
      <c r="H114" s="987">
        <f t="shared" si="13"/>
        <v>45678</v>
      </c>
      <c r="I114" s="991" t="s">
        <v>139</v>
      </c>
      <c r="J114" s="982" t="s">
        <v>39</v>
      </c>
      <c r="K114" s="982" t="s">
        <v>19</v>
      </c>
      <c r="L114" s="992" t="s">
        <v>20</v>
      </c>
      <c r="M114" s="996"/>
      <c r="N114" s="512"/>
      <c r="O114" s="512"/>
      <c r="P114" s="512"/>
      <c r="Q114" s="512"/>
      <c r="R114" s="512"/>
      <c r="S114" s="512"/>
      <c r="T114" s="512"/>
      <c r="U114" s="512"/>
      <c r="V114" s="512"/>
      <c r="W114" s="512"/>
    </row>
    <row r="115" s="477" customFormat="1" spans="1:23">
      <c r="A115" s="982" t="s">
        <v>78</v>
      </c>
      <c r="B115" s="982" t="s">
        <v>137</v>
      </c>
      <c r="C115" s="983" t="s">
        <v>45</v>
      </c>
      <c r="D115" s="984">
        <v>15</v>
      </c>
      <c r="E115" s="914"/>
      <c r="F115" s="986"/>
      <c r="G115" s="986">
        <f t="shared" si="12"/>
        <v>45667</v>
      </c>
      <c r="H115" s="987">
        <f t="shared" si="13"/>
        <v>45678</v>
      </c>
      <c r="I115" s="991" t="s">
        <v>139</v>
      </c>
      <c r="J115" s="982" t="s">
        <v>39</v>
      </c>
      <c r="K115" s="982" t="s">
        <v>19</v>
      </c>
      <c r="L115" s="992" t="s">
        <v>20</v>
      </c>
      <c r="M115" s="996"/>
      <c r="N115" s="512"/>
      <c r="O115" s="512"/>
      <c r="P115" s="512"/>
      <c r="Q115" s="512"/>
      <c r="R115" s="512"/>
      <c r="S115" s="512"/>
      <c r="T115" s="512"/>
      <c r="U115" s="512"/>
      <c r="V115" s="512"/>
      <c r="W115" s="512"/>
    </row>
    <row r="116" s="477" customFormat="1" spans="1:23">
      <c r="A116" s="982" t="s">
        <v>78</v>
      </c>
      <c r="B116" s="982" t="s">
        <v>137</v>
      </c>
      <c r="C116" s="983" t="s">
        <v>47</v>
      </c>
      <c r="D116" s="984">
        <v>15</v>
      </c>
      <c r="E116" s="914"/>
      <c r="F116" s="986"/>
      <c r="G116" s="986">
        <f t="shared" si="12"/>
        <v>45667</v>
      </c>
      <c r="H116" s="987">
        <f t="shared" si="13"/>
        <v>45678</v>
      </c>
      <c r="I116" s="991" t="s">
        <v>139</v>
      </c>
      <c r="J116" s="982" t="s">
        <v>39</v>
      </c>
      <c r="K116" s="982" t="s">
        <v>19</v>
      </c>
      <c r="L116" s="992" t="s">
        <v>20</v>
      </c>
      <c r="M116" s="996"/>
      <c r="N116" s="512"/>
      <c r="O116" s="512"/>
      <c r="P116" s="512"/>
      <c r="Q116" s="512"/>
      <c r="R116" s="512"/>
      <c r="S116" s="512"/>
      <c r="T116" s="512"/>
      <c r="U116" s="512"/>
      <c r="V116" s="512"/>
      <c r="W116" s="512"/>
    </row>
    <row r="117" s="477" customFormat="1" spans="1:23">
      <c r="A117" s="982" t="s">
        <v>78</v>
      </c>
      <c r="B117" s="982" t="s">
        <v>137</v>
      </c>
      <c r="C117" s="983" t="s">
        <v>48</v>
      </c>
      <c r="D117" s="984">
        <v>15</v>
      </c>
      <c r="E117" s="914"/>
      <c r="F117" s="986"/>
      <c r="G117" s="986">
        <f t="shared" si="12"/>
        <v>45667</v>
      </c>
      <c r="H117" s="987">
        <f t="shared" si="13"/>
        <v>45678</v>
      </c>
      <c r="I117" s="991" t="s">
        <v>139</v>
      </c>
      <c r="J117" s="982" t="s">
        <v>39</v>
      </c>
      <c r="K117" s="982" t="s">
        <v>19</v>
      </c>
      <c r="L117" s="992" t="s">
        <v>20</v>
      </c>
      <c r="M117" s="996"/>
      <c r="N117" s="512"/>
      <c r="O117" s="512"/>
      <c r="P117" s="512"/>
      <c r="Q117" s="512"/>
      <c r="R117" s="512"/>
      <c r="S117" s="512"/>
      <c r="T117" s="512"/>
      <c r="U117" s="512"/>
      <c r="V117" s="512"/>
      <c r="W117" s="512"/>
    </row>
    <row r="118" s="477" customFormat="1" spans="1:23">
      <c r="A118" s="982" t="s">
        <v>78</v>
      </c>
      <c r="B118" s="982" t="s">
        <v>137</v>
      </c>
      <c r="C118" s="983" t="s">
        <v>49</v>
      </c>
      <c r="D118" s="984">
        <v>24</v>
      </c>
      <c r="E118" s="914"/>
      <c r="F118" s="986"/>
      <c r="G118" s="986">
        <f t="shared" si="12"/>
        <v>45667</v>
      </c>
      <c r="H118" s="987">
        <f t="shared" si="13"/>
        <v>45678</v>
      </c>
      <c r="I118" s="991" t="s">
        <v>139</v>
      </c>
      <c r="J118" s="982" t="s">
        <v>39</v>
      </c>
      <c r="K118" s="982" t="s">
        <v>19</v>
      </c>
      <c r="L118" s="992" t="s">
        <v>20</v>
      </c>
      <c r="M118" s="996"/>
      <c r="N118" s="512"/>
      <c r="O118" s="512"/>
      <c r="P118" s="512"/>
      <c r="Q118" s="512"/>
      <c r="R118" s="512"/>
      <c r="S118" s="512"/>
      <c r="T118" s="512"/>
      <c r="U118" s="512"/>
      <c r="V118" s="512"/>
      <c r="W118" s="512"/>
    </row>
    <row r="119" s="477" customFormat="1" spans="1:23">
      <c r="A119" s="982" t="s">
        <v>78</v>
      </c>
      <c r="B119" s="982" t="s">
        <v>137</v>
      </c>
      <c r="C119" s="983" t="s">
        <v>50</v>
      </c>
      <c r="D119" s="984">
        <v>24</v>
      </c>
      <c r="E119" s="914"/>
      <c r="F119" s="986"/>
      <c r="G119" s="986">
        <f t="shared" si="12"/>
        <v>45667</v>
      </c>
      <c r="H119" s="987">
        <f t="shared" si="13"/>
        <v>45678</v>
      </c>
      <c r="I119" s="991" t="s">
        <v>139</v>
      </c>
      <c r="J119" s="982" t="s">
        <v>39</v>
      </c>
      <c r="K119" s="982" t="s">
        <v>19</v>
      </c>
      <c r="L119" s="992" t="s">
        <v>20</v>
      </c>
      <c r="M119" s="996"/>
      <c r="N119" s="512"/>
      <c r="O119" s="512"/>
      <c r="P119" s="512"/>
      <c r="Q119" s="512"/>
      <c r="R119" s="512"/>
      <c r="S119" s="512"/>
      <c r="T119" s="512"/>
      <c r="U119" s="512"/>
      <c r="V119" s="512"/>
      <c r="W119" s="512"/>
    </row>
    <row r="120" s="178" customFormat="1" spans="1:23">
      <c r="A120" s="982" t="s">
        <v>142</v>
      </c>
      <c r="B120" s="982" t="s">
        <v>143</v>
      </c>
      <c r="C120" s="982" t="s">
        <v>144</v>
      </c>
      <c r="D120" s="187">
        <v>10</v>
      </c>
      <c r="E120" s="989" t="s">
        <v>145</v>
      </c>
      <c r="F120" s="986"/>
      <c r="G120" s="986">
        <f>VLOOKUP(CLEAN(SUBSTITUTE(TRIM(MID(E:E,FIND("/",E:E)+1,LEN(E:E)))," ","")),'Customs Decl. &amp; Local Delivery'!D:I,6,0)</f>
        <v>45667</v>
      </c>
      <c r="H120" s="987">
        <f>VLOOKUP(CLEAN(SUBSTITUTE(TRIM(MID(E:E,FIND("/",E:E)+1,LEN(E:E)))," ","")),'Customs Decl. &amp; Local Delivery'!D:J,7,0)</f>
        <v>45678</v>
      </c>
      <c r="I120" s="991" t="s">
        <v>146</v>
      </c>
      <c r="J120" s="982" t="s">
        <v>39</v>
      </c>
      <c r="K120" s="982" t="s">
        <v>147</v>
      </c>
      <c r="L120" s="992" t="s">
        <v>20</v>
      </c>
      <c r="M120" s="982" t="s">
        <v>148</v>
      </c>
      <c r="N120" s="203"/>
      <c r="O120" s="512"/>
      <c r="P120" s="512"/>
      <c r="Q120" s="512"/>
      <c r="R120" s="512"/>
      <c r="S120" s="512"/>
      <c r="T120" s="512"/>
      <c r="U120" s="512"/>
      <c r="V120" s="512"/>
      <c r="W120" s="512"/>
    </row>
    <row r="121" s="178" customFormat="1" spans="1:23">
      <c r="A121" s="982" t="s">
        <v>142</v>
      </c>
      <c r="B121" s="982" t="s">
        <v>143</v>
      </c>
      <c r="C121" s="982" t="s">
        <v>149</v>
      </c>
      <c r="D121" s="187">
        <v>30</v>
      </c>
      <c r="E121" s="914"/>
      <c r="F121" s="986"/>
      <c r="G121" s="986">
        <f t="shared" ref="G121:G131" si="14">G120</f>
        <v>45667</v>
      </c>
      <c r="H121" s="987">
        <f t="shared" ref="H121:H131" si="15">H120</f>
        <v>45678</v>
      </c>
      <c r="I121" s="991" t="s">
        <v>146</v>
      </c>
      <c r="J121" s="982" t="s">
        <v>39</v>
      </c>
      <c r="K121" s="982" t="s">
        <v>147</v>
      </c>
      <c r="L121" s="992" t="s">
        <v>20</v>
      </c>
      <c r="M121" s="982"/>
      <c r="N121" s="203"/>
      <c r="O121" s="512"/>
      <c r="P121" s="512"/>
      <c r="Q121" s="512"/>
      <c r="R121" s="512"/>
      <c r="S121" s="512"/>
      <c r="T121" s="512"/>
      <c r="U121" s="512"/>
      <c r="V121" s="512"/>
      <c r="W121" s="512"/>
    </row>
    <row r="122" s="178" customFormat="1" spans="1:23">
      <c r="A122" s="982" t="s">
        <v>13</v>
      </c>
      <c r="B122" s="982" t="s">
        <v>150</v>
      </c>
      <c r="C122" s="983" t="s">
        <v>29</v>
      </c>
      <c r="D122" s="984">
        <v>5</v>
      </c>
      <c r="E122" s="914"/>
      <c r="F122" s="986"/>
      <c r="G122" s="986">
        <f t="shared" si="14"/>
        <v>45667</v>
      </c>
      <c r="H122" s="987">
        <f t="shared" si="15"/>
        <v>45678</v>
      </c>
      <c r="I122" s="991" t="s">
        <v>146</v>
      </c>
      <c r="J122" s="982" t="s">
        <v>39</v>
      </c>
      <c r="K122" s="982" t="s">
        <v>147</v>
      </c>
      <c r="L122" s="992" t="s">
        <v>20</v>
      </c>
      <c r="M122" s="997" t="s">
        <v>113</v>
      </c>
      <c r="N122" s="203"/>
      <c r="O122" s="512"/>
      <c r="P122" s="512"/>
      <c r="Q122" s="512"/>
      <c r="R122" s="512"/>
      <c r="S122" s="512"/>
      <c r="T122" s="512"/>
      <c r="U122" s="512"/>
      <c r="V122" s="512"/>
      <c r="W122" s="512"/>
    </row>
    <row r="123" s="178" customFormat="1" spans="1:23">
      <c r="A123" s="982" t="s">
        <v>13</v>
      </c>
      <c r="B123" s="982" t="s">
        <v>150</v>
      </c>
      <c r="C123" s="983" t="s">
        <v>30</v>
      </c>
      <c r="D123" s="984">
        <v>5</v>
      </c>
      <c r="E123" s="914"/>
      <c r="F123" s="986"/>
      <c r="G123" s="986">
        <f t="shared" si="14"/>
        <v>45667</v>
      </c>
      <c r="H123" s="987">
        <f t="shared" si="15"/>
        <v>45678</v>
      </c>
      <c r="I123" s="991" t="s">
        <v>146</v>
      </c>
      <c r="J123" s="982" t="s">
        <v>39</v>
      </c>
      <c r="K123" s="982" t="s">
        <v>147</v>
      </c>
      <c r="L123" s="992" t="s">
        <v>20</v>
      </c>
      <c r="M123" s="982"/>
      <c r="N123" s="203"/>
      <c r="O123" s="512"/>
      <c r="P123" s="512"/>
      <c r="Q123" s="512"/>
      <c r="R123" s="512"/>
      <c r="S123" s="512"/>
      <c r="T123" s="512"/>
      <c r="U123" s="512"/>
      <c r="V123" s="512"/>
      <c r="W123" s="512"/>
    </row>
    <row r="124" s="178" customFormat="1" spans="1:23">
      <c r="A124" s="982" t="s">
        <v>13</v>
      </c>
      <c r="B124" s="982" t="s">
        <v>150</v>
      </c>
      <c r="C124" s="983" t="s">
        <v>151</v>
      </c>
      <c r="D124" s="984">
        <v>18</v>
      </c>
      <c r="E124" s="914"/>
      <c r="F124" s="986"/>
      <c r="G124" s="986">
        <f t="shared" si="14"/>
        <v>45667</v>
      </c>
      <c r="H124" s="987">
        <f t="shared" si="15"/>
        <v>45678</v>
      </c>
      <c r="I124" s="991" t="s">
        <v>146</v>
      </c>
      <c r="J124" s="982" t="s">
        <v>39</v>
      </c>
      <c r="K124" s="982" t="s">
        <v>147</v>
      </c>
      <c r="L124" s="992" t="s">
        <v>20</v>
      </c>
      <c r="M124" s="982"/>
      <c r="N124" s="203"/>
      <c r="O124" s="512"/>
      <c r="P124" s="512"/>
      <c r="Q124" s="512"/>
      <c r="R124" s="512"/>
      <c r="S124" s="512"/>
      <c r="T124" s="512"/>
      <c r="U124" s="512"/>
      <c r="V124" s="512"/>
      <c r="W124" s="512"/>
    </row>
    <row r="125" s="178" customFormat="1" spans="1:23">
      <c r="A125" s="982" t="s">
        <v>13</v>
      </c>
      <c r="B125" s="982" t="s">
        <v>150</v>
      </c>
      <c r="C125" s="983" t="s">
        <v>152</v>
      </c>
      <c r="D125" s="984">
        <v>10</v>
      </c>
      <c r="E125" s="914"/>
      <c r="F125" s="986"/>
      <c r="G125" s="986">
        <f t="shared" si="14"/>
        <v>45667</v>
      </c>
      <c r="H125" s="987">
        <f t="shared" si="15"/>
        <v>45678</v>
      </c>
      <c r="I125" s="991" t="s">
        <v>146</v>
      </c>
      <c r="J125" s="982" t="s">
        <v>39</v>
      </c>
      <c r="K125" s="982" t="s">
        <v>147</v>
      </c>
      <c r="L125" s="992" t="s">
        <v>20</v>
      </c>
      <c r="M125" s="982"/>
      <c r="N125" s="203"/>
      <c r="O125" s="512"/>
      <c r="P125" s="512"/>
      <c r="Q125" s="512"/>
      <c r="R125" s="512"/>
      <c r="S125" s="512"/>
      <c r="T125" s="512"/>
      <c r="U125" s="512"/>
      <c r="V125" s="512"/>
      <c r="W125" s="512"/>
    </row>
    <row r="126" s="178" customFormat="1" spans="1:23">
      <c r="A126" s="982" t="s">
        <v>13</v>
      </c>
      <c r="B126" s="982" t="s">
        <v>150</v>
      </c>
      <c r="C126" s="983" t="s">
        <v>129</v>
      </c>
      <c r="D126" s="984">
        <v>7</v>
      </c>
      <c r="E126" s="914"/>
      <c r="F126" s="986"/>
      <c r="G126" s="986">
        <f t="shared" si="14"/>
        <v>45667</v>
      </c>
      <c r="H126" s="987">
        <f t="shared" si="15"/>
        <v>45678</v>
      </c>
      <c r="I126" s="991" t="s">
        <v>146</v>
      </c>
      <c r="J126" s="982" t="s">
        <v>39</v>
      </c>
      <c r="K126" s="982" t="s">
        <v>147</v>
      </c>
      <c r="L126" s="992" t="s">
        <v>20</v>
      </c>
      <c r="M126" s="982"/>
      <c r="N126" s="203"/>
      <c r="O126" s="512"/>
      <c r="P126" s="512"/>
      <c r="Q126" s="512"/>
      <c r="R126" s="512"/>
      <c r="S126" s="512"/>
      <c r="T126" s="512"/>
      <c r="U126" s="512"/>
      <c r="V126" s="512"/>
      <c r="W126" s="512"/>
    </row>
    <row r="127" s="178" customFormat="1" spans="1:23">
      <c r="A127" s="982" t="s">
        <v>13</v>
      </c>
      <c r="B127" s="982" t="s">
        <v>150</v>
      </c>
      <c r="C127" s="983" t="s">
        <v>133</v>
      </c>
      <c r="D127" s="984">
        <v>7</v>
      </c>
      <c r="E127" s="914"/>
      <c r="F127" s="986"/>
      <c r="G127" s="986">
        <f t="shared" si="14"/>
        <v>45667</v>
      </c>
      <c r="H127" s="987">
        <f t="shared" si="15"/>
        <v>45678</v>
      </c>
      <c r="I127" s="991" t="s">
        <v>146</v>
      </c>
      <c r="J127" s="982" t="s">
        <v>39</v>
      </c>
      <c r="K127" s="982" t="s">
        <v>147</v>
      </c>
      <c r="L127" s="992" t="s">
        <v>20</v>
      </c>
      <c r="M127" s="982"/>
      <c r="N127" s="203"/>
      <c r="O127" s="512"/>
      <c r="P127" s="512"/>
      <c r="Q127" s="512"/>
      <c r="R127" s="512"/>
      <c r="S127" s="512"/>
      <c r="T127" s="512"/>
      <c r="U127" s="512"/>
      <c r="V127" s="512"/>
      <c r="W127" s="512"/>
    </row>
    <row r="128" s="178" customFormat="1" spans="1:23">
      <c r="A128" s="982" t="s">
        <v>153</v>
      </c>
      <c r="B128" s="982" t="s">
        <v>154</v>
      </c>
      <c r="C128" s="983" t="s">
        <v>155</v>
      </c>
      <c r="D128" s="984">
        <v>107</v>
      </c>
      <c r="E128" s="914"/>
      <c r="F128" s="986"/>
      <c r="G128" s="986">
        <f t="shared" si="14"/>
        <v>45667</v>
      </c>
      <c r="H128" s="987">
        <f t="shared" si="15"/>
        <v>45678</v>
      </c>
      <c r="I128" s="991" t="s">
        <v>146</v>
      </c>
      <c r="J128" s="982" t="s">
        <v>39</v>
      </c>
      <c r="K128" s="982" t="s">
        <v>147</v>
      </c>
      <c r="L128" s="992" t="s">
        <v>20</v>
      </c>
      <c r="M128" s="996"/>
      <c r="N128" s="203"/>
      <c r="O128" s="512"/>
      <c r="P128" s="512"/>
      <c r="Q128" s="512"/>
      <c r="R128" s="512"/>
      <c r="S128" s="512"/>
      <c r="T128" s="512"/>
      <c r="U128" s="512"/>
      <c r="V128" s="512"/>
      <c r="W128" s="512"/>
    </row>
    <row r="129" s="178" customFormat="1" spans="1:23">
      <c r="A129" s="982" t="s">
        <v>153</v>
      </c>
      <c r="B129" s="982" t="s">
        <v>154</v>
      </c>
      <c r="C129" s="983" t="s">
        <v>151</v>
      </c>
      <c r="D129" s="984">
        <v>55</v>
      </c>
      <c r="E129" s="914"/>
      <c r="F129" s="986"/>
      <c r="G129" s="986">
        <f t="shared" si="14"/>
        <v>45667</v>
      </c>
      <c r="H129" s="987">
        <f t="shared" si="15"/>
        <v>45678</v>
      </c>
      <c r="I129" s="991" t="s">
        <v>146</v>
      </c>
      <c r="J129" s="982" t="s">
        <v>39</v>
      </c>
      <c r="K129" s="982" t="s">
        <v>147</v>
      </c>
      <c r="L129" s="992" t="s">
        <v>20</v>
      </c>
      <c r="M129" s="996"/>
      <c r="N129" s="203"/>
      <c r="O129" s="512"/>
      <c r="P129" s="512"/>
      <c r="Q129" s="512"/>
      <c r="R129" s="512"/>
      <c r="S129" s="512"/>
      <c r="T129" s="512"/>
      <c r="U129" s="512"/>
      <c r="V129" s="512"/>
      <c r="W129" s="512"/>
    </row>
    <row r="130" s="178" customFormat="1" spans="1:23">
      <c r="A130" s="982" t="s">
        <v>153</v>
      </c>
      <c r="B130" s="982" t="s">
        <v>154</v>
      </c>
      <c r="C130" s="983" t="s">
        <v>152</v>
      </c>
      <c r="D130" s="984">
        <v>169</v>
      </c>
      <c r="E130" s="914"/>
      <c r="F130" s="986"/>
      <c r="G130" s="986">
        <f t="shared" si="14"/>
        <v>45667</v>
      </c>
      <c r="H130" s="987">
        <f t="shared" si="15"/>
        <v>45678</v>
      </c>
      <c r="I130" s="991" t="s">
        <v>146</v>
      </c>
      <c r="J130" s="982" t="s">
        <v>39</v>
      </c>
      <c r="K130" s="982" t="s">
        <v>147</v>
      </c>
      <c r="L130" s="992" t="s">
        <v>20</v>
      </c>
      <c r="M130" s="996"/>
      <c r="N130" s="203"/>
      <c r="O130" s="512"/>
      <c r="P130" s="512"/>
      <c r="Q130" s="512"/>
      <c r="R130" s="512"/>
      <c r="S130" s="512"/>
      <c r="T130" s="512"/>
      <c r="U130" s="512"/>
      <c r="V130" s="512"/>
      <c r="W130" s="512"/>
    </row>
    <row r="131" s="178" customFormat="1" spans="1:23">
      <c r="A131" s="982" t="s">
        <v>153</v>
      </c>
      <c r="B131" s="999" t="s">
        <v>154</v>
      </c>
      <c r="C131" s="983" t="s">
        <v>156</v>
      </c>
      <c r="D131" s="984">
        <v>1</v>
      </c>
      <c r="E131" s="914"/>
      <c r="F131" s="986"/>
      <c r="G131" s="986">
        <f t="shared" si="14"/>
        <v>45667</v>
      </c>
      <c r="H131" s="987">
        <f t="shared" si="15"/>
        <v>45678</v>
      </c>
      <c r="I131" s="991" t="s">
        <v>146</v>
      </c>
      <c r="J131" s="982" t="s">
        <v>39</v>
      </c>
      <c r="K131" s="982" t="s">
        <v>147</v>
      </c>
      <c r="L131" s="992" t="s">
        <v>20</v>
      </c>
      <c r="M131" s="996"/>
      <c r="N131" s="203"/>
      <c r="O131" s="512"/>
      <c r="P131" s="512"/>
      <c r="Q131" s="512"/>
      <c r="R131" s="512"/>
      <c r="S131" s="512"/>
      <c r="T131" s="512"/>
      <c r="U131" s="512"/>
      <c r="V131" s="512"/>
      <c r="W131" s="512"/>
    </row>
    <row r="132" s="477" customFormat="1" spans="1:23">
      <c r="A132" s="982" t="s">
        <v>157</v>
      </c>
      <c r="B132" s="982" t="s">
        <v>158</v>
      </c>
      <c r="C132" s="983" t="s">
        <v>52</v>
      </c>
      <c r="D132" s="984">
        <v>30</v>
      </c>
      <c r="E132" s="985" t="s">
        <v>159</v>
      </c>
      <c r="F132" s="986"/>
      <c r="G132" s="986">
        <f>VLOOKUP(CLEAN(SUBSTITUTE(TRIM(MID(E:E,FIND("/",E:E)+1,LEN(E:E)))," ","")),'Customs Decl. &amp; Local Delivery'!D:I,6,0)</f>
        <v>45667</v>
      </c>
      <c r="H132" s="987">
        <f>VLOOKUP(CLEAN(SUBSTITUTE(TRIM(MID(E:E,FIND("/",E:E)+1,LEN(E:E)))," ","")),'Customs Decl. &amp; Local Delivery'!D:J,7,0)</f>
        <v>45683</v>
      </c>
      <c r="I132" s="991" t="s">
        <v>160</v>
      </c>
      <c r="J132" s="982" t="s">
        <v>161</v>
      </c>
      <c r="K132" s="982" t="s">
        <v>19</v>
      </c>
      <c r="L132" s="992" t="s">
        <v>20</v>
      </c>
      <c r="M132" s="982" t="s">
        <v>162</v>
      </c>
      <c r="N132" s="512"/>
      <c r="O132" s="512"/>
      <c r="P132" s="512"/>
      <c r="Q132" s="512"/>
      <c r="R132" s="512"/>
      <c r="S132" s="512"/>
      <c r="T132" s="512"/>
      <c r="U132" s="512"/>
      <c r="V132" s="512"/>
      <c r="W132" s="512"/>
    </row>
    <row r="133" s="477" customFormat="1" spans="1:23">
      <c r="A133" s="982" t="s">
        <v>157</v>
      </c>
      <c r="B133" s="982" t="s">
        <v>158</v>
      </c>
      <c r="C133" s="983" t="s">
        <v>56</v>
      </c>
      <c r="D133" s="984">
        <v>30</v>
      </c>
      <c r="E133" s="914"/>
      <c r="F133" s="986"/>
      <c r="G133" s="986">
        <f t="shared" ref="G133:G143" si="16">G132</f>
        <v>45667</v>
      </c>
      <c r="H133" s="987">
        <f t="shared" ref="H133:H143" si="17">H132</f>
        <v>45683</v>
      </c>
      <c r="I133" s="991" t="s">
        <v>160</v>
      </c>
      <c r="J133" s="982" t="s">
        <v>161</v>
      </c>
      <c r="K133" s="982" t="s">
        <v>19</v>
      </c>
      <c r="L133" s="992" t="s">
        <v>20</v>
      </c>
      <c r="M133" s="982" t="s">
        <v>163</v>
      </c>
      <c r="N133" s="512"/>
      <c r="O133" s="512"/>
      <c r="P133" s="512"/>
      <c r="Q133" s="512"/>
      <c r="R133" s="512"/>
      <c r="S133" s="512"/>
      <c r="T133" s="512"/>
      <c r="U133" s="512"/>
      <c r="V133" s="512"/>
      <c r="W133" s="512"/>
    </row>
    <row r="134" s="477" customFormat="1" spans="1:23">
      <c r="A134" s="982" t="s">
        <v>157</v>
      </c>
      <c r="B134" s="982" t="s">
        <v>158</v>
      </c>
      <c r="C134" s="983" t="s">
        <v>36</v>
      </c>
      <c r="D134" s="984">
        <v>37</v>
      </c>
      <c r="E134" s="914"/>
      <c r="F134" s="986"/>
      <c r="G134" s="986">
        <f t="shared" si="16"/>
        <v>45667</v>
      </c>
      <c r="H134" s="987">
        <f t="shared" si="17"/>
        <v>45683</v>
      </c>
      <c r="I134" s="991" t="s">
        <v>160</v>
      </c>
      <c r="J134" s="982" t="s">
        <v>161</v>
      </c>
      <c r="K134" s="982" t="s">
        <v>19</v>
      </c>
      <c r="L134" s="992" t="s">
        <v>20</v>
      </c>
      <c r="M134" s="982"/>
      <c r="N134" s="512"/>
      <c r="O134" s="512"/>
      <c r="P134" s="512"/>
      <c r="Q134" s="512"/>
      <c r="R134" s="512"/>
      <c r="S134" s="512"/>
      <c r="T134" s="512"/>
      <c r="U134" s="512"/>
      <c r="V134" s="512"/>
      <c r="W134" s="512"/>
    </row>
    <row r="135" s="477" customFormat="1" spans="1:23">
      <c r="A135" s="982" t="s">
        <v>157</v>
      </c>
      <c r="B135" s="982" t="s">
        <v>158</v>
      </c>
      <c r="C135" s="983" t="s">
        <v>41</v>
      </c>
      <c r="D135" s="984">
        <v>37</v>
      </c>
      <c r="E135" s="914"/>
      <c r="F135" s="986"/>
      <c r="G135" s="986">
        <f t="shared" si="16"/>
        <v>45667</v>
      </c>
      <c r="H135" s="987">
        <f t="shared" si="17"/>
        <v>45683</v>
      </c>
      <c r="I135" s="991" t="s">
        <v>160</v>
      </c>
      <c r="J135" s="982" t="s">
        <v>161</v>
      </c>
      <c r="K135" s="982" t="s">
        <v>19</v>
      </c>
      <c r="L135" s="992" t="s">
        <v>20</v>
      </c>
      <c r="M135" s="997" t="s">
        <v>113</v>
      </c>
      <c r="N135" s="512"/>
      <c r="O135" s="512"/>
      <c r="P135" s="512"/>
      <c r="Q135" s="512"/>
      <c r="R135" s="512"/>
      <c r="S135" s="512"/>
      <c r="T135" s="512"/>
      <c r="U135" s="512"/>
      <c r="V135" s="512"/>
      <c r="W135" s="512"/>
    </row>
    <row r="136" s="477" customFormat="1" spans="1:23">
      <c r="A136" s="982" t="s">
        <v>157</v>
      </c>
      <c r="B136" s="982" t="s">
        <v>158</v>
      </c>
      <c r="C136" s="983" t="s">
        <v>43</v>
      </c>
      <c r="D136" s="984">
        <v>50</v>
      </c>
      <c r="E136" s="914"/>
      <c r="F136" s="986"/>
      <c r="G136" s="986">
        <f t="shared" si="16"/>
        <v>45667</v>
      </c>
      <c r="H136" s="987">
        <f t="shared" si="17"/>
        <v>45683</v>
      </c>
      <c r="I136" s="991" t="s">
        <v>160</v>
      </c>
      <c r="J136" s="982" t="s">
        <v>161</v>
      </c>
      <c r="K136" s="982" t="s">
        <v>19</v>
      </c>
      <c r="L136" s="992" t="s">
        <v>20</v>
      </c>
      <c r="M136" s="982"/>
      <c r="N136" s="512"/>
      <c r="O136" s="512"/>
      <c r="P136" s="512"/>
      <c r="Q136" s="512"/>
      <c r="R136" s="512"/>
      <c r="S136" s="512"/>
      <c r="T136" s="512"/>
      <c r="U136" s="512"/>
      <c r="V136" s="512"/>
      <c r="W136" s="512"/>
    </row>
    <row r="137" s="477" customFormat="1" spans="1:23">
      <c r="A137" s="982" t="s">
        <v>157</v>
      </c>
      <c r="B137" s="982" t="s">
        <v>158</v>
      </c>
      <c r="C137" s="983" t="s">
        <v>45</v>
      </c>
      <c r="D137" s="984">
        <v>50</v>
      </c>
      <c r="E137" s="914"/>
      <c r="F137" s="986"/>
      <c r="G137" s="986">
        <f t="shared" si="16"/>
        <v>45667</v>
      </c>
      <c r="H137" s="987">
        <f t="shared" si="17"/>
        <v>45683</v>
      </c>
      <c r="I137" s="991" t="s">
        <v>160</v>
      </c>
      <c r="J137" s="982" t="s">
        <v>161</v>
      </c>
      <c r="K137" s="982" t="s">
        <v>19</v>
      </c>
      <c r="L137" s="992" t="s">
        <v>20</v>
      </c>
      <c r="M137" s="982"/>
      <c r="N137" s="512"/>
      <c r="O137" s="512"/>
      <c r="P137" s="512"/>
      <c r="Q137" s="512"/>
      <c r="R137" s="512"/>
      <c r="S137" s="512"/>
      <c r="T137" s="512"/>
      <c r="U137" s="512"/>
      <c r="V137" s="512"/>
      <c r="W137" s="512"/>
    </row>
    <row r="138" s="477" customFormat="1" spans="1:23">
      <c r="A138" s="982" t="s">
        <v>157</v>
      </c>
      <c r="B138" s="982" t="s">
        <v>158</v>
      </c>
      <c r="C138" s="983" t="s">
        <v>47</v>
      </c>
      <c r="D138" s="984">
        <v>10</v>
      </c>
      <c r="E138" s="914"/>
      <c r="F138" s="986"/>
      <c r="G138" s="986">
        <f t="shared" si="16"/>
        <v>45667</v>
      </c>
      <c r="H138" s="987">
        <f t="shared" si="17"/>
        <v>45683</v>
      </c>
      <c r="I138" s="991" t="s">
        <v>160</v>
      </c>
      <c r="J138" s="982" t="s">
        <v>161</v>
      </c>
      <c r="K138" s="982" t="s">
        <v>19</v>
      </c>
      <c r="L138" s="992" t="s">
        <v>20</v>
      </c>
      <c r="M138" s="982"/>
      <c r="N138" s="512"/>
      <c r="O138" s="512"/>
      <c r="P138" s="512"/>
      <c r="Q138" s="512"/>
      <c r="R138" s="512"/>
      <c r="S138" s="512"/>
      <c r="T138" s="512"/>
      <c r="U138" s="512"/>
      <c r="V138" s="512"/>
      <c r="W138" s="512"/>
    </row>
    <row r="139" s="477" customFormat="1" spans="1:23">
      <c r="A139" s="982" t="s">
        <v>157</v>
      </c>
      <c r="B139" s="982" t="s">
        <v>158</v>
      </c>
      <c r="C139" s="983" t="s">
        <v>48</v>
      </c>
      <c r="D139" s="984">
        <v>10</v>
      </c>
      <c r="E139" s="914"/>
      <c r="F139" s="986"/>
      <c r="G139" s="986">
        <f t="shared" si="16"/>
        <v>45667</v>
      </c>
      <c r="H139" s="987">
        <f t="shared" si="17"/>
        <v>45683</v>
      </c>
      <c r="I139" s="991" t="s">
        <v>160</v>
      </c>
      <c r="J139" s="982" t="s">
        <v>161</v>
      </c>
      <c r="K139" s="982" t="s">
        <v>19</v>
      </c>
      <c r="L139" s="992" t="s">
        <v>20</v>
      </c>
      <c r="M139" s="982"/>
      <c r="N139" s="512"/>
      <c r="O139" s="512"/>
      <c r="P139" s="512"/>
      <c r="Q139" s="512"/>
      <c r="R139" s="512"/>
      <c r="S139" s="512"/>
      <c r="T139" s="512"/>
      <c r="U139" s="512"/>
      <c r="V139" s="512"/>
      <c r="W139" s="512"/>
    </row>
    <row r="140" s="477" customFormat="1" spans="1:23">
      <c r="A140" s="982" t="s">
        <v>157</v>
      </c>
      <c r="B140" s="982" t="s">
        <v>158</v>
      </c>
      <c r="C140" s="983" t="s">
        <v>49</v>
      </c>
      <c r="D140" s="984">
        <v>40</v>
      </c>
      <c r="E140" s="914"/>
      <c r="F140" s="986"/>
      <c r="G140" s="986">
        <f t="shared" si="16"/>
        <v>45667</v>
      </c>
      <c r="H140" s="987">
        <f t="shared" si="17"/>
        <v>45683</v>
      </c>
      <c r="I140" s="991" t="s">
        <v>160</v>
      </c>
      <c r="J140" s="982" t="s">
        <v>161</v>
      </c>
      <c r="K140" s="982" t="s">
        <v>19</v>
      </c>
      <c r="L140" s="992" t="s">
        <v>20</v>
      </c>
      <c r="M140" s="982"/>
      <c r="N140" s="512"/>
      <c r="O140" s="512"/>
      <c r="P140" s="512"/>
      <c r="Q140" s="512"/>
      <c r="R140" s="512"/>
      <c r="S140" s="512"/>
      <c r="T140" s="512"/>
      <c r="U140" s="512"/>
      <c r="V140" s="512"/>
      <c r="W140" s="512"/>
    </row>
    <row r="141" s="477" customFormat="1" spans="1:23">
      <c r="A141" s="982" t="s">
        <v>157</v>
      </c>
      <c r="B141" s="982" t="s">
        <v>158</v>
      </c>
      <c r="C141" s="983" t="s">
        <v>50</v>
      </c>
      <c r="D141" s="984">
        <v>40</v>
      </c>
      <c r="E141" s="914"/>
      <c r="F141" s="986"/>
      <c r="G141" s="986">
        <f t="shared" si="16"/>
        <v>45667</v>
      </c>
      <c r="H141" s="987">
        <f t="shared" si="17"/>
        <v>45683</v>
      </c>
      <c r="I141" s="991" t="s">
        <v>160</v>
      </c>
      <c r="J141" s="982" t="s">
        <v>161</v>
      </c>
      <c r="K141" s="982" t="s">
        <v>19</v>
      </c>
      <c r="L141" s="992" t="s">
        <v>20</v>
      </c>
      <c r="M141" s="982"/>
      <c r="N141" s="512"/>
      <c r="O141" s="512"/>
      <c r="P141" s="512"/>
      <c r="Q141" s="512"/>
      <c r="R141" s="512"/>
      <c r="S141" s="512"/>
      <c r="T141" s="512"/>
      <c r="U141" s="512"/>
      <c r="V141" s="512"/>
      <c r="W141" s="512"/>
    </row>
    <row r="142" s="477" customFormat="1" spans="1:23">
      <c r="A142" s="982" t="s">
        <v>157</v>
      </c>
      <c r="B142" s="982" t="s">
        <v>158</v>
      </c>
      <c r="C142" s="983" t="s">
        <v>164</v>
      </c>
      <c r="D142" s="984">
        <v>8</v>
      </c>
      <c r="E142" s="914"/>
      <c r="F142" s="986"/>
      <c r="G142" s="986">
        <f t="shared" si="16"/>
        <v>45667</v>
      </c>
      <c r="H142" s="987">
        <f t="shared" si="17"/>
        <v>45683</v>
      </c>
      <c r="I142" s="991" t="s">
        <v>160</v>
      </c>
      <c r="J142" s="982" t="s">
        <v>161</v>
      </c>
      <c r="K142" s="982" t="s">
        <v>19</v>
      </c>
      <c r="L142" s="992" t="s">
        <v>20</v>
      </c>
      <c r="M142" s="982"/>
      <c r="N142" s="512"/>
      <c r="O142" s="512"/>
      <c r="P142" s="512"/>
      <c r="Q142" s="512"/>
      <c r="R142" s="512"/>
      <c r="S142" s="512"/>
      <c r="T142" s="512"/>
      <c r="U142" s="512"/>
      <c r="V142" s="512"/>
      <c r="W142" s="512"/>
    </row>
    <row r="143" s="477" customFormat="1" spans="1:23">
      <c r="A143" s="982" t="s">
        <v>157</v>
      </c>
      <c r="B143" s="982" t="s">
        <v>158</v>
      </c>
      <c r="C143" s="983" t="s">
        <v>165</v>
      </c>
      <c r="D143" s="984">
        <v>8</v>
      </c>
      <c r="E143" s="914"/>
      <c r="F143" s="986"/>
      <c r="G143" s="986">
        <f t="shared" si="16"/>
        <v>45667</v>
      </c>
      <c r="H143" s="987">
        <f t="shared" si="17"/>
        <v>45683</v>
      </c>
      <c r="I143" s="991" t="s">
        <v>160</v>
      </c>
      <c r="J143" s="982" t="s">
        <v>161</v>
      </c>
      <c r="K143" s="982" t="s">
        <v>19</v>
      </c>
      <c r="L143" s="992" t="s">
        <v>20</v>
      </c>
      <c r="M143" s="982"/>
      <c r="N143" s="512"/>
      <c r="O143" s="512"/>
      <c r="P143" s="512"/>
      <c r="Q143" s="512"/>
      <c r="R143" s="512"/>
      <c r="S143" s="512"/>
      <c r="T143" s="512"/>
      <c r="U143" s="512"/>
      <c r="V143" s="512"/>
      <c r="W143" s="512"/>
    </row>
    <row r="144" s="178" customFormat="1" spans="1:23">
      <c r="A144" s="982" t="s">
        <v>13</v>
      </c>
      <c r="B144" s="982" t="s">
        <v>166</v>
      </c>
      <c r="C144" s="983" t="s">
        <v>77</v>
      </c>
      <c r="D144" s="984">
        <v>48</v>
      </c>
      <c r="E144" s="989" t="s">
        <v>167</v>
      </c>
      <c r="F144" s="986"/>
      <c r="G144" s="986">
        <f>VLOOKUP(CLEAN(SUBSTITUTE(TRIM(MID(E:E,FIND("/",E:E)+1,LEN(E:E)))," ","")),'Customs Decl. &amp; Local Delivery'!D:I,6,0)</f>
        <v>45667</v>
      </c>
      <c r="H144" s="987">
        <f>VLOOKUP(CLEAN(SUBSTITUTE(TRIM(MID(E:E,FIND("/",E:E)+1,LEN(E:E)))," ","")),'Customs Decl. &amp; Local Delivery'!D:J,7,0)</f>
        <v>45685</v>
      </c>
      <c r="I144" s="991" t="s">
        <v>168</v>
      </c>
      <c r="J144" s="982" t="s">
        <v>18</v>
      </c>
      <c r="K144" s="982" t="s">
        <v>147</v>
      </c>
      <c r="L144" s="992" t="s">
        <v>20</v>
      </c>
      <c r="M144" s="982" t="s">
        <v>169</v>
      </c>
      <c r="N144" s="203"/>
      <c r="O144" s="512"/>
      <c r="P144" s="512"/>
      <c r="Q144" s="512"/>
      <c r="R144" s="512"/>
      <c r="S144" s="512"/>
      <c r="T144" s="512"/>
      <c r="U144" s="512"/>
      <c r="V144" s="512"/>
      <c r="W144" s="512"/>
    </row>
    <row r="145" s="178" customFormat="1" spans="1:23">
      <c r="A145" s="982" t="s">
        <v>13</v>
      </c>
      <c r="B145" s="982" t="s">
        <v>166</v>
      </c>
      <c r="C145" s="983" t="s">
        <v>24</v>
      </c>
      <c r="D145" s="984">
        <v>108</v>
      </c>
      <c r="E145" s="914"/>
      <c r="F145" s="986"/>
      <c r="G145" s="986">
        <f>G144</f>
        <v>45667</v>
      </c>
      <c r="H145" s="987">
        <f>H144</f>
        <v>45685</v>
      </c>
      <c r="I145" s="991" t="s">
        <v>168</v>
      </c>
      <c r="J145" s="982" t="s">
        <v>18</v>
      </c>
      <c r="K145" s="982" t="s">
        <v>147</v>
      </c>
      <c r="L145" s="992" t="s">
        <v>20</v>
      </c>
      <c r="M145" s="982"/>
      <c r="N145" s="203"/>
      <c r="O145" s="512"/>
      <c r="P145" s="512"/>
      <c r="Q145" s="512"/>
      <c r="R145" s="512"/>
      <c r="S145" s="512"/>
      <c r="T145" s="512"/>
      <c r="U145" s="512"/>
      <c r="V145" s="512"/>
      <c r="W145" s="512"/>
    </row>
    <row r="146" s="178" customFormat="1" spans="1:23">
      <c r="A146" s="982" t="s">
        <v>13</v>
      </c>
      <c r="B146" s="982" t="s">
        <v>166</v>
      </c>
      <c r="C146" s="983" t="s">
        <v>27</v>
      </c>
      <c r="D146" s="984">
        <v>21</v>
      </c>
      <c r="E146" s="914"/>
      <c r="F146" s="986"/>
      <c r="G146" s="986">
        <f>G145</f>
        <v>45667</v>
      </c>
      <c r="H146" s="987">
        <f>H145</f>
        <v>45685</v>
      </c>
      <c r="I146" s="991" t="s">
        <v>168</v>
      </c>
      <c r="J146" s="982" t="s">
        <v>18</v>
      </c>
      <c r="K146" s="982" t="s">
        <v>147</v>
      </c>
      <c r="L146" s="992" t="s">
        <v>20</v>
      </c>
      <c r="M146" s="997" t="s">
        <v>113</v>
      </c>
      <c r="N146" s="203"/>
      <c r="O146" s="512"/>
      <c r="P146" s="512"/>
      <c r="Q146" s="512"/>
      <c r="R146" s="512"/>
      <c r="S146" s="512"/>
      <c r="T146" s="512"/>
      <c r="U146" s="512"/>
      <c r="V146" s="512"/>
      <c r="W146" s="512"/>
    </row>
    <row r="147" s="178" customFormat="1" spans="1:23">
      <c r="A147" s="982" t="s">
        <v>13</v>
      </c>
      <c r="B147" s="982" t="s">
        <v>166</v>
      </c>
      <c r="C147" s="983" t="s">
        <v>67</v>
      </c>
      <c r="D147" s="984">
        <v>72</v>
      </c>
      <c r="E147" s="914"/>
      <c r="F147" s="986"/>
      <c r="G147" s="986">
        <f>G146</f>
        <v>45667</v>
      </c>
      <c r="H147" s="987">
        <f>H146</f>
        <v>45685</v>
      </c>
      <c r="I147" s="991" t="s">
        <v>168</v>
      </c>
      <c r="J147" s="982" t="s">
        <v>18</v>
      </c>
      <c r="K147" s="982" t="s">
        <v>147</v>
      </c>
      <c r="L147" s="992" t="s">
        <v>20</v>
      </c>
      <c r="M147" s="982"/>
      <c r="N147" s="203"/>
      <c r="O147" s="512"/>
      <c r="P147" s="512"/>
      <c r="Q147" s="512"/>
      <c r="R147" s="512"/>
      <c r="S147" s="512"/>
      <c r="T147" s="512"/>
      <c r="U147" s="512"/>
      <c r="V147" s="512"/>
      <c r="W147" s="512"/>
    </row>
    <row r="148" s="178" customFormat="1" spans="1:23">
      <c r="A148" s="982" t="s">
        <v>13</v>
      </c>
      <c r="B148" s="982" t="s">
        <v>166</v>
      </c>
      <c r="C148" s="983" t="s">
        <v>70</v>
      </c>
      <c r="D148" s="984">
        <v>15</v>
      </c>
      <c r="E148" s="914"/>
      <c r="F148" s="986"/>
      <c r="G148" s="986">
        <f>G147</f>
        <v>45667</v>
      </c>
      <c r="H148" s="987">
        <f>H147</f>
        <v>45685</v>
      </c>
      <c r="I148" s="991" t="s">
        <v>168</v>
      </c>
      <c r="J148" s="982" t="s">
        <v>18</v>
      </c>
      <c r="K148" s="982" t="s">
        <v>147</v>
      </c>
      <c r="L148" s="992" t="s">
        <v>20</v>
      </c>
      <c r="M148" s="982"/>
      <c r="N148" s="203"/>
      <c r="O148" s="512"/>
      <c r="P148" s="512"/>
      <c r="Q148" s="512"/>
      <c r="R148" s="512"/>
      <c r="S148" s="512"/>
      <c r="T148" s="512"/>
      <c r="U148" s="512"/>
      <c r="V148" s="512"/>
      <c r="W148" s="512"/>
    </row>
    <row r="149" s="178" customFormat="1" spans="1:23">
      <c r="A149" s="982" t="s">
        <v>13</v>
      </c>
      <c r="B149" s="982" t="s">
        <v>170</v>
      </c>
      <c r="C149" s="983" t="s">
        <v>77</v>
      </c>
      <c r="D149" s="984">
        <v>48</v>
      </c>
      <c r="E149" s="989" t="s">
        <v>171</v>
      </c>
      <c r="F149" s="986"/>
      <c r="G149" s="986">
        <f>VLOOKUP(CLEAN(SUBSTITUTE(TRIM(MID(E:E,FIND("/",E:E)+1,LEN(E:E)))," ","")),'Customs Decl. &amp; Local Delivery'!D:I,6,0)</f>
        <v>45667</v>
      </c>
      <c r="H149" s="987">
        <f>VLOOKUP(CLEAN(SUBSTITUTE(TRIM(MID(E:E,FIND("/",E:E)+1,LEN(E:E)))," ","")),'Customs Decl. &amp; Local Delivery'!D:J,7,0)</f>
        <v>45685</v>
      </c>
      <c r="I149" s="991" t="s">
        <v>172</v>
      </c>
      <c r="J149" s="982" t="s">
        <v>18</v>
      </c>
      <c r="K149" s="982" t="s">
        <v>147</v>
      </c>
      <c r="L149" s="992" t="s">
        <v>20</v>
      </c>
      <c r="M149" s="982" t="s">
        <v>169</v>
      </c>
      <c r="N149" s="203"/>
      <c r="O149" s="512"/>
      <c r="P149" s="512"/>
      <c r="Q149" s="512"/>
      <c r="R149" s="512"/>
      <c r="S149" s="512"/>
      <c r="T149" s="512"/>
      <c r="U149" s="512"/>
      <c r="V149" s="512"/>
      <c r="W149" s="512"/>
    </row>
    <row r="150" s="178" customFormat="1" spans="1:23">
      <c r="A150" s="982" t="s">
        <v>13</v>
      </c>
      <c r="B150" s="982" t="s">
        <v>170</v>
      </c>
      <c r="C150" s="983" t="s">
        <v>70</v>
      </c>
      <c r="D150" s="984">
        <v>45</v>
      </c>
      <c r="E150" s="914"/>
      <c r="F150" s="986"/>
      <c r="G150" s="986">
        <f>G149</f>
        <v>45667</v>
      </c>
      <c r="H150" s="987">
        <f>H149</f>
        <v>45685</v>
      </c>
      <c r="I150" s="991" t="s">
        <v>172</v>
      </c>
      <c r="J150" s="982" t="s">
        <v>18</v>
      </c>
      <c r="K150" s="982" t="s">
        <v>147</v>
      </c>
      <c r="L150" s="992" t="s">
        <v>20</v>
      </c>
      <c r="M150" s="997" t="s">
        <v>173</v>
      </c>
      <c r="N150" s="203"/>
      <c r="O150" s="512"/>
      <c r="P150" s="512"/>
      <c r="Q150" s="512"/>
      <c r="R150" s="512"/>
      <c r="S150" s="512"/>
      <c r="T150" s="512"/>
      <c r="U150" s="512"/>
      <c r="V150" s="512"/>
      <c r="W150" s="512"/>
    </row>
    <row r="151" s="178" customFormat="1" spans="1:23">
      <c r="A151" s="982" t="s">
        <v>13</v>
      </c>
      <c r="B151" s="982" t="s">
        <v>170</v>
      </c>
      <c r="C151" s="983" t="s">
        <v>155</v>
      </c>
      <c r="D151" s="984">
        <v>150</v>
      </c>
      <c r="E151" s="914"/>
      <c r="F151" s="986"/>
      <c r="G151" s="986">
        <f>G150</f>
        <v>45667</v>
      </c>
      <c r="H151" s="987">
        <f>H150</f>
        <v>45685</v>
      </c>
      <c r="I151" s="991" t="s">
        <v>172</v>
      </c>
      <c r="J151" s="982" t="s">
        <v>18</v>
      </c>
      <c r="K151" s="982" t="s">
        <v>147</v>
      </c>
      <c r="L151" s="992" t="s">
        <v>20</v>
      </c>
      <c r="M151" s="982"/>
      <c r="N151" s="203"/>
      <c r="O151" s="512"/>
      <c r="P151" s="512"/>
      <c r="Q151" s="512"/>
      <c r="R151" s="512"/>
      <c r="S151" s="512"/>
      <c r="T151" s="512"/>
      <c r="U151" s="512"/>
      <c r="V151" s="512"/>
      <c r="W151" s="512"/>
    </row>
    <row r="152" s="178" customFormat="1" spans="1:23">
      <c r="A152" s="982" t="s">
        <v>13</v>
      </c>
      <c r="B152" s="982" t="s">
        <v>170</v>
      </c>
      <c r="C152" s="983" t="s">
        <v>151</v>
      </c>
      <c r="D152" s="984">
        <v>30</v>
      </c>
      <c r="E152" s="914"/>
      <c r="F152" s="986"/>
      <c r="G152" s="986">
        <f>G151</f>
        <v>45667</v>
      </c>
      <c r="H152" s="987">
        <f>H151</f>
        <v>45685</v>
      </c>
      <c r="I152" s="991" t="s">
        <v>172</v>
      </c>
      <c r="J152" s="982" t="s">
        <v>18</v>
      </c>
      <c r="K152" s="982" t="s">
        <v>147</v>
      </c>
      <c r="L152" s="992" t="s">
        <v>20</v>
      </c>
      <c r="M152" s="982"/>
      <c r="N152" s="203"/>
      <c r="O152" s="512"/>
      <c r="P152" s="512"/>
      <c r="Q152" s="512"/>
      <c r="R152" s="512"/>
      <c r="S152" s="512"/>
      <c r="T152" s="512"/>
      <c r="U152" s="512"/>
      <c r="V152" s="512"/>
      <c r="W152" s="512"/>
    </row>
    <row r="153" s="178" customFormat="1" spans="1:23">
      <c r="A153" s="982" t="s">
        <v>13</v>
      </c>
      <c r="B153" s="982" t="s">
        <v>174</v>
      </c>
      <c r="C153" s="983" t="s">
        <v>77</v>
      </c>
      <c r="D153" s="984">
        <v>48</v>
      </c>
      <c r="E153" s="989" t="s">
        <v>175</v>
      </c>
      <c r="F153" s="986"/>
      <c r="G153" s="986">
        <f>VLOOKUP(CLEAN(SUBSTITUTE(TRIM(MID(E:E,FIND("/",E:E)+1,LEN(E:E)))," ","")),'Customs Decl. &amp; Local Delivery'!D:I,6,0)</f>
        <v>45667</v>
      </c>
      <c r="H153" s="987">
        <f>VLOOKUP(CLEAN(SUBSTITUTE(TRIM(MID(E:E,FIND("/",E:E)+1,LEN(E:E)))," ","")),'Customs Decl. &amp; Local Delivery'!D:J,7,0)</f>
        <v>45685</v>
      </c>
      <c r="I153" s="991" t="s">
        <v>176</v>
      </c>
      <c r="J153" s="982" t="s">
        <v>18</v>
      </c>
      <c r="K153" s="982" t="s">
        <v>147</v>
      </c>
      <c r="L153" s="992" t="s">
        <v>20</v>
      </c>
      <c r="M153" s="982" t="s">
        <v>169</v>
      </c>
      <c r="N153" s="203"/>
      <c r="O153" s="512"/>
      <c r="P153" s="512"/>
      <c r="Q153" s="512"/>
      <c r="R153" s="512"/>
      <c r="S153" s="512"/>
      <c r="T153" s="512"/>
      <c r="U153" s="512"/>
      <c r="V153" s="512"/>
      <c r="W153" s="512"/>
    </row>
    <row r="154" s="178" customFormat="1" spans="1:23">
      <c r="A154" s="982" t="s">
        <v>13</v>
      </c>
      <c r="B154" s="982" t="s">
        <v>174</v>
      </c>
      <c r="C154" s="983" t="s">
        <v>151</v>
      </c>
      <c r="D154" s="984">
        <v>40</v>
      </c>
      <c r="E154" s="914"/>
      <c r="F154" s="986"/>
      <c r="G154" s="986">
        <f>G153</f>
        <v>45667</v>
      </c>
      <c r="H154" s="987">
        <f>H153</f>
        <v>45685</v>
      </c>
      <c r="I154" s="991" t="s">
        <v>176</v>
      </c>
      <c r="J154" s="982" t="s">
        <v>18</v>
      </c>
      <c r="K154" s="982" t="s">
        <v>147</v>
      </c>
      <c r="L154" s="992" t="s">
        <v>20</v>
      </c>
      <c r="M154" s="997" t="s">
        <v>173</v>
      </c>
      <c r="N154" s="203"/>
      <c r="O154" s="512"/>
      <c r="P154" s="512"/>
      <c r="Q154" s="512"/>
      <c r="R154" s="512"/>
      <c r="S154" s="512"/>
      <c r="T154" s="512"/>
      <c r="U154" s="512"/>
      <c r="V154" s="512"/>
      <c r="W154" s="512"/>
    </row>
    <row r="155" s="178" customFormat="1" spans="1:23">
      <c r="A155" s="982" t="s">
        <v>13</v>
      </c>
      <c r="B155" s="982" t="s">
        <v>174</v>
      </c>
      <c r="C155" s="983" t="s">
        <v>152</v>
      </c>
      <c r="D155" s="984">
        <v>120</v>
      </c>
      <c r="E155" s="914"/>
      <c r="F155" s="986"/>
      <c r="G155" s="986">
        <f>G154</f>
        <v>45667</v>
      </c>
      <c r="H155" s="987">
        <f>H154</f>
        <v>45685</v>
      </c>
      <c r="I155" s="991" t="s">
        <v>176</v>
      </c>
      <c r="J155" s="982" t="s">
        <v>18</v>
      </c>
      <c r="K155" s="982" t="s">
        <v>147</v>
      </c>
      <c r="L155" s="992" t="s">
        <v>20</v>
      </c>
      <c r="M155" s="982"/>
      <c r="N155" s="203"/>
      <c r="O155" s="512"/>
      <c r="P155" s="512"/>
      <c r="Q155" s="512"/>
      <c r="R155" s="512"/>
      <c r="S155" s="512"/>
      <c r="T155" s="512"/>
      <c r="U155" s="512"/>
      <c r="V155" s="512"/>
      <c r="W155" s="512"/>
    </row>
    <row r="156" s="178" customFormat="1" spans="1:23">
      <c r="A156" s="982" t="s">
        <v>13</v>
      </c>
      <c r="B156" s="982" t="s">
        <v>177</v>
      </c>
      <c r="C156" s="983" t="s">
        <v>77</v>
      </c>
      <c r="D156" s="984">
        <v>48</v>
      </c>
      <c r="E156" s="989" t="s">
        <v>178</v>
      </c>
      <c r="F156" s="986"/>
      <c r="G156" s="986">
        <f>VLOOKUP(CLEAN(SUBSTITUTE(TRIM(MID(E:E,FIND("/",E:E)+1,LEN(E:E)))," ","")),'Customs Decl. &amp; Local Delivery'!D:I,6,0)</f>
        <v>45667</v>
      </c>
      <c r="H156" s="987">
        <f>VLOOKUP(CLEAN(SUBSTITUTE(TRIM(MID(E:E,FIND("/",E:E)+1,LEN(E:E)))," ","")),'Customs Decl. &amp; Local Delivery'!D:J,7,0)</f>
        <v>45685</v>
      </c>
      <c r="I156" s="991" t="s">
        <v>179</v>
      </c>
      <c r="J156" s="982" t="s">
        <v>18</v>
      </c>
      <c r="K156" s="982" t="s">
        <v>147</v>
      </c>
      <c r="L156" s="992" t="s">
        <v>20</v>
      </c>
      <c r="M156" s="982" t="s">
        <v>169</v>
      </c>
      <c r="N156" s="203"/>
      <c r="O156" s="512"/>
      <c r="P156" s="512"/>
      <c r="Q156" s="512"/>
      <c r="R156" s="512"/>
      <c r="S156" s="512"/>
      <c r="T156" s="512"/>
      <c r="U156" s="512"/>
      <c r="V156" s="512"/>
      <c r="W156" s="512"/>
    </row>
    <row r="157" s="178" customFormat="1" spans="1:23">
      <c r="A157" s="982" t="s">
        <v>13</v>
      </c>
      <c r="B157" s="982" t="s">
        <v>177</v>
      </c>
      <c r="C157" s="983" t="s">
        <v>71</v>
      </c>
      <c r="D157" s="984">
        <v>57</v>
      </c>
      <c r="E157" s="914"/>
      <c r="F157" s="986"/>
      <c r="G157" s="986">
        <f>G156</f>
        <v>45667</v>
      </c>
      <c r="H157" s="987">
        <f>H156</f>
        <v>45685</v>
      </c>
      <c r="I157" s="991" t="s">
        <v>179</v>
      </c>
      <c r="J157" s="982" t="s">
        <v>18</v>
      </c>
      <c r="K157" s="982" t="s">
        <v>147</v>
      </c>
      <c r="L157" s="992" t="s">
        <v>20</v>
      </c>
      <c r="M157" s="997" t="s">
        <v>173</v>
      </c>
      <c r="N157" s="203"/>
      <c r="O157" s="512"/>
      <c r="P157" s="512"/>
      <c r="Q157" s="512"/>
      <c r="R157" s="512"/>
      <c r="S157" s="512"/>
      <c r="T157" s="512"/>
      <c r="U157" s="512"/>
      <c r="V157" s="512"/>
      <c r="W157" s="512"/>
    </row>
    <row r="158" s="178" customFormat="1" spans="1:23">
      <c r="A158" s="982" t="s">
        <v>13</v>
      </c>
      <c r="B158" s="982" t="s">
        <v>180</v>
      </c>
      <c r="C158" s="983" t="s">
        <v>77</v>
      </c>
      <c r="D158" s="984">
        <v>48</v>
      </c>
      <c r="E158" s="989" t="s">
        <v>181</v>
      </c>
      <c r="F158" s="986"/>
      <c r="G158" s="986">
        <f>VLOOKUP(CLEAN(SUBSTITUTE(TRIM(MID(E:E,FIND("/",E:E)+1,LEN(E:E)))," ","")),'Customs Decl. &amp; Local Delivery'!D:I,6,0)</f>
        <v>45667</v>
      </c>
      <c r="H158" s="987">
        <f>VLOOKUP(CLEAN(SUBSTITUTE(TRIM(MID(E:E,FIND("/",E:E)+1,LEN(E:E)))," ","")),'Customs Decl. &amp; Local Delivery'!D:J,7,0)</f>
        <v>45685</v>
      </c>
      <c r="I158" s="991" t="s">
        <v>182</v>
      </c>
      <c r="J158" s="982" t="s">
        <v>18</v>
      </c>
      <c r="K158" s="982" t="s">
        <v>147</v>
      </c>
      <c r="L158" s="992" t="s">
        <v>20</v>
      </c>
      <c r="M158" s="982" t="s">
        <v>183</v>
      </c>
      <c r="N158" s="203"/>
      <c r="O158" s="512"/>
      <c r="P158" s="512"/>
      <c r="Q158" s="512"/>
      <c r="R158" s="512"/>
      <c r="S158" s="512"/>
      <c r="T158" s="512"/>
      <c r="U158" s="512"/>
      <c r="V158" s="512"/>
      <c r="W158" s="512"/>
    </row>
    <row r="159" s="178" customFormat="1" spans="1:23">
      <c r="A159" s="982" t="s">
        <v>13</v>
      </c>
      <c r="B159" s="982" t="s">
        <v>180</v>
      </c>
      <c r="C159" s="983" t="s">
        <v>69</v>
      </c>
      <c r="D159" s="984">
        <v>57</v>
      </c>
      <c r="E159" s="914"/>
      <c r="F159" s="986"/>
      <c r="G159" s="986">
        <f>G158</f>
        <v>45667</v>
      </c>
      <c r="H159" s="987">
        <f>H158</f>
        <v>45685</v>
      </c>
      <c r="I159" s="991" t="s">
        <v>182</v>
      </c>
      <c r="J159" s="982" t="s">
        <v>18</v>
      </c>
      <c r="K159" s="982" t="s">
        <v>147</v>
      </c>
      <c r="L159" s="992" t="s">
        <v>20</v>
      </c>
      <c r="M159" s="997" t="s">
        <v>173</v>
      </c>
      <c r="N159" s="203"/>
      <c r="O159" s="512"/>
      <c r="P159" s="512"/>
      <c r="Q159" s="512"/>
      <c r="R159" s="512"/>
      <c r="S159" s="512"/>
      <c r="T159" s="512"/>
      <c r="U159" s="512"/>
      <c r="V159" s="512"/>
      <c r="W159" s="512"/>
    </row>
    <row r="160" s="178" customFormat="1" spans="1:23">
      <c r="A160" s="982" t="s">
        <v>13</v>
      </c>
      <c r="B160" s="982" t="s">
        <v>184</v>
      </c>
      <c r="C160" s="983" t="s">
        <v>77</v>
      </c>
      <c r="D160" s="984">
        <v>48</v>
      </c>
      <c r="E160" s="989" t="s">
        <v>185</v>
      </c>
      <c r="F160" s="986"/>
      <c r="G160" s="986">
        <f>VLOOKUP(CLEAN(SUBSTITUTE(TRIM(MID(E:E,FIND("/",E:E)+1,LEN(E:E)))," ","")),'Customs Decl. &amp; Local Delivery'!D:I,6,0)</f>
        <v>45667</v>
      </c>
      <c r="H160" s="987">
        <f>VLOOKUP(CLEAN(SUBSTITUTE(TRIM(MID(E:E,FIND("/",E:E)+1,LEN(E:E)))," ","")),'Customs Decl. &amp; Local Delivery'!D:J,7,0)</f>
        <v>45685</v>
      </c>
      <c r="I160" s="991" t="s">
        <v>186</v>
      </c>
      <c r="J160" s="982" t="s">
        <v>18</v>
      </c>
      <c r="K160" s="982" t="s">
        <v>147</v>
      </c>
      <c r="L160" s="992" t="s">
        <v>20</v>
      </c>
      <c r="M160" s="982" t="s">
        <v>183</v>
      </c>
      <c r="N160" s="203"/>
      <c r="O160" s="512"/>
      <c r="P160" s="512"/>
      <c r="Q160" s="512"/>
      <c r="R160" s="512"/>
      <c r="S160" s="512"/>
      <c r="T160" s="512"/>
      <c r="U160" s="512"/>
      <c r="V160" s="512"/>
      <c r="W160" s="512"/>
    </row>
    <row r="161" s="178" customFormat="1" spans="1:23">
      <c r="A161" s="982" t="s">
        <v>13</v>
      </c>
      <c r="B161" s="982" t="s">
        <v>184</v>
      </c>
      <c r="C161" s="983" t="s">
        <v>69</v>
      </c>
      <c r="D161" s="984">
        <v>57</v>
      </c>
      <c r="E161" s="914"/>
      <c r="F161" s="986"/>
      <c r="G161" s="986">
        <f>G160</f>
        <v>45667</v>
      </c>
      <c r="H161" s="987">
        <f>H160</f>
        <v>45685</v>
      </c>
      <c r="I161" s="991" t="s">
        <v>186</v>
      </c>
      <c r="J161" s="982" t="s">
        <v>18</v>
      </c>
      <c r="K161" s="982" t="s">
        <v>147</v>
      </c>
      <c r="L161" s="992" t="s">
        <v>20</v>
      </c>
      <c r="M161" s="997" t="s">
        <v>173</v>
      </c>
      <c r="N161" s="203"/>
      <c r="O161" s="512"/>
      <c r="P161" s="512"/>
      <c r="Q161" s="512"/>
      <c r="R161" s="512"/>
      <c r="S161" s="512"/>
      <c r="T161" s="512"/>
      <c r="U161" s="512"/>
      <c r="V161" s="512"/>
      <c r="W161" s="512"/>
    </row>
    <row r="162" s="178" customFormat="1" spans="1:23">
      <c r="A162" s="982" t="s">
        <v>13</v>
      </c>
      <c r="B162" s="982" t="s">
        <v>187</v>
      </c>
      <c r="C162" s="983" t="s">
        <v>77</v>
      </c>
      <c r="D162" s="984">
        <v>48</v>
      </c>
      <c r="E162" s="989" t="s">
        <v>188</v>
      </c>
      <c r="F162" s="986"/>
      <c r="G162" s="986">
        <f>VLOOKUP(CLEAN(SUBSTITUTE(TRIM(MID(E:E,FIND("/",E:E)+1,LEN(E:E)))," ","")),'Customs Decl. &amp; Local Delivery'!D:I,6,0)</f>
        <v>45667</v>
      </c>
      <c r="H162" s="987">
        <f>VLOOKUP(CLEAN(SUBSTITUTE(TRIM(MID(E:E,FIND("/",E:E)+1,LEN(E:E)))," ","")),'Customs Decl. &amp; Local Delivery'!D:J,7,0)</f>
        <v>45685</v>
      </c>
      <c r="I162" s="991" t="s">
        <v>189</v>
      </c>
      <c r="J162" s="982" t="s">
        <v>18</v>
      </c>
      <c r="K162" s="982" t="s">
        <v>147</v>
      </c>
      <c r="L162" s="992" t="s">
        <v>20</v>
      </c>
      <c r="M162" s="982" t="s">
        <v>183</v>
      </c>
      <c r="N162" s="203"/>
      <c r="O162" s="512"/>
      <c r="P162" s="512"/>
      <c r="Q162" s="512"/>
      <c r="R162" s="512"/>
      <c r="S162" s="512"/>
      <c r="T162" s="512"/>
      <c r="U162" s="512"/>
      <c r="V162" s="512"/>
      <c r="W162" s="512"/>
    </row>
    <row r="163" s="178" customFormat="1" spans="1:23">
      <c r="A163" s="982" t="s">
        <v>13</v>
      </c>
      <c r="B163" s="982" t="s">
        <v>187</v>
      </c>
      <c r="C163" s="983" t="s">
        <v>25</v>
      </c>
      <c r="D163" s="984">
        <v>5</v>
      </c>
      <c r="E163" s="914"/>
      <c r="F163" s="986"/>
      <c r="G163" s="986">
        <f>G162</f>
        <v>45667</v>
      </c>
      <c r="H163" s="987">
        <f>H162</f>
        <v>45685</v>
      </c>
      <c r="I163" s="991" t="s">
        <v>189</v>
      </c>
      <c r="J163" s="982" t="s">
        <v>18</v>
      </c>
      <c r="K163" s="982" t="s">
        <v>147</v>
      </c>
      <c r="L163" s="992" t="s">
        <v>20</v>
      </c>
      <c r="M163" s="997" t="s">
        <v>173</v>
      </c>
      <c r="N163" s="203"/>
      <c r="O163" s="512"/>
      <c r="P163" s="512"/>
      <c r="Q163" s="512"/>
      <c r="R163" s="512"/>
      <c r="S163" s="512"/>
      <c r="T163" s="512"/>
      <c r="U163" s="512"/>
      <c r="V163" s="512"/>
      <c r="W163" s="512"/>
    </row>
    <row r="164" s="178" customFormat="1" spans="1:23">
      <c r="A164" s="982" t="s">
        <v>13</v>
      </c>
      <c r="B164" s="982" t="s">
        <v>187</v>
      </c>
      <c r="C164" s="983" t="s">
        <v>69</v>
      </c>
      <c r="D164" s="984">
        <v>52</v>
      </c>
      <c r="E164" s="914"/>
      <c r="F164" s="986"/>
      <c r="G164" s="986">
        <f>G163</f>
        <v>45667</v>
      </c>
      <c r="H164" s="987">
        <f>H163</f>
        <v>45685</v>
      </c>
      <c r="I164" s="991" t="s">
        <v>189</v>
      </c>
      <c r="J164" s="982" t="s">
        <v>18</v>
      </c>
      <c r="K164" s="982" t="s">
        <v>147</v>
      </c>
      <c r="L164" s="992" t="s">
        <v>20</v>
      </c>
      <c r="M164" s="982"/>
      <c r="N164" s="203"/>
      <c r="O164" s="512"/>
      <c r="P164" s="512"/>
      <c r="Q164" s="512"/>
      <c r="R164" s="512"/>
      <c r="S164" s="512"/>
      <c r="T164" s="512"/>
      <c r="U164" s="512"/>
      <c r="V164" s="512"/>
      <c r="W164" s="512"/>
    </row>
    <row r="165" s="178" customFormat="1" spans="1:23">
      <c r="A165" s="982" t="s">
        <v>13</v>
      </c>
      <c r="B165" s="982" t="s">
        <v>190</v>
      </c>
      <c r="C165" s="983" t="s">
        <v>77</v>
      </c>
      <c r="D165" s="984">
        <v>48</v>
      </c>
      <c r="E165" s="989" t="s">
        <v>191</v>
      </c>
      <c r="F165" s="986"/>
      <c r="G165" s="986">
        <f>VLOOKUP(CLEAN(SUBSTITUTE(TRIM(MID(E:E,FIND("/",E:E)+1,LEN(E:E)))," ","")),'Customs Decl. &amp; Local Delivery'!D:I,6,0)</f>
        <v>45667</v>
      </c>
      <c r="H165" s="987">
        <f>VLOOKUP(CLEAN(SUBSTITUTE(TRIM(MID(E:E,FIND("/",E:E)+1,LEN(E:E)))," ","")),'Customs Decl. &amp; Local Delivery'!D:J,7,0)</f>
        <v>45685</v>
      </c>
      <c r="I165" s="991" t="s">
        <v>192</v>
      </c>
      <c r="J165" s="982" t="s">
        <v>18</v>
      </c>
      <c r="K165" s="982" t="s">
        <v>147</v>
      </c>
      <c r="L165" s="992" t="s">
        <v>20</v>
      </c>
      <c r="M165" s="982" t="s">
        <v>183</v>
      </c>
      <c r="N165" s="203"/>
      <c r="O165" s="512"/>
      <c r="P165" s="512"/>
      <c r="Q165" s="512"/>
      <c r="R165" s="512"/>
      <c r="S165" s="512"/>
      <c r="T165" s="512"/>
      <c r="U165" s="512"/>
      <c r="V165" s="512"/>
      <c r="W165" s="512"/>
    </row>
    <row r="166" s="178" customFormat="1" spans="1:23">
      <c r="A166" s="982" t="s">
        <v>13</v>
      </c>
      <c r="B166" s="982" t="s">
        <v>190</v>
      </c>
      <c r="C166" s="983" t="s">
        <v>24</v>
      </c>
      <c r="D166" s="984">
        <v>72</v>
      </c>
      <c r="E166" s="914"/>
      <c r="F166" s="986"/>
      <c r="G166" s="986">
        <f>G165</f>
        <v>45667</v>
      </c>
      <c r="H166" s="987">
        <f>H165</f>
        <v>45685</v>
      </c>
      <c r="I166" s="991" t="s">
        <v>192</v>
      </c>
      <c r="J166" s="982" t="s">
        <v>18</v>
      </c>
      <c r="K166" s="982" t="s">
        <v>147</v>
      </c>
      <c r="L166" s="992" t="s">
        <v>20</v>
      </c>
      <c r="M166" s="997" t="s">
        <v>173</v>
      </c>
      <c r="N166" s="203"/>
      <c r="O166" s="512"/>
      <c r="P166" s="512"/>
      <c r="Q166" s="512"/>
      <c r="R166" s="512"/>
      <c r="S166" s="512"/>
      <c r="T166" s="512"/>
      <c r="U166" s="512"/>
      <c r="V166" s="512"/>
      <c r="W166" s="512"/>
    </row>
    <row r="167" s="178" customFormat="1" spans="1:23">
      <c r="A167" s="982" t="s">
        <v>13</v>
      </c>
      <c r="B167" s="982" t="s">
        <v>190</v>
      </c>
      <c r="C167" s="983" t="s">
        <v>27</v>
      </c>
      <c r="D167" s="984">
        <v>15</v>
      </c>
      <c r="E167" s="914"/>
      <c r="F167" s="986"/>
      <c r="G167" s="986">
        <f>G166</f>
        <v>45667</v>
      </c>
      <c r="H167" s="987">
        <f>H166</f>
        <v>45685</v>
      </c>
      <c r="I167" s="991" t="s">
        <v>192</v>
      </c>
      <c r="J167" s="982" t="s">
        <v>18</v>
      </c>
      <c r="K167" s="982" t="s">
        <v>147</v>
      </c>
      <c r="L167" s="992" t="s">
        <v>20</v>
      </c>
      <c r="M167" s="982"/>
      <c r="N167" s="203"/>
      <c r="O167" s="512"/>
      <c r="P167" s="512"/>
      <c r="Q167" s="512"/>
      <c r="R167" s="512"/>
      <c r="S167" s="512"/>
      <c r="T167" s="512"/>
      <c r="U167" s="512"/>
      <c r="V167" s="512"/>
      <c r="W167" s="512"/>
    </row>
    <row r="168" s="178" customFormat="1" spans="1:23">
      <c r="A168" s="982" t="s">
        <v>13</v>
      </c>
      <c r="B168" s="982" t="s">
        <v>190</v>
      </c>
      <c r="C168" s="983" t="s">
        <v>67</v>
      </c>
      <c r="D168" s="984">
        <v>48</v>
      </c>
      <c r="E168" s="914"/>
      <c r="F168" s="986"/>
      <c r="G168" s="986">
        <f>G167</f>
        <v>45667</v>
      </c>
      <c r="H168" s="987">
        <f>H167</f>
        <v>45685</v>
      </c>
      <c r="I168" s="991" t="s">
        <v>192</v>
      </c>
      <c r="J168" s="982" t="s">
        <v>18</v>
      </c>
      <c r="K168" s="982" t="s">
        <v>147</v>
      </c>
      <c r="L168" s="992" t="s">
        <v>20</v>
      </c>
      <c r="M168" s="982"/>
      <c r="N168" s="203"/>
      <c r="O168" s="512"/>
      <c r="P168" s="512"/>
      <c r="Q168" s="512"/>
      <c r="R168" s="512"/>
      <c r="S168" s="512"/>
      <c r="T168" s="512"/>
      <c r="U168" s="512"/>
      <c r="V168" s="512"/>
      <c r="W168" s="512"/>
    </row>
    <row r="169" s="178" customFormat="1" spans="1:23">
      <c r="A169" s="982" t="s">
        <v>13</v>
      </c>
      <c r="B169" s="982" t="s">
        <v>190</v>
      </c>
      <c r="C169" s="983" t="s">
        <v>25</v>
      </c>
      <c r="D169" s="984">
        <v>46</v>
      </c>
      <c r="E169" s="914"/>
      <c r="F169" s="986"/>
      <c r="G169" s="986">
        <f>G168</f>
        <v>45667</v>
      </c>
      <c r="H169" s="987">
        <f>H168</f>
        <v>45685</v>
      </c>
      <c r="I169" s="991" t="s">
        <v>192</v>
      </c>
      <c r="J169" s="982" t="s">
        <v>18</v>
      </c>
      <c r="K169" s="982" t="s">
        <v>147</v>
      </c>
      <c r="L169" s="992" t="s">
        <v>20</v>
      </c>
      <c r="M169" s="982"/>
      <c r="N169" s="203"/>
      <c r="O169" s="512"/>
      <c r="P169" s="512"/>
      <c r="Q169" s="512"/>
      <c r="R169" s="512"/>
      <c r="S169" s="512"/>
      <c r="T169" s="512"/>
      <c r="U169" s="512"/>
      <c r="V169" s="512"/>
      <c r="W169" s="512"/>
    </row>
    <row r="170" s="178" customFormat="1" spans="1:23">
      <c r="A170" s="982" t="s">
        <v>13</v>
      </c>
      <c r="B170" s="982" t="s">
        <v>193</v>
      </c>
      <c r="C170" s="983" t="s">
        <v>77</v>
      </c>
      <c r="D170" s="984">
        <v>48</v>
      </c>
      <c r="E170" s="989" t="s">
        <v>194</v>
      </c>
      <c r="F170" s="986"/>
      <c r="G170" s="986">
        <f>VLOOKUP(CLEAN(SUBSTITUTE(TRIM(MID(E:E,FIND("/",E:E)+1,LEN(E:E)))," ","")),'Customs Decl. &amp; Local Delivery'!D:I,6,0)</f>
        <v>45667</v>
      </c>
      <c r="H170" s="987">
        <f>VLOOKUP(CLEAN(SUBSTITUTE(TRIM(MID(E:E,FIND("/",E:E)+1,LEN(E:E)))," ","")),'Customs Decl. &amp; Local Delivery'!D:J,7,0)</f>
        <v>45685</v>
      </c>
      <c r="I170" s="991" t="s">
        <v>195</v>
      </c>
      <c r="J170" s="982" t="s">
        <v>18</v>
      </c>
      <c r="K170" s="982" t="s">
        <v>147</v>
      </c>
      <c r="L170" s="992" t="s">
        <v>20</v>
      </c>
      <c r="M170" s="982" t="s">
        <v>183</v>
      </c>
      <c r="N170" s="203"/>
      <c r="O170" s="512"/>
      <c r="P170" s="512"/>
      <c r="Q170" s="512"/>
      <c r="R170" s="512"/>
      <c r="S170" s="512"/>
      <c r="T170" s="512"/>
      <c r="U170" s="512"/>
      <c r="V170" s="512"/>
      <c r="W170" s="512"/>
    </row>
    <row r="171" s="178" customFormat="1" spans="1:23">
      <c r="A171" s="982" t="s">
        <v>13</v>
      </c>
      <c r="B171" s="982" t="s">
        <v>193</v>
      </c>
      <c r="C171" s="983" t="s">
        <v>24</v>
      </c>
      <c r="D171" s="984">
        <v>72</v>
      </c>
      <c r="E171" s="914"/>
      <c r="F171" s="986"/>
      <c r="G171" s="986">
        <f>G170</f>
        <v>45667</v>
      </c>
      <c r="H171" s="987">
        <f>H170</f>
        <v>45685</v>
      </c>
      <c r="I171" s="991" t="s">
        <v>195</v>
      </c>
      <c r="J171" s="982" t="s">
        <v>18</v>
      </c>
      <c r="K171" s="982" t="s">
        <v>147</v>
      </c>
      <c r="L171" s="992" t="s">
        <v>20</v>
      </c>
      <c r="M171" s="997" t="s">
        <v>173</v>
      </c>
      <c r="N171" s="203"/>
      <c r="O171" s="512"/>
      <c r="P171" s="512"/>
      <c r="Q171" s="512"/>
      <c r="R171" s="512"/>
      <c r="S171" s="512"/>
      <c r="T171" s="512"/>
      <c r="U171" s="512"/>
      <c r="V171" s="512"/>
      <c r="W171" s="512"/>
    </row>
    <row r="172" s="178" customFormat="1" spans="1:23">
      <c r="A172" s="982" t="s">
        <v>13</v>
      </c>
      <c r="B172" s="982" t="s">
        <v>193</v>
      </c>
      <c r="C172" s="983" t="s">
        <v>27</v>
      </c>
      <c r="D172" s="984">
        <v>15</v>
      </c>
      <c r="E172" s="914"/>
      <c r="F172" s="986"/>
      <c r="G172" s="986">
        <f>G171</f>
        <v>45667</v>
      </c>
      <c r="H172" s="987">
        <f>H171</f>
        <v>45685</v>
      </c>
      <c r="I172" s="991" t="s">
        <v>195</v>
      </c>
      <c r="J172" s="982" t="s">
        <v>18</v>
      </c>
      <c r="K172" s="982" t="s">
        <v>147</v>
      </c>
      <c r="L172" s="992" t="s">
        <v>20</v>
      </c>
      <c r="M172" s="982"/>
      <c r="N172" s="203"/>
      <c r="O172" s="512"/>
      <c r="P172" s="512"/>
      <c r="Q172" s="512"/>
      <c r="R172" s="512"/>
      <c r="S172" s="512"/>
      <c r="T172" s="512"/>
      <c r="U172" s="512"/>
      <c r="V172" s="512"/>
      <c r="W172" s="512"/>
    </row>
    <row r="173" s="178" customFormat="1" spans="1:23">
      <c r="A173" s="982" t="s">
        <v>13</v>
      </c>
      <c r="B173" s="982" t="s">
        <v>193</v>
      </c>
      <c r="C173" s="983" t="s">
        <v>67</v>
      </c>
      <c r="D173" s="984">
        <v>48</v>
      </c>
      <c r="E173" s="914"/>
      <c r="F173" s="986"/>
      <c r="G173" s="986">
        <f>G172</f>
        <v>45667</v>
      </c>
      <c r="H173" s="987">
        <f>H172</f>
        <v>45685</v>
      </c>
      <c r="I173" s="991" t="s">
        <v>195</v>
      </c>
      <c r="J173" s="982" t="s">
        <v>18</v>
      </c>
      <c r="K173" s="982" t="s">
        <v>147</v>
      </c>
      <c r="L173" s="992" t="s">
        <v>20</v>
      </c>
      <c r="M173" s="982"/>
      <c r="N173" s="203"/>
      <c r="O173" s="512"/>
      <c r="P173" s="512"/>
      <c r="Q173" s="512"/>
      <c r="R173" s="512"/>
      <c r="S173" s="512"/>
      <c r="T173" s="512"/>
      <c r="U173" s="512"/>
      <c r="V173" s="512"/>
      <c r="W173" s="512"/>
    </row>
    <row r="174" s="178" customFormat="1" spans="1:23">
      <c r="A174" s="982" t="s">
        <v>13</v>
      </c>
      <c r="B174" s="982" t="s">
        <v>193</v>
      </c>
      <c r="C174" s="983" t="s">
        <v>25</v>
      </c>
      <c r="D174" s="984">
        <v>46</v>
      </c>
      <c r="E174" s="914"/>
      <c r="F174" s="986"/>
      <c r="G174" s="986">
        <f>G173</f>
        <v>45667</v>
      </c>
      <c r="H174" s="987">
        <f>H173</f>
        <v>45685</v>
      </c>
      <c r="I174" s="991" t="s">
        <v>195</v>
      </c>
      <c r="J174" s="982" t="s">
        <v>18</v>
      </c>
      <c r="K174" s="982" t="s">
        <v>147</v>
      </c>
      <c r="L174" s="992" t="s">
        <v>20</v>
      </c>
      <c r="M174" s="982"/>
      <c r="N174" s="203"/>
      <c r="O174" s="512"/>
      <c r="P174" s="512"/>
      <c r="Q174" s="512"/>
      <c r="R174" s="512"/>
      <c r="S174" s="512"/>
      <c r="T174" s="512"/>
      <c r="U174" s="512"/>
      <c r="V174" s="512"/>
      <c r="W174" s="512"/>
    </row>
    <row r="175" s="178" customFormat="1" spans="1:23">
      <c r="A175" s="982" t="s">
        <v>13</v>
      </c>
      <c r="B175" s="982" t="s">
        <v>196</v>
      </c>
      <c r="C175" s="983" t="s">
        <v>77</v>
      </c>
      <c r="D175" s="984">
        <v>48</v>
      </c>
      <c r="E175" s="989" t="s">
        <v>197</v>
      </c>
      <c r="F175" s="986"/>
      <c r="G175" s="986">
        <f>VLOOKUP(CLEAN(SUBSTITUTE(TRIM(MID(E:E,FIND("/",E:E)+1,LEN(E:E)))," ","")),'Customs Decl. &amp; Local Delivery'!D:I,6,0)</f>
        <v>45667</v>
      </c>
      <c r="H175" s="987">
        <f>VLOOKUP(CLEAN(SUBSTITUTE(TRIM(MID(E:E,FIND("/",E:E)+1,LEN(E:E)))," ","")),'Customs Decl. &amp; Local Delivery'!D:J,7,0)</f>
        <v>45685</v>
      </c>
      <c r="I175" s="991" t="s">
        <v>198</v>
      </c>
      <c r="J175" s="982" t="s">
        <v>18</v>
      </c>
      <c r="K175" s="982" t="s">
        <v>147</v>
      </c>
      <c r="L175" s="992" t="s">
        <v>20</v>
      </c>
      <c r="M175" s="982" t="s">
        <v>183</v>
      </c>
      <c r="N175" s="203"/>
      <c r="O175" s="512"/>
      <c r="P175" s="512"/>
      <c r="Q175" s="512"/>
      <c r="R175" s="512"/>
      <c r="S175" s="512"/>
      <c r="T175" s="512"/>
      <c r="U175" s="512"/>
      <c r="V175" s="512"/>
      <c r="W175" s="512"/>
    </row>
    <row r="176" s="178" customFormat="1" spans="1:23">
      <c r="A176" s="982" t="s">
        <v>13</v>
      </c>
      <c r="B176" s="982" t="s">
        <v>196</v>
      </c>
      <c r="C176" s="983" t="s">
        <v>24</v>
      </c>
      <c r="D176" s="984">
        <v>72</v>
      </c>
      <c r="E176" s="914"/>
      <c r="F176" s="986"/>
      <c r="G176" s="986">
        <f>G175</f>
        <v>45667</v>
      </c>
      <c r="H176" s="987">
        <f>H175</f>
        <v>45685</v>
      </c>
      <c r="I176" s="991" t="s">
        <v>198</v>
      </c>
      <c r="J176" s="982" t="s">
        <v>18</v>
      </c>
      <c r="K176" s="982" t="s">
        <v>147</v>
      </c>
      <c r="L176" s="992" t="s">
        <v>20</v>
      </c>
      <c r="M176" s="997" t="s">
        <v>173</v>
      </c>
      <c r="N176" s="203"/>
      <c r="O176" s="512"/>
      <c r="P176" s="512"/>
      <c r="Q176" s="512"/>
      <c r="R176" s="512"/>
      <c r="S176" s="512"/>
      <c r="T176" s="512"/>
      <c r="U176" s="512"/>
      <c r="V176" s="512"/>
      <c r="W176" s="512"/>
    </row>
    <row r="177" s="178" customFormat="1" spans="1:23">
      <c r="A177" s="982" t="s">
        <v>13</v>
      </c>
      <c r="B177" s="982" t="s">
        <v>196</v>
      </c>
      <c r="C177" s="983" t="s">
        <v>27</v>
      </c>
      <c r="D177" s="984">
        <v>15</v>
      </c>
      <c r="E177" s="914"/>
      <c r="F177" s="986"/>
      <c r="G177" s="986">
        <f>G176</f>
        <v>45667</v>
      </c>
      <c r="H177" s="987">
        <f>H176</f>
        <v>45685</v>
      </c>
      <c r="I177" s="991" t="s">
        <v>198</v>
      </c>
      <c r="J177" s="982" t="s">
        <v>18</v>
      </c>
      <c r="K177" s="982" t="s">
        <v>147</v>
      </c>
      <c r="L177" s="992" t="s">
        <v>20</v>
      </c>
      <c r="M177" s="982"/>
      <c r="N177" s="203"/>
      <c r="O177" s="512"/>
      <c r="P177" s="512"/>
      <c r="Q177" s="512"/>
      <c r="R177" s="512"/>
      <c r="S177" s="512"/>
      <c r="T177" s="512"/>
      <c r="U177" s="512"/>
      <c r="V177" s="512"/>
      <c r="W177" s="512"/>
    </row>
    <row r="178" s="178" customFormat="1" spans="1:23">
      <c r="A178" s="982" t="s">
        <v>13</v>
      </c>
      <c r="B178" s="982" t="s">
        <v>196</v>
      </c>
      <c r="C178" s="983" t="s">
        <v>67</v>
      </c>
      <c r="D178" s="984">
        <v>48</v>
      </c>
      <c r="E178" s="914"/>
      <c r="F178" s="986"/>
      <c r="G178" s="986">
        <f>G177</f>
        <v>45667</v>
      </c>
      <c r="H178" s="987">
        <f>H177</f>
        <v>45685</v>
      </c>
      <c r="I178" s="991" t="s">
        <v>198</v>
      </c>
      <c r="J178" s="982" t="s">
        <v>18</v>
      </c>
      <c r="K178" s="982" t="s">
        <v>147</v>
      </c>
      <c r="L178" s="992" t="s">
        <v>20</v>
      </c>
      <c r="M178" s="982"/>
      <c r="N178" s="203"/>
      <c r="O178" s="512"/>
      <c r="P178" s="512"/>
      <c r="Q178" s="512"/>
      <c r="R178" s="512"/>
      <c r="S178" s="512"/>
      <c r="T178" s="512"/>
      <c r="U178" s="512"/>
      <c r="V178" s="512"/>
      <c r="W178" s="512"/>
    </row>
    <row r="179" s="178" customFormat="1" spans="1:23">
      <c r="A179" s="982" t="s">
        <v>13</v>
      </c>
      <c r="B179" s="982" t="s">
        <v>196</v>
      </c>
      <c r="C179" s="983" t="s">
        <v>25</v>
      </c>
      <c r="D179" s="984">
        <v>46</v>
      </c>
      <c r="E179" s="914"/>
      <c r="F179" s="986"/>
      <c r="G179" s="986">
        <f>G178</f>
        <v>45667</v>
      </c>
      <c r="H179" s="987">
        <f>H178</f>
        <v>45685</v>
      </c>
      <c r="I179" s="991" t="s">
        <v>198</v>
      </c>
      <c r="J179" s="982" t="s">
        <v>18</v>
      </c>
      <c r="K179" s="982" t="s">
        <v>147</v>
      </c>
      <c r="L179" s="992" t="s">
        <v>20</v>
      </c>
      <c r="M179" s="982"/>
      <c r="N179" s="203"/>
      <c r="O179" s="512"/>
      <c r="P179" s="512"/>
      <c r="Q179" s="512"/>
      <c r="R179" s="512"/>
      <c r="S179" s="512"/>
      <c r="T179" s="512"/>
      <c r="U179" s="512"/>
      <c r="V179" s="512"/>
      <c r="W179" s="512"/>
    </row>
    <row r="180" s="178" customFormat="1" spans="1:23">
      <c r="A180" s="982" t="s">
        <v>13</v>
      </c>
      <c r="B180" s="982" t="s">
        <v>199</v>
      </c>
      <c r="C180" s="983" t="s">
        <v>33</v>
      </c>
      <c r="D180" s="984">
        <v>30</v>
      </c>
      <c r="E180" s="989" t="s">
        <v>200</v>
      </c>
      <c r="F180" s="986"/>
      <c r="G180" s="986">
        <f>VLOOKUP(CLEAN(SUBSTITUTE(TRIM(MID(E:E,FIND("/",E:E)+1,LEN(E:E)))," ","")),'Customs Decl. &amp; Local Delivery'!D:I,6,0)</f>
        <v>45667</v>
      </c>
      <c r="H180" s="987">
        <f>VLOOKUP(CLEAN(SUBSTITUTE(TRIM(MID(E:E,FIND("/",E:E)+1,LEN(E:E)))," ","")),'Customs Decl. &amp; Local Delivery'!D:J,7,0)</f>
        <v>45685</v>
      </c>
      <c r="I180" s="991" t="s">
        <v>201</v>
      </c>
      <c r="J180" s="982" t="s">
        <v>18</v>
      </c>
      <c r="K180" s="982" t="s">
        <v>147</v>
      </c>
      <c r="L180" s="992" t="s">
        <v>20</v>
      </c>
      <c r="M180" s="997" t="s">
        <v>173</v>
      </c>
      <c r="N180" s="203"/>
      <c r="O180" s="512"/>
      <c r="P180" s="512"/>
      <c r="Q180" s="512"/>
      <c r="R180" s="512"/>
      <c r="S180" s="512"/>
      <c r="T180" s="512"/>
      <c r="U180" s="512"/>
      <c r="V180" s="512"/>
      <c r="W180" s="512"/>
    </row>
    <row r="181" s="178" customFormat="1" spans="1:23">
      <c r="A181" s="982" t="s">
        <v>13</v>
      </c>
      <c r="B181" s="982" t="s">
        <v>199</v>
      </c>
      <c r="C181" s="983" t="s">
        <v>34</v>
      </c>
      <c r="D181" s="984">
        <v>30</v>
      </c>
      <c r="E181" s="914"/>
      <c r="F181" s="986"/>
      <c r="G181" s="986">
        <f>G180</f>
        <v>45667</v>
      </c>
      <c r="H181" s="987">
        <f>H180</f>
        <v>45685</v>
      </c>
      <c r="I181" s="991" t="s">
        <v>201</v>
      </c>
      <c r="J181" s="982" t="s">
        <v>18</v>
      </c>
      <c r="K181" s="982" t="s">
        <v>147</v>
      </c>
      <c r="L181" s="992" t="s">
        <v>20</v>
      </c>
      <c r="M181" s="982"/>
      <c r="N181" s="203"/>
      <c r="O181" s="512"/>
      <c r="P181" s="512"/>
      <c r="Q181" s="512"/>
      <c r="R181" s="512"/>
      <c r="S181" s="512"/>
      <c r="T181" s="512"/>
      <c r="U181" s="512"/>
      <c r="V181" s="512"/>
      <c r="W181" s="512"/>
    </row>
    <row r="182" s="178" customFormat="1" spans="1:23">
      <c r="A182" s="982" t="s">
        <v>202</v>
      </c>
      <c r="B182" s="982" t="s">
        <v>203</v>
      </c>
      <c r="C182" s="982" t="s">
        <v>70</v>
      </c>
      <c r="D182" s="187">
        <v>175</v>
      </c>
      <c r="E182" s="914"/>
      <c r="F182" s="986"/>
      <c r="G182" s="986">
        <f>G181</f>
        <v>45667</v>
      </c>
      <c r="H182" s="987">
        <f>H181</f>
        <v>45685</v>
      </c>
      <c r="I182" s="991" t="s">
        <v>201</v>
      </c>
      <c r="J182" s="982" t="s">
        <v>18</v>
      </c>
      <c r="K182" s="982" t="s">
        <v>147</v>
      </c>
      <c r="L182" s="992" t="s">
        <v>20</v>
      </c>
      <c r="M182" s="996"/>
      <c r="N182" s="203"/>
      <c r="O182" s="512"/>
      <c r="P182" s="512"/>
      <c r="Q182" s="512"/>
      <c r="R182" s="512"/>
      <c r="S182" s="512"/>
      <c r="T182" s="512"/>
      <c r="U182" s="512"/>
      <c r="V182" s="512"/>
      <c r="W182" s="512"/>
    </row>
    <row r="183" s="477" customFormat="1" ht="15.4" customHeight="1" spans="1:23">
      <c r="A183" s="982" t="s">
        <v>157</v>
      </c>
      <c r="B183" s="982" t="s">
        <v>204</v>
      </c>
      <c r="C183" s="983" t="s">
        <v>15</v>
      </c>
      <c r="D183" s="984">
        <v>70</v>
      </c>
      <c r="E183" s="989" t="s">
        <v>205</v>
      </c>
      <c r="F183" s="986"/>
      <c r="G183" s="986">
        <f>VLOOKUP(CLEAN(SUBSTITUTE(TRIM(MID(E:E,FIND("/",E:E)+1,LEN(E:E)))," ","")),'Customs Decl. &amp; Local Delivery'!D:I,6,0)</f>
        <v>45667</v>
      </c>
      <c r="H183" s="987">
        <f>VLOOKUP(CLEAN(SUBSTITUTE(TRIM(MID(E:E,FIND("/",E:E)+1,LEN(E:E)))," ","")),'Customs Decl. &amp; Local Delivery'!D:J,7,0)</f>
        <v>45688</v>
      </c>
      <c r="I183" s="991" t="s">
        <v>206</v>
      </c>
      <c r="J183" s="982" t="s">
        <v>207</v>
      </c>
      <c r="K183" s="982" t="s">
        <v>19</v>
      </c>
      <c r="L183" s="992" t="s">
        <v>20</v>
      </c>
      <c r="M183" s="982" t="s">
        <v>208</v>
      </c>
      <c r="N183" s="512"/>
      <c r="O183" s="512"/>
      <c r="P183" s="512"/>
      <c r="Q183" s="512"/>
      <c r="R183" s="512"/>
      <c r="S183" s="512"/>
      <c r="T183" s="512"/>
      <c r="U183" s="512"/>
      <c r="V183" s="512"/>
      <c r="W183" s="512"/>
    </row>
    <row r="184" s="477" customFormat="1" ht="15.4" customHeight="1" spans="1:23">
      <c r="A184" s="982" t="s">
        <v>157</v>
      </c>
      <c r="B184" s="982" t="s">
        <v>204</v>
      </c>
      <c r="C184" s="983" t="s">
        <v>22</v>
      </c>
      <c r="D184" s="984">
        <v>70</v>
      </c>
      <c r="E184" s="988"/>
      <c r="F184" s="986"/>
      <c r="G184" s="986">
        <f t="shared" ref="G184:G196" si="18">G183</f>
        <v>45667</v>
      </c>
      <c r="H184" s="987">
        <f t="shared" ref="H184:H196" si="19">H183</f>
        <v>45688</v>
      </c>
      <c r="I184" s="991" t="s">
        <v>206</v>
      </c>
      <c r="J184" s="982" t="s">
        <v>207</v>
      </c>
      <c r="K184" s="982" t="s">
        <v>19</v>
      </c>
      <c r="L184" s="992" t="s">
        <v>20</v>
      </c>
      <c r="M184" s="982" t="s">
        <v>163</v>
      </c>
      <c r="N184" s="512"/>
      <c r="O184" s="512"/>
      <c r="P184" s="512"/>
      <c r="Q184" s="512"/>
      <c r="R184" s="512"/>
      <c r="S184" s="512"/>
      <c r="T184" s="512"/>
      <c r="U184" s="512"/>
      <c r="V184" s="512"/>
      <c r="W184" s="512"/>
    </row>
    <row r="185" s="477" customFormat="1" ht="15.4" customHeight="1" spans="1:23">
      <c r="A185" s="982" t="s">
        <v>157</v>
      </c>
      <c r="B185" s="982" t="s">
        <v>204</v>
      </c>
      <c r="C185" s="983" t="s">
        <v>24</v>
      </c>
      <c r="D185" s="984">
        <v>30</v>
      </c>
      <c r="E185" s="988"/>
      <c r="F185" s="986"/>
      <c r="G185" s="986">
        <f t="shared" si="18"/>
        <v>45667</v>
      </c>
      <c r="H185" s="987">
        <f t="shared" si="19"/>
        <v>45688</v>
      </c>
      <c r="I185" s="991" t="s">
        <v>206</v>
      </c>
      <c r="J185" s="982" t="s">
        <v>207</v>
      </c>
      <c r="K185" s="982" t="s">
        <v>19</v>
      </c>
      <c r="L185" s="992" t="s">
        <v>20</v>
      </c>
      <c r="M185" s="982"/>
      <c r="N185" s="512"/>
      <c r="O185" s="512"/>
      <c r="P185" s="512"/>
      <c r="Q185" s="512"/>
      <c r="R185" s="512"/>
      <c r="S185" s="512"/>
      <c r="T185" s="512"/>
      <c r="U185" s="512"/>
      <c r="V185" s="512"/>
      <c r="W185" s="512"/>
    </row>
    <row r="186" s="477" customFormat="1" ht="15.4" customHeight="1" spans="1:23">
      <c r="A186" s="982" t="s">
        <v>157</v>
      </c>
      <c r="B186" s="982" t="s">
        <v>204</v>
      </c>
      <c r="C186" s="983" t="s">
        <v>25</v>
      </c>
      <c r="D186" s="984">
        <v>30</v>
      </c>
      <c r="E186" s="988"/>
      <c r="F186" s="986"/>
      <c r="G186" s="986">
        <f t="shared" si="18"/>
        <v>45667</v>
      </c>
      <c r="H186" s="987">
        <f t="shared" si="19"/>
        <v>45688</v>
      </c>
      <c r="I186" s="991" t="s">
        <v>206</v>
      </c>
      <c r="J186" s="982" t="s">
        <v>207</v>
      </c>
      <c r="K186" s="982" t="s">
        <v>19</v>
      </c>
      <c r="L186" s="992" t="s">
        <v>20</v>
      </c>
      <c r="M186" s="982" t="s">
        <v>209</v>
      </c>
      <c r="N186" s="512"/>
      <c r="O186" s="512"/>
      <c r="P186" s="512"/>
      <c r="Q186" s="512"/>
      <c r="R186" s="512"/>
      <c r="S186" s="512"/>
      <c r="T186" s="512"/>
      <c r="U186" s="512"/>
      <c r="V186" s="512"/>
      <c r="W186" s="512"/>
    </row>
    <row r="187" s="477" customFormat="1" ht="15.4" customHeight="1" spans="1:23">
      <c r="A187" s="982" t="s">
        <v>157</v>
      </c>
      <c r="B187" s="982" t="s">
        <v>204</v>
      </c>
      <c r="C187" s="983" t="s">
        <v>27</v>
      </c>
      <c r="D187" s="984">
        <v>20</v>
      </c>
      <c r="E187" s="988"/>
      <c r="F187" s="986"/>
      <c r="G187" s="986">
        <f t="shared" si="18"/>
        <v>45667</v>
      </c>
      <c r="H187" s="987">
        <f t="shared" si="19"/>
        <v>45688</v>
      </c>
      <c r="I187" s="991" t="s">
        <v>206</v>
      </c>
      <c r="J187" s="982" t="s">
        <v>207</v>
      </c>
      <c r="K187" s="982" t="s">
        <v>19</v>
      </c>
      <c r="L187" s="992" t="s">
        <v>20</v>
      </c>
      <c r="M187" s="982"/>
      <c r="N187" s="512"/>
      <c r="O187" s="512"/>
      <c r="P187" s="512"/>
      <c r="Q187" s="512"/>
      <c r="R187" s="512"/>
      <c r="S187" s="512"/>
      <c r="T187" s="512"/>
      <c r="U187" s="512"/>
      <c r="V187" s="512"/>
      <c r="W187" s="512"/>
    </row>
    <row r="188" s="477" customFormat="1" ht="15.4" customHeight="1" spans="1:23">
      <c r="A188" s="982" t="s">
        <v>157</v>
      </c>
      <c r="B188" s="982" t="s">
        <v>204</v>
      </c>
      <c r="C188" s="983" t="s">
        <v>28</v>
      </c>
      <c r="D188" s="984">
        <v>20</v>
      </c>
      <c r="E188" s="988"/>
      <c r="F188" s="986"/>
      <c r="G188" s="986">
        <f t="shared" si="18"/>
        <v>45667</v>
      </c>
      <c r="H188" s="987">
        <f t="shared" si="19"/>
        <v>45688</v>
      </c>
      <c r="I188" s="991" t="s">
        <v>206</v>
      </c>
      <c r="J188" s="982" t="s">
        <v>207</v>
      </c>
      <c r="K188" s="982" t="s">
        <v>19</v>
      </c>
      <c r="L188" s="992" t="s">
        <v>20</v>
      </c>
      <c r="M188" s="993" t="s">
        <v>210</v>
      </c>
      <c r="N188" s="512"/>
      <c r="O188" s="512"/>
      <c r="P188" s="512"/>
      <c r="Q188" s="512"/>
      <c r="R188" s="512"/>
      <c r="S188" s="512"/>
      <c r="T188" s="512"/>
      <c r="U188" s="512"/>
      <c r="V188" s="512"/>
      <c r="W188" s="512"/>
    </row>
    <row r="189" s="477" customFormat="1" ht="15.4" customHeight="1" spans="1:23">
      <c r="A189" s="982" t="s">
        <v>157</v>
      </c>
      <c r="B189" s="982" t="s">
        <v>204</v>
      </c>
      <c r="C189" s="983" t="s">
        <v>67</v>
      </c>
      <c r="D189" s="984">
        <v>40</v>
      </c>
      <c r="E189" s="988"/>
      <c r="F189" s="986"/>
      <c r="G189" s="986">
        <f t="shared" si="18"/>
        <v>45667</v>
      </c>
      <c r="H189" s="987">
        <f t="shared" si="19"/>
        <v>45688</v>
      </c>
      <c r="I189" s="991" t="s">
        <v>206</v>
      </c>
      <c r="J189" s="982" t="s">
        <v>207</v>
      </c>
      <c r="K189" s="982" t="s">
        <v>19</v>
      </c>
      <c r="L189" s="992" t="s">
        <v>20</v>
      </c>
      <c r="M189" s="982" t="s">
        <v>211</v>
      </c>
      <c r="N189" s="512"/>
      <c r="O189" s="512"/>
      <c r="P189" s="512"/>
      <c r="Q189" s="512"/>
      <c r="R189" s="512"/>
      <c r="S189" s="512"/>
      <c r="T189" s="512"/>
      <c r="U189" s="512"/>
      <c r="V189" s="512"/>
      <c r="W189" s="512"/>
    </row>
    <row r="190" s="477" customFormat="1" ht="15.4" customHeight="1" spans="1:23">
      <c r="A190" s="982" t="s">
        <v>157</v>
      </c>
      <c r="B190" s="982" t="s">
        <v>204</v>
      </c>
      <c r="C190" s="983" t="s">
        <v>69</v>
      </c>
      <c r="D190" s="984">
        <v>40</v>
      </c>
      <c r="E190" s="988"/>
      <c r="F190" s="986"/>
      <c r="G190" s="986">
        <f t="shared" si="18"/>
        <v>45667</v>
      </c>
      <c r="H190" s="987">
        <f t="shared" si="19"/>
        <v>45688</v>
      </c>
      <c r="I190" s="991" t="s">
        <v>206</v>
      </c>
      <c r="J190" s="982" t="s">
        <v>207</v>
      </c>
      <c r="K190" s="982" t="s">
        <v>19</v>
      </c>
      <c r="L190" s="992" t="s">
        <v>20</v>
      </c>
      <c r="M190" s="982"/>
      <c r="N190" s="512"/>
      <c r="O190" s="512"/>
      <c r="P190" s="512"/>
      <c r="Q190" s="512"/>
      <c r="R190" s="512"/>
      <c r="S190" s="512"/>
      <c r="T190" s="512"/>
      <c r="U190" s="512"/>
      <c r="V190" s="512"/>
      <c r="W190" s="512"/>
    </row>
    <row r="191" s="477" customFormat="1" ht="15.4" customHeight="1" spans="1:23">
      <c r="A191" s="982" t="s">
        <v>157</v>
      </c>
      <c r="B191" s="982" t="s">
        <v>204</v>
      </c>
      <c r="C191" s="983" t="s">
        <v>29</v>
      </c>
      <c r="D191" s="984">
        <v>2</v>
      </c>
      <c r="E191" s="988"/>
      <c r="F191" s="986"/>
      <c r="G191" s="986">
        <f t="shared" si="18"/>
        <v>45667</v>
      </c>
      <c r="H191" s="987">
        <f t="shared" si="19"/>
        <v>45688</v>
      </c>
      <c r="I191" s="991" t="s">
        <v>206</v>
      </c>
      <c r="J191" s="982" t="s">
        <v>207</v>
      </c>
      <c r="K191" s="982" t="s">
        <v>19</v>
      </c>
      <c r="L191" s="992" t="s">
        <v>20</v>
      </c>
      <c r="M191" s="982"/>
      <c r="N191" s="512"/>
      <c r="O191" s="512"/>
      <c r="P191" s="512"/>
      <c r="Q191" s="512"/>
      <c r="R191" s="512"/>
      <c r="S191" s="512"/>
      <c r="T191" s="512"/>
      <c r="U191" s="512"/>
      <c r="V191" s="512"/>
      <c r="W191" s="512"/>
    </row>
    <row r="192" s="477" customFormat="1" ht="15.4" customHeight="1" spans="1:23">
      <c r="A192" s="982" t="s">
        <v>157</v>
      </c>
      <c r="B192" s="982" t="s">
        <v>204</v>
      </c>
      <c r="C192" s="983" t="s">
        <v>30</v>
      </c>
      <c r="D192" s="984">
        <v>2</v>
      </c>
      <c r="E192" s="988"/>
      <c r="F192" s="986"/>
      <c r="G192" s="986">
        <f t="shared" si="18"/>
        <v>45667</v>
      </c>
      <c r="H192" s="987">
        <f t="shared" si="19"/>
        <v>45688</v>
      </c>
      <c r="I192" s="991" t="s">
        <v>206</v>
      </c>
      <c r="J192" s="982" t="s">
        <v>207</v>
      </c>
      <c r="K192" s="982" t="s">
        <v>19</v>
      </c>
      <c r="L192" s="992" t="s">
        <v>20</v>
      </c>
      <c r="M192" s="982"/>
      <c r="N192" s="512"/>
      <c r="O192" s="512"/>
      <c r="P192" s="512"/>
      <c r="Q192" s="512"/>
      <c r="R192" s="512"/>
      <c r="S192" s="512"/>
      <c r="T192" s="512"/>
      <c r="U192" s="512"/>
      <c r="V192" s="512"/>
      <c r="W192" s="512"/>
    </row>
    <row r="193" s="477" customFormat="1" ht="15.4" customHeight="1" spans="1:23">
      <c r="A193" s="982" t="s">
        <v>157</v>
      </c>
      <c r="B193" s="982" t="s">
        <v>204</v>
      </c>
      <c r="C193" s="983" t="s">
        <v>31</v>
      </c>
      <c r="D193" s="984">
        <v>2</v>
      </c>
      <c r="E193" s="988"/>
      <c r="F193" s="986"/>
      <c r="G193" s="986">
        <f t="shared" si="18"/>
        <v>45667</v>
      </c>
      <c r="H193" s="987">
        <f t="shared" si="19"/>
        <v>45688</v>
      </c>
      <c r="I193" s="991" t="s">
        <v>206</v>
      </c>
      <c r="J193" s="982" t="s">
        <v>207</v>
      </c>
      <c r="K193" s="982" t="s">
        <v>19</v>
      </c>
      <c r="L193" s="992" t="s">
        <v>20</v>
      </c>
      <c r="M193" s="982"/>
      <c r="N193" s="512"/>
      <c r="O193" s="512"/>
      <c r="P193" s="512"/>
      <c r="Q193" s="512"/>
      <c r="R193" s="512"/>
      <c r="S193" s="512"/>
      <c r="T193" s="512"/>
      <c r="U193" s="512"/>
      <c r="V193" s="512"/>
      <c r="W193" s="512"/>
    </row>
    <row r="194" s="477" customFormat="1" ht="15.4" customHeight="1" spans="1:23">
      <c r="A194" s="982" t="s">
        <v>157</v>
      </c>
      <c r="B194" s="982" t="s">
        <v>204</v>
      </c>
      <c r="C194" s="983" t="s">
        <v>32</v>
      </c>
      <c r="D194" s="984">
        <v>2</v>
      </c>
      <c r="E194" s="988"/>
      <c r="F194" s="986"/>
      <c r="G194" s="986">
        <f t="shared" si="18"/>
        <v>45667</v>
      </c>
      <c r="H194" s="987">
        <f t="shared" si="19"/>
        <v>45688</v>
      </c>
      <c r="I194" s="991" t="s">
        <v>206</v>
      </c>
      <c r="J194" s="982" t="s">
        <v>207</v>
      </c>
      <c r="K194" s="982" t="s">
        <v>19</v>
      </c>
      <c r="L194" s="992" t="s">
        <v>20</v>
      </c>
      <c r="M194" s="982"/>
      <c r="N194" s="512"/>
      <c r="O194" s="512"/>
      <c r="P194" s="512"/>
      <c r="Q194" s="512"/>
      <c r="R194" s="512"/>
      <c r="S194" s="512"/>
      <c r="T194" s="512"/>
      <c r="U194" s="512"/>
      <c r="V194" s="512"/>
      <c r="W194" s="512"/>
    </row>
    <row r="195" s="477" customFormat="1" ht="15.4" customHeight="1" spans="1:23">
      <c r="A195" s="982" t="s">
        <v>157</v>
      </c>
      <c r="B195" s="982" t="s">
        <v>204</v>
      </c>
      <c r="C195" s="983" t="s">
        <v>59</v>
      </c>
      <c r="D195" s="984">
        <v>2</v>
      </c>
      <c r="E195" s="988"/>
      <c r="F195" s="986"/>
      <c r="G195" s="986">
        <f t="shared" si="18"/>
        <v>45667</v>
      </c>
      <c r="H195" s="987">
        <f t="shared" si="19"/>
        <v>45688</v>
      </c>
      <c r="I195" s="991" t="s">
        <v>206</v>
      </c>
      <c r="J195" s="982" t="s">
        <v>207</v>
      </c>
      <c r="K195" s="982" t="s">
        <v>19</v>
      </c>
      <c r="L195" s="992" t="s">
        <v>20</v>
      </c>
      <c r="M195" s="982"/>
      <c r="N195" s="512"/>
      <c r="O195" s="512"/>
      <c r="P195" s="512"/>
      <c r="Q195" s="512"/>
      <c r="R195" s="512"/>
      <c r="S195" s="512"/>
      <c r="T195" s="512"/>
      <c r="U195" s="512"/>
      <c r="V195" s="512"/>
      <c r="W195" s="512"/>
    </row>
    <row r="196" s="477" customFormat="1" ht="15.4" customHeight="1" spans="1:23">
      <c r="A196" s="982" t="s">
        <v>157</v>
      </c>
      <c r="B196" s="982" t="s">
        <v>204</v>
      </c>
      <c r="C196" s="983" t="s">
        <v>60</v>
      </c>
      <c r="D196" s="984">
        <v>2</v>
      </c>
      <c r="E196" s="988"/>
      <c r="F196" s="986"/>
      <c r="G196" s="986">
        <f t="shared" si="18"/>
        <v>45667</v>
      </c>
      <c r="H196" s="987">
        <f t="shared" si="19"/>
        <v>45688</v>
      </c>
      <c r="I196" s="991" t="s">
        <v>206</v>
      </c>
      <c r="J196" s="982" t="s">
        <v>207</v>
      </c>
      <c r="K196" s="982" t="s">
        <v>19</v>
      </c>
      <c r="L196" s="992" t="s">
        <v>20</v>
      </c>
      <c r="M196" s="982"/>
      <c r="N196" s="512"/>
      <c r="O196" s="512"/>
      <c r="P196" s="512"/>
      <c r="Q196" s="512"/>
      <c r="R196" s="512"/>
      <c r="S196" s="512"/>
      <c r="T196" s="512"/>
      <c r="U196" s="512"/>
      <c r="V196" s="512"/>
      <c r="W196" s="512"/>
    </row>
    <row r="197" s="477" customFormat="1" ht="15.4" customHeight="1" spans="1:23">
      <c r="A197" s="982" t="s">
        <v>202</v>
      </c>
      <c r="B197" s="996" t="s">
        <v>212</v>
      </c>
      <c r="C197" s="983" t="s">
        <v>27</v>
      </c>
      <c r="D197" s="984">
        <v>75</v>
      </c>
      <c r="E197" s="989" t="s">
        <v>213</v>
      </c>
      <c r="F197" s="986"/>
      <c r="G197" s="986">
        <f>VLOOKUP(CLEAN(SUBSTITUTE(TRIM(MID(E:E,FIND("/",E:E)+1,LEN(E:E)))," ","")),'Customs Decl. &amp; Local Delivery'!D:I,6,0)</f>
        <v>45667</v>
      </c>
      <c r="H197" s="987">
        <f>VLOOKUP(CLEAN(SUBSTITUTE(TRIM(MID(E:E,FIND("/",E:E)+1,LEN(E:E)))," ","")),'Customs Decl. &amp; Local Delivery'!D:J,7,0)</f>
        <v>45701</v>
      </c>
      <c r="I197" s="991" t="s">
        <v>214</v>
      </c>
      <c r="J197" s="982" t="s">
        <v>215</v>
      </c>
      <c r="K197" s="982" t="s">
        <v>19</v>
      </c>
      <c r="L197" s="992" t="s">
        <v>20</v>
      </c>
      <c r="M197" s="982" t="s">
        <v>216</v>
      </c>
      <c r="N197" s="512"/>
      <c r="O197" s="512"/>
      <c r="P197" s="512"/>
      <c r="Q197" s="512"/>
      <c r="R197" s="512"/>
      <c r="S197" s="512"/>
      <c r="T197" s="512"/>
      <c r="U197" s="512"/>
      <c r="V197" s="512"/>
      <c r="W197" s="512"/>
    </row>
    <row r="198" s="477" customFormat="1" ht="15.4" customHeight="1" spans="1:23">
      <c r="A198" s="982" t="s">
        <v>202</v>
      </c>
      <c r="B198" s="996" t="s">
        <v>212</v>
      </c>
      <c r="C198" s="983" t="s">
        <v>28</v>
      </c>
      <c r="D198" s="984">
        <v>75</v>
      </c>
      <c r="E198" s="988"/>
      <c r="F198" s="986"/>
      <c r="G198" s="986">
        <f t="shared" ref="G198:G206" si="20">G197</f>
        <v>45667</v>
      </c>
      <c r="H198" s="987">
        <f t="shared" ref="H198:H206" si="21">H197</f>
        <v>45701</v>
      </c>
      <c r="I198" s="991" t="s">
        <v>214</v>
      </c>
      <c r="J198" s="982" t="s">
        <v>215</v>
      </c>
      <c r="K198" s="982" t="s">
        <v>19</v>
      </c>
      <c r="L198" s="992" t="s">
        <v>20</v>
      </c>
      <c r="M198" s="982" t="s">
        <v>217</v>
      </c>
      <c r="N198" s="512"/>
      <c r="O198" s="512"/>
      <c r="P198" s="512"/>
      <c r="Q198" s="512"/>
      <c r="R198" s="512"/>
      <c r="S198" s="512"/>
      <c r="T198" s="512"/>
      <c r="U198" s="512"/>
      <c r="V198" s="512"/>
      <c r="W198" s="512"/>
    </row>
    <row r="199" s="477" customFormat="1" ht="15.4" customHeight="1" spans="1:23">
      <c r="A199" s="982" t="s">
        <v>202</v>
      </c>
      <c r="B199" s="996" t="s">
        <v>212</v>
      </c>
      <c r="C199" s="983" t="s">
        <v>164</v>
      </c>
      <c r="D199" s="984">
        <v>13</v>
      </c>
      <c r="E199" s="988"/>
      <c r="F199" s="986"/>
      <c r="G199" s="986">
        <f t="shared" si="20"/>
        <v>45667</v>
      </c>
      <c r="H199" s="987">
        <f t="shared" si="21"/>
        <v>45701</v>
      </c>
      <c r="I199" s="991" t="s">
        <v>214</v>
      </c>
      <c r="J199" s="982" t="s">
        <v>215</v>
      </c>
      <c r="K199" s="982" t="s">
        <v>19</v>
      </c>
      <c r="L199" s="992" t="s">
        <v>20</v>
      </c>
      <c r="M199" s="982"/>
      <c r="N199" s="512"/>
      <c r="O199" s="512"/>
      <c r="P199" s="512"/>
      <c r="Q199" s="512"/>
      <c r="R199" s="512"/>
      <c r="S199" s="512"/>
      <c r="T199" s="512"/>
      <c r="U199" s="512"/>
      <c r="V199" s="512"/>
      <c r="W199" s="512"/>
    </row>
    <row r="200" s="477" customFormat="1" ht="15.4" customHeight="1" spans="1:23">
      <c r="A200" s="982" t="s">
        <v>202</v>
      </c>
      <c r="B200" s="996" t="s">
        <v>212</v>
      </c>
      <c r="C200" s="983" t="s">
        <v>165</v>
      </c>
      <c r="D200" s="984">
        <v>13</v>
      </c>
      <c r="E200" s="988"/>
      <c r="F200" s="986"/>
      <c r="G200" s="986">
        <f t="shared" si="20"/>
        <v>45667</v>
      </c>
      <c r="H200" s="987">
        <f t="shared" si="21"/>
        <v>45701</v>
      </c>
      <c r="I200" s="991" t="s">
        <v>214</v>
      </c>
      <c r="J200" s="982" t="s">
        <v>215</v>
      </c>
      <c r="K200" s="982" t="s">
        <v>19</v>
      </c>
      <c r="L200" s="992" t="s">
        <v>20</v>
      </c>
      <c r="M200" s="993" t="s">
        <v>218</v>
      </c>
      <c r="N200" s="512"/>
      <c r="O200" s="512"/>
      <c r="P200" s="512"/>
      <c r="Q200" s="512"/>
      <c r="R200" s="512"/>
      <c r="S200" s="512"/>
      <c r="T200" s="512"/>
      <c r="U200" s="512"/>
      <c r="V200" s="512"/>
      <c r="W200" s="512"/>
    </row>
    <row r="201" s="477" customFormat="1" ht="15.4" customHeight="1" spans="1:23">
      <c r="A201" s="982" t="s">
        <v>202</v>
      </c>
      <c r="B201" s="996" t="s">
        <v>212</v>
      </c>
      <c r="C201" s="983" t="s">
        <v>29</v>
      </c>
      <c r="D201" s="984">
        <v>13</v>
      </c>
      <c r="E201" s="988"/>
      <c r="F201" s="986"/>
      <c r="G201" s="986">
        <f t="shared" si="20"/>
        <v>45667</v>
      </c>
      <c r="H201" s="987">
        <f t="shared" si="21"/>
        <v>45701</v>
      </c>
      <c r="I201" s="991" t="s">
        <v>214</v>
      </c>
      <c r="J201" s="982" t="s">
        <v>215</v>
      </c>
      <c r="K201" s="982" t="s">
        <v>19</v>
      </c>
      <c r="L201" s="992" t="s">
        <v>20</v>
      </c>
      <c r="M201" s="982"/>
      <c r="N201" s="512"/>
      <c r="O201" s="512"/>
      <c r="P201" s="512"/>
      <c r="Q201" s="512"/>
      <c r="R201" s="512"/>
      <c r="S201" s="512"/>
      <c r="T201" s="512"/>
      <c r="U201" s="512"/>
      <c r="V201" s="512"/>
      <c r="W201" s="512"/>
    </row>
    <row r="202" s="477" customFormat="1" ht="15.4" customHeight="1" spans="1:23">
      <c r="A202" s="982" t="s">
        <v>202</v>
      </c>
      <c r="B202" s="996" t="s">
        <v>212</v>
      </c>
      <c r="C202" s="983" t="s">
        <v>30</v>
      </c>
      <c r="D202" s="984">
        <v>13</v>
      </c>
      <c r="E202" s="988"/>
      <c r="F202" s="986"/>
      <c r="G202" s="986">
        <f t="shared" si="20"/>
        <v>45667</v>
      </c>
      <c r="H202" s="987">
        <f t="shared" si="21"/>
        <v>45701</v>
      </c>
      <c r="I202" s="991" t="s">
        <v>214</v>
      </c>
      <c r="J202" s="982" t="s">
        <v>215</v>
      </c>
      <c r="K202" s="982" t="s">
        <v>19</v>
      </c>
      <c r="L202" s="992" t="s">
        <v>20</v>
      </c>
      <c r="M202" s="982"/>
      <c r="N202" s="512"/>
      <c r="O202" s="512"/>
      <c r="P202" s="512"/>
      <c r="Q202" s="512"/>
      <c r="R202" s="512"/>
      <c r="S202" s="512"/>
      <c r="T202" s="512"/>
      <c r="U202" s="512"/>
      <c r="V202" s="512"/>
      <c r="W202" s="512"/>
    </row>
    <row r="203" s="477" customFormat="1" ht="15.4" customHeight="1" spans="1:23">
      <c r="A203" s="982" t="s">
        <v>202</v>
      </c>
      <c r="B203" s="996" t="s">
        <v>212</v>
      </c>
      <c r="C203" s="983" t="s">
        <v>31</v>
      </c>
      <c r="D203" s="984">
        <v>3</v>
      </c>
      <c r="E203" s="988"/>
      <c r="F203" s="986"/>
      <c r="G203" s="986">
        <f t="shared" si="20"/>
        <v>45667</v>
      </c>
      <c r="H203" s="987">
        <f t="shared" si="21"/>
        <v>45701</v>
      </c>
      <c r="I203" s="991" t="s">
        <v>214</v>
      </c>
      <c r="J203" s="982" t="s">
        <v>215</v>
      </c>
      <c r="K203" s="982" t="s">
        <v>19</v>
      </c>
      <c r="L203" s="992" t="s">
        <v>20</v>
      </c>
      <c r="M203" s="982"/>
      <c r="N203" s="512"/>
      <c r="O203" s="512"/>
      <c r="P203" s="512"/>
      <c r="Q203" s="512"/>
      <c r="R203" s="512"/>
      <c r="S203" s="512"/>
      <c r="T203" s="512"/>
      <c r="U203" s="512"/>
      <c r="V203" s="512"/>
      <c r="W203" s="512"/>
    </row>
    <row r="204" s="477" customFormat="1" ht="15.4" customHeight="1" spans="1:23">
      <c r="A204" s="982" t="s">
        <v>202</v>
      </c>
      <c r="B204" s="996" t="s">
        <v>212</v>
      </c>
      <c r="C204" s="983" t="s">
        <v>32</v>
      </c>
      <c r="D204" s="984">
        <v>3</v>
      </c>
      <c r="E204" s="988"/>
      <c r="F204" s="986"/>
      <c r="G204" s="986">
        <f t="shared" si="20"/>
        <v>45667</v>
      </c>
      <c r="H204" s="987">
        <f t="shared" si="21"/>
        <v>45701</v>
      </c>
      <c r="I204" s="991" t="s">
        <v>214</v>
      </c>
      <c r="J204" s="982" t="s">
        <v>215</v>
      </c>
      <c r="K204" s="982" t="s">
        <v>19</v>
      </c>
      <c r="L204" s="992" t="s">
        <v>20</v>
      </c>
      <c r="M204" s="982"/>
      <c r="N204" s="512"/>
      <c r="O204" s="512"/>
      <c r="P204" s="512"/>
      <c r="Q204" s="512"/>
      <c r="R204" s="512"/>
      <c r="S204" s="512"/>
      <c r="T204" s="512"/>
      <c r="U204" s="512"/>
      <c r="V204" s="512"/>
      <c r="W204" s="512"/>
    </row>
    <row r="205" s="477" customFormat="1" ht="15.4" customHeight="1" spans="1:23">
      <c r="A205" s="982" t="s">
        <v>202</v>
      </c>
      <c r="B205" s="996" t="s">
        <v>212</v>
      </c>
      <c r="C205" s="983" t="s">
        <v>33</v>
      </c>
      <c r="D205" s="984">
        <v>1</v>
      </c>
      <c r="E205" s="988"/>
      <c r="F205" s="986"/>
      <c r="G205" s="986">
        <f t="shared" si="20"/>
        <v>45667</v>
      </c>
      <c r="H205" s="987">
        <f t="shared" si="21"/>
        <v>45701</v>
      </c>
      <c r="I205" s="991" t="s">
        <v>214</v>
      </c>
      <c r="J205" s="982" t="s">
        <v>215</v>
      </c>
      <c r="K205" s="982" t="s">
        <v>19</v>
      </c>
      <c r="L205" s="992" t="s">
        <v>20</v>
      </c>
      <c r="M205" s="982"/>
      <c r="N205" s="512"/>
      <c r="O205" s="512"/>
      <c r="P205" s="512"/>
      <c r="Q205" s="512"/>
      <c r="R205" s="512"/>
      <c r="S205" s="512"/>
      <c r="T205" s="512"/>
      <c r="U205" s="512"/>
      <c r="V205" s="512"/>
      <c r="W205" s="512"/>
    </row>
    <row r="206" s="477" customFormat="1" ht="15.4" customHeight="1" spans="1:23">
      <c r="A206" s="982" t="s">
        <v>202</v>
      </c>
      <c r="B206" s="996" t="s">
        <v>212</v>
      </c>
      <c r="C206" s="983" t="s">
        <v>34</v>
      </c>
      <c r="D206" s="984">
        <v>1</v>
      </c>
      <c r="E206" s="988"/>
      <c r="F206" s="986"/>
      <c r="G206" s="986">
        <f t="shared" si="20"/>
        <v>45667</v>
      </c>
      <c r="H206" s="987">
        <f t="shared" si="21"/>
        <v>45701</v>
      </c>
      <c r="I206" s="991" t="s">
        <v>214</v>
      </c>
      <c r="J206" s="982" t="s">
        <v>215</v>
      </c>
      <c r="K206" s="982" t="s">
        <v>19</v>
      </c>
      <c r="L206" s="992" t="s">
        <v>20</v>
      </c>
      <c r="M206" s="982"/>
      <c r="N206" s="512"/>
      <c r="O206" s="512"/>
      <c r="P206" s="512"/>
      <c r="Q206" s="512"/>
      <c r="R206" s="512"/>
      <c r="S206" s="512"/>
      <c r="T206" s="512"/>
      <c r="U206" s="512"/>
      <c r="V206" s="512"/>
      <c r="W206" s="512"/>
    </row>
    <row r="207" s="178" customFormat="1" spans="1:23">
      <c r="A207" s="982" t="s">
        <v>13</v>
      </c>
      <c r="B207" s="982" t="s">
        <v>219</v>
      </c>
      <c r="C207" s="995" t="s">
        <v>104</v>
      </c>
      <c r="D207" s="984">
        <v>15</v>
      </c>
      <c r="E207" s="989" t="s">
        <v>220</v>
      </c>
      <c r="F207" s="986"/>
      <c r="G207" s="986">
        <f>VLOOKUP(CLEAN(SUBSTITUTE(TRIM(MID(E:E,FIND("/",E:E)+1,LEN(E:E)))," ","")),'Customs Decl. &amp; Local Delivery'!D:I,6,0)</f>
        <v>45668</v>
      </c>
      <c r="H207" s="987">
        <f>VLOOKUP(CLEAN(SUBSTITUTE(TRIM(MID(E:E,FIND("/",E:E)+1,LEN(E:E)))," ","")),'Customs Decl. &amp; Local Delivery'!D:J,7,0)</f>
        <v>45688</v>
      </c>
      <c r="I207" s="991" t="s">
        <v>221</v>
      </c>
      <c r="J207" s="982" t="s">
        <v>207</v>
      </c>
      <c r="K207" s="998" t="s">
        <v>107</v>
      </c>
      <c r="L207" s="992" t="s">
        <v>20</v>
      </c>
      <c r="M207" s="982" t="s">
        <v>222</v>
      </c>
      <c r="N207" s="203"/>
      <c r="O207" s="512"/>
      <c r="P207" s="512"/>
      <c r="Q207" s="512"/>
      <c r="R207" s="512"/>
      <c r="S207" s="512"/>
      <c r="T207" s="512"/>
      <c r="U207" s="512"/>
      <c r="V207" s="512"/>
      <c r="W207" s="512"/>
    </row>
    <row r="208" s="178" customFormat="1" spans="1:23">
      <c r="A208" s="982" t="s">
        <v>13</v>
      </c>
      <c r="B208" s="982" t="s">
        <v>219</v>
      </c>
      <c r="C208" s="995" t="s">
        <v>109</v>
      </c>
      <c r="D208" s="984">
        <v>15</v>
      </c>
      <c r="E208" s="914"/>
      <c r="F208" s="986"/>
      <c r="G208" s="986">
        <f t="shared" ref="G208:G218" si="22">G207</f>
        <v>45668</v>
      </c>
      <c r="H208" s="987">
        <f t="shared" ref="H208:H218" si="23">H207</f>
        <v>45688</v>
      </c>
      <c r="I208" s="991" t="s">
        <v>221</v>
      </c>
      <c r="J208" s="982" t="s">
        <v>207</v>
      </c>
      <c r="K208" s="998" t="s">
        <v>107</v>
      </c>
      <c r="L208" s="992" t="s">
        <v>20</v>
      </c>
      <c r="M208" s="982" t="s">
        <v>223</v>
      </c>
      <c r="N208" s="203"/>
      <c r="O208" s="512"/>
      <c r="P208" s="512"/>
      <c r="Q208" s="512"/>
      <c r="R208" s="512"/>
      <c r="S208" s="512"/>
      <c r="T208" s="512"/>
      <c r="U208" s="512"/>
      <c r="V208" s="512"/>
      <c r="W208" s="512"/>
    </row>
    <row r="209" s="178" customFormat="1" spans="1:23">
      <c r="A209" s="982" t="s">
        <v>13</v>
      </c>
      <c r="B209" s="982" t="s">
        <v>219</v>
      </c>
      <c r="C209" s="995" t="s">
        <v>111</v>
      </c>
      <c r="D209" s="984">
        <v>75</v>
      </c>
      <c r="E209" s="914"/>
      <c r="F209" s="986"/>
      <c r="G209" s="986">
        <f t="shared" si="22"/>
        <v>45668</v>
      </c>
      <c r="H209" s="987">
        <f t="shared" si="23"/>
        <v>45688</v>
      </c>
      <c r="I209" s="991" t="s">
        <v>221</v>
      </c>
      <c r="J209" s="982" t="s">
        <v>207</v>
      </c>
      <c r="K209" s="998" t="s">
        <v>107</v>
      </c>
      <c r="L209" s="992" t="s">
        <v>20</v>
      </c>
      <c r="M209" s="982"/>
      <c r="N209" s="203"/>
      <c r="O209" s="512"/>
      <c r="P209" s="512"/>
      <c r="Q209" s="512"/>
      <c r="R209" s="512"/>
      <c r="S209" s="512"/>
      <c r="T209" s="512"/>
      <c r="U209" s="512"/>
      <c r="V209" s="512"/>
      <c r="W209" s="512"/>
    </row>
    <row r="210" s="178" customFormat="1" spans="1:23">
      <c r="A210" s="982" t="s">
        <v>13</v>
      </c>
      <c r="B210" s="982" t="s">
        <v>219</v>
      </c>
      <c r="C210" s="995" t="s">
        <v>112</v>
      </c>
      <c r="D210" s="984">
        <v>75</v>
      </c>
      <c r="E210" s="914"/>
      <c r="F210" s="986"/>
      <c r="G210" s="986">
        <f t="shared" si="22"/>
        <v>45668</v>
      </c>
      <c r="H210" s="987">
        <f t="shared" si="23"/>
        <v>45688</v>
      </c>
      <c r="I210" s="991" t="s">
        <v>221</v>
      </c>
      <c r="J210" s="982" t="s">
        <v>207</v>
      </c>
      <c r="K210" s="998" t="s">
        <v>107</v>
      </c>
      <c r="L210" s="992" t="s">
        <v>20</v>
      </c>
      <c r="M210" s="993" t="s">
        <v>224</v>
      </c>
      <c r="N210" s="203"/>
      <c r="O210" s="512"/>
      <c r="P210" s="512"/>
      <c r="Q210" s="512"/>
      <c r="R210" s="512"/>
      <c r="S210" s="512"/>
      <c r="T210" s="512"/>
      <c r="U210" s="512"/>
      <c r="V210" s="512"/>
      <c r="W210" s="512"/>
    </row>
    <row r="211" s="178" customFormat="1" spans="1:23">
      <c r="A211" s="982" t="s">
        <v>13</v>
      </c>
      <c r="B211" s="982" t="s">
        <v>219</v>
      </c>
      <c r="C211" s="995" t="s">
        <v>114</v>
      </c>
      <c r="D211" s="984">
        <v>35</v>
      </c>
      <c r="E211" s="914"/>
      <c r="F211" s="986"/>
      <c r="G211" s="986">
        <f t="shared" si="22"/>
        <v>45668</v>
      </c>
      <c r="H211" s="987">
        <f t="shared" si="23"/>
        <v>45688</v>
      </c>
      <c r="I211" s="991" t="s">
        <v>221</v>
      </c>
      <c r="J211" s="982" t="s">
        <v>207</v>
      </c>
      <c r="K211" s="998" t="s">
        <v>107</v>
      </c>
      <c r="L211" s="992" t="s">
        <v>20</v>
      </c>
      <c r="M211" s="982"/>
      <c r="N211" s="203"/>
      <c r="O211" s="512"/>
      <c r="P211" s="512"/>
      <c r="Q211" s="512"/>
      <c r="R211" s="512"/>
      <c r="S211" s="512"/>
      <c r="T211" s="512"/>
      <c r="U211" s="512"/>
      <c r="V211" s="512"/>
      <c r="W211" s="512"/>
    </row>
    <row r="212" s="178" customFormat="1" spans="1:23">
      <c r="A212" s="982" t="s">
        <v>13</v>
      </c>
      <c r="B212" s="982" t="s">
        <v>219</v>
      </c>
      <c r="C212" s="995" t="s">
        <v>115</v>
      </c>
      <c r="D212" s="984">
        <v>35</v>
      </c>
      <c r="E212" s="914"/>
      <c r="F212" s="986"/>
      <c r="G212" s="986">
        <f t="shared" si="22"/>
        <v>45668</v>
      </c>
      <c r="H212" s="987">
        <f t="shared" si="23"/>
        <v>45688</v>
      </c>
      <c r="I212" s="991" t="s">
        <v>221</v>
      </c>
      <c r="J212" s="982" t="s">
        <v>207</v>
      </c>
      <c r="K212" s="998" t="s">
        <v>107</v>
      </c>
      <c r="L212" s="992" t="s">
        <v>20</v>
      </c>
      <c r="M212" s="993" t="s">
        <v>225</v>
      </c>
      <c r="N212" s="203"/>
      <c r="O212" s="512"/>
      <c r="P212" s="512"/>
      <c r="Q212" s="512"/>
      <c r="R212" s="512"/>
      <c r="S212" s="512"/>
      <c r="T212" s="512"/>
      <c r="U212" s="512"/>
      <c r="V212" s="512"/>
      <c r="W212" s="512"/>
    </row>
    <row r="213" s="178" customFormat="1" spans="1:23">
      <c r="A213" s="982" t="s">
        <v>13</v>
      </c>
      <c r="B213" s="982" t="s">
        <v>219</v>
      </c>
      <c r="C213" s="995" t="s">
        <v>116</v>
      </c>
      <c r="D213" s="984">
        <v>25</v>
      </c>
      <c r="E213" s="914"/>
      <c r="F213" s="986"/>
      <c r="G213" s="986">
        <f t="shared" si="22"/>
        <v>45668</v>
      </c>
      <c r="H213" s="987">
        <f t="shared" si="23"/>
        <v>45688</v>
      </c>
      <c r="I213" s="991" t="s">
        <v>221</v>
      </c>
      <c r="J213" s="982" t="s">
        <v>207</v>
      </c>
      <c r="K213" s="998" t="s">
        <v>107</v>
      </c>
      <c r="L213" s="992" t="s">
        <v>20</v>
      </c>
      <c r="M213" s="982"/>
      <c r="N213" s="203"/>
      <c r="O213" s="512"/>
      <c r="P213" s="512"/>
      <c r="Q213" s="512"/>
      <c r="R213" s="512"/>
      <c r="S213" s="512"/>
      <c r="T213" s="512"/>
      <c r="U213" s="512"/>
      <c r="V213" s="512"/>
      <c r="W213" s="512"/>
    </row>
    <row r="214" s="178" customFormat="1" spans="1:23">
      <c r="A214" s="982" t="s">
        <v>13</v>
      </c>
      <c r="B214" s="982" t="s">
        <v>219</v>
      </c>
      <c r="C214" s="995" t="s">
        <v>117</v>
      </c>
      <c r="D214" s="984">
        <v>25</v>
      </c>
      <c r="E214" s="914"/>
      <c r="F214" s="986"/>
      <c r="G214" s="986">
        <f t="shared" si="22"/>
        <v>45668</v>
      </c>
      <c r="H214" s="987">
        <f t="shared" si="23"/>
        <v>45688</v>
      </c>
      <c r="I214" s="991" t="s">
        <v>221</v>
      </c>
      <c r="J214" s="982" t="s">
        <v>207</v>
      </c>
      <c r="K214" s="998" t="s">
        <v>107</v>
      </c>
      <c r="L214" s="992" t="s">
        <v>20</v>
      </c>
      <c r="M214" s="982"/>
      <c r="N214" s="203"/>
      <c r="O214" s="512"/>
      <c r="P214" s="512"/>
      <c r="Q214" s="512"/>
      <c r="R214" s="512"/>
      <c r="S214" s="512"/>
      <c r="T214" s="512"/>
      <c r="U214" s="512"/>
      <c r="V214" s="512"/>
      <c r="W214" s="512"/>
    </row>
    <row r="215" s="178" customFormat="1" spans="1:23">
      <c r="A215" s="982" t="s">
        <v>13</v>
      </c>
      <c r="B215" s="982" t="s">
        <v>219</v>
      </c>
      <c r="C215" s="995" t="s">
        <v>118</v>
      </c>
      <c r="D215" s="984">
        <v>30</v>
      </c>
      <c r="E215" s="914"/>
      <c r="F215" s="986"/>
      <c r="G215" s="986">
        <f t="shared" si="22"/>
        <v>45668</v>
      </c>
      <c r="H215" s="987">
        <f t="shared" si="23"/>
        <v>45688</v>
      </c>
      <c r="I215" s="991" t="s">
        <v>221</v>
      </c>
      <c r="J215" s="982" t="s">
        <v>207</v>
      </c>
      <c r="K215" s="998" t="s">
        <v>107</v>
      </c>
      <c r="L215" s="992" t="s">
        <v>20</v>
      </c>
      <c r="M215" s="982"/>
      <c r="N215" s="203"/>
      <c r="O215" s="512"/>
      <c r="P215" s="512"/>
      <c r="Q215" s="512"/>
      <c r="R215" s="512"/>
      <c r="S215" s="512"/>
      <c r="T215" s="512"/>
      <c r="U215" s="512"/>
      <c r="V215" s="512"/>
      <c r="W215" s="512"/>
    </row>
    <row r="216" s="178" customFormat="1" spans="1:23">
      <c r="A216" s="982" t="s">
        <v>13</v>
      </c>
      <c r="B216" s="982" t="s">
        <v>219</v>
      </c>
      <c r="C216" s="995" t="s">
        <v>119</v>
      </c>
      <c r="D216" s="984">
        <v>30</v>
      </c>
      <c r="E216" s="914"/>
      <c r="F216" s="986"/>
      <c r="G216" s="986">
        <f t="shared" si="22"/>
        <v>45668</v>
      </c>
      <c r="H216" s="987">
        <f t="shared" si="23"/>
        <v>45688</v>
      </c>
      <c r="I216" s="991" t="s">
        <v>221</v>
      </c>
      <c r="J216" s="982" t="s">
        <v>207</v>
      </c>
      <c r="K216" s="998" t="s">
        <v>107</v>
      </c>
      <c r="L216" s="992" t="s">
        <v>20</v>
      </c>
      <c r="M216" s="982"/>
      <c r="N216" s="203"/>
      <c r="O216" s="512"/>
      <c r="P216" s="512"/>
      <c r="Q216" s="512"/>
      <c r="R216" s="512"/>
      <c r="S216" s="512"/>
      <c r="T216" s="512"/>
      <c r="U216" s="512"/>
      <c r="V216" s="512"/>
      <c r="W216" s="512"/>
    </row>
    <row r="217" s="178" customFormat="1" spans="1:23">
      <c r="A217" s="982" t="s">
        <v>13</v>
      </c>
      <c r="B217" s="982" t="s">
        <v>219</v>
      </c>
      <c r="C217" s="995" t="s">
        <v>120</v>
      </c>
      <c r="D217" s="984">
        <v>5</v>
      </c>
      <c r="E217" s="914"/>
      <c r="F217" s="986"/>
      <c r="G217" s="986">
        <f t="shared" si="22"/>
        <v>45668</v>
      </c>
      <c r="H217" s="987">
        <f t="shared" si="23"/>
        <v>45688</v>
      </c>
      <c r="I217" s="991" t="s">
        <v>221</v>
      </c>
      <c r="J217" s="982" t="s">
        <v>207</v>
      </c>
      <c r="K217" s="998" t="s">
        <v>107</v>
      </c>
      <c r="L217" s="992" t="s">
        <v>20</v>
      </c>
      <c r="M217" s="982"/>
      <c r="N217" s="203"/>
      <c r="O217" s="512"/>
      <c r="P217" s="512"/>
      <c r="Q217" s="512"/>
      <c r="R217" s="512"/>
      <c r="S217" s="512"/>
      <c r="T217" s="512"/>
      <c r="U217" s="512"/>
      <c r="V217" s="512"/>
      <c r="W217" s="512"/>
    </row>
    <row r="218" s="178" customFormat="1" spans="1:23">
      <c r="A218" s="982" t="s">
        <v>13</v>
      </c>
      <c r="B218" s="982" t="s">
        <v>219</v>
      </c>
      <c r="C218" s="995" t="s">
        <v>121</v>
      </c>
      <c r="D218" s="984">
        <v>5</v>
      </c>
      <c r="E218" s="914"/>
      <c r="F218" s="986"/>
      <c r="G218" s="986">
        <f t="shared" si="22"/>
        <v>45668</v>
      </c>
      <c r="H218" s="987">
        <f t="shared" si="23"/>
        <v>45688</v>
      </c>
      <c r="I218" s="991" t="s">
        <v>221</v>
      </c>
      <c r="J218" s="982" t="s">
        <v>207</v>
      </c>
      <c r="K218" s="998" t="s">
        <v>107</v>
      </c>
      <c r="L218" s="992" t="s">
        <v>20</v>
      </c>
      <c r="M218" s="982"/>
      <c r="N218" s="203"/>
      <c r="O218" s="512"/>
      <c r="P218" s="512"/>
      <c r="Q218" s="512"/>
      <c r="R218" s="512"/>
      <c r="S218" s="512"/>
      <c r="T218" s="512"/>
      <c r="U218" s="512"/>
      <c r="V218" s="512"/>
      <c r="W218" s="512"/>
    </row>
    <row r="219" s="178" customFormat="1" ht="15.4" customHeight="1" spans="1:23">
      <c r="A219" s="982" t="s">
        <v>13</v>
      </c>
      <c r="B219" s="982" t="s">
        <v>226</v>
      </c>
      <c r="C219" s="983" t="s">
        <v>77</v>
      </c>
      <c r="D219" s="1000">
        <v>48</v>
      </c>
      <c r="E219" s="989" t="s">
        <v>227</v>
      </c>
      <c r="F219" s="986"/>
      <c r="G219" s="986">
        <f>VLOOKUP(CLEAN(SUBSTITUTE(TRIM(MID(E:E,FIND("/",E:E)+1,LEN(E:E)))," ","")),'Customs Decl. &amp; Local Delivery'!D:I,6,0)</f>
        <v>45668</v>
      </c>
      <c r="H219" s="987">
        <f>VLOOKUP(CLEAN(SUBSTITUTE(TRIM(MID(E:E,FIND("/",E:E)+1,LEN(E:E)))," ","")),'Customs Decl. &amp; Local Delivery'!D:J,7,0)</f>
        <v>45698</v>
      </c>
      <c r="I219" s="991" t="s">
        <v>228</v>
      </c>
      <c r="J219" s="982" t="s">
        <v>18</v>
      </c>
      <c r="K219" s="982" t="s">
        <v>64</v>
      </c>
      <c r="L219" s="992" t="s">
        <v>20</v>
      </c>
      <c r="M219" s="982" t="s">
        <v>229</v>
      </c>
      <c r="N219" s="203"/>
      <c r="O219" s="512"/>
      <c r="P219" s="512"/>
      <c r="Q219" s="512"/>
      <c r="R219" s="512"/>
      <c r="S219" s="512"/>
      <c r="T219" s="512"/>
      <c r="U219" s="512"/>
      <c r="V219" s="512"/>
      <c r="W219" s="512"/>
    </row>
    <row r="220" s="178" customFormat="1" ht="15.4" customHeight="1" spans="1:23">
      <c r="A220" s="982" t="s">
        <v>13</v>
      </c>
      <c r="B220" s="982" t="s">
        <v>226</v>
      </c>
      <c r="C220" s="983" t="s">
        <v>24</v>
      </c>
      <c r="D220" s="1000">
        <v>108</v>
      </c>
      <c r="E220" s="988"/>
      <c r="F220" s="986"/>
      <c r="G220" s="986">
        <f>G219</f>
        <v>45668</v>
      </c>
      <c r="H220" s="987">
        <f>H219</f>
        <v>45698</v>
      </c>
      <c r="I220" s="991" t="s">
        <v>228</v>
      </c>
      <c r="J220" s="982" t="s">
        <v>18</v>
      </c>
      <c r="K220" s="982" t="s">
        <v>64</v>
      </c>
      <c r="L220" s="992" t="s">
        <v>20</v>
      </c>
      <c r="M220" s="982" t="s">
        <v>230</v>
      </c>
      <c r="N220" s="203"/>
      <c r="O220" s="512"/>
      <c r="P220" s="512"/>
      <c r="Q220" s="512"/>
      <c r="R220" s="512"/>
      <c r="S220" s="512"/>
      <c r="T220" s="512"/>
      <c r="U220" s="512"/>
      <c r="V220" s="512"/>
      <c r="W220" s="512"/>
    </row>
    <row r="221" s="178" customFormat="1" ht="15.4" customHeight="1" spans="1:23">
      <c r="A221" s="982" t="s">
        <v>13</v>
      </c>
      <c r="B221" s="982" t="s">
        <v>231</v>
      </c>
      <c r="C221" s="983" t="s">
        <v>24</v>
      </c>
      <c r="D221" s="1000">
        <v>36</v>
      </c>
      <c r="E221" s="988"/>
      <c r="F221" s="986"/>
      <c r="G221" s="986">
        <f>G220</f>
        <v>45668</v>
      </c>
      <c r="H221" s="987">
        <f>H220</f>
        <v>45698</v>
      </c>
      <c r="I221" s="991" t="s">
        <v>228</v>
      </c>
      <c r="J221" s="982" t="s">
        <v>18</v>
      </c>
      <c r="K221" s="982" t="s">
        <v>64</v>
      </c>
      <c r="L221" s="992" t="s">
        <v>20</v>
      </c>
      <c r="M221" s="982" t="s">
        <v>98</v>
      </c>
      <c r="N221" s="203"/>
      <c r="O221" s="512"/>
      <c r="P221" s="512"/>
      <c r="Q221" s="512"/>
      <c r="R221" s="512"/>
      <c r="S221" s="512"/>
      <c r="T221" s="512"/>
      <c r="U221" s="512"/>
      <c r="V221" s="512"/>
      <c r="W221" s="512"/>
    </row>
    <row r="222" s="178" customFormat="1" ht="15.4" customHeight="1" spans="1:23">
      <c r="A222" s="982" t="s">
        <v>202</v>
      </c>
      <c r="B222" s="982" t="s">
        <v>203</v>
      </c>
      <c r="C222" s="982" t="s">
        <v>70</v>
      </c>
      <c r="D222" s="1001">
        <v>84</v>
      </c>
      <c r="E222" s="988"/>
      <c r="F222" s="986"/>
      <c r="G222" s="986">
        <f>G221</f>
        <v>45668</v>
      </c>
      <c r="H222" s="987">
        <f>H221</f>
        <v>45698</v>
      </c>
      <c r="I222" s="991" t="s">
        <v>228</v>
      </c>
      <c r="J222" s="982" t="s">
        <v>18</v>
      </c>
      <c r="K222" s="982" t="s">
        <v>64</v>
      </c>
      <c r="L222" s="992" t="s">
        <v>20</v>
      </c>
      <c r="M222" s="982"/>
      <c r="N222" s="203"/>
      <c r="O222" s="512"/>
      <c r="P222" s="512"/>
      <c r="Q222" s="512"/>
      <c r="R222" s="512"/>
      <c r="S222" s="512"/>
      <c r="T222" s="512"/>
      <c r="U222" s="512"/>
      <c r="V222" s="512"/>
      <c r="W222" s="512"/>
    </row>
    <row r="223" s="178" customFormat="1" ht="15.4" customHeight="1" spans="1:23">
      <c r="A223" s="982" t="s">
        <v>13</v>
      </c>
      <c r="B223" s="982" t="s">
        <v>231</v>
      </c>
      <c r="C223" s="983" t="s">
        <v>77</v>
      </c>
      <c r="D223" s="984">
        <v>48</v>
      </c>
      <c r="E223" s="989" t="s">
        <v>232</v>
      </c>
      <c r="F223" s="986"/>
      <c r="G223" s="986">
        <f>VLOOKUP(CLEAN(SUBSTITUTE(TRIM(MID(E:E,FIND("/",E:E)+1,LEN(E:E)))," ","")),'Customs Decl. &amp; Local Delivery'!D:I,6,0)</f>
        <v>45668</v>
      </c>
      <c r="H223" s="987">
        <f>VLOOKUP(CLEAN(SUBSTITUTE(TRIM(MID(E:E,FIND("/",E:E)+1,LEN(E:E)))," ","")),'Customs Decl. &amp; Local Delivery'!D:J,7,0)</f>
        <v>45698</v>
      </c>
      <c r="I223" s="991" t="s">
        <v>228</v>
      </c>
      <c r="J223" s="982" t="s">
        <v>18</v>
      </c>
      <c r="K223" s="982" t="s">
        <v>64</v>
      </c>
      <c r="L223" s="992" t="s">
        <v>20</v>
      </c>
      <c r="M223" s="982" t="s">
        <v>233</v>
      </c>
      <c r="N223" s="203"/>
      <c r="O223" s="512"/>
      <c r="P223" s="512"/>
      <c r="Q223" s="512"/>
      <c r="R223" s="512"/>
      <c r="S223" s="512"/>
      <c r="T223" s="512"/>
      <c r="U223" s="512"/>
      <c r="V223" s="512"/>
      <c r="W223" s="512"/>
    </row>
    <row r="224" s="178" customFormat="1" ht="15.4" customHeight="1" spans="1:23">
      <c r="A224" s="982" t="s">
        <v>13</v>
      </c>
      <c r="B224" s="982" t="s">
        <v>231</v>
      </c>
      <c r="C224" s="983" t="s">
        <v>24</v>
      </c>
      <c r="D224" s="984">
        <f>108-36</f>
        <v>72</v>
      </c>
      <c r="E224" s="988"/>
      <c r="F224" s="986"/>
      <c r="G224" s="986">
        <f t="shared" ref="G224:G229" si="24">G223</f>
        <v>45668</v>
      </c>
      <c r="H224" s="987">
        <f t="shared" ref="H224:H229" si="25">H223</f>
        <v>45698</v>
      </c>
      <c r="I224" s="991" t="s">
        <v>228</v>
      </c>
      <c r="J224" s="982" t="s">
        <v>18</v>
      </c>
      <c r="K224" s="982" t="s">
        <v>64</v>
      </c>
      <c r="L224" s="992" t="s">
        <v>20</v>
      </c>
      <c r="M224" s="982" t="s">
        <v>230</v>
      </c>
      <c r="N224" s="203"/>
      <c r="O224" s="512"/>
      <c r="P224" s="512"/>
      <c r="Q224" s="512"/>
      <c r="R224" s="512"/>
      <c r="S224" s="512"/>
      <c r="T224" s="512"/>
      <c r="U224" s="512"/>
      <c r="V224" s="512"/>
      <c r="W224" s="512"/>
    </row>
    <row r="225" s="178" customFormat="1" ht="15.4" customHeight="1" spans="1:23">
      <c r="A225" s="982" t="s">
        <v>13</v>
      </c>
      <c r="B225" s="982" t="s">
        <v>234</v>
      </c>
      <c r="C225" s="983" t="s">
        <v>24</v>
      </c>
      <c r="D225" s="984">
        <v>24</v>
      </c>
      <c r="E225" s="988"/>
      <c r="F225" s="986"/>
      <c r="G225" s="986">
        <f t="shared" si="24"/>
        <v>45668</v>
      </c>
      <c r="H225" s="987">
        <f t="shared" si="25"/>
        <v>45698</v>
      </c>
      <c r="I225" s="991" t="s">
        <v>228</v>
      </c>
      <c r="J225" s="982" t="s">
        <v>18</v>
      </c>
      <c r="K225" s="982" t="s">
        <v>64</v>
      </c>
      <c r="L225" s="992" t="s">
        <v>20</v>
      </c>
      <c r="M225" s="982" t="s">
        <v>98</v>
      </c>
      <c r="N225" s="203"/>
      <c r="O225" s="512"/>
      <c r="P225" s="512"/>
      <c r="Q225" s="512"/>
      <c r="R225" s="512"/>
      <c r="S225" s="512"/>
      <c r="T225" s="512"/>
      <c r="U225" s="512"/>
      <c r="V225" s="512"/>
      <c r="W225" s="512"/>
    </row>
    <row r="226" s="178" customFormat="1" ht="15.4" customHeight="1" spans="1:23">
      <c r="A226" s="982" t="s">
        <v>13</v>
      </c>
      <c r="B226" s="982" t="s">
        <v>226</v>
      </c>
      <c r="C226" s="983" t="s">
        <v>27</v>
      </c>
      <c r="D226" s="984">
        <v>21</v>
      </c>
      <c r="E226" s="988"/>
      <c r="F226" s="986"/>
      <c r="G226" s="986">
        <f t="shared" si="24"/>
        <v>45668</v>
      </c>
      <c r="H226" s="987">
        <f t="shared" si="25"/>
        <v>45698</v>
      </c>
      <c r="I226" s="991" t="s">
        <v>228</v>
      </c>
      <c r="J226" s="982" t="s">
        <v>18</v>
      </c>
      <c r="K226" s="982" t="s">
        <v>64</v>
      </c>
      <c r="L226" s="992" t="s">
        <v>20</v>
      </c>
      <c r="M226" s="982"/>
      <c r="N226" s="203"/>
      <c r="O226" s="512"/>
      <c r="P226" s="512"/>
      <c r="Q226" s="512"/>
      <c r="R226" s="512"/>
      <c r="S226" s="512"/>
      <c r="T226" s="512"/>
      <c r="U226" s="512"/>
      <c r="V226" s="512"/>
      <c r="W226" s="512"/>
    </row>
    <row r="227" s="178" customFormat="1" ht="15.4" customHeight="1" spans="1:23">
      <c r="A227" s="982" t="s">
        <v>13</v>
      </c>
      <c r="B227" s="982" t="s">
        <v>231</v>
      </c>
      <c r="C227" s="983" t="s">
        <v>27</v>
      </c>
      <c r="D227" s="984">
        <v>21</v>
      </c>
      <c r="E227" s="988"/>
      <c r="F227" s="986"/>
      <c r="G227" s="986">
        <f t="shared" si="24"/>
        <v>45668</v>
      </c>
      <c r="H227" s="987">
        <f t="shared" si="25"/>
        <v>45698</v>
      </c>
      <c r="I227" s="991" t="s">
        <v>228</v>
      </c>
      <c r="J227" s="982" t="s">
        <v>18</v>
      </c>
      <c r="K227" s="982" t="s">
        <v>64</v>
      </c>
      <c r="L227" s="992" t="s">
        <v>20</v>
      </c>
      <c r="M227" s="982"/>
      <c r="N227" s="203"/>
      <c r="O227" s="512"/>
      <c r="P227" s="512"/>
      <c r="Q227" s="512"/>
      <c r="R227" s="512"/>
      <c r="S227" s="512"/>
      <c r="T227" s="512"/>
      <c r="U227" s="512"/>
      <c r="V227" s="512"/>
      <c r="W227" s="512"/>
    </row>
    <row r="228" s="178" customFormat="1" ht="15.4" customHeight="1" spans="1:23">
      <c r="A228" s="982" t="s">
        <v>13</v>
      </c>
      <c r="B228" s="982" t="s">
        <v>234</v>
      </c>
      <c r="C228" s="983" t="s">
        <v>27</v>
      </c>
      <c r="D228" s="984">
        <v>6</v>
      </c>
      <c r="E228" s="988"/>
      <c r="F228" s="986"/>
      <c r="G228" s="986">
        <f t="shared" si="24"/>
        <v>45668</v>
      </c>
      <c r="H228" s="987">
        <f t="shared" si="25"/>
        <v>45698</v>
      </c>
      <c r="I228" s="991" t="s">
        <v>228</v>
      </c>
      <c r="J228" s="982" t="s">
        <v>18</v>
      </c>
      <c r="K228" s="982" t="s">
        <v>64</v>
      </c>
      <c r="L228" s="992" t="s">
        <v>20</v>
      </c>
      <c r="M228" s="982"/>
      <c r="N228" s="203"/>
      <c r="O228" s="512"/>
      <c r="P228" s="512"/>
      <c r="Q228" s="512"/>
      <c r="R228" s="512"/>
      <c r="S228" s="512"/>
      <c r="T228" s="512"/>
      <c r="U228" s="512"/>
      <c r="V228" s="512"/>
      <c r="W228" s="512"/>
    </row>
    <row r="229" s="178" customFormat="1" ht="15.4" customHeight="1" spans="1:23">
      <c r="A229" s="982" t="s">
        <v>13</v>
      </c>
      <c r="B229" s="982" t="s">
        <v>226</v>
      </c>
      <c r="C229" s="983" t="s">
        <v>67</v>
      </c>
      <c r="D229" s="984">
        <v>48</v>
      </c>
      <c r="E229" s="988"/>
      <c r="F229" s="986"/>
      <c r="G229" s="986">
        <f t="shared" si="24"/>
        <v>45668</v>
      </c>
      <c r="H229" s="987">
        <f t="shared" si="25"/>
        <v>45698</v>
      </c>
      <c r="I229" s="991" t="s">
        <v>228</v>
      </c>
      <c r="J229" s="982" t="s">
        <v>18</v>
      </c>
      <c r="K229" s="982" t="s">
        <v>64</v>
      </c>
      <c r="L229" s="992" t="s">
        <v>20</v>
      </c>
      <c r="M229" s="982"/>
      <c r="N229" s="203"/>
      <c r="O229" s="512"/>
      <c r="P229" s="512"/>
      <c r="Q229" s="512"/>
      <c r="R229" s="512"/>
      <c r="S229" s="512"/>
      <c r="T229" s="512"/>
      <c r="U229" s="512"/>
      <c r="V229" s="512"/>
      <c r="W229" s="512"/>
    </row>
    <row r="230" s="477" customFormat="1" spans="1:23">
      <c r="A230" s="982" t="s">
        <v>13</v>
      </c>
      <c r="B230" s="982" t="s">
        <v>235</v>
      </c>
      <c r="C230" s="983" t="s">
        <v>36</v>
      </c>
      <c r="D230" s="984">
        <v>50</v>
      </c>
      <c r="E230" s="989" t="s">
        <v>236</v>
      </c>
      <c r="F230" s="986"/>
      <c r="G230" s="986">
        <f>VLOOKUP(CLEAN(SUBSTITUTE(TRIM(MID(E:E,FIND("/",E:E)+1,LEN(E:E)))," ","")),'Customs Decl. &amp; Local Delivery'!D:I,6,0)</f>
        <v>45669</v>
      </c>
      <c r="H230" s="987">
        <f>VLOOKUP(CLEAN(SUBSTITUTE(TRIM(MID(E:E,FIND("/",E:E)+1,LEN(E:E)))," ","")),'Customs Decl. &amp; Local Delivery'!D:J,7,0)</f>
        <v>45702</v>
      </c>
      <c r="I230" s="991" t="s">
        <v>237</v>
      </c>
      <c r="J230" s="982" t="s">
        <v>39</v>
      </c>
      <c r="K230" s="982" t="s">
        <v>19</v>
      </c>
      <c r="L230" s="992" t="s">
        <v>20</v>
      </c>
      <c r="M230" s="982" t="s">
        <v>238</v>
      </c>
      <c r="N230" s="512"/>
      <c r="O230" s="512"/>
      <c r="P230" s="512"/>
      <c r="Q230" s="512"/>
      <c r="R230" s="512"/>
      <c r="S230" s="512"/>
      <c r="T230" s="512"/>
      <c r="U230" s="512"/>
      <c r="V230" s="512"/>
      <c r="W230" s="512"/>
    </row>
    <row r="231" s="477" customFormat="1" spans="1:23">
      <c r="A231" s="982" t="s">
        <v>13</v>
      </c>
      <c r="B231" s="982" t="s">
        <v>235</v>
      </c>
      <c r="C231" s="983" t="s">
        <v>41</v>
      </c>
      <c r="D231" s="984">
        <v>50</v>
      </c>
      <c r="E231" s="914"/>
      <c r="F231" s="986"/>
      <c r="G231" s="986">
        <f t="shared" ref="G231:G241" si="26">G230</f>
        <v>45669</v>
      </c>
      <c r="H231" s="987">
        <f t="shared" ref="H231:H241" si="27">H230</f>
        <v>45702</v>
      </c>
      <c r="I231" s="991" t="s">
        <v>237</v>
      </c>
      <c r="J231" s="982" t="s">
        <v>39</v>
      </c>
      <c r="K231" s="982" t="s">
        <v>19</v>
      </c>
      <c r="L231" s="992" t="s">
        <v>20</v>
      </c>
      <c r="M231" s="982" t="s">
        <v>239</v>
      </c>
      <c r="N231" s="512"/>
      <c r="O231" s="512"/>
      <c r="P231" s="512"/>
      <c r="Q231" s="512"/>
      <c r="R231" s="512"/>
      <c r="S231" s="512"/>
      <c r="T231" s="512"/>
      <c r="U231" s="512"/>
      <c r="V231" s="512"/>
      <c r="W231" s="512"/>
    </row>
    <row r="232" s="477" customFormat="1" spans="1:23">
      <c r="A232" s="982" t="s">
        <v>13</v>
      </c>
      <c r="B232" s="982" t="s">
        <v>235</v>
      </c>
      <c r="C232" s="983" t="s">
        <v>43</v>
      </c>
      <c r="D232" s="984">
        <v>20</v>
      </c>
      <c r="E232" s="914"/>
      <c r="F232" s="986"/>
      <c r="G232" s="986">
        <f t="shared" si="26"/>
        <v>45669</v>
      </c>
      <c r="H232" s="987">
        <f t="shared" si="27"/>
        <v>45702</v>
      </c>
      <c r="I232" s="991" t="s">
        <v>237</v>
      </c>
      <c r="J232" s="982" t="s">
        <v>39</v>
      </c>
      <c r="K232" s="982" t="s">
        <v>19</v>
      </c>
      <c r="L232" s="992" t="s">
        <v>20</v>
      </c>
      <c r="M232" s="982"/>
      <c r="N232" s="512"/>
      <c r="O232" s="512"/>
      <c r="P232" s="512"/>
      <c r="Q232" s="512"/>
      <c r="R232" s="512"/>
      <c r="S232" s="512"/>
      <c r="T232" s="512"/>
      <c r="U232" s="512"/>
      <c r="V232" s="512"/>
      <c r="W232" s="512"/>
    </row>
    <row r="233" s="477" customFormat="1" spans="1:23">
      <c r="A233" s="982" t="s">
        <v>13</v>
      </c>
      <c r="B233" s="982" t="s">
        <v>235</v>
      </c>
      <c r="C233" s="983" t="s">
        <v>45</v>
      </c>
      <c r="D233" s="984">
        <v>20</v>
      </c>
      <c r="E233" s="914"/>
      <c r="F233" s="986"/>
      <c r="G233" s="986">
        <f t="shared" si="26"/>
        <v>45669</v>
      </c>
      <c r="H233" s="987">
        <f t="shared" si="27"/>
        <v>45702</v>
      </c>
      <c r="I233" s="991" t="s">
        <v>237</v>
      </c>
      <c r="J233" s="982" t="s">
        <v>39</v>
      </c>
      <c r="K233" s="982" t="s">
        <v>19</v>
      </c>
      <c r="L233" s="992" t="s">
        <v>20</v>
      </c>
      <c r="M233" s="997" t="s">
        <v>240</v>
      </c>
      <c r="N233" s="512"/>
      <c r="O233" s="512"/>
      <c r="P233" s="512"/>
      <c r="Q233" s="512"/>
      <c r="R233" s="512"/>
      <c r="S233" s="512"/>
      <c r="T233" s="512"/>
      <c r="U233" s="512"/>
      <c r="V233" s="512"/>
      <c r="W233" s="512"/>
    </row>
    <row r="234" s="477" customFormat="1" spans="1:23">
      <c r="A234" s="982" t="s">
        <v>13</v>
      </c>
      <c r="B234" s="982" t="s">
        <v>235</v>
      </c>
      <c r="C234" s="983" t="s">
        <v>47</v>
      </c>
      <c r="D234" s="984">
        <v>20</v>
      </c>
      <c r="E234" s="914"/>
      <c r="F234" s="986"/>
      <c r="G234" s="986">
        <f t="shared" si="26"/>
        <v>45669</v>
      </c>
      <c r="H234" s="987">
        <f t="shared" si="27"/>
        <v>45702</v>
      </c>
      <c r="I234" s="991" t="s">
        <v>237</v>
      </c>
      <c r="J234" s="982" t="s">
        <v>39</v>
      </c>
      <c r="K234" s="982" t="s">
        <v>19</v>
      </c>
      <c r="L234" s="992" t="s">
        <v>20</v>
      </c>
      <c r="M234" s="982"/>
      <c r="N234" s="512"/>
      <c r="O234" s="512"/>
      <c r="P234" s="512"/>
      <c r="Q234" s="512"/>
      <c r="R234" s="512"/>
      <c r="S234" s="512"/>
      <c r="T234" s="512"/>
      <c r="U234" s="512"/>
      <c r="V234" s="512"/>
      <c r="W234" s="512"/>
    </row>
    <row r="235" s="477" customFormat="1" spans="1:23">
      <c r="A235" s="982" t="s">
        <v>13</v>
      </c>
      <c r="B235" s="982" t="s">
        <v>235</v>
      </c>
      <c r="C235" s="983" t="s">
        <v>48</v>
      </c>
      <c r="D235" s="984">
        <v>20</v>
      </c>
      <c r="E235" s="914"/>
      <c r="F235" s="986"/>
      <c r="G235" s="986">
        <f t="shared" si="26"/>
        <v>45669</v>
      </c>
      <c r="H235" s="987">
        <f t="shared" si="27"/>
        <v>45702</v>
      </c>
      <c r="I235" s="991" t="s">
        <v>237</v>
      </c>
      <c r="J235" s="982" t="s">
        <v>39</v>
      </c>
      <c r="K235" s="982" t="s">
        <v>19</v>
      </c>
      <c r="L235" s="992" t="s">
        <v>20</v>
      </c>
      <c r="M235" s="982"/>
      <c r="N235" s="512"/>
      <c r="O235" s="512"/>
      <c r="P235" s="512"/>
      <c r="Q235" s="512"/>
      <c r="R235" s="512"/>
      <c r="S235" s="512"/>
      <c r="T235" s="512"/>
      <c r="U235" s="512"/>
      <c r="V235" s="512"/>
      <c r="W235" s="512"/>
    </row>
    <row r="236" s="477" customFormat="1" spans="1:23">
      <c r="A236" s="982" t="s">
        <v>13</v>
      </c>
      <c r="B236" s="982" t="s">
        <v>235</v>
      </c>
      <c r="C236" s="983" t="s">
        <v>49</v>
      </c>
      <c r="D236" s="984">
        <v>28</v>
      </c>
      <c r="E236" s="914"/>
      <c r="F236" s="986"/>
      <c r="G236" s="986">
        <f t="shared" si="26"/>
        <v>45669</v>
      </c>
      <c r="H236" s="987">
        <f t="shared" si="27"/>
        <v>45702</v>
      </c>
      <c r="I236" s="991" t="s">
        <v>237</v>
      </c>
      <c r="J236" s="982" t="s">
        <v>39</v>
      </c>
      <c r="K236" s="982" t="s">
        <v>19</v>
      </c>
      <c r="L236" s="992" t="s">
        <v>20</v>
      </c>
      <c r="M236" s="982"/>
      <c r="N236" s="512"/>
      <c r="O236" s="512"/>
      <c r="P236" s="512"/>
      <c r="Q236" s="512"/>
      <c r="R236" s="512"/>
      <c r="S236" s="512"/>
      <c r="T236" s="512"/>
      <c r="U236" s="512"/>
      <c r="V236" s="512"/>
      <c r="W236" s="512"/>
    </row>
    <row r="237" s="477" customFormat="1" spans="1:23">
      <c r="A237" s="982" t="s">
        <v>13</v>
      </c>
      <c r="B237" s="982" t="s">
        <v>235</v>
      </c>
      <c r="C237" s="983" t="s">
        <v>50</v>
      </c>
      <c r="D237" s="984">
        <v>28</v>
      </c>
      <c r="E237" s="914"/>
      <c r="F237" s="986"/>
      <c r="G237" s="986">
        <f t="shared" si="26"/>
        <v>45669</v>
      </c>
      <c r="H237" s="987">
        <f t="shared" si="27"/>
        <v>45702</v>
      </c>
      <c r="I237" s="991" t="s">
        <v>237</v>
      </c>
      <c r="J237" s="982" t="s">
        <v>39</v>
      </c>
      <c r="K237" s="982" t="s">
        <v>19</v>
      </c>
      <c r="L237" s="992" t="s">
        <v>20</v>
      </c>
      <c r="M237" s="982"/>
      <c r="N237" s="512"/>
      <c r="O237" s="512"/>
      <c r="P237" s="512"/>
      <c r="Q237" s="512"/>
      <c r="R237" s="512"/>
      <c r="S237" s="512"/>
      <c r="T237" s="512"/>
      <c r="U237" s="512"/>
      <c r="V237" s="512"/>
      <c r="W237" s="512"/>
    </row>
    <row r="238" s="477" customFormat="1" spans="1:23">
      <c r="A238" s="982" t="s">
        <v>13</v>
      </c>
      <c r="B238" s="982" t="s">
        <v>235</v>
      </c>
      <c r="C238" s="983" t="s">
        <v>29</v>
      </c>
      <c r="D238" s="984">
        <v>12</v>
      </c>
      <c r="E238" s="914"/>
      <c r="F238" s="986"/>
      <c r="G238" s="986">
        <f t="shared" si="26"/>
        <v>45669</v>
      </c>
      <c r="H238" s="987">
        <f t="shared" si="27"/>
        <v>45702</v>
      </c>
      <c r="I238" s="991" t="s">
        <v>237</v>
      </c>
      <c r="J238" s="982" t="s">
        <v>39</v>
      </c>
      <c r="K238" s="982" t="s">
        <v>19</v>
      </c>
      <c r="L238" s="992" t="s">
        <v>20</v>
      </c>
      <c r="M238" s="982"/>
      <c r="N238" s="512"/>
      <c r="O238" s="512"/>
      <c r="P238" s="512"/>
      <c r="Q238" s="512"/>
      <c r="R238" s="512"/>
      <c r="S238" s="512"/>
      <c r="T238" s="512"/>
      <c r="U238" s="512"/>
      <c r="V238" s="512"/>
      <c r="W238" s="512"/>
    </row>
    <row r="239" s="477" customFormat="1" spans="1:23">
      <c r="A239" s="982" t="s">
        <v>13</v>
      </c>
      <c r="B239" s="982" t="s">
        <v>235</v>
      </c>
      <c r="C239" s="983" t="s">
        <v>30</v>
      </c>
      <c r="D239" s="984">
        <v>12</v>
      </c>
      <c r="E239" s="914"/>
      <c r="F239" s="986"/>
      <c r="G239" s="986">
        <f t="shared" si="26"/>
        <v>45669</v>
      </c>
      <c r="H239" s="987">
        <f t="shared" si="27"/>
        <v>45702</v>
      </c>
      <c r="I239" s="991" t="s">
        <v>237</v>
      </c>
      <c r="J239" s="982" t="s">
        <v>39</v>
      </c>
      <c r="K239" s="982" t="s">
        <v>19</v>
      </c>
      <c r="L239" s="992" t="s">
        <v>20</v>
      </c>
      <c r="M239" s="982"/>
      <c r="N239" s="512"/>
      <c r="O239" s="512"/>
      <c r="P239" s="512"/>
      <c r="Q239" s="512"/>
      <c r="R239" s="512"/>
      <c r="S239" s="512"/>
      <c r="T239" s="512"/>
      <c r="U239" s="512"/>
      <c r="V239" s="512"/>
      <c r="W239" s="512"/>
    </row>
    <row r="240" s="477" customFormat="1" spans="1:23">
      <c r="A240" s="982" t="s">
        <v>13</v>
      </c>
      <c r="B240" s="982" t="s">
        <v>235</v>
      </c>
      <c r="C240" s="983" t="s">
        <v>31</v>
      </c>
      <c r="D240" s="984">
        <v>6</v>
      </c>
      <c r="E240" s="914"/>
      <c r="F240" s="986"/>
      <c r="G240" s="986">
        <f t="shared" si="26"/>
        <v>45669</v>
      </c>
      <c r="H240" s="987">
        <f t="shared" si="27"/>
        <v>45702</v>
      </c>
      <c r="I240" s="991" t="s">
        <v>237</v>
      </c>
      <c r="J240" s="982" t="s">
        <v>39</v>
      </c>
      <c r="K240" s="982" t="s">
        <v>19</v>
      </c>
      <c r="L240" s="992" t="s">
        <v>20</v>
      </c>
      <c r="M240" s="982"/>
      <c r="N240" s="512"/>
      <c r="O240" s="512"/>
      <c r="P240" s="512"/>
      <c r="Q240" s="512"/>
      <c r="R240" s="512"/>
      <c r="S240" s="512"/>
      <c r="T240" s="512"/>
      <c r="U240" s="512"/>
      <c r="V240" s="512"/>
      <c r="W240" s="512"/>
    </row>
    <row r="241" s="477" customFormat="1" spans="1:23">
      <c r="A241" s="982" t="s">
        <v>13</v>
      </c>
      <c r="B241" s="982" t="s">
        <v>235</v>
      </c>
      <c r="C241" s="983" t="s">
        <v>32</v>
      </c>
      <c r="D241" s="984">
        <v>6</v>
      </c>
      <c r="E241" s="914"/>
      <c r="F241" s="986"/>
      <c r="G241" s="986">
        <f t="shared" si="26"/>
        <v>45669</v>
      </c>
      <c r="H241" s="987">
        <f t="shared" si="27"/>
        <v>45702</v>
      </c>
      <c r="I241" s="991" t="s">
        <v>237</v>
      </c>
      <c r="J241" s="982" t="s">
        <v>39</v>
      </c>
      <c r="K241" s="982" t="s">
        <v>19</v>
      </c>
      <c r="L241" s="992" t="s">
        <v>20</v>
      </c>
      <c r="M241" s="982"/>
      <c r="N241" s="512"/>
      <c r="O241" s="512"/>
      <c r="P241" s="512"/>
      <c r="Q241" s="512"/>
      <c r="R241" s="512"/>
      <c r="S241" s="512"/>
      <c r="T241" s="512"/>
      <c r="U241" s="512"/>
      <c r="V241" s="512"/>
      <c r="W241" s="512"/>
    </row>
    <row r="242" s="477" customFormat="1" spans="1:23">
      <c r="A242" s="982" t="s">
        <v>157</v>
      </c>
      <c r="B242" s="982" t="s">
        <v>241</v>
      </c>
      <c r="C242" s="983" t="s">
        <v>52</v>
      </c>
      <c r="D242" s="984">
        <v>20</v>
      </c>
      <c r="E242" s="989" t="s">
        <v>242</v>
      </c>
      <c r="F242" s="986"/>
      <c r="G242" s="986">
        <f>VLOOKUP(CLEAN(SUBSTITUTE(TRIM(MID(E:E,FIND("/",E:E)+1,LEN(E:E)))," ","")),'Customs Decl. &amp; Local Delivery'!D:I,6,0)</f>
        <v>45669</v>
      </c>
      <c r="H242" s="987">
        <f>VLOOKUP(CLEAN(SUBSTITUTE(TRIM(MID(E:E,FIND("/",E:E)+1,LEN(E:E)))," ","")),'Customs Decl. &amp; Local Delivery'!D:J,7,0)</f>
        <v>45702</v>
      </c>
      <c r="I242" s="991" t="s">
        <v>243</v>
      </c>
      <c r="J242" s="982" t="s">
        <v>39</v>
      </c>
      <c r="K242" s="982" t="s">
        <v>19</v>
      </c>
      <c r="L242" s="992" t="s">
        <v>20</v>
      </c>
      <c r="M242" s="982" t="s">
        <v>244</v>
      </c>
      <c r="N242" s="512"/>
      <c r="O242" s="512"/>
      <c r="P242" s="512"/>
      <c r="Q242" s="512"/>
      <c r="R242" s="512"/>
      <c r="S242" s="512"/>
      <c r="T242" s="512"/>
      <c r="U242" s="512"/>
      <c r="V242" s="512"/>
      <c r="W242" s="512"/>
    </row>
    <row r="243" s="477" customFormat="1" spans="1:23">
      <c r="A243" s="982" t="s">
        <v>157</v>
      </c>
      <c r="B243" s="982" t="s">
        <v>241</v>
      </c>
      <c r="C243" s="983" t="s">
        <v>56</v>
      </c>
      <c r="D243" s="984">
        <v>20</v>
      </c>
      <c r="E243" s="914"/>
      <c r="F243" s="986"/>
      <c r="G243" s="986">
        <f t="shared" ref="G243:G253" si="28">G242</f>
        <v>45669</v>
      </c>
      <c r="H243" s="987">
        <f t="shared" ref="H243:H253" si="29">H242</f>
        <v>45702</v>
      </c>
      <c r="I243" s="991" t="s">
        <v>243</v>
      </c>
      <c r="J243" s="982" t="s">
        <v>39</v>
      </c>
      <c r="K243" s="982" t="s">
        <v>19</v>
      </c>
      <c r="L243" s="992" t="s">
        <v>20</v>
      </c>
      <c r="M243" s="982" t="s">
        <v>163</v>
      </c>
      <c r="N243" s="512"/>
      <c r="O243" s="512"/>
      <c r="P243" s="512"/>
      <c r="Q243" s="512"/>
      <c r="R243" s="512"/>
      <c r="S243" s="512"/>
      <c r="T243" s="512"/>
      <c r="U243" s="512"/>
      <c r="V243" s="512"/>
      <c r="W243" s="512"/>
    </row>
    <row r="244" s="477" customFormat="1" spans="1:23">
      <c r="A244" s="982" t="s">
        <v>157</v>
      </c>
      <c r="B244" s="982" t="s">
        <v>241</v>
      </c>
      <c r="C244" s="983" t="s">
        <v>36</v>
      </c>
      <c r="D244" s="984">
        <v>65</v>
      </c>
      <c r="E244" s="914"/>
      <c r="F244" s="986"/>
      <c r="G244" s="986">
        <f t="shared" si="28"/>
        <v>45669</v>
      </c>
      <c r="H244" s="987">
        <f t="shared" si="29"/>
        <v>45702</v>
      </c>
      <c r="I244" s="991" t="s">
        <v>243</v>
      </c>
      <c r="J244" s="982" t="s">
        <v>39</v>
      </c>
      <c r="K244" s="982" t="s">
        <v>19</v>
      </c>
      <c r="L244" s="992" t="s">
        <v>20</v>
      </c>
      <c r="M244" s="982"/>
      <c r="N244" s="512"/>
      <c r="O244" s="512"/>
      <c r="P244" s="512"/>
      <c r="Q244" s="512"/>
      <c r="R244" s="512"/>
      <c r="S244" s="512"/>
      <c r="T244" s="512"/>
      <c r="U244" s="512"/>
      <c r="V244" s="512"/>
      <c r="W244" s="512"/>
    </row>
    <row r="245" s="477" customFormat="1" spans="1:23">
      <c r="A245" s="982" t="s">
        <v>157</v>
      </c>
      <c r="B245" s="982" t="s">
        <v>241</v>
      </c>
      <c r="C245" s="983" t="s">
        <v>41</v>
      </c>
      <c r="D245" s="984">
        <v>65</v>
      </c>
      <c r="E245" s="914"/>
      <c r="F245" s="986"/>
      <c r="G245" s="986">
        <f t="shared" si="28"/>
        <v>45669</v>
      </c>
      <c r="H245" s="987">
        <f t="shared" si="29"/>
        <v>45702</v>
      </c>
      <c r="I245" s="991" t="s">
        <v>243</v>
      </c>
      <c r="J245" s="982" t="s">
        <v>39</v>
      </c>
      <c r="K245" s="982" t="s">
        <v>19</v>
      </c>
      <c r="L245" s="992" t="s">
        <v>20</v>
      </c>
      <c r="M245" s="982"/>
      <c r="N245" s="512"/>
      <c r="O245" s="512"/>
      <c r="P245" s="512"/>
      <c r="Q245" s="512"/>
      <c r="R245" s="512"/>
      <c r="S245" s="512"/>
      <c r="T245" s="512"/>
      <c r="U245" s="512"/>
      <c r="V245" s="512"/>
      <c r="W245" s="512"/>
    </row>
    <row r="246" s="477" customFormat="1" spans="1:23">
      <c r="A246" s="982" t="s">
        <v>157</v>
      </c>
      <c r="B246" s="982" t="s">
        <v>241</v>
      </c>
      <c r="C246" s="983" t="s">
        <v>43</v>
      </c>
      <c r="D246" s="984">
        <v>30</v>
      </c>
      <c r="E246" s="914"/>
      <c r="F246" s="986"/>
      <c r="G246" s="986">
        <f t="shared" si="28"/>
        <v>45669</v>
      </c>
      <c r="H246" s="987">
        <f t="shared" si="29"/>
        <v>45702</v>
      </c>
      <c r="I246" s="991" t="s">
        <v>243</v>
      </c>
      <c r="J246" s="982" t="s">
        <v>39</v>
      </c>
      <c r="K246" s="982" t="s">
        <v>19</v>
      </c>
      <c r="L246" s="992" t="s">
        <v>20</v>
      </c>
      <c r="M246" s="997" t="s">
        <v>245</v>
      </c>
      <c r="N246" s="512"/>
      <c r="O246" s="512"/>
      <c r="P246" s="512"/>
      <c r="Q246" s="512"/>
      <c r="R246" s="512"/>
      <c r="S246" s="512"/>
      <c r="T246" s="512"/>
      <c r="U246" s="512"/>
      <c r="V246" s="512"/>
      <c r="W246" s="512"/>
    </row>
    <row r="247" s="477" customFormat="1" spans="1:23">
      <c r="A247" s="982" t="s">
        <v>157</v>
      </c>
      <c r="B247" s="982" t="s">
        <v>241</v>
      </c>
      <c r="C247" s="983" t="s">
        <v>45</v>
      </c>
      <c r="D247" s="984">
        <v>30</v>
      </c>
      <c r="E247" s="914"/>
      <c r="F247" s="986"/>
      <c r="G247" s="986">
        <f t="shared" si="28"/>
        <v>45669</v>
      </c>
      <c r="H247" s="987">
        <f t="shared" si="29"/>
        <v>45702</v>
      </c>
      <c r="I247" s="991" t="s">
        <v>243</v>
      </c>
      <c r="J247" s="982" t="s">
        <v>39</v>
      </c>
      <c r="K247" s="982" t="s">
        <v>19</v>
      </c>
      <c r="L247" s="992" t="s">
        <v>20</v>
      </c>
      <c r="M247" s="982"/>
      <c r="N247" s="512"/>
      <c r="O247" s="512"/>
      <c r="P247" s="512"/>
      <c r="Q247" s="512"/>
      <c r="R247" s="512"/>
      <c r="S247" s="512"/>
      <c r="T247" s="512"/>
      <c r="U247" s="512"/>
      <c r="V247" s="512"/>
      <c r="W247" s="512"/>
    </row>
    <row r="248" s="477" customFormat="1" spans="1:23">
      <c r="A248" s="982" t="s">
        <v>157</v>
      </c>
      <c r="B248" s="982" t="s">
        <v>241</v>
      </c>
      <c r="C248" s="983" t="s">
        <v>47</v>
      </c>
      <c r="D248" s="984">
        <v>15</v>
      </c>
      <c r="E248" s="914"/>
      <c r="F248" s="986"/>
      <c r="G248" s="986">
        <f t="shared" si="28"/>
        <v>45669</v>
      </c>
      <c r="H248" s="987">
        <f t="shared" si="29"/>
        <v>45702</v>
      </c>
      <c r="I248" s="991" t="s">
        <v>243</v>
      </c>
      <c r="J248" s="982" t="s">
        <v>39</v>
      </c>
      <c r="K248" s="982" t="s">
        <v>19</v>
      </c>
      <c r="L248" s="992" t="s">
        <v>20</v>
      </c>
      <c r="M248" s="982"/>
      <c r="N248" s="512"/>
      <c r="O248" s="512"/>
      <c r="P248" s="512"/>
      <c r="Q248" s="512"/>
      <c r="R248" s="512"/>
      <c r="S248" s="512"/>
      <c r="T248" s="512"/>
      <c r="U248" s="512"/>
      <c r="V248" s="512"/>
      <c r="W248" s="512"/>
    </row>
    <row r="249" s="477" customFormat="1" spans="1:23">
      <c r="A249" s="982" t="s">
        <v>157</v>
      </c>
      <c r="B249" s="982" t="s">
        <v>241</v>
      </c>
      <c r="C249" s="983" t="s">
        <v>48</v>
      </c>
      <c r="D249" s="984">
        <v>15</v>
      </c>
      <c r="E249" s="914"/>
      <c r="F249" s="986"/>
      <c r="G249" s="986">
        <f t="shared" si="28"/>
        <v>45669</v>
      </c>
      <c r="H249" s="987">
        <f t="shared" si="29"/>
        <v>45702</v>
      </c>
      <c r="I249" s="991" t="s">
        <v>243</v>
      </c>
      <c r="J249" s="982" t="s">
        <v>39</v>
      </c>
      <c r="K249" s="982" t="s">
        <v>19</v>
      </c>
      <c r="L249" s="992" t="s">
        <v>20</v>
      </c>
      <c r="M249" s="982"/>
      <c r="N249" s="512"/>
      <c r="O249" s="512"/>
      <c r="P249" s="512"/>
      <c r="Q249" s="512"/>
      <c r="R249" s="512"/>
      <c r="S249" s="512"/>
      <c r="T249" s="512"/>
      <c r="U249" s="512"/>
      <c r="V249" s="512"/>
      <c r="W249" s="512"/>
    </row>
    <row r="250" s="477" customFormat="1" spans="1:23">
      <c r="A250" s="982" t="s">
        <v>157</v>
      </c>
      <c r="B250" s="982" t="s">
        <v>241</v>
      </c>
      <c r="C250" s="983" t="s">
        <v>49</v>
      </c>
      <c r="D250" s="984">
        <v>30</v>
      </c>
      <c r="E250" s="914"/>
      <c r="F250" s="986"/>
      <c r="G250" s="986">
        <f t="shared" si="28"/>
        <v>45669</v>
      </c>
      <c r="H250" s="987">
        <f t="shared" si="29"/>
        <v>45702</v>
      </c>
      <c r="I250" s="991" t="s">
        <v>243</v>
      </c>
      <c r="J250" s="982" t="s">
        <v>39</v>
      </c>
      <c r="K250" s="982" t="s">
        <v>19</v>
      </c>
      <c r="L250" s="992" t="s">
        <v>20</v>
      </c>
      <c r="M250" s="982"/>
      <c r="N250" s="512"/>
      <c r="O250" s="512"/>
      <c r="P250" s="512"/>
      <c r="Q250" s="512"/>
      <c r="R250" s="512"/>
      <c r="S250" s="512"/>
      <c r="T250" s="512"/>
      <c r="U250" s="512"/>
      <c r="V250" s="512"/>
      <c r="W250" s="512"/>
    </row>
    <row r="251" s="477" customFormat="1" spans="1:23">
      <c r="A251" s="982" t="s">
        <v>157</v>
      </c>
      <c r="B251" s="982" t="s">
        <v>241</v>
      </c>
      <c r="C251" s="983" t="s">
        <v>50</v>
      </c>
      <c r="D251" s="984">
        <v>30</v>
      </c>
      <c r="E251" s="914"/>
      <c r="F251" s="986"/>
      <c r="G251" s="986">
        <f t="shared" si="28"/>
        <v>45669</v>
      </c>
      <c r="H251" s="987">
        <f t="shared" si="29"/>
        <v>45702</v>
      </c>
      <c r="I251" s="991" t="s">
        <v>243</v>
      </c>
      <c r="J251" s="982" t="s">
        <v>39</v>
      </c>
      <c r="K251" s="982" t="s">
        <v>19</v>
      </c>
      <c r="L251" s="992" t="s">
        <v>20</v>
      </c>
      <c r="M251" s="982"/>
      <c r="N251" s="512"/>
      <c r="O251" s="512"/>
      <c r="P251" s="512"/>
      <c r="Q251" s="512"/>
      <c r="R251" s="512"/>
      <c r="S251" s="512"/>
      <c r="T251" s="512"/>
      <c r="U251" s="512"/>
      <c r="V251" s="512"/>
      <c r="W251" s="512"/>
    </row>
    <row r="252" s="477" customFormat="1" spans="1:23">
      <c r="A252" s="982" t="s">
        <v>157</v>
      </c>
      <c r="B252" s="982" t="s">
        <v>241</v>
      </c>
      <c r="C252" s="983" t="s">
        <v>29</v>
      </c>
      <c r="D252" s="984">
        <v>8</v>
      </c>
      <c r="E252" s="914"/>
      <c r="F252" s="986"/>
      <c r="G252" s="986">
        <f t="shared" si="28"/>
        <v>45669</v>
      </c>
      <c r="H252" s="987">
        <f t="shared" si="29"/>
        <v>45702</v>
      </c>
      <c r="I252" s="991" t="s">
        <v>243</v>
      </c>
      <c r="J252" s="982" t="s">
        <v>39</v>
      </c>
      <c r="K252" s="982" t="s">
        <v>19</v>
      </c>
      <c r="L252" s="992" t="s">
        <v>20</v>
      </c>
      <c r="M252" s="982"/>
      <c r="N252" s="512"/>
      <c r="O252" s="512"/>
      <c r="P252" s="512"/>
      <c r="Q252" s="512"/>
      <c r="R252" s="512"/>
      <c r="S252" s="512"/>
      <c r="T252" s="512"/>
      <c r="U252" s="512"/>
      <c r="V252" s="512"/>
      <c r="W252" s="512"/>
    </row>
    <row r="253" s="477" customFormat="1" spans="1:23">
      <c r="A253" s="982" t="s">
        <v>157</v>
      </c>
      <c r="B253" s="982" t="s">
        <v>241</v>
      </c>
      <c r="C253" s="983" t="s">
        <v>30</v>
      </c>
      <c r="D253" s="984">
        <v>8</v>
      </c>
      <c r="E253" s="914"/>
      <c r="F253" s="986"/>
      <c r="G253" s="986">
        <f t="shared" si="28"/>
        <v>45669</v>
      </c>
      <c r="H253" s="987">
        <f t="shared" si="29"/>
        <v>45702</v>
      </c>
      <c r="I253" s="991" t="s">
        <v>243</v>
      </c>
      <c r="J253" s="982" t="s">
        <v>39</v>
      </c>
      <c r="K253" s="982" t="s">
        <v>19</v>
      </c>
      <c r="L253" s="992" t="s">
        <v>20</v>
      </c>
      <c r="M253" s="982"/>
      <c r="N253" s="512"/>
      <c r="O253" s="512"/>
      <c r="P253" s="512"/>
      <c r="Q253" s="512"/>
      <c r="R253" s="512"/>
      <c r="S253" s="512"/>
      <c r="T253" s="512"/>
      <c r="U253" s="512"/>
      <c r="V253" s="512"/>
      <c r="W253" s="512"/>
    </row>
    <row r="254" s="477" customFormat="1" spans="1:23">
      <c r="A254" s="982" t="s">
        <v>202</v>
      </c>
      <c r="B254" s="996" t="s">
        <v>246</v>
      </c>
      <c r="C254" s="983" t="s">
        <v>52</v>
      </c>
      <c r="D254" s="984">
        <v>20</v>
      </c>
      <c r="E254" s="989" t="s">
        <v>247</v>
      </c>
      <c r="F254" s="986"/>
      <c r="G254" s="986">
        <f>VLOOKUP(CLEAN(SUBSTITUTE(TRIM(MID(E:E,FIND("/",E:E)+1,LEN(E:E)))," ","")),'Customs Decl. &amp; Local Delivery'!D:I,6,0)</f>
        <v>45669</v>
      </c>
      <c r="H254" s="987">
        <f>VLOOKUP(CLEAN(SUBSTITUTE(TRIM(MID(E:E,FIND("/",E:E)+1,LEN(E:E)))," ","")),'Customs Decl. &amp; Local Delivery'!D:J,7,0)</f>
        <v>45702</v>
      </c>
      <c r="I254" s="991" t="s">
        <v>248</v>
      </c>
      <c r="J254" s="982" t="s">
        <v>39</v>
      </c>
      <c r="K254" s="982" t="s">
        <v>19</v>
      </c>
      <c r="L254" s="992" t="s">
        <v>20</v>
      </c>
      <c r="M254" s="982" t="s">
        <v>249</v>
      </c>
      <c r="N254" s="512"/>
      <c r="O254" s="512"/>
      <c r="P254" s="512"/>
      <c r="Q254" s="512"/>
      <c r="R254" s="512"/>
      <c r="S254" s="512"/>
      <c r="T254" s="512"/>
      <c r="U254" s="512"/>
      <c r="V254" s="512"/>
      <c r="W254" s="512"/>
    </row>
    <row r="255" s="477" customFormat="1" spans="1:23">
      <c r="A255" s="982" t="s">
        <v>202</v>
      </c>
      <c r="B255" s="996" t="s">
        <v>246</v>
      </c>
      <c r="C255" s="983" t="s">
        <v>56</v>
      </c>
      <c r="D255" s="984">
        <v>20</v>
      </c>
      <c r="E255" s="914"/>
      <c r="F255" s="986"/>
      <c r="G255" s="986">
        <f t="shared" ref="G255:G271" si="30">G254</f>
        <v>45669</v>
      </c>
      <c r="H255" s="987">
        <f t="shared" ref="H255:H271" si="31">H254</f>
        <v>45702</v>
      </c>
      <c r="I255" s="991" t="s">
        <v>248</v>
      </c>
      <c r="J255" s="982" t="s">
        <v>39</v>
      </c>
      <c r="K255" s="982" t="s">
        <v>19</v>
      </c>
      <c r="L255" s="992" t="s">
        <v>20</v>
      </c>
      <c r="M255" s="982" t="s">
        <v>217</v>
      </c>
      <c r="N255" s="512"/>
      <c r="O255" s="512"/>
      <c r="P255" s="512"/>
      <c r="Q255" s="512"/>
      <c r="R255" s="512"/>
      <c r="S255" s="512"/>
      <c r="T255" s="512"/>
      <c r="U255" s="512"/>
      <c r="V255" s="512"/>
      <c r="W255" s="512"/>
    </row>
    <row r="256" s="477" customFormat="1" spans="1:23">
      <c r="A256" s="982" t="s">
        <v>202</v>
      </c>
      <c r="B256" s="996" t="s">
        <v>246</v>
      </c>
      <c r="C256" s="983" t="s">
        <v>36</v>
      </c>
      <c r="D256" s="984">
        <v>55</v>
      </c>
      <c r="E256" s="914"/>
      <c r="F256" s="986"/>
      <c r="G256" s="986">
        <f t="shared" si="30"/>
        <v>45669</v>
      </c>
      <c r="H256" s="987">
        <f t="shared" si="31"/>
        <v>45702</v>
      </c>
      <c r="I256" s="991" t="s">
        <v>248</v>
      </c>
      <c r="J256" s="982" t="s">
        <v>39</v>
      </c>
      <c r="K256" s="982" t="s">
        <v>19</v>
      </c>
      <c r="L256" s="992" t="s">
        <v>20</v>
      </c>
      <c r="M256" s="982"/>
      <c r="N256" s="512"/>
      <c r="O256" s="512"/>
      <c r="P256" s="512"/>
      <c r="Q256" s="512"/>
      <c r="R256" s="512"/>
      <c r="S256" s="512"/>
      <c r="T256" s="512"/>
      <c r="U256" s="512"/>
      <c r="V256" s="512"/>
      <c r="W256" s="512"/>
    </row>
    <row r="257" s="477" customFormat="1" spans="1:23">
      <c r="A257" s="982" t="s">
        <v>202</v>
      </c>
      <c r="B257" s="996" t="s">
        <v>246</v>
      </c>
      <c r="C257" s="983" t="s">
        <v>41</v>
      </c>
      <c r="D257" s="984">
        <v>55</v>
      </c>
      <c r="E257" s="914"/>
      <c r="F257" s="986"/>
      <c r="G257" s="986">
        <f t="shared" si="30"/>
        <v>45669</v>
      </c>
      <c r="H257" s="987">
        <f t="shared" si="31"/>
        <v>45702</v>
      </c>
      <c r="I257" s="991" t="s">
        <v>248</v>
      </c>
      <c r="J257" s="982" t="s">
        <v>39</v>
      </c>
      <c r="K257" s="982" t="s">
        <v>19</v>
      </c>
      <c r="L257" s="992" t="s">
        <v>20</v>
      </c>
      <c r="M257" s="982"/>
      <c r="N257" s="512"/>
      <c r="O257" s="512"/>
      <c r="P257" s="512"/>
      <c r="Q257" s="512"/>
      <c r="R257" s="512"/>
      <c r="S257" s="512"/>
      <c r="T257" s="512"/>
      <c r="U257" s="512"/>
      <c r="V257" s="512"/>
      <c r="W257" s="512"/>
    </row>
    <row r="258" s="477" customFormat="1" spans="1:23">
      <c r="A258" s="982" t="s">
        <v>202</v>
      </c>
      <c r="B258" s="996" t="s">
        <v>246</v>
      </c>
      <c r="C258" s="983" t="s">
        <v>43</v>
      </c>
      <c r="D258" s="984">
        <v>14</v>
      </c>
      <c r="E258" s="914"/>
      <c r="F258" s="986"/>
      <c r="G258" s="986">
        <f t="shared" si="30"/>
        <v>45669</v>
      </c>
      <c r="H258" s="987">
        <f t="shared" si="31"/>
        <v>45702</v>
      </c>
      <c r="I258" s="991" t="s">
        <v>248</v>
      </c>
      <c r="J258" s="982" t="s">
        <v>39</v>
      </c>
      <c r="K258" s="982" t="s">
        <v>19</v>
      </c>
      <c r="L258" s="992" t="s">
        <v>20</v>
      </c>
      <c r="M258" s="982"/>
      <c r="N258" s="512"/>
      <c r="O258" s="512"/>
      <c r="P258" s="512"/>
      <c r="Q258" s="512"/>
      <c r="R258" s="512"/>
      <c r="S258" s="512"/>
      <c r="T258" s="512"/>
      <c r="U258" s="512"/>
      <c r="V258" s="512"/>
      <c r="W258" s="512"/>
    </row>
    <row r="259" s="477" customFormat="1" spans="1:23">
      <c r="A259" s="982" t="s">
        <v>202</v>
      </c>
      <c r="B259" s="996" t="s">
        <v>246</v>
      </c>
      <c r="C259" s="983" t="s">
        <v>45</v>
      </c>
      <c r="D259" s="984">
        <v>14</v>
      </c>
      <c r="E259" s="914"/>
      <c r="F259" s="986"/>
      <c r="G259" s="986">
        <f t="shared" si="30"/>
        <v>45669</v>
      </c>
      <c r="H259" s="987">
        <f t="shared" si="31"/>
        <v>45702</v>
      </c>
      <c r="I259" s="991" t="s">
        <v>248</v>
      </c>
      <c r="J259" s="982" t="s">
        <v>39</v>
      </c>
      <c r="K259" s="982" t="s">
        <v>19</v>
      </c>
      <c r="L259" s="992" t="s">
        <v>20</v>
      </c>
      <c r="M259" s="997" t="s">
        <v>245</v>
      </c>
      <c r="N259" s="512"/>
      <c r="O259" s="512"/>
      <c r="P259" s="512"/>
      <c r="Q259" s="512"/>
      <c r="R259" s="512"/>
      <c r="S259" s="512"/>
      <c r="T259" s="512"/>
      <c r="U259" s="512"/>
      <c r="V259" s="512"/>
      <c r="W259" s="512"/>
    </row>
    <row r="260" s="477" customFormat="1" spans="1:23">
      <c r="A260" s="982" t="s">
        <v>202</v>
      </c>
      <c r="B260" s="996" t="s">
        <v>246</v>
      </c>
      <c r="C260" s="983" t="s">
        <v>47</v>
      </c>
      <c r="D260" s="984">
        <v>14</v>
      </c>
      <c r="E260" s="914"/>
      <c r="F260" s="986"/>
      <c r="G260" s="986">
        <f t="shared" si="30"/>
        <v>45669</v>
      </c>
      <c r="H260" s="987">
        <f t="shared" si="31"/>
        <v>45702</v>
      </c>
      <c r="I260" s="991" t="s">
        <v>248</v>
      </c>
      <c r="J260" s="982" t="s">
        <v>39</v>
      </c>
      <c r="K260" s="982" t="s">
        <v>19</v>
      </c>
      <c r="L260" s="992" t="s">
        <v>20</v>
      </c>
      <c r="M260" s="982"/>
      <c r="N260" s="512"/>
      <c r="O260" s="512"/>
      <c r="P260" s="512"/>
      <c r="Q260" s="512"/>
      <c r="R260" s="512"/>
      <c r="S260" s="512"/>
      <c r="T260" s="512"/>
      <c r="U260" s="512"/>
      <c r="V260" s="512"/>
      <c r="W260" s="512"/>
    </row>
    <row r="261" s="477" customFormat="1" spans="1:23">
      <c r="A261" s="982" t="s">
        <v>202</v>
      </c>
      <c r="B261" s="996" t="s">
        <v>246</v>
      </c>
      <c r="C261" s="983" t="s">
        <v>48</v>
      </c>
      <c r="D261" s="984">
        <v>14</v>
      </c>
      <c r="E261" s="914"/>
      <c r="F261" s="986"/>
      <c r="G261" s="986">
        <f t="shared" si="30"/>
        <v>45669</v>
      </c>
      <c r="H261" s="987">
        <f t="shared" si="31"/>
        <v>45702</v>
      </c>
      <c r="I261" s="991" t="s">
        <v>248</v>
      </c>
      <c r="J261" s="982" t="s">
        <v>39</v>
      </c>
      <c r="K261" s="982" t="s">
        <v>19</v>
      </c>
      <c r="L261" s="992" t="s">
        <v>20</v>
      </c>
      <c r="M261" s="982"/>
      <c r="N261" s="512"/>
      <c r="O261" s="512"/>
      <c r="P261" s="512"/>
      <c r="Q261" s="512"/>
      <c r="R261" s="512"/>
      <c r="S261" s="512"/>
      <c r="T261" s="512"/>
      <c r="U261" s="512"/>
      <c r="V261" s="512"/>
      <c r="W261" s="512"/>
    </row>
    <row r="262" s="477" customFormat="1" spans="1:23">
      <c r="A262" s="982" t="s">
        <v>202</v>
      </c>
      <c r="B262" s="996" t="s">
        <v>246</v>
      </c>
      <c r="C262" s="983" t="s">
        <v>49</v>
      </c>
      <c r="D262" s="984">
        <v>48</v>
      </c>
      <c r="E262" s="914"/>
      <c r="F262" s="986"/>
      <c r="G262" s="986">
        <f t="shared" si="30"/>
        <v>45669</v>
      </c>
      <c r="H262" s="987">
        <f t="shared" si="31"/>
        <v>45702</v>
      </c>
      <c r="I262" s="991" t="s">
        <v>248</v>
      </c>
      <c r="J262" s="982" t="s">
        <v>39</v>
      </c>
      <c r="K262" s="982" t="s">
        <v>19</v>
      </c>
      <c r="L262" s="992" t="s">
        <v>20</v>
      </c>
      <c r="M262" s="982"/>
      <c r="N262" s="512"/>
      <c r="O262" s="512"/>
      <c r="P262" s="512"/>
      <c r="Q262" s="512"/>
      <c r="R262" s="512"/>
      <c r="S262" s="512"/>
      <c r="T262" s="512"/>
      <c r="U262" s="512"/>
      <c r="V262" s="512"/>
      <c r="W262" s="512"/>
    </row>
    <row r="263" s="477" customFormat="1" spans="1:23">
      <c r="A263" s="982" t="s">
        <v>202</v>
      </c>
      <c r="B263" s="996" t="s">
        <v>246</v>
      </c>
      <c r="C263" s="983" t="s">
        <v>50</v>
      </c>
      <c r="D263" s="984">
        <v>48</v>
      </c>
      <c r="E263" s="914"/>
      <c r="F263" s="986"/>
      <c r="G263" s="986">
        <f t="shared" si="30"/>
        <v>45669</v>
      </c>
      <c r="H263" s="987">
        <f t="shared" si="31"/>
        <v>45702</v>
      </c>
      <c r="I263" s="991" t="s">
        <v>248</v>
      </c>
      <c r="J263" s="982" t="s">
        <v>39</v>
      </c>
      <c r="K263" s="982" t="s">
        <v>19</v>
      </c>
      <c r="L263" s="992" t="s">
        <v>20</v>
      </c>
      <c r="M263" s="982"/>
      <c r="N263" s="512"/>
      <c r="O263" s="512"/>
      <c r="P263" s="512"/>
      <c r="Q263" s="512"/>
      <c r="R263" s="512"/>
      <c r="S263" s="512"/>
      <c r="T263" s="512"/>
      <c r="U263" s="512"/>
      <c r="V263" s="512"/>
      <c r="W263" s="512"/>
    </row>
    <row r="264" s="477" customFormat="1" spans="1:23">
      <c r="A264" s="982" t="s">
        <v>202</v>
      </c>
      <c r="B264" s="996" t="s">
        <v>246</v>
      </c>
      <c r="C264" s="983" t="s">
        <v>29</v>
      </c>
      <c r="D264" s="984">
        <v>1</v>
      </c>
      <c r="E264" s="914"/>
      <c r="F264" s="986"/>
      <c r="G264" s="986">
        <f t="shared" si="30"/>
        <v>45669</v>
      </c>
      <c r="H264" s="987">
        <f t="shared" si="31"/>
        <v>45702</v>
      </c>
      <c r="I264" s="991" t="s">
        <v>248</v>
      </c>
      <c r="J264" s="982" t="s">
        <v>39</v>
      </c>
      <c r="K264" s="982" t="s">
        <v>19</v>
      </c>
      <c r="L264" s="992" t="s">
        <v>20</v>
      </c>
      <c r="M264" s="982"/>
      <c r="N264" s="512"/>
      <c r="O264" s="512"/>
      <c r="P264" s="512"/>
      <c r="Q264" s="512"/>
      <c r="R264" s="512"/>
      <c r="S264" s="512"/>
      <c r="T264" s="512"/>
      <c r="U264" s="512"/>
      <c r="V264" s="512"/>
      <c r="W264" s="512"/>
    </row>
    <row r="265" s="477" customFormat="1" spans="1:23">
      <c r="A265" s="982" t="s">
        <v>202</v>
      </c>
      <c r="B265" s="996" t="s">
        <v>246</v>
      </c>
      <c r="C265" s="983" t="s">
        <v>30</v>
      </c>
      <c r="D265" s="984">
        <v>1</v>
      </c>
      <c r="E265" s="914"/>
      <c r="F265" s="986"/>
      <c r="G265" s="986">
        <f t="shared" si="30"/>
        <v>45669</v>
      </c>
      <c r="H265" s="987">
        <f t="shared" si="31"/>
        <v>45702</v>
      </c>
      <c r="I265" s="991" t="s">
        <v>248</v>
      </c>
      <c r="J265" s="982" t="s">
        <v>39</v>
      </c>
      <c r="K265" s="982" t="s">
        <v>19</v>
      </c>
      <c r="L265" s="992" t="s">
        <v>20</v>
      </c>
      <c r="M265" s="982"/>
      <c r="N265" s="512"/>
      <c r="O265" s="512"/>
      <c r="P265" s="512"/>
      <c r="Q265" s="512"/>
      <c r="R265" s="512"/>
      <c r="S265" s="512"/>
      <c r="T265" s="512"/>
      <c r="U265" s="512"/>
      <c r="V265" s="512"/>
      <c r="W265" s="512"/>
    </row>
    <row r="266" s="477" customFormat="1" spans="1:23">
      <c r="A266" s="982" t="s">
        <v>202</v>
      </c>
      <c r="B266" s="996" t="s">
        <v>246</v>
      </c>
      <c r="C266" s="983" t="s">
        <v>31</v>
      </c>
      <c r="D266" s="984">
        <v>1</v>
      </c>
      <c r="E266" s="914"/>
      <c r="F266" s="986"/>
      <c r="G266" s="986">
        <f t="shared" si="30"/>
        <v>45669</v>
      </c>
      <c r="H266" s="987">
        <f t="shared" si="31"/>
        <v>45702</v>
      </c>
      <c r="I266" s="991" t="s">
        <v>248</v>
      </c>
      <c r="J266" s="982" t="s">
        <v>39</v>
      </c>
      <c r="K266" s="982" t="s">
        <v>19</v>
      </c>
      <c r="L266" s="992" t="s">
        <v>20</v>
      </c>
      <c r="M266" s="982"/>
      <c r="N266" s="512"/>
      <c r="O266" s="512"/>
      <c r="P266" s="512"/>
      <c r="Q266" s="512"/>
      <c r="R266" s="512"/>
      <c r="S266" s="512"/>
      <c r="T266" s="512"/>
      <c r="U266" s="512"/>
      <c r="V266" s="512"/>
      <c r="W266" s="512"/>
    </row>
    <row r="267" s="477" customFormat="1" spans="1:23">
      <c r="A267" s="982" t="s">
        <v>202</v>
      </c>
      <c r="B267" s="996" t="s">
        <v>246</v>
      </c>
      <c r="C267" s="983" t="s">
        <v>32</v>
      </c>
      <c r="D267" s="984">
        <v>1</v>
      </c>
      <c r="E267" s="914"/>
      <c r="F267" s="986"/>
      <c r="G267" s="986">
        <f t="shared" si="30"/>
        <v>45669</v>
      </c>
      <c r="H267" s="987">
        <f t="shared" si="31"/>
        <v>45702</v>
      </c>
      <c r="I267" s="991" t="s">
        <v>248</v>
      </c>
      <c r="J267" s="982" t="s">
        <v>39</v>
      </c>
      <c r="K267" s="982" t="s">
        <v>19</v>
      </c>
      <c r="L267" s="992" t="s">
        <v>20</v>
      </c>
      <c r="M267" s="982"/>
      <c r="N267" s="512"/>
      <c r="O267" s="512"/>
      <c r="P267" s="512"/>
      <c r="Q267" s="512"/>
      <c r="R267" s="512"/>
      <c r="S267" s="512"/>
      <c r="T267" s="512"/>
      <c r="U267" s="512"/>
      <c r="V267" s="512"/>
      <c r="W267" s="512"/>
    </row>
    <row r="268" s="477" customFormat="1" spans="1:23">
      <c r="A268" s="982" t="s">
        <v>202</v>
      </c>
      <c r="B268" s="996" t="s">
        <v>246</v>
      </c>
      <c r="C268" s="983" t="s">
        <v>33</v>
      </c>
      <c r="D268" s="984">
        <v>3</v>
      </c>
      <c r="E268" s="914"/>
      <c r="F268" s="986"/>
      <c r="G268" s="986">
        <f t="shared" si="30"/>
        <v>45669</v>
      </c>
      <c r="H268" s="987">
        <f t="shared" si="31"/>
        <v>45702</v>
      </c>
      <c r="I268" s="991" t="s">
        <v>248</v>
      </c>
      <c r="J268" s="982" t="s">
        <v>39</v>
      </c>
      <c r="K268" s="982" t="s">
        <v>19</v>
      </c>
      <c r="L268" s="992" t="s">
        <v>20</v>
      </c>
      <c r="M268" s="982"/>
      <c r="N268" s="512"/>
      <c r="O268" s="512"/>
      <c r="P268" s="512"/>
      <c r="Q268" s="512"/>
      <c r="R268" s="512"/>
      <c r="S268" s="512"/>
      <c r="T268" s="512"/>
      <c r="U268" s="512"/>
      <c r="V268" s="512"/>
      <c r="W268" s="512"/>
    </row>
    <row r="269" s="477" customFormat="1" spans="1:23">
      <c r="A269" s="982" t="s">
        <v>202</v>
      </c>
      <c r="B269" s="996" t="s">
        <v>246</v>
      </c>
      <c r="C269" s="983" t="s">
        <v>34</v>
      </c>
      <c r="D269" s="984">
        <v>3</v>
      </c>
      <c r="E269" s="914"/>
      <c r="F269" s="986"/>
      <c r="G269" s="986">
        <f t="shared" si="30"/>
        <v>45669</v>
      </c>
      <c r="H269" s="987">
        <f t="shared" si="31"/>
        <v>45702</v>
      </c>
      <c r="I269" s="991" t="s">
        <v>248</v>
      </c>
      <c r="J269" s="982" t="s">
        <v>39</v>
      </c>
      <c r="K269" s="982" t="s">
        <v>19</v>
      </c>
      <c r="L269" s="992" t="s">
        <v>20</v>
      </c>
      <c r="M269" s="982"/>
      <c r="N269" s="512"/>
      <c r="O269" s="512"/>
      <c r="P269" s="512"/>
      <c r="Q269" s="512"/>
      <c r="R269" s="512"/>
      <c r="S269" s="512"/>
      <c r="T269" s="512"/>
      <c r="U269" s="512"/>
      <c r="V269" s="512"/>
      <c r="W269" s="512"/>
    </row>
    <row r="270" s="477" customFormat="1" spans="1:23">
      <c r="A270" s="982" t="s">
        <v>202</v>
      </c>
      <c r="B270" s="996" t="s">
        <v>246</v>
      </c>
      <c r="C270" s="983" t="s">
        <v>59</v>
      </c>
      <c r="D270" s="984">
        <v>1</v>
      </c>
      <c r="E270" s="914"/>
      <c r="F270" s="986"/>
      <c r="G270" s="986">
        <f t="shared" si="30"/>
        <v>45669</v>
      </c>
      <c r="H270" s="987">
        <f t="shared" si="31"/>
        <v>45702</v>
      </c>
      <c r="I270" s="991" t="s">
        <v>248</v>
      </c>
      <c r="J270" s="982" t="s">
        <v>39</v>
      </c>
      <c r="K270" s="982" t="s">
        <v>19</v>
      </c>
      <c r="L270" s="992" t="s">
        <v>20</v>
      </c>
      <c r="M270" s="982"/>
      <c r="N270" s="512"/>
      <c r="O270" s="512"/>
      <c r="P270" s="512"/>
      <c r="Q270" s="512"/>
      <c r="R270" s="512"/>
      <c r="S270" s="512"/>
      <c r="T270" s="512"/>
      <c r="U270" s="512"/>
      <c r="V270" s="512"/>
      <c r="W270" s="512"/>
    </row>
    <row r="271" s="477" customFormat="1" spans="1:23">
      <c r="A271" s="982" t="s">
        <v>202</v>
      </c>
      <c r="B271" s="996" t="s">
        <v>246</v>
      </c>
      <c r="C271" s="983" t="s">
        <v>60</v>
      </c>
      <c r="D271" s="984">
        <v>1</v>
      </c>
      <c r="E271" s="914"/>
      <c r="F271" s="986"/>
      <c r="G271" s="986">
        <f t="shared" si="30"/>
        <v>45669</v>
      </c>
      <c r="H271" s="987">
        <f t="shared" si="31"/>
        <v>45702</v>
      </c>
      <c r="I271" s="991" t="s">
        <v>248</v>
      </c>
      <c r="J271" s="982" t="s">
        <v>39</v>
      </c>
      <c r="K271" s="982" t="s">
        <v>19</v>
      </c>
      <c r="L271" s="992" t="s">
        <v>20</v>
      </c>
      <c r="M271" s="982"/>
      <c r="N271" s="512"/>
      <c r="O271" s="512"/>
      <c r="P271" s="512"/>
      <c r="Q271" s="512"/>
      <c r="R271" s="512"/>
      <c r="S271" s="512"/>
      <c r="T271" s="512"/>
      <c r="U271" s="512"/>
      <c r="V271" s="512"/>
      <c r="W271" s="512"/>
    </row>
    <row r="272" s="477" customFormat="1" spans="1:23">
      <c r="A272" s="982" t="s">
        <v>202</v>
      </c>
      <c r="B272" s="996" t="s">
        <v>250</v>
      </c>
      <c r="C272" s="983" t="s">
        <v>36</v>
      </c>
      <c r="D272" s="984">
        <v>78</v>
      </c>
      <c r="E272" s="989" t="s">
        <v>251</v>
      </c>
      <c r="F272" s="986"/>
      <c r="G272" s="986">
        <f>VLOOKUP(CLEAN(SUBSTITUTE(TRIM(MID(E:E,FIND("/",E:E)+1,LEN(E:E)))," ","")),'Customs Decl. &amp; Local Delivery'!D:I,6,0)</f>
        <v>45669</v>
      </c>
      <c r="H272" s="987">
        <f>VLOOKUP(CLEAN(SUBSTITUTE(TRIM(MID(E:E,FIND("/",E:E)+1,LEN(E:E)))," ","")),'Customs Decl. &amp; Local Delivery'!D:J,7,0)</f>
        <v>45702</v>
      </c>
      <c r="I272" s="991" t="s">
        <v>252</v>
      </c>
      <c r="J272" s="982" t="s">
        <v>39</v>
      </c>
      <c r="K272" s="982" t="s">
        <v>19</v>
      </c>
      <c r="L272" s="992" t="s">
        <v>20</v>
      </c>
      <c r="M272" s="982" t="s">
        <v>253</v>
      </c>
      <c r="N272" s="512"/>
      <c r="O272" s="512"/>
      <c r="P272" s="512"/>
      <c r="Q272" s="512"/>
      <c r="R272" s="512"/>
      <c r="S272" s="512"/>
      <c r="T272" s="512"/>
      <c r="U272" s="512"/>
      <c r="V272" s="512"/>
      <c r="W272" s="512"/>
    </row>
    <row r="273" s="477" customFormat="1" spans="1:23">
      <c r="A273" s="982" t="s">
        <v>202</v>
      </c>
      <c r="B273" s="996" t="s">
        <v>250</v>
      </c>
      <c r="C273" s="983" t="s">
        <v>41</v>
      </c>
      <c r="D273" s="984">
        <v>78</v>
      </c>
      <c r="E273" s="914"/>
      <c r="F273" s="986"/>
      <c r="G273" s="986">
        <f t="shared" ref="G273:G283" si="32">G272</f>
        <v>45669</v>
      </c>
      <c r="H273" s="987">
        <f t="shared" ref="H273:H283" si="33">H272</f>
        <v>45702</v>
      </c>
      <c r="I273" s="991" t="s">
        <v>252</v>
      </c>
      <c r="J273" s="982" t="s">
        <v>39</v>
      </c>
      <c r="K273" s="982" t="s">
        <v>19</v>
      </c>
      <c r="L273" s="992" t="s">
        <v>20</v>
      </c>
      <c r="M273" s="982" t="s">
        <v>217</v>
      </c>
      <c r="N273" s="512"/>
      <c r="O273" s="512"/>
      <c r="P273" s="512"/>
      <c r="Q273" s="512"/>
      <c r="R273" s="512"/>
      <c r="S273" s="512"/>
      <c r="T273" s="512"/>
      <c r="U273" s="512"/>
      <c r="V273" s="512"/>
      <c r="W273" s="512"/>
    </row>
    <row r="274" s="477" customFormat="1" spans="1:23">
      <c r="A274" s="982" t="s">
        <v>202</v>
      </c>
      <c r="B274" s="996" t="s">
        <v>250</v>
      </c>
      <c r="C274" s="983" t="s">
        <v>43</v>
      </c>
      <c r="D274" s="984">
        <v>30</v>
      </c>
      <c r="E274" s="914"/>
      <c r="F274" s="986"/>
      <c r="G274" s="986">
        <f t="shared" si="32"/>
        <v>45669</v>
      </c>
      <c r="H274" s="987">
        <f t="shared" si="33"/>
        <v>45702</v>
      </c>
      <c r="I274" s="991" t="s">
        <v>252</v>
      </c>
      <c r="J274" s="982" t="s">
        <v>39</v>
      </c>
      <c r="K274" s="982" t="s">
        <v>19</v>
      </c>
      <c r="L274" s="992" t="s">
        <v>20</v>
      </c>
      <c r="M274" s="982"/>
      <c r="N274" s="512"/>
      <c r="O274" s="512"/>
      <c r="P274" s="512"/>
      <c r="Q274" s="512"/>
      <c r="R274" s="512"/>
      <c r="S274" s="512"/>
      <c r="T274" s="512"/>
      <c r="U274" s="512"/>
      <c r="V274" s="512"/>
      <c r="W274" s="512"/>
    </row>
    <row r="275" s="477" customFormat="1" spans="1:23">
      <c r="A275" s="982" t="s">
        <v>202</v>
      </c>
      <c r="B275" s="996" t="s">
        <v>250</v>
      </c>
      <c r="C275" s="983" t="s">
        <v>45</v>
      </c>
      <c r="D275" s="984">
        <v>30</v>
      </c>
      <c r="E275" s="914"/>
      <c r="F275" s="986"/>
      <c r="G275" s="986">
        <f t="shared" si="32"/>
        <v>45669</v>
      </c>
      <c r="H275" s="987">
        <f t="shared" si="33"/>
        <v>45702</v>
      </c>
      <c r="I275" s="991" t="s">
        <v>252</v>
      </c>
      <c r="J275" s="982" t="s">
        <v>39</v>
      </c>
      <c r="K275" s="982" t="s">
        <v>19</v>
      </c>
      <c r="L275" s="992" t="s">
        <v>20</v>
      </c>
      <c r="M275" s="997" t="s">
        <v>245</v>
      </c>
      <c r="N275" s="512"/>
      <c r="O275" s="512"/>
      <c r="P275" s="512"/>
      <c r="Q275" s="512"/>
      <c r="R275" s="512"/>
      <c r="S275" s="512"/>
      <c r="T275" s="512"/>
      <c r="U275" s="512"/>
      <c r="V275" s="512"/>
      <c r="W275" s="512"/>
    </row>
    <row r="276" s="477" customFormat="1" spans="1:23">
      <c r="A276" s="982" t="s">
        <v>202</v>
      </c>
      <c r="B276" s="996" t="s">
        <v>250</v>
      </c>
      <c r="C276" s="983" t="s">
        <v>47</v>
      </c>
      <c r="D276" s="984">
        <v>18</v>
      </c>
      <c r="E276" s="914"/>
      <c r="F276" s="986"/>
      <c r="G276" s="986">
        <f t="shared" si="32"/>
        <v>45669</v>
      </c>
      <c r="H276" s="987">
        <f t="shared" si="33"/>
        <v>45702</v>
      </c>
      <c r="I276" s="991" t="s">
        <v>252</v>
      </c>
      <c r="J276" s="982" t="s">
        <v>39</v>
      </c>
      <c r="K276" s="982" t="s">
        <v>19</v>
      </c>
      <c r="L276" s="992" t="s">
        <v>20</v>
      </c>
      <c r="M276" s="982"/>
      <c r="N276" s="512"/>
      <c r="O276" s="512"/>
      <c r="P276" s="512"/>
      <c r="Q276" s="512"/>
      <c r="R276" s="512"/>
      <c r="S276" s="512"/>
      <c r="T276" s="512"/>
      <c r="U276" s="512"/>
      <c r="V276" s="512"/>
      <c r="W276" s="512"/>
    </row>
    <row r="277" s="477" customFormat="1" spans="1:23">
      <c r="A277" s="982" t="s">
        <v>202</v>
      </c>
      <c r="B277" s="996" t="s">
        <v>250</v>
      </c>
      <c r="C277" s="983" t="s">
        <v>48</v>
      </c>
      <c r="D277" s="984">
        <v>18</v>
      </c>
      <c r="E277" s="914"/>
      <c r="F277" s="986"/>
      <c r="G277" s="986">
        <f t="shared" si="32"/>
        <v>45669</v>
      </c>
      <c r="H277" s="987">
        <f t="shared" si="33"/>
        <v>45702</v>
      </c>
      <c r="I277" s="991" t="s">
        <v>252</v>
      </c>
      <c r="J277" s="982" t="s">
        <v>39</v>
      </c>
      <c r="K277" s="982" t="s">
        <v>19</v>
      </c>
      <c r="L277" s="992" t="s">
        <v>20</v>
      </c>
      <c r="M277" s="982"/>
      <c r="N277" s="512"/>
      <c r="O277" s="512"/>
      <c r="P277" s="512"/>
      <c r="Q277" s="512"/>
      <c r="R277" s="512"/>
      <c r="S277" s="512"/>
      <c r="T277" s="512"/>
      <c r="U277" s="512"/>
      <c r="V277" s="512"/>
      <c r="W277" s="512"/>
    </row>
    <row r="278" s="477" customFormat="1" spans="1:23">
      <c r="A278" s="982" t="s">
        <v>202</v>
      </c>
      <c r="B278" s="996" t="s">
        <v>250</v>
      </c>
      <c r="C278" s="983" t="s">
        <v>49</v>
      </c>
      <c r="D278" s="984">
        <v>15</v>
      </c>
      <c r="E278" s="914"/>
      <c r="F278" s="986"/>
      <c r="G278" s="986">
        <f t="shared" si="32"/>
        <v>45669</v>
      </c>
      <c r="H278" s="987">
        <f t="shared" si="33"/>
        <v>45702</v>
      </c>
      <c r="I278" s="991" t="s">
        <v>252</v>
      </c>
      <c r="J278" s="982" t="s">
        <v>39</v>
      </c>
      <c r="K278" s="982" t="s">
        <v>19</v>
      </c>
      <c r="L278" s="992" t="s">
        <v>20</v>
      </c>
      <c r="M278" s="982"/>
      <c r="N278" s="512"/>
      <c r="O278" s="512"/>
      <c r="P278" s="512"/>
      <c r="Q278" s="512"/>
      <c r="R278" s="512"/>
      <c r="S278" s="512"/>
      <c r="T278" s="512"/>
      <c r="U278" s="512"/>
      <c r="V278" s="512"/>
      <c r="W278" s="512"/>
    </row>
    <row r="279" s="477" customFormat="1" spans="1:23">
      <c r="A279" s="982" t="s">
        <v>202</v>
      </c>
      <c r="B279" s="996" t="s">
        <v>250</v>
      </c>
      <c r="C279" s="983" t="s">
        <v>50</v>
      </c>
      <c r="D279" s="984">
        <v>15</v>
      </c>
      <c r="E279" s="914"/>
      <c r="F279" s="986"/>
      <c r="G279" s="986">
        <f t="shared" si="32"/>
        <v>45669</v>
      </c>
      <c r="H279" s="987">
        <f t="shared" si="33"/>
        <v>45702</v>
      </c>
      <c r="I279" s="991" t="s">
        <v>252</v>
      </c>
      <c r="J279" s="982" t="s">
        <v>39</v>
      </c>
      <c r="K279" s="982" t="s">
        <v>19</v>
      </c>
      <c r="L279" s="992" t="s">
        <v>20</v>
      </c>
      <c r="M279" s="982"/>
      <c r="N279" s="512"/>
      <c r="O279" s="512"/>
      <c r="P279" s="512"/>
      <c r="Q279" s="512"/>
      <c r="R279" s="512"/>
      <c r="S279" s="512"/>
      <c r="T279" s="512"/>
      <c r="U279" s="512"/>
      <c r="V279" s="512"/>
      <c r="W279" s="512"/>
    </row>
    <row r="280" s="477" customFormat="1" spans="1:23">
      <c r="A280" s="982" t="s">
        <v>202</v>
      </c>
      <c r="B280" s="996" t="s">
        <v>250</v>
      </c>
      <c r="C280" s="983" t="s">
        <v>164</v>
      </c>
      <c r="D280" s="984">
        <v>2</v>
      </c>
      <c r="E280" s="914"/>
      <c r="F280" s="986"/>
      <c r="G280" s="986">
        <f t="shared" si="32"/>
        <v>45669</v>
      </c>
      <c r="H280" s="987">
        <f t="shared" si="33"/>
        <v>45702</v>
      </c>
      <c r="I280" s="991" t="s">
        <v>252</v>
      </c>
      <c r="J280" s="982" t="s">
        <v>39</v>
      </c>
      <c r="K280" s="982" t="s">
        <v>19</v>
      </c>
      <c r="L280" s="992" t="s">
        <v>20</v>
      </c>
      <c r="M280" s="982"/>
      <c r="N280" s="512"/>
      <c r="O280" s="512"/>
      <c r="P280" s="512"/>
      <c r="Q280" s="512"/>
      <c r="R280" s="512"/>
      <c r="S280" s="512"/>
      <c r="T280" s="512"/>
      <c r="U280" s="512"/>
      <c r="V280" s="512"/>
      <c r="W280" s="512"/>
    </row>
    <row r="281" s="477" customFormat="1" spans="1:23">
      <c r="A281" s="982" t="s">
        <v>202</v>
      </c>
      <c r="B281" s="996" t="s">
        <v>250</v>
      </c>
      <c r="C281" s="983" t="s">
        <v>165</v>
      </c>
      <c r="D281" s="984">
        <v>2</v>
      </c>
      <c r="E281" s="914"/>
      <c r="F281" s="986"/>
      <c r="G281" s="986">
        <f t="shared" si="32"/>
        <v>45669</v>
      </c>
      <c r="H281" s="987">
        <f t="shared" si="33"/>
        <v>45702</v>
      </c>
      <c r="I281" s="991" t="s">
        <v>252</v>
      </c>
      <c r="J281" s="982" t="s">
        <v>39</v>
      </c>
      <c r="K281" s="982" t="s">
        <v>19</v>
      </c>
      <c r="L281" s="992" t="s">
        <v>20</v>
      </c>
      <c r="M281" s="982"/>
      <c r="N281" s="512"/>
      <c r="O281" s="512"/>
      <c r="P281" s="512"/>
      <c r="Q281" s="512"/>
      <c r="R281" s="512"/>
      <c r="S281" s="512"/>
      <c r="T281" s="512"/>
      <c r="U281" s="512"/>
      <c r="V281" s="512"/>
      <c r="W281" s="512"/>
    </row>
    <row r="282" s="477" customFormat="1" spans="1:23">
      <c r="A282" s="982" t="s">
        <v>202</v>
      </c>
      <c r="B282" s="996" t="s">
        <v>250</v>
      </c>
      <c r="C282" s="983" t="s">
        <v>29</v>
      </c>
      <c r="D282" s="984">
        <v>15</v>
      </c>
      <c r="E282" s="914"/>
      <c r="F282" s="986"/>
      <c r="G282" s="986">
        <f t="shared" si="32"/>
        <v>45669</v>
      </c>
      <c r="H282" s="987">
        <f t="shared" si="33"/>
        <v>45702</v>
      </c>
      <c r="I282" s="991" t="s">
        <v>252</v>
      </c>
      <c r="J282" s="982" t="s">
        <v>39</v>
      </c>
      <c r="K282" s="982" t="s">
        <v>19</v>
      </c>
      <c r="L282" s="992" t="s">
        <v>20</v>
      </c>
      <c r="M282" s="982"/>
      <c r="N282" s="512"/>
      <c r="O282" s="512"/>
      <c r="P282" s="512"/>
      <c r="Q282" s="512"/>
      <c r="R282" s="512"/>
      <c r="S282" s="512"/>
      <c r="T282" s="512"/>
      <c r="U282" s="512"/>
      <c r="V282" s="512"/>
      <c r="W282" s="512"/>
    </row>
    <row r="283" s="477" customFormat="1" spans="1:23">
      <c r="A283" s="982" t="s">
        <v>202</v>
      </c>
      <c r="B283" s="996" t="s">
        <v>250</v>
      </c>
      <c r="C283" s="983" t="s">
        <v>30</v>
      </c>
      <c r="D283" s="984">
        <v>15</v>
      </c>
      <c r="E283" s="914"/>
      <c r="F283" s="986"/>
      <c r="G283" s="986">
        <f t="shared" si="32"/>
        <v>45669</v>
      </c>
      <c r="H283" s="987">
        <f t="shared" si="33"/>
        <v>45702</v>
      </c>
      <c r="I283" s="991" t="s">
        <v>252</v>
      </c>
      <c r="J283" s="982" t="s">
        <v>39</v>
      </c>
      <c r="K283" s="982" t="s">
        <v>19</v>
      </c>
      <c r="L283" s="992" t="s">
        <v>20</v>
      </c>
      <c r="M283" s="982"/>
      <c r="N283" s="512"/>
      <c r="O283" s="512"/>
      <c r="P283" s="512"/>
      <c r="Q283" s="512"/>
      <c r="R283" s="512"/>
      <c r="S283" s="512"/>
      <c r="T283" s="512"/>
      <c r="U283" s="512"/>
      <c r="V283" s="512"/>
      <c r="W283" s="512"/>
    </row>
    <row r="284" s="178" customFormat="1" spans="1:23">
      <c r="A284" s="982" t="s">
        <v>13</v>
      </c>
      <c r="B284" s="982" t="s">
        <v>234</v>
      </c>
      <c r="C284" s="983" t="s">
        <v>77</v>
      </c>
      <c r="D284" s="1000">
        <v>48</v>
      </c>
      <c r="E284" s="989" t="s">
        <v>254</v>
      </c>
      <c r="F284" s="986"/>
      <c r="G284" s="986">
        <f>VLOOKUP(CLEAN(SUBSTITUTE(TRIM(MID(E:E,FIND("/",E:E)+1,LEN(E:E)))," ","")),'Customs Decl. &amp; Local Delivery'!D:I,6,0)</f>
        <v>45669</v>
      </c>
      <c r="H284" s="987">
        <f>VLOOKUP(CLEAN(SUBSTITUTE(TRIM(MID(E:E,FIND("/",E:E)+1,LEN(E:E)))," ","")),'Customs Decl. &amp; Local Delivery'!D:J,7,0)</f>
        <v>45693</v>
      </c>
      <c r="I284" s="991" t="s">
        <v>255</v>
      </c>
      <c r="J284" s="982" t="s">
        <v>18</v>
      </c>
      <c r="K284" s="982" t="s">
        <v>147</v>
      </c>
      <c r="L284" s="992" t="s">
        <v>20</v>
      </c>
      <c r="M284" s="997" t="s">
        <v>256</v>
      </c>
      <c r="N284" s="203"/>
      <c r="O284" s="512"/>
      <c r="P284" s="512"/>
      <c r="Q284" s="512"/>
      <c r="R284" s="512"/>
      <c r="S284" s="512"/>
      <c r="T284" s="512"/>
      <c r="U284" s="512"/>
      <c r="V284" s="512"/>
      <c r="W284" s="512"/>
    </row>
    <row r="285" s="178" customFormat="1" spans="1:23">
      <c r="A285" s="982" t="s">
        <v>13</v>
      </c>
      <c r="B285" s="982" t="s">
        <v>234</v>
      </c>
      <c r="C285" s="983" t="s">
        <v>24</v>
      </c>
      <c r="D285" s="1000">
        <f>108-24</f>
        <v>84</v>
      </c>
      <c r="E285" s="914"/>
      <c r="F285" s="986"/>
      <c r="G285" s="986">
        <f>G284</f>
        <v>45669</v>
      </c>
      <c r="H285" s="987">
        <f>H284</f>
        <v>45693</v>
      </c>
      <c r="I285" s="991" t="s">
        <v>255</v>
      </c>
      <c r="J285" s="982" t="s">
        <v>18</v>
      </c>
      <c r="K285" s="982" t="s">
        <v>147</v>
      </c>
      <c r="L285" s="992" t="s">
        <v>20</v>
      </c>
      <c r="M285" s="991"/>
      <c r="N285" s="203"/>
      <c r="O285" s="512"/>
      <c r="P285" s="512"/>
      <c r="Q285" s="512"/>
      <c r="R285" s="512"/>
      <c r="S285" s="512"/>
      <c r="T285" s="512"/>
      <c r="U285" s="512"/>
      <c r="V285" s="512"/>
      <c r="W285" s="512"/>
    </row>
    <row r="286" s="178" customFormat="1" spans="1:23">
      <c r="A286" s="982" t="s">
        <v>13</v>
      </c>
      <c r="B286" s="982" t="s">
        <v>234</v>
      </c>
      <c r="C286" s="983" t="s">
        <v>27</v>
      </c>
      <c r="D286" s="1000">
        <f>21-6</f>
        <v>15</v>
      </c>
      <c r="E286" s="914"/>
      <c r="F286" s="986"/>
      <c r="G286" s="986">
        <f>G285</f>
        <v>45669</v>
      </c>
      <c r="H286" s="987">
        <f>H285</f>
        <v>45693</v>
      </c>
      <c r="I286" s="991" t="s">
        <v>255</v>
      </c>
      <c r="J286" s="982" t="s">
        <v>18</v>
      </c>
      <c r="K286" s="982" t="s">
        <v>147</v>
      </c>
      <c r="L286" s="992" t="s">
        <v>20</v>
      </c>
      <c r="M286" s="531"/>
      <c r="N286" s="203"/>
      <c r="O286" s="512"/>
      <c r="P286" s="512"/>
      <c r="Q286" s="512"/>
      <c r="R286" s="512"/>
      <c r="S286" s="512"/>
      <c r="T286" s="512"/>
      <c r="U286" s="512"/>
      <c r="V286" s="512"/>
      <c r="W286" s="512"/>
    </row>
    <row r="287" s="178" customFormat="1" spans="1:23">
      <c r="A287" s="982" t="s">
        <v>13</v>
      </c>
      <c r="B287" s="982" t="s">
        <v>234</v>
      </c>
      <c r="C287" s="983" t="s">
        <v>67</v>
      </c>
      <c r="D287" s="1000">
        <v>72</v>
      </c>
      <c r="E287" s="914"/>
      <c r="F287" s="986"/>
      <c r="G287" s="986">
        <f>G286</f>
        <v>45669</v>
      </c>
      <c r="H287" s="987">
        <f>H286</f>
        <v>45693</v>
      </c>
      <c r="I287" s="991" t="s">
        <v>255</v>
      </c>
      <c r="J287" s="982" t="s">
        <v>18</v>
      </c>
      <c r="K287" s="982" t="s">
        <v>147</v>
      </c>
      <c r="L287" s="992" t="s">
        <v>20</v>
      </c>
      <c r="M287" s="991"/>
      <c r="N287" s="203"/>
      <c r="O287" s="512"/>
      <c r="P287" s="512"/>
      <c r="Q287" s="512"/>
      <c r="R287" s="512"/>
      <c r="S287" s="512"/>
      <c r="T287" s="512"/>
      <c r="U287" s="512"/>
      <c r="V287" s="512"/>
      <c r="W287" s="512"/>
    </row>
    <row r="288" s="178" customFormat="1" spans="1:23">
      <c r="A288" s="982" t="s">
        <v>13</v>
      </c>
      <c r="B288" s="982" t="s">
        <v>234</v>
      </c>
      <c r="C288" s="983" t="s">
        <v>70</v>
      </c>
      <c r="D288" s="1000">
        <v>15</v>
      </c>
      <c r="E288" s="914"/>
      <c r="F288" s="986"/>
      <c r="G288" s="986">
        <f>G287</f>
        <v>45669</v>
      </c>
      <c r="H288" s="987">
        <f>H287</f>
        <v>45693</v>
      </c>
      <c r="I288" s="991" t="s">
        <v>255</v>
      </c>
      <c r="J288" s="982" t="s">
        <v>18</v>
      </c>
      <c r="K288" s="982" t="s">
        <v>147</v>
      </c>
      <c r="L288" s="992" t="s">
        <v>20</v>
      </c>
      <c r="M288" s="991"/>
      <c r="N288" s="203"/>
      <c r="O288" s="512"/>
      <c r="P288" s="512"/>
      <c r="Q288" s="512"/>
      <c r="R288" s="512"/>
      <c r="S288" s="512"/>
      <c r="T288" s="512"/>
      <c r="U288" s="512"/>
      <c r="V288" s="512"/>
      <c r="W288" s="512"/>
    </row>
    <row r="289" s="178" customFormat="1" spans="1:23">
      <c r="A289" s="982" t="s">
        <v>13</v>
      </c>
      <c r="B289" s="982" t="s">
        <v>226</v>
      </c>
      <c r="C289" s="983" t="s">
        <v>70</v>
      </c>
      <c r="D289" s="1000">
        <v>15</v>
      </c>
      <c r="E289" s="914"/>
      <c r="F289" s="986"/>
      <c r="G289" s="986">
        <f>G288</f>
        <v>45669</v>
      </c>
      <c r="H289" s="987">
        <f>H288</f>
        <v>45693</v>
      </c>
      <c r="I289" s="991" t="s">
        <v>255</v>
      </c>
      <c r="J289" s="982" t="s">
        <v>18</v>
      </c>
      <c r="K289" s="982" t="s">
        <v>147</v>
      </c>
      <c r="L289" s="992" t="s">
        <v>20</v>
      </c>
      <c r="M289" s="991"/>
      <c r="N289" s="203"/>
      <c r="O289" s="512"/>
      <c r="P289" s="512"/>
      <c r="Q289" s="512"/>
      <c r="R289" s="512"/>
      <c r="S289" s="512"/>
      <c r="T289" s="512"/>
      <c r="U289" s="512"/>
      <c r="V289" s="512"/>
      <c r="W289" s="512"/>
    </row>
    <row r="290" s="178" customFormat="1" spans="1:23">
      <c r="A290" s="982" t="s">
        <v>13</v>
      </c>
      <c r="B290" s="982" t="s">
        <v>257</v>
      </c>
      <c r="C290" s="983" t="s">
        <v>77</v>
      </c>
      <c r="D290" s="984">
        <v>48</v>
      </c>
      <c r="E290" s="989" t="s">
        <v>258</v>
      </c>
      <c r="F290" s="986"/>
      <c r="G290" s="986">
        <f>VLOOKUP(CLEAN(SUBSTITUTE(TRIM(MID(E:E,FIND("/",E:E)+1,LEN(E:E)))," ","")),'Customs Decl. &amp; Local Delivery'!D:I,6,0)</f>
        <v>45669</v>
      </c>
      <c r="H290" s="987">
        <f>VLOOKUP(CLEAN(SUBSTITUTE(TRIM(MID(E:E,FIND("/",E:E)+1,LEN(E:E)))," ","")),'Customs Decl. &amp; Local Delivery'!D:J,7,0)</f>
        <v>45693</v>
      </c>
      <c r="I290" s="991" t="s">
        <v>259</v>
      </c>
      <c r="J290" s="982" t="s">
        <v>18</v>
      </c>
      <c r="K290" s="982" t="s">
        <v>147</v>
      </c>
      <c r="L290" s="992" t="s">
        <v>20</v>
      </c>
      <c r="M290" s="997" t="s">
        <v>256</v>
      </c>
      <c r="N290" s="203"/>
      <c r="O290" s="512"/>
      <c r="P290" s="512"/>
      <c r="Q290" s="512"/>
      <c r="R290" s="512"/>
      <c r="S290" s="512"/>
      <c r="T290" s="512"/>
      <c r="U290" s="512"/>
      <c r="V290" s="512"/>
      <c r="W290" s="512"/>
    </row>
    <row r="291" s="178" customFormat="1" spans="1:23">
      <c r="A291" s="982" t="s">
        <v>13</v>
      </c>
      <c r="B291" s="982" t="s">
        <v>257</v>
      </c>
      <c r="C291" s="983" t="s">
        <v>28</v>
      </c>
      <c r="D291" s="984">
        <v>13</v>
      </c>
      <c r="E291" s="914"/>
      <c r="F291" s="986"/>
      <c r="G291" s="986">
        <f>G290</f>
        <v>45669</v>
      </c>
      <c r="H291" s="987">
        <f>H290</f>
        <v>45693</v>
      </c>
      <c r="I291" s="991" t="s">
        <v>259</v>
      </c>
      <c r="J291" s="982" t="s">
        <v>18</v>
      </c>
      <c r="K291" s="982" t="s">
        <v>147</v>
      </c>
      <c r="L291" s="992" t="s">
        <v>20</v>
      </c>
      <c r="M291" s="531"/>
      <c r="N291" s="203"/>
      <c r="O291" s="512"/>
      <c r="P291" s="512"/>
      <c r="Q291" s="512"/>
      <c r="R291" s="512"/>
      <c r="S291" s="512"/>
      <c r="T291" s="512"/>
      <c r="U291" s="512"/>
      <c r="V291" s="512"/>
      <c r="W291" s="512"/>
    </row>
    <row r="292" s="178" customFormat="1" spans="1:23">
      <c r="A292" s="982" t="s">
        <v>13</v>
      </c>
      <c r="B292" s="982" t="s">
        <v>257</v>
      </c>
      <c r="C292" s="983" t="s">
        <v>71</v>
      </c>
      <c r="D292" s="984">
        <v>43</v>
      </c>
      <c r="E292" s="914"/>
      <c r="F292" s="986"/>
      <c r="G292" s="986">
        <f>G291</f>
        <v>45669</v>
      </c>
      <c r="H292" s="987">
        <f>H291</f>
        <v>45693</v>
      </c>
      <c r="I292" s="991" t="s">
        <v>259</v>
      </c>
      <c r="J292" s="982" t="s">
        <v>18</v>
      </c>
      <c r="K292" s="982" t="s">
        <v>147</v>
      </c>
      <c r="L292" s="992" t="s">
        <v>20</v>
      </c>
      <c r="M292" s="991"/>
      <c r="N292" s="203"/>
      <c r="O292" s="512"/>
      <c r="P292" s="512"/>
      <c r="Q292" s="512"/>
      <c r="R292" s="512"/>
      <c r="S292" s="512"/>
      <c r="T292" s="512"/>
      <c r="U292" s="512"/>
      <c r="V292" s="512"/>
      <c r="W292" s="512"/>
    </row>
    <row r="293" s="477" customFormat="1" spans="1:23">
      <c r="A293" s="998" t="s">
        <v>13</v>
      </c>
      <c r="B293" s="998" t="s">
        <v>260</v>
      </c>
      <c r="C293" s="1002" t="s">
        <v>15</v>
      </c>
      <c r="D293" s="1003">
        <v>25</v>
      </c>
      <c r="E293" s="1004" t="s">
        <v>261</v>
      </c>
      <c r="F293" s="986"/>
      <c r="G293" s="986">
        <f>VLOOKUP(CLEAN(SUBSTITUTE(TRIM(MID(E:E,FIND("/",E:E)+1,LEN(E:E)))," ","")),'Customs Decl. &amp; Local Delivery'!D:I,6,0)</f>
        <v>45674</v>
      </c>
      <c r="H293" s="987">
        <f>VLOOKUP(CLEAN(SUBSTITUTE(TRIM(MID(E:E,FIND("/",E:E)+1,LEN(E:E)))," ","")),'Customs Decl. &amp; Local Delivery'!D:J,7,0)</f>
        <v>45709</v>
      </c>
      <c r="I293" s="1009" t="s">
        <v>262</v>
      </c>
      <c r="J293" s="998" t="s">
        <v>18</v>
      </c>
      <c r="K293" s="998" t="s">
        <v>19</v>
      </c>
      <c r="L293" s="992" t="s">
        <v>20</v>
      </c>
      <c r="M293" s="1010" t="s">
        <v>263</v>
      </c>
      <c r="N293" s="512"/>
      <c r="O293" s="512"/>
      <c r="P293" s="512"/>
      <c r="Q293" s="512"/>
      <c r="R293" s="512"/>
      <c r="S293" s="512"/>
      <c r="T293" s="512"/>
      <c r="U293" s="512"/>
      <c r="V293" s="512"/>
      <c r="W293" s="512"/>
    </row>
    <row r="294" s="477" customFormat="1" spans="1:23">
      <c r="A294" s="998" t="s">
        <v>13</v>
      </c>
      <c r="B294" s="998" t="s">
        <v>260</v>
      </c>
      <c r="C294" s="1002" t="s">
        <v>22</v>
      </c>
      <c r="D294" s="1003">
        <v>25</v>
      </c>
      <c r="E294" s="677"/>
      <c r="F294" s="986"/>
      <c r="G294" s="986">
        <f t="shared" ref="G294:G304" si="34">G293</f>
        <v>45674</v>
      </c>
      <c r="H294" s="987">
        <f t="shared" ref="H294:H304" si="35">H293</f>
        <v>45709</v>
      </c>
      <c r="I294" s="1009" t="s">
        <v>262</v>
      </c>
      <c r="J294" s="998" t="s">
        <v>18</v>
      </c>
      <c r="K294" s="998" t="s">
        <v>19</v>
      </c>
      <c r="L294" s="992" t="s">
        <v>20</v>
      </c>
      <c r="M294" s="1010" t="s">
        <v>264</v>
      </c>
      <c r="N294" s="512"/>
      <c r="O294" s="512"/>
      <c r="P294" s="512"/>
      <c r="Q294" s="512"/>
      <c r="R294" s="512"/>
      <c r="S294" s="512"/>
      <c r="T294" s="512"/>
      <c r="U294" s="512"/>
      <c r="V294" s="512"/>
      <c r="W294" s="512"/>
    </row>
    <row r="295" s="477" customFormat="1" spans="1:23">
      <c r="A295" s="998" t="s">
        <v>13</v>
      </c>
      <c r="B295" s="998" t="s">
        <v>260</v>
      </c>
      <c r="C295" s="1002" t="s">
        <v>24</v>
      </c>
      <c r="D295" s="1003">
        <v>14</v>
      </c>
      <c r="E295" s="677"/>
      <c r="F295" s="986"/>
      <c r="G295" s="986">
        <f t="shared" si="34"/>
        <v>45674</v>
      </c>
      <c r="H295" s="987">
        <f t="shared" si="35"/>
        <v>45709</v>
      </c>
      <c r="I295" s="1009" t="s">
        <v>262</v>
      </c>
      <c r="J295" s="998" t="s">
        <v>18</v>
      </c>
      <c r="K295" s="998" t="s">
        <v>19</v>
      </c>
      <c r="L295" s="992" t="s">
        <v>20</v>
      </c>
      <c r="M295" s="1010"/>
      <c r="N295" s="512"/>
      <c r="O295" s="512"/>
      <c r="P295" s="512"/>
      <c r="Q295" s="512"/>
      <c r="R295" s="512"/>
      <c r="S295" s="512"/>
      <c r="T295" s="512"/>
      <c r="U295" s="512"/>
      <c r="V295" s="512"/>
      <c r="W295" s="512"/>
    </row>
    <row r="296" s="477" customFormat="1" spans="1:23">
      <c r="A296" s="998" t="s">
        <v>13</v>
      </c>
      <c r="B296" s="998" t="s">
        <v>260</v>
      </c>
      <c r="C296" s="1002" t="s">
        <v>25</v>
      </c>
      <c r="D296" s="1003">
        <v>14</v>
      </c>
      <c r="E296" s="677"/>
      <c r="F296" s="986"/>
      <c r="G296" s="986">
        <f t="shared" si="34"/>
        <v>45674</v>
      </c>
      <c r="H296" s="987">
        <f t="shared" si="35"/>
        <v>45709</v>
      </c>
      <c r="I296" s="1009" t="s">
        <v>262</v>
      </c>
      <c r="J296" s="998" t="s">
        <v>18</v>
      </c>
      <c r="K296" s="998" t="s">
        <v>19</v>
      </c>
      <c r="L296" s="992" t="s">
        <v>20</v>
      </c>
      <c r="M296" s="1011" t="s">
        <v>265</v>
      </c>
      <c r="N296" s="512"/>
      <c r="O296" s="512"/>
      <c r="P296" s="512"/>
      <c r="Q296" s="512"/>
      <c r="R296" s="512"/>
      <c r="S296" s="512"/>
      <c r="T296" s="512"/>
      <c r="U296" s="512"/>
      <c r="V296" s="512"/>
      <c r="W296" s="512"/>
    </row>
    <row r="297" s="477" customFormat="1" spans="1:23">
      <c r="A297" s="998" t="s">
        <v>13</v>
      </c>
      <c r="B297" s="998" t="s">
        <v>260</v>
      </c>
      <c r="C297" s="1002" t="s">
        <v>27</v>
      </c>
      <c r="D297" s="1003">
        <v>10</v>
      </c>
      <c r="E297" s="677"/>
      <c r="F297" s="986"/>
      <c r="G297" s="986">
        <f t="shared" si="34"/>
        <v>45674</v>
      </c>
      <c r="H297" s="987">
        <f t="shared" si="35"/>
        <v>45709</v>
      </c>
      <c r="I297" s="1009" t="s">
        <v>262</v>
      </c>
      <c r="J297" s="998" t="s">
        <v>18</v>
      </c>
      <c r="K297" s="998" t="s">
        <v>19</v>
      </c>
      <c r="L297" s="992" t="s">
        <v>20</v>
      </c>
      <c r="M297" s="1010"/>
      <c r="N297" s="512"/>
      <c r="O297" s="512"/>
      <c r="P297" s="512"/>
      <c r="Q297" s="512"/>
      <c r="R297" s="512"/>
      <c r="S297" s="512"/>
      <c r="T297" s="512"/>
      <c r="U297" s="512"/>
      <c r="V297" s="512"/>
      <c r="W297" s="512"/>
    </row>
    <row r="298" s="477" customFormat="1" spans="1:23">
      <c r="A298" s="998" t="s">
        <v>13</v>
      </c>
      <c r="B298" s="998" t="s">
        <v>260</v>
      </c>
      <c r="C298" s="1002" t="s">
        <v>28</v>
      </c>
      <c r="D298" s="1003">
        <v>10</v>
      </c>
      <c r="E298" s="677"/>
      <c r="F298" s="986"/>
      <c r="G298" s="986">
        <f t="shared" si="34"/>
        <v>45674</v>
      </c>
      <c r="H298" s="987">
        <f t="shared" si="35"/>
        <v>45709</v>
      </c>
      <c r="I298" s="1009" t="s">
        <v>262</v>
      </c>
      <c r="J298" s="998" t="s">
        <v>18</v>
      </c>
      <c r="K298" s="998" t="s">
        <v>19</v>
      </c>
      <c r="L298" s="992" t="s">
        <v>20</v>
      </c>
      <c r="M298" s="998"/>
      <c r="N298" s="512"/>
      <c r="O298" s="512"/>
      <c r="P298" s="512"/>
      <c r="Q298" s="512"/>
      <c r="R298" s="512"/>
      <c r="S298" s="512"/>
      <c r="T298" s="512"/>
      <c r="U298" s="512"/>
      <c r="V298" s="512"/>
      <c r="W298" s="512"/>
    </row>
    <row r="299" s="477" customFormat="1" spans="1:23">
      <c r="A299" s="998" t="s">
        <v>13</v>
      </c>
      <c r="B299" s="998" t="s">
        <v>260</v>
      </c>
      <c r="C299" s="1002" t="s">
        <v>29</v>
      </c>
      <c r="D299" s="1003">
        <v>3</v>
      </c>
      <c r="E299" s="677"/>
      <c r="F299" s="986"/>
      <c r="G299" s="986">
        <f t="shared" si="34"/>
        <v>45674</v>
      </c>
      <c r="H299" s="987">
        <f t="shared" si="35"/>
        <v>45709</v>
      </c>
      <c r="I299" s="1009" t="s">
        <v>262</v>
      </c>
      <c r="J299" s="998" t="s">
        <v>18</v>
      </c>
      <c r="K299" s="998" t="s">
        <v>19</v>
      </c>
      <c r="L299" s="992" t="s">
        <v>20</v>
      </c>
      <c r="M299" s="998"/>
      <c r="N299" s="512"/>
      <c r="O299" s="512"/>
      <c r="P299" s="512"/>
      <c r="Q299" s="512"/>
      <c r="R299" s="512"/>
      <c r="S299" s="512"/>
      <c r="T299" s="512"/>
      <c r="U299" s="512"/>
      <c r="V299" s="512"/>
      <c r="W299" s="512"/>
    </row>
    <row r="300" s="477" customFormat="1" spans="1:23">
      <c r="A300" s="998" t="s">
        <v>13</v>
      </c>
      <c r="B300" s="998" t="s">
        <v>260</v>
      </c>
      <c r="C300" s="1002" t="s">
        <v>30</v>
      </c>
      <c r="D300" s="1003">
        <v>3</v>
      </c>
      <c r="E300" s="677"/>
      <c r="F300" s="986"/>
      <c r="G300" s="986">
        <f t="shared" si="34"/>
        <v>45674</v>
      </c>
      <c r="H300" s="987">
        <f t="shared" si="35"/>
        <v>45709</v>
      </c>
      <c r="I300" s="1009" t="s">
        <v>262</v>
      </c>
      <c r="J300" s="998" t="s">
        <v>18</v>
      </c>
      <c r="K300" s="998" t="s">
        <v>19</v>
      </c>
      <c r="L300" s="992" t="s">
        <v>20</v>
      </c>
      <c r="M300" s="998"/>
      <c r="N300" s="512"/>
      <c r="O300" s="512"/>
      <c r="P300" s="512"/>
      <c r="Q300" s="512"/>
      <c r="R300" s="512"/>
      <c r="S300" s="512"/>
      <c r="T300" s="512"/>
      <c r="U300" s="512"/>
      <c r="V300" s="512"/>
      <c r="W300" s="512"/>
    </row>
    <row r="301" s="477" customFormat="1" spans="1:23">
      <c r="A301" s="998" t="s">
        <v>13</v>
      </c>
      <c r="B301" s="998" t="s">
        <v>260</v>
      </c>
      <c r="C301" s="1002" t="s">
        <v>31</v>
      </c>
      <c r="D301" s="1003">
        <v>7</v>
      </c>
      <c r="E301" s="677"/>
      <c r="F301" s="986"/>
      <c r="G301" s="986">
        <f t="shared" si="34"/>
        <v>45674</v>
      </c>
      <c r="H301" s="987">
        <f t="shared" si="35"/>
        <v>45709</v>
      </c>
      <c r="I301" s="1009" t="s">
        <v>262</v>
      </c>
      <c r="J301" s="998" t="s">
        <v>18</v>
      </c>
      <c r="K301" s="998" t="s">
        <v>19</v>
      </c>
      <c r="L301" s="992" t="s">
        <v>20</v>
      </c>
      <c r="M301" s="998"/>
      <c r="N301" s="512"/>
      <c r="O301" s="512"/>
      <c r="P301" s="512"/>
      <c r="Q301" s="512"/>
      <c r="R301" s="512"/>
      <c r="S301" s="512"/>
      <c r="T301" s="512"/>
      <c r="U301" s="512"/>
      <c r="V301" s="512"/>
      <c r="W301" s="512"/>
    </row>
    <row r="302" s="477" customFormat="1" spans="1:23">
      <c r="A302" s="998" t="s">
        <v>13</v>
      </c>
      <c r="B302" s="998" t="s">
        <v>260</v>
      </c>
      <c r="C302" s="1002" t="s">
        <v>32</v>
      </c>
      <c r="D302" s="1003">
        <v>7</v>
      </c>
      <c r="E302" s="677"/>
      <c r="F302" s="986"/>
      <c r="G302" s="986">
        <f t="shared" si="34"/>
        <v>45674</v>
      </c>
      <c r="H302" s="987">
        <f t="shared" si="35"/>
        <v>45709</v>
      </c>
      <c r="I302" s="1009" t="s">
        <v>262</v>
      </c>
      <c r="J302" s="998" t="s">
        <v>18</v>
      </c>
      <c r="K302" s="998" t="s">
        <v>19</v>
      </c>
      <c r="L302" s="992" t="s">
        <v>20</v>
      </c>
      <c r="M302" s="998"/>
      <c r="N302" s="512"/>
      <c r="O302" s="512"/>
      <c r="P302" s="512"/>
      <c r="Q302" s="512"/>
      <c r="R302" s="512"/>
      <c r="S302" s="512"/>
      <c r="T302" s="512"/>
      <c r="U302" s="512"/>
      <c r="V302" s="512"/>
      <c r="W302" s="512"/>
    </row>
    <row r="303" s="477" customFormat="1" spans="1:23">
      <c r="A303" s="998" t="s">
        <v>13</v>
      </c>
      <c r="B303" s="998" t="s">
        <v>260</v>
      </c>
      <c r="C303" s="1002" t="s">
        <v>33</v>
      </c>
      <c r="D303" s="1003">
        <v>27</v>
      </c>
      <c r="E303" s="677"/>
      <c r="F303" s="986"/>
      <c r="G303" s="986">
        <f t="shared" si="34"/>
        <v>45674</v>
      </c>
      <c r="H303" s="987">
        <f t="shared" si="35"/>
        <v>45709</v>
      </c>
      <c r="I303" s="1009" t="s">
        <v>262</v>
      </c>
      <c r="J303" s="998" t="s">
        <v>18</v>
      </c>
      <c r="K303" s="998" t="s">
        <v>19</v>
      </c>
      <c r="L303" s="992" t="s">
        <v>20</v>
      </c>
      <c r="M303" s="998"/>
      <c r="N303" s="512"/>
      <c r="O303" s="512"/>
      <c r="P303" s="512"/>
      <c r="Q303" s="512"/>
      <c r="R303" s="512"/>
      <c r="S303" s="512"/>
      <c r="T303" s="512"/>
      <c r="U303" s="512"/>
      <c r="V303" s="512"/>
      <c r="W303" s="512"/>
    </row>
    <row r="304" s="477" customFormat="1" spans="1:23">
      <c r="A304" s="998" t="s">
        <v>13</v>
      </c>
      <c r="B304" s="998" t="s">
        <v>260</v>
      </c>
      <c r="C304" s="1002" t="s">
        <v>34</v>
      </c>
      <c r="D304" s="1003">
        <v>27</v>
      </c>
      <c r="E304" s="677"/>
      <c r="F304" s="986"/>
      <c r="G304" s="986">
        <f t="shared" si="34"/>
        <v>45674</v>
      </c>
      <c r="H304" s="987">
        <f t="shared" si="35"/>
        <v>45709</v>
      </c>
      <c r="I304" s="1009" t="s">
        <v>262</v>
      </c>
      <c r="J304" s="998" t="s">
        <v>18</v>
      </c>
      <c r="K304" s="998" t="s">
        <v>19</v>
      </c>
      <c r="L304" s="992" t="s">
        <v>20</v>
      </c>
      <c r="M304" s="998"/>
      <c r="N304" s="512"/>
      <c r="O304" s="512"/>
      <c r="P304" s="512"/>
      <c r="Q304" s="512"/>
      <c r="R304" s="512"/>
      <c r="S304" s="512"/>
      <c r="T304" s="512"/>
      <c r="U304" s="512"/>
      <c r="V304" s="512"/>
      <c r="W304" s="512"/>
    </row>
    <row r="305" s="477" customFormat="1" spans="1:23">
      <c r="A305" s="998" t="s">
        <v>202</v>
      </c>
      <c r="B305" s="1005" t="s">
        <v>266</v>
      </c>
      <c r="C305" s="1006" t="s">
        <v>129</v>
      </c>
      <c r="D305" s="1007">
        <v>10</v>
      </c>
      <c r="E305" s="1008" t="s">
        <v>267</v>
      </c>
      <c r="F305" s="986"/>
      <c r="G305" s="986">
        <f>VLOOKUP(CLEAN(SUBSTITUTE(TRIM(MID(E:E,FIND("/",E:E)+1,LEN(E:E)))," ","")),'Customs Decl. &amp; Local Delivery'!D:I,6,0)</f>
        <v>45674</v>
      </c>
      <c r="H305" s="987">
        <f>VLOOKUP(CLEAN(SUBSTITUTE(TRIM(MID(E:E,FIND("/",E:E)+1,LEN(E:E)))," ","")),'Customs Decl. &amp; Local Delivery'!D:J,7,0)</f>
        <v>45709</v>
      </c>
      <c r="I305" s="1012" t="s">
        <v>268</v>
      </c>
      <c r="J305" s="998" t="s">
        <v>18</v>
      </c>
      <c r="K305" s="998" t="s">
        <v>19</v>
      </c>
      <c r="L305" s="992" t="s">
        <v>20</v>
      </c>
      <c r="M305" s="998" t="s">
        <v>269</v>
      </c>
      <c r="N305" s="512"/>
      <c r="O305" s="512"/>
      <c r="P305" s="512"/>
      <c r="Q305" s="512"/>
      <c r="R305" s="512"/>
      <c r="S305" s="512"/>
      <c r="T305" s="512"/>
      <c r="U305" s="512"/>
      <c r="V305" s="512"/>
      <c r="W305" s="512"/>
    </row>
    <row r="306" s="477" customFormat="1" spans="1:23">
      <c r="A306" s="998" t="s">
        <v>202</v>
      </c>
      <c r="B306" s="1005" t="s">
        <v>266</v>
      </c>
      <c r="C306" s="1006" t="s">
        <v>133</v>
      </c>
      <c r="D306" s="1007">
        <v>10</v>
      </c>
      <c r="E306" s="677"/>
      <c r="F306" s="986"/>
      <c r="G306" s="986">
        <f t="shared" ref="G306:G318" si="36">G305</f>
        <v>45674</v>
      </c>
      <c r="H306" s="987">
        <f t="shared" ref="H306:H318" si="37">H305</f>
        <v>45709</v>
      </c>
      <c r="I306" s="1012" t="s">
        <v>268</v>
      </c>
      <c r="J306" s="998" t="s">
        <v>18</v>
      </c>
      <c r="K306" s="998" t="s">
        <v>19</v>
      </c>
      <c r="L306" s="992" t="s">
        <v>20</v>
      </c>
      <c r="M306" s="998" t="s">
        <v>270</v>
      </c>
      <c r="N306" s="512"/>
      <c r="O306" s="512"/>
      <c r="P306" s="512"/>
      <c r="Q306" s="512"/>
      <c r="R306" s="512"/>
      <c r="S306" s="512"/>
      <c r="T306" s="512"/>
      <c r="U306" s="512"/>
      <c r="V306" s="512"/>
      <c r="W306" s="512"/>
    </row>
    <row r="307" s="477" customFormat="1" spans="1:23">
      <c r="A307" s="998" t="s">
        <v>202</v>
      </c>
      <c r="B307" s="1005" t="s">
        <v>266</v>
      </c>
      <c r="C307" s="1006" t="s">
        <v>15</v>
      </c>
      <c r="D307" s="1007">
        <v>45</v>
      </c>
      <c r="E307" s="677"/>
      <c r="F307" s="986"/>
      <c r="G307" s="986">
        <f t="shared" si="36"/>
        <v>45674</v>
      </c>
      <c r="H307" s="987">
        <f t="shared" si="37"/>
        <v>45709</v>
      </c>
      <c r="I307" s="1012" t="s">
        <v>268</v>
      </c>
      <c r="J307" s="998" t="s">
        <v>18</v>
      </c>
      <c r="K307" s="998" t="s">
        <v>19</v>
      </c>
      <c r="L307" s="992" t="s">
        <v>20</v>
      </c>
      <c r="M307" s="998"/>
      <c r="N307" s="512"/>
      <c r="O307" s="512"/>
      <c r="P307" s="512"/>
      <c r="Q307" s="512"/>
      <c r="R307" s="512"/>
      <c r="S307" s="512"/>
      <c r="T307" s="512"/>
      <c r="U307" s="512"/>
      <c r="V307" s="512"/>
      <c r="W307" s="512"/>
    </row>
    <row r="308" s="477" customFormat="1" spans="1:23">
      <c r="A308" s="998" t="s">
        <v>202</v>
      </c>
      <c r="B308" s="1005" t="s">
        <v>266</v>
      </c>
      <c r="C308" s="1006" t="s">
        <v>22</v>
      </c>
      <c r="D308" s="1007">
        <v>45</v>
      </c>
      <c r="E308" s="677"/>
      <c r="F308" s="986"/>
      <c r="G308" s="986">
        <f t="shared" si="36"/>
        <v>45674</v>
      </c>
      <c r="H308" s="987">
        <f t="shared" si="37"/>
        <v>45709</v>
      </c>
      <c r="I308" s="1012" t="s">
        <v>268</v>
      </c>
      <c r="J308" s="998" t="s">
        <v>18</v>
      </c>
      <c r="K308" s="998" t="s">
        <v>19</v>
      </c>
      <c r="L308" s="992" t="s">
        <v>20</v>
      </c>
      <c r="M308" s="1013" t="s">
        <v>271</v>
      </c>
      <c r="N308" s="512"/>
      <c r="O308" s="512"/>
      <c r="P308" s="512"/>
      <c r="Q308" s="512"/>
      <c r="R308" s="512"/>
      <c r="S308" s="512"/>
      <c r="T308" s="512"/>
      <c r="U308" s="512"/>
      <c r="V308" s="512"/>
      <c r="W308" s="512"/>
    </row>
    <row r="309" s="477" customFormat="1" spans="1:23">
      <c r="A309" s="998" t="s">
        <v>202</v>
      </c>
      <c r="B309" s="1005" t="s">
        <v>266</v>
      </c>
      <c r="C309" s="1006" t="s">
        <v>27</v>
      </c>
      <c r="D309" s="1007">
        <v>30</v>
      </c>
      <c r="E309" s="677"/>
      <c r="F309" s="986"/>
      <c r="G309" s="986">
        <f t="shared" si="36"/>
        <v>45674</v>
      </c>
      <c r="H309" s="987">
        <f t="shared" si="37"/>
        <v>45709</v>
      </c>
      <c r="I309" s="1012" t="s">
        <v>268</v>
      </c>
      <c r="J309" s="998" t="s">
        <v>18</v>
      </c>
      <c r="K309" s="998" t="s">
        <v>19</v>
      </c>
      <c r="L309" s="992" t="s">
        <v>20</v>
      </c>
      <c r="M309" s="998"/>
      <c r="N309" s="512"/>
      <c r="O309" s="512"/>
      <c r="P309" s="512"/>
      <c r="Q309" s="512"/>
      <c r="R309" s="512"/>
      <c r="S309" s="512"/>
      <c r="T309" s="512"/>
      <c r="U309" s="512"/>
      <c r="V309" s="512"/>
      <c r="W309" s="512"/>
    </row>
    <row r="310" s="477" customFormat="1" spans="1:23">
      <c r="A310" s="998" t="s">
        <v>202</v>
      </c>
      <c r="B310" s="1005" t="s">
        <v>266</v>
      </c>
      <c r="C310" s="1006" t="s">
        <v>28</v>
      </c>
      <c r="D310" s="1007">
        <v>30</v>
      </c>
      <c r="E310" s="677"/>
      <c r="F310" s="986"/>
      <c r="G310" s="986">
        <f t="shared" si="36"/>
        <v>45674</v>
      </c>
      <c r="H310" s="987">
        <f t="shared" si="37"/>
        <v>45709</v>
      </c>
      <c r="I310" s="1012" t="s">
        <v>268</v>
      </c>
      <c r="J310" s="998" t="s">
        <v>18</v>
      </c>
      <c r="K310" s="998" t="s">
        <v>19</v>
      </c>
      <c r="L310" s="992" t="s">
        <v>20</v>
      </c>
      <c r="M310" s="998"/>
      <c r="N310" s="512"/>
      <c r="O310" s="512"/>
      <c r="P310" s="512"/>
      <c r="Q310" s="512"/>
      <c r="R310" s="512"/>
      <c r="S310" s="512"/>
      <c r="T310" s="512"/>
      <c r="U310" s="512"/>
      <c r="V310" s="512"/>
      <c r="W310" s="512"/>
    </row>
    <row r="311" s="477" customFormat="1" spans="1:23">
      <c r="A311" s="998" t="s">
        <v>202</v>
      </c>
      <c r="B311" s="1005" t="s">
        <v>266</v>
      </c>
      <c r="C311" s="1006" t="s">
        <v>67</v>
      </c>
      <c r="D311" s="1007">
        <v>8</v>
      </c>
      <c r="E311" s="677"/>
      <c r="F311" s="986"/>
      <c r="G311" s="986">
        <f t="shared" si="36"/>
        <v>45674</v>
      </c>
      <c r="H311" s="987">
        <f t="shared" si="37"/>
        <v>45709</v>
      </c>
      <c r="I311" s="1012" t="s">
        <v>268</v>
      </c>
      <c r="J311" s="998" t="s">
        <v>18</v>
      </c>
      <c r="K311" s="998" t="s">
        <v>19</v>
      </c>
      <c r="L311" s="992" t="s">
        <v>20</v>
      </c>
      <c r="M311" s="998"/>
      <c r="N311" s="512"/>
      <c r="O311" s="512"/>
      <c r="P311" s="512"/>
      <c r="Q311" s="512"/>
      <c r="R311" s="512"/>
      <c r="S311" s="512"/>
      <c r="T311" s="512"/>
      <c r="U311" s="512"/>
      <c r="V311" s="512"/>
      <c r="W311" s="512"/>
    </row>
    <row r="312" s="477" customFormat="1" spans="1:23">
      <c r="A312" s="998" t="s">
        <v>202</v>
      </c>
      <c r="B312" s="1005" t="s">
        <v>266</v>
      </c>
      <c r="C312" s="1006" t="s">
        <v>69</v>
      </c>
      <c r="D312" s="1007">
        <v>8</v>
      </c>
      <c r="E312" s="677"/>
      <c r="F312" s="986"/>
      <c r="G312" s="986">
        <f t="shared" si="36"/>
        <v>45674</v>
      </c>
      <c r="H312" s="987">
        <f t="shared" si="37"/>
        <v>45709</v>
      </c>
      <c r="I312" s="1012" t="s">
        <v>268</v>
      </c>
      <c r="J312" s="998" t="s">
        <v>18</v>
      </c>
      <c r="K312" s="998" t="s">
        <v>19</v>
      </c>
      <c r="L312" s="992" t="s">
        <v>20</v>
      </c>
      <c r="M312" s="998"/>
      <c r="N312" s="512"/>
      <c r="O312" s="512"/>
      <c r="P312" s="512"/>
      <c r="Q312" s="512"/>
      <c r="R312" s="512"/>
      <c r="S312" s="512"/>
      <c r="T312" s="512"/>
      <c r="U312" s="512"/>
      <c r="V312" s="512"/>
      <c r="W312" s="512"/>
    </row>
    <row r="313" s="477" customFormat="1" spans="1:23">
      <c r="A313" s="998" t="s">
        <v>202</v>
      </c>
      <c r="B313" s="1005" t="s">
        <v>266</v>
      </c>
      <c r="C313" s="1006" t="s">
        <v>29</v>
      </c>
      <c r="D313" s="1007">
        <v>1</v>
      </c>
      <c r="E313" s="677"/>
      <c r="F313" s="986"/>
      <c r="G313" s="986">
        <f t="shared" si="36"/>
        <v>45674</v>
      </c>
      <c r="H313" s="987">
        <f t="shared" si="37"/>
        <v>45709</v>
      </c>
      <c r="I313" s="1012" t="s">
        <v>268</v>
      </c>
      <c r="J313" s="998" t="s">
        <v>18</v>
      </c>
      <c r="K313" s="998" t="s">
        <v>19</v>
      </c>
      <c r="L313" s="992" t="s">
        <v>20</v>
      </c>
      <c r="M313" s="998"/>
      <c r="N313" s="512"/>
      <c r="O313" s="512"/>
      <c r="P313" s="512"/>
      <c r="Q313" s="512"/>
      <c r="R313" s="512"/>
      <c r="S313" s="512"/>
      <c r="T313" s="512"/>
      <c r="U313" s="512"/>
      <c r="V313" s="512"/>
      <c r="W313" s="512"/>
    </row>
    <row r="314" s="477" customFormat="1" spans="1:23">
      <c r="A314" s="998" t="s">
        <v>202</v>
      </c>
      <c r="B314" s="1005" t="s">
        <v>266</v>
      </c>
      <c r="C314" s="1006" t="s">
        <v>30</v>
      </c>
      <c r="D314" s="1007">
        <v>1</v>
      </c>
      <c r="E314" s="677"/>
      <c r="F314" s="986"/>
      <c r="G314" s="986">
        <f t="shared" si="36"/>
        <v>45674</v>
      </c>
      <c r="H314" s="987">
        <f t="shared" si="37"/>
        <v>45709</v>
      </c>
      <c r="I314" s="1012" t="s">
        <v>268</v>
      </c>
      <c r="J314" s="998" t="s">
        <v>18</v>
      </c>
      <c r="K314" s="998" t="s">
        <v>19</v>
      </c>
      <c r="L314" s="992" t="s">
        <v>20</v>
      </c>
      <c r="M314" s="998"/>
      <c r="N314" s="512"/>
      <c r="O314" s="512"/>
      <c r="P314" s="512"/>
      <c r="Q314" s="512"/>
      <c r="R314" s="512"/>
      <c r="S314" s="512"/>
      <c r="T314" s="512"/>
      <c r="U314" s="512"/>
      <c r="V314" s="512"/>
      <c r="W314" s="512"/>
    </row>
    <row r="315" s="477" customFormat="1" spans="1:23">
      <c r="A315" s="998" t="s">
        <v>202</v>
      </c>
      <c r="B315" s="1005" t="s">
        <v>266</v>
      </c>
      <c r="C315" s="1006" t="s">
        <v>31</v>
      </c>
      <c r="D315" s="1007">
        <v>1</v>
      </c>
      <c r="E315" s="677"/>
      <c r="F315" s="986"/>
      <c r="G315" s="986">
        <f t="shared" si="36"/>
        <v>45674</v>
      </c>
      <c r="H315" s="987">
        <f t="shared" si="37"/>
        <v>45709</v>
      </c>
      <c r="I315" s="1012" t="s">
        <v>268</v>
      </c>
      <c r="J315" s="998" t="s">
        <v>18</v>
      </c>
      <c r="K315" s="998" t="s">
        <v>19</v>
      </c>
      <c r="L315" s="992" t="s">
        <v>20</v>
      </c>
      <c r="M315" s="998"/>
      <c r="N315" s="512"/>
      <c r="O315" s="512"/>
      <c r="P315" s="512"/>
      <c r="Q315" s="512"/>
      <c r="R315" s="512"/>
      <c r="S315" s="512"/>
      <c r="T315" s="512"/>
      <c r="U315" s="512"/>
      <c r="V315" s="512"/>
      <c r="W315" s="512"/>
    </row>
    <row r="316" s="477" customFormat="1" spans="1:23">
      <c r="A316" s="998" t="s">
        <v>202</v>
      </c>
      <c r="B316" s="1005" t="s">
        <v>266</v>
      </c>
      <c r="C316" s="1006" t="s">
        <v>32</v>
      </c>
      <c r="D316" s="1007">
        <v>1</v>
      </c>
      <c r="E316" s="677"/>
      <c r="F316" s="986"/>
      <c r="G316" s="986">
        <f t="shared" si="36"/>
        <v>45674</v>
      </c>
      <c r="H316" s="987">
        <f t="shared" si="37"/>
        <v>45709</v>
      </c>
      <c r="I316" s="1012" t="s">
        <v>268</v>
      </c>
      <c r="J316" s="998" t="s">
        <v>18</v>
      </c>
      <c r="K316" s="998" t="s">
        <v>19</v>
      </c>
      <c r="L316" s="992" t="s">
        <v>20</v>
      </c>
      <c r="M316" s="998"/>
      <c r="N316" s="512"/>
      <c r="O316" s="512"/>
      <c r="P316" s="512"/>
      <c r="Q316" s="512"/>
      <c r="R316" s="512"/>
      <c r="S316" s="512"/>
      <c r="T316" s="512"/>
      <c r="U316" s="512"/>
      <c r="V316" s="512"/>
      <c r="W316" s="512"/>
    </row>
    <row r="317" s="477" customFormat="1" spans="1:23">
      <c r="A317" s="998" t="s">
        <v>202</v>
      </c>
      <c r="B317" s="1005" t="s">
        <v>266</v>
      </c>
      <c r="C317" s="1006" t="s">
        <v>59</v>
      </c>
      <c r="D317" s="1007">
        <v>17</v>
      </c>
      <c r="E317" s="677"/>
      <c r="F317" s="986"/>
      <c r="G317" s="986">
        <f t="shared" si="36"/>
        <v>45674</v>
      </c>
      <c r="H317" s="987">
        <f t="shared" si="37"/>
        <v>45709</v>
      </c>
      <c r="I317" s="1012" t="s">
        <v>268</v>
      </c>
      <c r="J317" s="998" t="s">
        <v>18</v>
      </c>
      <c r="K317" s="998" t="s">
        <v>19</v>
      </c>
      <c r="L317" s="992" t="s">
        <v>20</v>
      </c>
      <c r="M317" s="998"/>
      <c r="N317" s="512"/>
      <c r="O317" s="512"/>
      <c r="P317" s="512"/>
      <c r="Q317" s="512"/>
      <c r="R317" s="512"/>
      <c r="S317" s="512"/>
      <c r="T317" s="512"/>
      <c r="U317" s="512"/>
      <c r="V317" s="512"/>
      <c r="W317" s="512"/>
    </row>
    <row r="318" s="477" customFormat="1" spans="1:23">
      <c r="A318" s="998" t="s">
        <v>202</v>
      </c>
      <c r="B318" s="1005" t="s">
        <v>266</v>
      </c>
      <c r="C318" s="1006" t="s">
        <v>60</v>
      </c>
      <c r="D318" s="1007">
        <v>17</v>
      </c>
      <c r="E318" s="677"/>
      <c r="F318" s="986"/>
      <c r="G318" s="986">
        <f t="shared" si="36"/>
        <v>45674</v>
      </c>
      <c r="H318" s="987">
        <f t="shared" si="37"/>
        <v>45709</v>
      </c>
      <c r="I318" s="1012" t="s">
        <v>268</v>
      </c>
      <c r="J318" s="998" t="s">
        <v>18</v>
      </c>
      <c r="K318" s="998" t="s">
        <v>19</v>
      </c>
      <c r="L318" s="992" t="s">
        <v>20</v>
      </c>
      <c r="M318" s="998"/>
      <c r="N318" s="512"/>
      <c r="O318" s="512"/>
      <c r="P318" s="512"/>
      <c r="Q318" s="512"/>
      <c r="R318" s="512"/>
      <c r="S318" s="512"/>
      <c r="T318" s="512"/>
      <c r="U318" s="512"/>
      <c r="V318" s="512"/>
      <c r="W318" s="512"/>
    </row>
    <row r="319" s="477" customFormat="1" spans="1:23">
      <c r="A319" s="998" t="s">
        <v>272</v>
      </c>
      <c r="B319" s="998" t="s">
        <v>273</v>
      </c>
      <c r="C319" s="1006" t="s">
        <v>129</v>
      </c>
      <c r="D319" s="1007">
        <v>18</v>
      </c>
      <c r="E319" s="1008" t="s">
        <v>274</v>
      </c>
      <c r="F319" s="986"/>
      <c r="G319" s="986">
        <f>VLOOKUP(CLEAN(SUBSTITUTE(TRIM(MID(E:E,FIND("/",E:E)+1,LEN(E:E)))," ","")),'Customs Decl. &amp; Local Delivery'!D:I,6,0)</f>
        <v>45674</v>
      </c>
      <c r="H319" s="987">
        <f>VLOOKUP(CLEAN(SUBSTITUTE(TRIM(MID(E:E,FIND("/",E:E)+1,LEN(E:E)))," ","")),'Customs Decl. &amp; Local Delivery'!D:J,7,0)</f>
        <v>45709</v>
      </c>
      <c r="I319" s="1012" t="s">
        <v>268</v>
      </c>
      <c r="J319" s="998" t="s">
        <v>18</v>
      </c>
      <c r="K319" s="998" t="s">
        <v>19</v>
      </c>
      <c r="L319" s="992" t="s">
        <v>20</v>
      </c>
      <c r="M319" s="998" t="s">
        <v>275</v>
      </c>
      <c r="N319" s="512"/>
      <c r="O319" s="512"/>
      <c r="P319" s="512"/>
      <c r="Q319" s="512"/>
      <c r="R319" s="512"/>
      <c r="S319" s="512"/>
      <c r="T319" s="512"/>
      <c r="U319" s="512"/>
      <c r="V319" s="512"/>
      <c r="W319" s="512"/>
    </row>
    <row r="320" s="477" customFormat="1" spans="1:23">
      <c r="A320" s="998" t="s">
        <v>272</v>
      </c>
      <c r="B320" s="998" t="s">
        <v>273</v>
      </c>
      <c r="C320" s="1006" t="s">
        <v>133</v>
      </c>
      <c r="D320" s="1007">
        <v>18</v>
      </c>
      <c r="E320" s="677"/>
      <c r="F320" s="986"/>
      <c r="G320" s="986">
        <f t="shared" ref="G320:G328" si="38">G319</f>
        <v>45674</v>
      </c>
      <c r="H320" s="987">
        <f t="shared" ref="H320:H328" si="39">H319</f>
        <v>45709</v>
      </c>
      <c r="I320" s="1012" t="s">
        <v>268</v>
      </c>
      <c r="J320" s="998" t="s">
        <v>18</v>
      </c>
      <c r="K320" s="998" t="s">
        <v>19</v>
      </c>
      <c r="L320" s="992" t="s">
        <v>20</v>
      </c>
      <c r="M320" s="998" t="s">
        <v>276</v>
      </c>
      <c r="N320" s="512"/>
      <c r="O320" s="512"/>
      <c r="P320" s="512"/>
      <c r="Q320" s="512"/>
      <c r="R320" s="512"/>
      <c r="S320" s="512"/>
      <c r="T320" s="512"/>
      <c r="U320" s="512"/>
      <c r="V320" s="512"/>
      <c r="W320" s="512"/>
    </row>
    <row r="321" s="477" customFormat="1" spans="1:23">
      <c r="A321" s="998" t="s">
        <v>272</v>
      </c>
      <c r="B321" s="998" t="s">
        <v>273</v>
      </c>
      <c r="C321" s="1006" t="s">
        <v>15</v>
      </c>
      <c r="D321" s="1007">
        <v>30</v>
      </c>
      <c r="E321" s="677"/>
      <c r="F321" s="986"/>
      <c r="G321" s="986">
        <f t="shared" si="38"/>
        <v>45674</v>
      </c>
      <c r="H321" s="987">
        <f t="shared" si="39"/>
        <v>45709</v>
      </c>
      <c r="I321" s="1012" t="s">
        <v>268</v>
      </c>
      <c r="J321" s="998" t="s">
        <v>18</v>
      </c>
      <c r="K321" s="998" t="s">
        <v>19</v>
      </c>
      <c r="L321" s="992" t="s">
        <v>20</v>
      </c>
      <c r="M321" s="1005"/>
      <c r="N321" s="512"/>
      <c r="O321" s="512"/>
      <c r="P321" s="512"/>
      <c r="Q321" s="512"/>
      <c r="R321" s="512"/>
      <c r="S321" s="512"/>
      <c r="T321" s="512"/>
      <c r="U321" s="512"/>
      <c r="V321" s="512"/>
      <c r="W321" s="512"/>
    </row>
    <row r="322" s="477" customFormat="1" spans="1:23">
      <c r="A322" s="998" t="s">
        <v>272</v>
      </c>
      <c r="B322" s="998" t="s">
        <v>273</v>
      </c>
      <c r="C322" s="1006" t="s">
        <v>22</v>
      </c>
      <c r="D322" s="1007">
        <v>30</v>
      </c>
      <c r="E322" s="677"/>
      <c r="F322" s="986"/>
      <c r="G322" s="986">
        <f t="shared" si="38"/>
        <v>45674</v>
      </c>
      <c r="H322" s="987">
        <f t="shared" si="39"/>
        <v>45709</v>
      </c>
      <c r="I322" s="1012" t="s">
        <v>268</v>
      </c>
      <c r="J322" s="998" t="s">
        <v>18</v>
      </c>
      <c r="K322" s="998" t="s">
        <v>19</v>
      </c>
      <c r="L322" s="992" t="s">
        <v>20</v>
      </c>
      <c r="M322" s="1013" t="s">
        <v>277</v>
      </c>
      <c r="N322" s="512"/>
      <c r="O322" s="512"/>
      <c r="P322" s="512"/>
      <c r="Q322" s="512"/>
      <c r="R322" s="512"/>
      <c r="S322" s="512"/>
      <c r="T322" s="512"/>
      <c r="U322" s="512"/>
      <c r="V322" s="512"/>
      <c r="W322" s="512"/>
    </row>
    <row r="323" s="477" customFormat="1" spans="1:23">
      <c r="A323" s="998" t="s">
        <v>272</v>
      </c>
      <c r="B323" s="998" t="s">
        <v>273</v>
      </c>
      <c r="C323" s="1006" t="s">
        <v>24</v>
      </c>
      <c r="D323" s="1007">
        <v>9</v>
      </c>
      <c r="E323" s="677"/>
      <c r="F323" s="986"/>
      <c r="G323" s="986">
        <f t="shared" si="38"/>
        <v>45674</v>
      </c>
      <c r="H323" s="987">
        <f t="shared" si="39"/>
        <v>45709</v>
      </c>
      <c r="I323" s="1012" t="s">
        <v>268</v>
      </c>
      <c r="J323" s="998" t="s">
        <v>18</v>
      </c>
      <c r="K323" s="998" t="s">
        <v>19</v>
      </c>
      <c r="L323" s="992" t="s">
        <v>20</v>
      </c>
      <c r="M323" s="1005"/>
      <c r="N323" s="512"/>
      <c r="O323" s="512"/>
      <c r="P323" s="512"/>
      <c r="Q323" s="512"/>
      <c r="R323" s="512"/>
      <c r="S323" s="512"/>
      <c r="T323" s="512"/>
      <c r="U323" s="512"/>
      <c r="V323" s="512"/>
      <c r="W323" s="512"/>
    </row>
    <row r="324" s="477" customFormat="1" spans="1:23">
      <c r="A324" s="998" t="s">
        <v>272</v>
      </c>
      <c r="B324" s="998" t="s">
        <v>273</v>
      </c>
      <c r="C324" s="1006" t="s">
        <v>25</v>
      </c>
      <c r="D324" s="1007">
        <v>9</v>
      </c>
      <c r="E324" s="677"/>
      <c r="F324" s="986"/>
      <c r="G324" s="986">
        <f t="shared" si="38"/>
        <v>45674</v>
      </c>
      <c r="H324" s="987">
        <f t="shared" si="39"/>
        <v>45709</v>
      </c>
      <c r="I324" s="1012" t="s">
        <v>268</v>
      </c>
      <c r="J324" s="998" t="s">
        <v>18</v>
      </c>
      <c r="K324" s="998" t="s">
        <v>19</v>
      </c>
      <c r="L324" s="992" t="s">
        <v>20</v>
      </c>
      <c r="M324" s="1005"/>
      <c r="N324" s="512"/>
      <c r="O324" s="512"/>
      <c r="P324" s="512"/>
      <c r="Q324" s="512"/>
      <c r="R324" s="512"/>
      <c r="S324" s="512"/>
      <c r="T324" s="512"/>
      <c r="U324" s="512"/>
      <c r="V324" s="512"/>
      <c r="W324" s="512"/>
    </row>
    <row r="325" s="477" customFormat="1" spans="1:23">
      <c r="A325" s="998" t="s">
        <v>272</v>
      </c>
      <c r="B325" s="998" t="s">
        <v>273</v>
      </c>
      <c r="C325" s="1006" t="s">
        <v>67</v>
      </c>
      <c r="D325" s="1007">
        <v>4</v>
      </c>
      <c r="E325" s="677"/>
      <c r="F325" s="986"/>
      <c r="G325" s="986">
        <f t="shared" si="38"/>
        <v>45674</v>
      </c>
      <c r="H325" s="987">
        <f t="shared" si="39"/>
        <v>45709</v>
      </c>
      <c r="I325" s="1012" t="s">
        <v>268</v>
      </c>
      <c r="J325" s="998" t="s">
        <v>18</v>
      </c>
      <c r="K325" s="998" t="s">
        <v>19</v>
      </c>
      <c r="L325" s="992" t="s">
        <v>20</v>
      </c>
      <c r="M325" s="1005"/>
      <c r="N325" s="512"/>
      <c r="O325" s="512"/>
      <c r="P325" s="512"/>
      <c r="Q325" s="512"/>
      <c r="R325" s="512"/>
      <c r="S325" s="512"/>
      <c r="T325" s="512"/>
      <c r="U325" s="512"/>
      <c r="V325" s="512"/>
      <c r="W325" s="512"/>
    </row>
    <row r="326" s="477" customFormat="1" spans="1:23">
      <c r="A326" s="998" t="s">
        <v>272</v>
      </c>
      <c r="B326" s="998" t="s">
        <v>273</v>
      </c>
      <c r="C326" s="1006" t="s">
        <v>69</v>
      </c>
      <c r="D326" s="1007">
        <v>4</v>
      </c>
      <c r="E326" s="677"/>
      <c r="F326" s="986"/>
      <c r="G326" s="986">
        <f t="shared" si="38"/>
        <v>45674</v>
      </c>
      <c r="H326" s="987">
        <f t="shared" si="39"/>
        <v>45709</v>
      </c>
      <c r="I326" s="1012" t="s">
        <v>268</v>
      </c>
      <c r="J326" s="998" t="s">
        <v>18</v>
      </c>
      <c r="K326" s="998" t="s">
        <v>19</v>
      </c>
      <c r="L326" s="992" t="s">
        <v>20</v>
      </c>
      <c r="M326" s="1005"/>
      <c r="N326" s="512"/>
      <c r="O326" s="512"/>
      <c r="P326" s="512"/>
      <c r="Q326" s="512"/>
      <c r="R326" s="512"/>
      <c r="S326" s="512"/>
      <c r="T326" s="512"/>
      <c r="U326" s="512"/>
      <c r="V326" s="512"/>
      <c r="W326" s="512"/>
    </row>
    <row r="327" s="477" customFormat="1" spans="1:23">
      <c r="A327" s="998" t="s">
        <v>272</v>
      </c>
      <c r="B327" s="998" t="s">
        <v>273</v>
      </c>
      <c r="C327" s="1006" t="s">
        <v>59</v>
      </c>
      <c r="D327" s="1007">
        <v>30</v>
      </c>
      <c r="E327" s="677"/>
      <c r="F327" s="986"/>
      <c r="G327" s="986">
        <f t="shared" si="38"/>
        <v>45674</v>
      </c>
      <c r="H327" s="987">
        <f t="shared" si="39"/>
        <v>45709</v>
      </c>
      <c r="I327" s="1012" t="s">
        <v>268</v>
      </c>
      <c r="J327" s="998" t="s">
        <v>18</v>
      </c>
      <c r="K327" s="998" t="s">
        <v>19</v>
      </c>
      <c r="L327" s="992" t="s">
        <v>20</v>
      </c>
      <c r="M327" s="1005"/>
      <c r="N327" s="512"/>
      <c r="O327" s="512"/>
      <c r="P327" s="512"/>
      <c r="Q327" s="512"/>
      <c r="R327" s="512"/>
      <c r="S327" s="512"/>
      <c r="T327" s="512"/>
      <c r="U327" s="512"/>
      <c r="V327" s="512"/>
      <c r="W327" s="512"/>
    </row>
    <row r="328" s="477" customFormat="1" spans="1:23">
      <c r="A328" s="998" t="s">
        <v>272</v>
      </c>
      <c r="B328" s="998" t="s">
        <v>273</v>
      </c>
      <c r="C328" s="1006" t="s">
        <v>60</v>
      </c>
      <c r="D328" s="1007">
        <v>30</v>
      </c>
      <c r="E328" s="677"/>
      <c r="F328" s="986"/>
      <c r="G328" s="986">
        <f t="shared" si="38"/>
        <v>45674</v>
      </c>
      <c r="H328" s="987">
        <f t="shared" si="39"/>
        <v>45709</v>
      </c>
      <c r="I328" s="1012" t="s">
        <v>268</v>
      </c>
      <c r="J328" s="998" t="s">
        <v>18</v>
      </c>
      <c r="K328" s="998" t="s">
        <v>19</v>
      </c>
      <c r="L328" s="992" t="s">
        <v>20</v>
      </c>
      <c r="M328" s="1005"/>
      <c r="N328" s="512"/>
      <c r="O328" s="512"/>
      <c r="P328" s="512"/>
      <c r="Q328" s="512"/>
      <c r="R328" s="512"/>
      <c r="S328" s="512"/>
      <c r="T328" s="512"/>
      <c r="U328" s="512"/>
      <c r="V328" s="512"/>
      <c r="W328" s="512"/>
    </row>
    <row r="329" s="178" customFormat="1" spans="1:23">
      <c r="A329" s="998" t="s">
        <v>13</v>
      </c>
      <c r="B329" s="998" t="s">
        <v>278</v>
      </c>
      <c r="C329" s="1002" t="s">
        <v>104</v>
      </c>
      <c r="D329" s="1014">
        <v>15</v>
      </c>
      <c r="E329" s="1015" t="s">
        <v>279</v>
      </c>
      <c r="F329" s="986"/>
      <c r="G329" s="986">
        <f>VLOOKUP(CLEAN(SUBSTITUTE(TRIM(MID(E:E,FIND("/",E:E)+1,LEN(E:E)))," ","")),'Customs Decl. &amp; Local Delivery'!D:I,6,0)</f>
        <v>45678</v>
      </c>
      <c r="H329" s="987">
        <f>VLOOKUP(CLEAN(SUBSTITUTE(TRIM(MID(E:E,FIND("/",E:E)+1,LEN(E:E)))," ","")),'Customs Decl. &amp; Local Delivery'!D:J,7,0)</f>
        <v>45711</v>
      </c>
      <c r="I329" s="1012" t="s">
        <v>280</v>
      </c>
      <c r="J329" s="998" t="s">
        <v>207</v>
      </c>
      <c r="K329" s="998" t="s">
        <v>107</v>
      </c>
      <c r="L329" s="992" t="s">
        <v>20</v>
      </c>
      <c r="M329" s="1010" t="s">
        <v>281</v>
      </c>
      <c r="N329" s="203"/>
      <c r="O329" s="512"/>
      <c r="P329" s="512"/>
      <c r="Q329" s="512"/>
      <c r="R329" s="512"/>
      <c r="S329" s="512"/>
      <c r="T329" s="512"/>
      <c r="U329" s="512"/>
      <c r="V329" s="512"/>
      <c r="W329" s="512"/>
    </row>
    <row r="330" s="178" customFormat="1" spans="1:23">
      <c r="A330" s="998" t="s">
        <v>13</v>
      </c>
      <c r="B330" s="998" t="s">
        <v>278</v>
      </c>
      <c r="C330" s="1002" t="s">
        <v>109</v>
      </c>
      <c r="D330" s="1014">
        <v>15</v>
      </c>
      <c r="E330" s="677"/>
      <c r="F330" s="986"/>
      <c r="G330" s="986">
        <f t="shared" ref="G330:G340" si="40">G329</f>
        <v>45678</v>
      </c>
      <c r="H330" s="987">
        <f t="shared" ref="H330:H340" si="41">H329</f>
        <v>45711</v>
      </c>
      <c r="I330" s="1012" t="s">
        <v>280</v>
      </c>
      <c r="J330" s="998" t="s">
        <v>207</v>
      </c>
      <c r="K330" s="998" t="s">
        <v>107</v>
      </c>
      <c r="L330" s="992" t="s">
        <v>20</v>
      </c>
      <c r="M330" s="1010" t="s">
        <v>282</v>
      </c>
      <c r="N330" s="203"/>
      <c r="O330" s="512"/>
      <c r="P330" s="512"/>
      <c r="Q330" s="512"/>
      <c r="R330" s="512"/>
      <c r="S330" s="512"/>
      <c r="T330" s="512"/>
      <c r="U330" s="512"/>
      <c r="V330" s="512"/>
      <c r="W330" s="512"/>
    </row>
    <row r="331" s="178" customFormat="1" spans="1:23">
      <c r="A331" s="998" t="s">
        <v>13</v>
      </c>
      <c r="B331" s="998" t="s">
        <v>278</v>
      </c>
      <c r="C331" s="1002" t="s">
        <v>111</v>
      </c>
      <c r="D331" s="1014">
        <v>75</v>
      </c>
      <c r="E331" s="677"/>
      <c r="F331" s="986"/>
      <c r="G331" s="986">
        <f t="shared" si="40"/>
        <v>45678</v>
      </c>
      <c r="H331" s="987">
        <f t="shared" si="41"/>
        <v>45711</v>
      </c>
      <c r="I331" s="1012" t="s">
        <v>280</v>
      </c>
      <c r="J331" s="998" t="s">
        <v>207</v>
      </c>
      <c r="K331" s="998" t="s">
        <v>107</v>
      </c>
      <c r="L331" s="992" t="s">
        <v>20</v>
      </c>
      <c r="M331" s="1010"/>
      <c r="N331" s="203"/>
      <c r="O331" s="512"/>
      <c r="P331" s="512"/>
      <c r="Q331" s="512"/>
      <c r="R331" s="512"/>
      <c r="S331" s="512"/>
      <c r="T331" s="512"/>
      <c r="U331" s="512"/>
      <c r="V331" s="512"/>
      <c r="W331" s="512"/>
    </row>
    <row r="332" s="178" customFormat="1" spans="1:23">
      <c r="A332" s="998" t="s">
        <v>13</v>
      </c>
      <c r="B332" s="998" t="s">
        <v>278</v>
      </c>
      <c r="C332" s="1002" t="s">
        <v>112</v>
      </c>
      <c r="D332" s="1014">
        <v>75</v>
      </c>
      <c r="E332" s="677"/>
      <c r="F332" s="986"/>
      <c r="G332" s="986">
        <f t="shared" si="40"/>
        <v>45678</v>
      </c>
      <c r="H332" s="987">
        <f t="shared" si="41"/>
        <v>45711</v>
      </c>
      <c r="I332" s="1012" t="s">
        <v>280</v>
      </c>
      <c r="J332" s="998" t="s">
        <v>207</v>
      </c>
      <c r="K332" s="998" t="s">
        <v>107</v>
      </c>
      <c r="L332" s="992" t="s">
        <v>20</v>
      </c>
      <c r="M332" s="1020" t="s">
        <v>283</v>
      </c>
      <c r="N332" s="203"/>
      <c r="O332" s="512"/>
      <c r="P332" s="512"/>
      <c r="Q332" s="512"/>
      <c r="R332" s="512"/>
      <c r="S332" s="512"/>
      <c r="T332" s="512"/>
      <c r="U332" s="512"/>
      <c r="V332" s="512"/>
      <c r="W332" s="512"/>
    </row>
    <row r="333" s="178" customFormat="1" spans="1:23">
      <c r="A333" s="998" t="s">
        <v>13</v>
      </c>
      <c r="B333" s="998" t="s">
        <v>278</v>
      </c>
      <c r="C333" s="1002" t="s">
        <v>114</v>
      </c>
      <c r="D333" s="1014">
        <v>35</v>
      </c>
      <c r="E333" s="677"/>
      <c r="F333" s="986"/>
      <c r="G333" s="986">
        <f t="shared" si="40"/>
        <v>45678</v>
      </c>
      <c r="H333" s="987">
        <f t="shared" si="41"/>
        <v>45711</v>
      </c>
      <c r="I333" s="1012" t="s">
        <v>280</v>
      </c>
      <c r="J333" s="998" t="s">
        <v>207</v>
      </c>
      <c r="K333" s="998" t="s">
        <v>107</v>
      </c>
      <c r="L333" s="992" t="s">
        <v>20</v>
      </c>
      <c r="M333" s="1010"/>
      <c r="N333" s="203"/>
      <c r="O333" s="512"/>
      <c r="P333" s="512"/>
      <c r="Q333" s="512"/>
      <c r="R333" s="512"/>
      <c r="S333" s="512"/>
      <c r="T333" s="512"/>
      <c r="U333" s="512"/>
      <c r="V333" s="512"/>
      <c r="W333" s="512"/>
    </row>
    <row r="334" s="178" customFormat="1" spans="1:23">
      <c r="A334" s="998" t="s">
        <v>13</v>
      </c>
      <c r="B334" s="998" t="s">
        <v>278</v>
      </c>
      <c r="C334" s="1002" t="s">
        <v>115</v>
      </c>
      <c r="D334" s="1014">
        <v>35</v>
      </c>
      <c r="E334" s="677"/>
      <c r="F334" s="986"/>
      <c r="G334" s="986">
        <f t="shared" si="40"/>
        <v>45678</v>
      </c>
      <c r="H334" s="987">
        <f t="shared" si="41"/>
        <v>45711</v>
      </c>
      <c r="I334" s="1012" t="s">
        <v>280</v>
      </c>
      <c r="J334" s="998" t="s">
        <v>207</v>
      </c>
      <c r="K334" s="998" t="s">
        <v>107</v>
      </c>
      <c r="L334" s="992" t="s">
        <v>20</v>
      </c>
      <c r="M334" s="1010"/>
      <c r="N334" s="203"/>
      <c r="O334" s="512"/>
      <c r="P334" s="512"/>
      <c r="Q334" s="512"/>
      <c r="R334" s="512"/>
      <c r="S334" s="512"/>
      <c r="T334" s="512"/>
      <c r="U334" s="512"/>
      <c r="V334" s="512"/>
      <c r="W334" s="512"/>
    </row>
    <row r="335" s="178" customFormat="1" spans="1:23">
      <c r="A335" s="998" t="s">
        <v>13</v>
      </c>
      <c r="B335" s="998" t="s">
        <v>278</v>
      </c>
      <c r="C335" s="1002" t="s">
        <v>116</v>
      </c>
      <c r="D335" s="1014">
        <v>25</v>
      </c>
      <c r="E335" s="677"/>
      <c r="F335" s="986"/>
      <c r="G335" s="986">
        <f t="shared" si="40"/>
        <v>45678</v>
      </c>
      <c r="H335" s="987">
        <f t="shared" si="41"/>
        <v>45711</v>
      </c>
      <c r="I335" s="1012" t="s">
        <v>280</v>
      </c>
      <c r="J335" s="998" t="s">
        <v>207</v>
      </c>
      <c r="K335" s="998" t="s">
        <v>107</v>
      </c>
      <c r="L335" s="992" t="s">
        <v>20</v>
      </c>
      <c r="M335" s="998"/>
      <c r="N335" s="203"/>
      <c r="O335" s="512"/>
      <c r="P335" s="512"/>
      <c r="Q335" s="512"/>
      <c r="R335" s="512"/>
      <c r="S335" s="512"/>
      <c r="T335" s="512"/>
      <c r="U335" s="512"/>
      <c r="V335" s="512"/>
      <c r="W335" s="512"/>
    </row>
    <row r="336" s="178" customFormat="1" spans="1:23">
      <c r="A336" s="998" t="s">
        <v>13</v>
      </c>
      <c r="B336" s="998" t="s">
        <v>278</v>
      </c>
      <c r="C336" s="1002" t="s">
        <v>117</v>
      </c>
      <c r="D336" s="1014">
        <v>25</v>
      </c>
      <c r="E336" s="677"/>
      <c r="F336" s="986"/>
      <c r="G336" s="986">
        <f t="shared" si="40"/>
        <v>45678</v>
      </c>
      <c r="H336" s="987">
        <f t="shared" si="41"/>
        <v>45711</v>
      </c>
      <c r="I336" s="1012" t="s">
        <v>280</v>
      </c>
      <c r="J336" s="998" t="s">
        <v>207</v>
      </c>
      <c r="K336" s="998" t="s">
        <v>107</v>
      </c>
      <c r="L336" s="992" t="s">
        <v>20</v>
      </c>
      <c r="M336" s="998"/>
      <c r="N336" s="203"/>
      <c r="O336" s="512"/>
      <c r="P336" s="512"/>
      <c r="Q336" s="512"/>
      <c r="R336" s="512"/>
      <c r="S336" s="512"/>
      <c r="T336" s="512"/>
      <c r="U336" s="512"/>
      <c r="V336" s="512"/>
      <c r="W336" s="512"/>
    </row>
    <row r="337" s="178" customFormat="1" spans="1:23">
      <c r="A337" s="998" t="s">
        <v>13</v>
      </c>
      <c r="B337" s="998" t="s">
        <v>278</v>
      </c>
      <c r="C337" s="1002" t="s">
        <v>118</v>
      </c>
      <c r="D337" s="1014">
        <v>30</v>
      </c>
      <c r="E337" s="677"/>
      <c r="F337" s="986"/>
      <c r="G337" s="986">
        <f t="shared" si="40"/>
        <v>45678</v>
      </c>
      <c r="H337" s="987">
        <f t="shared" si="41"/>
        <v>45711</v>
      </c>
      <c r="I337" s="1012" t="s">
        <v>280</v>
      </c>
      <c r="J337" s="998" t="s">
        <v>207</v>
      </c>
      <c r="K337" s="998" t="s">
        <v>107</v>
      </c>
      <c r="L337" s="992" t="s">
        <v>20</v>
      </c>
      <c r="M337" s="998"/>
      <c r="N337" s="203"/>
      <c r="O337" s="512"/>
      <c r="P337" s="512"/>
      <c r="Q337" s="512"/>
      <c r="R337" s="512"/>
      <c r="S337" s="512"/>
      <c r="T337" s="512"/>
      <c r="U337" s="512"/>
      <c r="V337" s="512"/>
      <c r="W337" s="512"/>
    </row>
    <row r="338" s="178" customFormat="1" spans="1:23">
      <c r="A338" s="998" t="s">
        <v>13</v>
      </c>
      <c r="B338" s="998" t="s">
        <v>278</v>
      </c>
      <c r="C338" s="1002" t="s">
        <v>119</v>
      </c>
      <c r="D338" s="1014">
        <v>30</v>
      </c>
      <c r="E338" s="677"/>
      <c r="F338" s="986"/>
      <c r="G338" s="986">
        <f t="shared" si="40"/>
        <v>45678</v>
      </c>
      <c r="H338" s="987">
        <f t="shared" si="41"/>
        <v>45711</v>
      </c>
      <c r="I338" s="1012" t="s">
        <v>280</v>
      </c>
      <c r="J338" s="998" t="s">
        <v>207</v>
      </c>
      <c r="K338" s="998" t="s">
        <v>107</v>
      </c>
      <c r="L338" s="992" t="s">
        <v>20</v>
      </c>
      <c r="M338" s="998"/>
      <c r="N338" s="203"/>
      <c r="O338" s="512"/>
      <c r="P338" s="512"/>
      <c r="Q338" s="512"/>
      <c r="R338" s="512"/>
      <c r="S338" s="512"/>
      <c r="T338" s="512"/>
      <c r="U338" s="512"/>
      <c r="V338" s="512"/>
      <c r="W338" s="512"/>
    </row>
    <row r="339" s="178" customFormat="1" spans="1:23">
      <c r="A339" s="998" t="s">
        <v>13</v>
      </c>
      <c r="B339" s="998" t="s">
        <v>278</v>
      </c>
      <c r="C339" s="1002" t="s">
        <v>120</v>
      </c>
      <c r="D339" s="1014">
        <v>5</v>
      </c>
      <c r="E339" s="677"/>
      <c r="F339" s="986"/>
      <c r="G339" s="986">
        <f t="shared" si="40"/>
        <v>45678</v>
      </c>
      <c r="H339" s="987">
        <f t="shared" si="41"/>
        <v>45711</v>
      </c>
      <c r="I339" s="1012" t="s">
        <v>280</v>
      </c>
      <c r="J339" s="998" t="s">
        <v>207</v>
      </c>
      <c r="K339" s="998" t="s">
        <v>107</v>
      </c>
      <c r="L339" s="992" t="s">
        <v>20</v>
      </c>
      <c r="M339" s="998"/>
      <c r="N339" s="203"/>
      <c r="O339" s="512"/>
      <c r="P339" s="512"/>
      <c r="Q339" s="512"/>
      <c r="R339" s="512"/>
      <c r="S339" s="512"/>
      <c r="T339" s="512"/>
      <c r="U339" s="512"/>
      <c r="V339" s="512"/>
      <c r="W339" s="512"/>
    </row>
    <row r="340" s="178" customFormat="1" spans="1:23">
      <c r="A340" s="998" t="s">
        <v>13</v>
      </c>
      <c r="B340" s="998" t="s">
        <v>278</v>
      </c>
      <c r="C340" s="1002" t="s">
        <v>121</v>
      </c>
      <c r="D340" s="1014">
        <v>5</v>
      </c>
      <c r="E340" s="677"/>
      <c r="F340" s="986"/>
      <c r="G340" s="986">
        <f t="shared" si="40"/>
        <v>45678</v>
      </c>
      <c r="H340" s="987">
        <f t="shared" si="41"/>
        <v>45711</v>
      </c>
      <c r="I340" s="1012" t="s">
        <v>280</v>
      </c>
      <c r="J340" s="998" t="s">
        <v>207</v>
      </c>
      <c r="K340" s="1013" t="s">
        <v>107</v>
      </c>
      <c r="L340" s="992" t="s">
        <v>20</v>
      </c>
      <c r="M340" s="998"/>
      <c r="N340" s="203"/>
      <c r="O340" s="512"/>
      <c r="P340" s="512"/>
      <c r="Q340" s="512"/>
      <c r="R340" s="512"/>
      <c r="S340" s="512"/>
      <c r="T340" s="512"/>
      <c r="U340" s="512"/>
      <c r="V340" s="512"/>
      <c r="W340" s="512"/>
    </row>
    <row r="341" s="477" customFormat="1" spans="1:23">
      <c r="A341" s="998" t="s">
        <v>202</v>
      </c>
      <c r="B341" s="1005" t="s">
        <v>284</v>
      </c>
      <c r="C341" s="1006" t="s">
        <v>129</v>
      </c>
      <c r="D341" s="1007">
        <v>12</v>
      </c>
      <c r="E341" s="1008" t="s">
        <v>285</v>
      </c>
      <c r="F341" s="986"/>
      <c r="G341" s="986">
        <f>VLOOKUP(CLEAN(SUBSTITUTE(TRIM(MID(E:E,FIND("/",E:E)+1,LEN(E:E)))," ","")),'Customs Decl. &amp; Local Delivery'!D:I,6,0)</f>
        <v>45678</v>
      </c>
      <c r="H341" s="987">
        <f>VLOOKUP(CLEAN(SUBSTITUTE(TRIM(MID(E:E,FIND("/",E:E)+1,LEN(E:E)))," ","")),'Customs Decl. &amp; Local Delivery'!D:J,7,0)</f>
        <v>45711</v>
      </c>
      <c r="I341" s="1012" t="s">
        <v>286</v>
      </c>
      <c r="J341" s="998" t="s">
        <v>207</v>
      </c>
      <c r="K341" s="998" t="s">
        <v>19</v>
      </c>
      <c r="L341" s="992" t="s">
        <v>20</v>
      </c>
      <c r="M341" s="998" t="s">
        <v>287</v>
      </c>
      <c r="N341" s="512"/>
      <c r="O341" s="512"/>
      <c r="P341" s="512"/>
      <c r="Q341" s="512"/>
      <c r="R341" s="512"/>
      <c r="S341" s="512"/>
      <c r="T341" s="512"/>
      <c r="U341" s="512"/>
      <c r="V341" s="512"/>
      <c r="W341" s="512"/>
    </row>
    <row r="342" s="477" customFormat="1" spans="1:23">
      <c r="A342" s="998" t="s">
        <v>202</v>
      </c>
      <c r="B342" s="1005" t="s">
        <v>284</v>
      </c>
      <c r="C342" s="1006" t="s">
        <v>133</v>
      </c>
      <c r="D342" s="1007">
        <v>12</v>
      </c>
      <c r="E342" s="677"/>
      <c r="F342" s="986"/>
      <c r="G342" s="986">
        <f t="shared" ref="G342:G358" si="42">G341</f>
        <v>45678</v>
      </c>
      <c r="H342" s="987">
        <f t="shared" ref="H342:H358" si="43">H341</f>
        <v>45711</v>
      </c>
      <c r="I342" s="1012" t="s">
        <v>286</v>
      </c>
      <c r="J342" s="998" t="s">
        <v>207</v>
      </c>
      <c r="K342" s="998" t="s">
        <v>19</v>
      </c>
      <c r="L342" s="992" t="s">
        <v>20</v>
      </c>
      <c r="M342" s="998" t="s">
        <v>270</v>
      </c>
      <c r="N342" s="512"/>
      <c r="O342" s="512"/>
      <c r="P342" s="512"/>
      <c r="Q342" s="512"/>
      <c r="R342" s="512"/>
      <c r="S342" s="512"/>
      <c r="T342" s="512"/>
      <c r="U342" s="512"/>
      <c r="V342" s="512"/>
      <c r="W342" s="512"/>
    </row>
    <row r="343" s="477" customFormat="1" spans="1:23">
      <c r="A343" s="998" t="s">
        <v>202</v>
      </c>
      <c r="B343" s="1005" t="s">
        <v>284</v>
      </c>
      <c r="C343" s="1006" t="s">
        <v>15</v>
      </c>
      <c r="D343" s="1007">
        <v>48</v>
      </c>
      <c r="E343" s="677"/>
      <c r="F343" s="986"/>
      <c r="G343" s="986">
        <f t="shared" si="42"/>
        <v>45678</v>
      </c>
      <c r="H343" s="987">
        <f t="shared" si="43"/>
        <v>45711</v>
      </c>
      <c r="I343" s="1012" t="s">
        <v>286</v>
      </c>
      <c r="J343" s="998" t="s">
        <v>207</v>
      </c>
      <c r="K343" s="998" t="s">
        <v>19</v>
      </c>
      <c r="L343" s="992" t="s">
        <v>20</v>
      </c>
      <c r="M343" s="998"/>
      <c r="N343" s="512"/>
      <c r="O343" s="512"/>
      <c r="P343" s="512"/>
      <c r="Q343" s="512"/>
      <c r="R343" s="512"/>
      <c r="S343" s="512"/>
      <c r="T343" s="512"/>
      <c r="U343" s="512"/>
      <c r="V343" s="512"/>
      <c r="W343" s="512"/>
    </row>
    <row r="344" s="477" customFormat="1" spans="1:23">
      <c r="A344" s="998" t="s">
        <v>202</v>
      </c>
      <c r="B344" s="1005" t="s">
        <v>284</v>
      </c>
      <c r="C344" s="1006" t="s">
        <v>22</v>
      </c>
      <c r="D344" s="1007">
        <v>48</v>
      </c>
      <c r="E344" s="677"/>
      <c r="F344" s="986"/>
      <c r="G344" s="986">
        <f t="shared" si="42"/>
        <v>45678</v>
      </c>
      <c r="H344" s="987">
        <f t="shared" si="43"/>
        <v>45711</v>
      </c>
      <c r="I344" s="1012" t="s">
        <v>286</v>
      </c>
      <c r="J344" s="998" t="s">
        <v>207</v>
      </c>
      <c r="K344" s="998" t="s">
        <v>19</v>
      </c>
      <c r="L344" s="992" t="s">
        <v>20</v>
      </c>
      <c r="M344" s="1020" t="s">
        <v>283</v>
      </c>
      <c r="N344" s="512"/>
      <c r="O344" s="512"/>
      <c r="P344" s="512"/>
      <c r="Q344" s="512"/>
      <c r="R344" s="512"/>
      <c r="S344" s="512"/>
      <c r="T344" s="512"/>
      <c r="U344" s="512"/>
      <c r="V344" s="512"/>
      <c r="W344" s="512"/>
    </row>
    <row r="345" s="477" customFormat="1" spans="1:23">
      <c r="A345" s="998" t="s">
        <v>202</v>
      </c>
      <c r="B345" s="1005" t="s">
        <v>284</v>
      </c>
      <c r="C345" s="1006" t="s">
        <v>24</v>
      </c>
      <c r="D345" s="1007">
        <v>45</v>
      </c>
      <c r="E345" s="677"/>
      <c r="F345" s="986"/>
      <c r="G345" s="986">
        <f t="shared" si="42"/>
        <v>45678</v>
      </c>
      <c r="H345" s="987">
        <f t="shared" si="43"/>
        <v>45711</v>
      </c>
      <c r="I345" s="1012" t="s">
        <v>286</v>
      </c>
      <c r="J345" s="998" t="s">
        <v>207</v>
      </c>
      <c r="K345" s="998" t="s">
        <v>19</v>
      </c>
      <c r="L345" s="992" t="s">
        <v>20</v>
      </c>
      <c r="M345" s="998"/>
      <c r="N345" s="512"/>
      <c r="O345" s="512"/>
      <c r="P345" s="512"/>
      <c r="Q345" s="512"/>
      <c r="R345" s="512"/>
      <c r="S345" s="512"/>
      <c r="T345" s="512"/>
      <c r="U345" s="512"/>
      <c r="V345" s="512"/>
      <c r="W345" s="512"/>
    </row>
    <row r="346" s="477" customFormat="1" spans="1:23">
      <c r="A346" s="998" t="s">
        <v>202</v>
      </c>
      <c r="B346" s="1005" t="s">
        <v>284</v>
      </c>
      <c r="C346" s="1006" t="s">
        <v>25</v>
      </c>
      <c r="D346" s="1007">
        <v>45</v>
      </c>
      <c r="E346" s="677"/>
      <c r="F346" s="986"/>
      <c r="G346" s="986">
        <f t="shared" si="42"/>
        <v>45678</v>
      </c>
      <c r="H346" s="987">
        <f t="shared" si="43"/>
        <v>45711</v>
      </c>
      <c r="I346" s="1012" t="s">
        <v>286</v>
      </c>
      <c r="J346" s="998" t="s">
        <v>207</v>
      </c>
      <c r="K346" s="998" t="s">
        <v>19</v>
      </c>
      <c r="L346" s="992" t="s">
        <v>20</v>
      </c>
      <c r="M346" s="998"/>
      <c r="N346" s="512"/>
      <c r="O346" s="512"/>
      <c r="P346" s="512"/>
      <c r="Q346" s="512"/>
      <c r="R346" s="512"/>
      <c r="S346" s="512"/>
      <c r="T346" s="512"/>
      <c r="U346" s="512"/>
      <c r="V346" s="512"/>
      <c r="W346" s="512"/>
    </row>
    <row r="347" s="477" customFormat="1" spans="1:23">
      <c r="A347" s="998" t="s">
        <v>202</v>
      </c>
      <c r="B347" s="1005" t="s">
        <v>284</v>
      </c>
      <c r="C347" s="1006" t="s">
        <v>27</v>
      </c>
      <c r="D347" s="1007">
        <v>18</v>
      </c>
      <c r="E347" s="677"/>
      <c r="F347" s="986"/>
      <c r="G347" s="986">
        <f t="shared" si="42"/>
        <v>45678</v>
      </c>
      <c r="H347" s="987">
        <f t="shared" si="43"/>
        <v>45711</v>
      </c>
      <c r="I347" s="1012" t="s">
        <v>286</v>
      </c>
      <c r="J347" s="998" t="s">
        <v>207</v>
      </c>
      <c r="K347" s="998" t="s">
        <v>19</v>
      </c>
      <c r="L347" s="992" t="s">
        <v>20</v>
      </c>
      <c r="M347" s="998"/>
      <c r="N347" s="512"/>
      <c r="O347" s="512"/>
      <c r="P347" s="512"/>
      <c r="Q347" s="512"/>
      <c r="R347" s="512"/>
      <c r="S347" s="512"/>
      <c r="T347" s="512"/>
      <c r="U347" s="512"/>
      <c r="V347" s="512"/>
      <c r="W347" s="512"/>
    </row>
    <row r="348" s="477" customFormat="1" spans="1:23">
      <c r="A348" s="998" t="s">
        <v>202</v>
      </c>
      <c r="B348" s="1005" t="s">
        <v>284</v>
      </c>
      <c r="C348" s="1006" t="s">
        <v>28</v>
      </c>
      <c r="D348" s="1007">
        <v>18</v>
      </c>
      <c r="E348" s="677"/>
      <c r="F348" s="986"/>
      <c r="G348" s="986">
        <f t="shared" si="42"/>
        <v>45678</v>
      </c>
      <c r="H348" s="987">
        <f t="shared" si="43"/>
        <v>45711</v>
      </c>
      <c r="I348" s="1012" t="s">
        <v>286</v>
      </c>
      <c r="J348" s="998" t="s">
        <v>207</v>
      </c>
      <c r="K348" s="998" t="s">
        <v>19</v>
      </c>
      <c r="L348" s="992" t="s">
        <v>20</v>
      </c>
      <c r="M348" s="998"/>
      <c r="N348" s="512"/>
      <c r="O348" s="512"/>
      <c r="P348" s="512"/>
      <c r="Q348" s="512"/>
      <c r="R348" s="512"/>
      <c r="S348" s="512"/>
      <c r="T348" s="512"/>
      <c r="U348" s="512"/>
      <c r="V348" s="512"/>
      <c r="W348" s="512"/>
    </row>
    <row r="349" s="477" customFormat="1" spans="1:23">
      <c r="A349" s="998" t="s">
        <v>202</v>
      </c>
      <c r="B349" s="1005" t="s">
        <v>284</v>
      </c>
      <c r="C349" s="1006" t="s">
        <v>67</v>
      </c>
      <c r="D349" s="1007">
        <v>29</v>
      </c>
      <c r="E349" s="677"/>
      <c r="F349" s="986"/>
      <c r="G349" s="986">
        <f t="shared" si="42"/>
        <v>45678</v>
      </c>
      <c r="H349" s="987">
        <f t="shared" si="43"/>
        <v>45711</v>
      </c>
      <c r="I349" s="1012" t="s">
        <v>286</v>
      </c>
      <c r="J349" s="998" t="s">
        <v>207</v>
      </c>
      <c r="K349" s="998" t="s">
        <v>19</v>
      </c>
      <c r="L349" s="992" t="s">
        <v>20</v>
      </c>
      <c r="M349" s="998"/>
      <c r="N349" s="512"/>
      <c r="O349" s="512"/>
      <c r="P349" s="512"/>
      <c r="Q349" s="512"/>
      <c r="R349" s="512"/>
      <c r="S349" s="512"/>
      <c r="T349" s="512"/>
      <c r="U349" s="512"/>
      <c r="V349" s="512"/>
      <c r="W349" s="512"/>
    </row>
    <row r="350" s="477" customFormat="1" spans="1:23">
      <c r="A350" s="998" t="s">
        <v>202</v>
      </c>
      <c r="B350" s="1005" t="s">
        <v>284</v>
      </c>
      <c r="C350" s="1006" t="s">
        <v>69</v>
      </c>
      <c r="D350" s="1007">
        <v>29</v>
      </c>
      <c r="E350" s="677"/>
      <c r="F350" s="986"/>
      <c r="G350" s="986">
        <f t="shared" si="42"/>
        <v>45678</v>
      </c>
      <c r="H350" s="987">
        <f t="shared" si="43"/>
        <v>45711</v>
      </c>
      <c r="I350" s="1012" t="s">
        <v>286</v>
      </c>
      <c r="J350" s="998" t="s">
        <v>207</v>
      </c>
      <c r="K350" s="998" t="s">
        <v>19</v>
      </c>
      <c r="L350" s="992" t="s">
        <v>20</v>
      </c>
      <c r="M350" s="998"/>
      <c r="N350" s="512"/>
      <c r="O350" s="512"/>
      <c r="P350" s="512"/>
      <c r="Q350" s="512"/>
      <c r="R350" s="512"/>
      <c r="S350" s="512"/>
      <c r="T350" s="512"/>
      <c r="U350" s="512"/>
      <c r="V350" s="512"/>
      <c r="W350" s="512"/>
    </row>
    <row r="351" s="477" customFormat="1" spans="1:23">
      <c r="A351" s="998" t="s">
        <v>202</v>
      </c>
      <c r="B351" s="1005" t="s">
        <v>284</v>
      </c>
      <c r="C351" s="1006" t="s">
        <v>164</v>
      </c>
      <c r="D351" s="1007">
        <v>2</v>
      </c>
      <c r="E351" s="677"/>
      <c r="F351" s="986"/>
      <c r="G351" s="986">
        <f t="shared" si="42"/>
        <v>45678</v>
      </c>
      <c r="H351" s="987">
        <f t="shared" si="43"/>
        <v>45711</v>
      </c>
      <c r="I351" s="1012" t="s">
        <v>286</v>
      </c>
      <c r="J351" s="998" t="s">
        <v>207</v>
      </c>
      <c r="K351" s="998" t="s">
        <v>19</v>
      </c>
      <c r="L351" s="992" t="s">
        <v>20</v>
      </c>
      <c r="M351" s="998"/>
      <c r="N351" s="512"/>
      <c r="O351" s="512"/>
      <c r="P351" s="512"/>
      <c r="Q351" s="512"/>
      <c r="R351" s="512"/>
      <c r="S351" s="512"/>
      <c r="T351" s="512"/>
      <c r="U351" s="512"/>
      <c r="V351" s="512"/>
      <c r="W351" s="512"/>
    </row>
    <row r="352" s="477" customFormat="1" spans="1:23">
      <c r="A352" s="998" t="s">
        <v>202</v>
      </c>
      <c r="B352" s="1005" t="s">
        <v>284</v>
      </c>
      <c r="C352" s="1006" t="s">
        <v>165</v>
      </c>
      <c r="D352" s="1007">
        <v>2</v>
      </c>
      <c r="E352" s="677"/>
      <c r="F352" s="986"/>
      <c r="G352" s="986">
        <f t="shared" si="42"/>
        <v>45678</v>
      </c>
      <c r="H352" s="987">
        <f t="shared" si="43"/>
        <v>45711</v>
      </c>
      <c r="I352" s="1012" t="s">
        <v>286</v>
      </c>
      <c r="J352" s="998" t="s">
        <v>207</v>
      </c>
      <c r="K352" s="998" t="s">
        <v>19</v>
      </c>
      <c r="L352" s="992" t="s">
        <v>20</v>
      </c>
      <c r="M352" s="998"/>
      <c r="N352" s="512"/>
      <c r="O352" s="512"/>
      <c r="P352" s="512"/>
      <c r="Q352" s="512"/>
      <c r="R352" s="512"/>
      <c r="S352" s="512"/>
      <c r="T352" s="512"/>
      <c r="U352" s="512"/>
      <c r="V352" s="512"/>
      <c r="W352" s="512"/>
    </row>
    <row r="353" s="477" customFormat="1" spans="1:23">
      <c r="A353" s="998" t="s">
        <v>202</v>
      </c>
      <c r="B353" s="1005" t="s">
        <v>284</v>
      </c>
      <c r="C353" s="1006" t="s">
        <v>29</v>
      </c>
      <c r="D353" s="1007">
        <v>4</v>
      </c>
      <c r="E353" s="677"/>
      <c r="F353" s="986"/>
      <c r="G353" s="986">
        <f t="shared" si="42"/>
        <v>45678</v>
      </c>
      <c r="H353" s="987">
        <f t="shared" si="43"/>
        <v>45711</v>
      </c>
      <c r="I353" s="1012" t="s">
        <v>286</v>
      </c>
      <c r="J353" s="998" t="s">
        <v>207</v>
      </c>
      <c r="K353" s="998" t="s">
        <v>19</v>
      </c>
      <c r="L353" s="992" t="s">
        <v>20</v>
      </c>
      <c r="M353" s="998"/>
      <c r="N353" s="512"/>
      <c r="O353" s="512"/>
      <c r="P353" s="512"/>
      <c r="Q353" s="512"/>
      <c r="R353" s="512"/>
      <c r="S353" s="512"/>
      <c r="T353" s="512"/>
      <c r="U353" s="512"/>
      <c r="V353" s="512"/>
      <c r="W353" s="512"/>
    </row>
    <row r="354" s="477" customFormat="1" spans="1:23">
      <c r="A354" s="998" t="s">
        <v>202</v>
      </c>
      <c r="B354" s="1005" t="s">
        <v>284</v>
      </c>
      <c r="C354" s="1006" t="s">
        <v>30</v>
      </c>
      <c r="D354" s="1007">
        <v>4</v>
      </c>
      <c r="E354" s="677"/>
      <c r="F354" s="986"/>
      <c r="G354" s="986">
        <f t="shared" si="42"/>
        <v>45678</v>
      </c>
      <c r="H354" s="987">
        <f t="shared" si="43"/>
        <v>45711</v>
      </c>
      <c r="I354" s="1012" t="s">
        <v>286</v>
      </c>
      <c r="J354" s="998" t="s">
        <v>207</v>
      </c>
      <c r="K354" s="998" t="s">
        <v>19</v>
      </c>
      <c r="L354" s="992" t="s">
        <v>20</v>
      </c>
      <c r="M354" s="998"/>
      <c r="N354" s="512"/>
      <c r="O354" s="512"/>
      <c r="P354" s="512"/>
      <c r="Q354" s="512"/>
      <c r="R354" s="512"/>
      <c r="S354" s="512"/>
      <c r="T354" s="512"/>
      <c r="U354" s="512"/>
      <c r="V354" s="512"/>
      <c r="W354" s="512"/>
    </row>
    <row r="355" s="477" customFormat="1" spans="1:23">
      <c r="A355" s="998" t="s">
        <v>202</v>
      </c>
      <c r="B355" s="1005" t="s">
        <v>284</v>
      </c>
      <c r="C355" s="1006" t="s">
        <v>31</v>
      </c>
      <c r="D355" s="1007">
        <v>4</v>
      </c>
      <c r="E355" s="677"/>
      <c r="F355" s="986"/>
      <c r="G355" s="986">
        <f t="shared" si="42"/>
        <v>45678</v>
      </c>
      <c r="H355" s="987">
        <f t="shared" si="43"/>
        <v>45711</v>
      </c>
      <c r="I355" s="1012" t="s">
        <v>286</v>
      </c>
      <c r="J355" s="998" t="s">
        <v>207</v>
      </c>
      <c r="K355" s="998" t="s">
        <v>19</v>
      </c>
      <c r="L355" s="992" t="s">
        <v>20</v>
      </c>
      <c r="M355" s="998"/>
      <c r="N355" s="512"/>
      <c r="O355" s="512"/>
      <c r="P355" s="512"/>
      <c r="Q355" s="512"/>
      <c r="R355" s="512"/>
      <c r="S355" s="512"/>
      <c r="T355" s="512"/>
      <c r="U355" s="512"/>
      <c r="V355" s="512"/>
      <c r="W355" s="512"/>
    </row>
    <row r="356" s="477" customFormat="1" spans="1:23">
      <c r="A356" s="998" t="s">
        <v>202</v>
      </c>
      <c r="B356" s="1005" t="s">
        <v>284</v>
      </c>
      <c r="C356" s="1006" t="s">
        <v>32</v>
      </c>
      <c r="D356" s="1007">
        <v>4</v>
      </c>
      <c r="E356" s="677"/>
      <c r="F356" s="986"/>
      <c r="G356" s="986">
        <f t="shared" si="42"/>
        <v>45678</v>
      </c>
      <c r="H356" s="987">
        <f t="shared" si="43"/>
        <v>45711</v>
      </c>
      <c r="I356" s="1012" t="s">
        <v>286</v>
      </c>
      <c r="J356" s="998" t="s">
        <v>207</v>
      </c>
      <c r="K356" s="998" t="s">
        <v>19</v>
      </c>
      <c r="L356" s="992" t="s">
        <v>20</v>
      </c>
      <c r="M356" s="998"/>
      <c r="N356" s="512"/>
      <c r="O356" s="512"/>
      <c r="P356" s="512"/>
      <c r="Q356" s="512"/>
      <c r="R356" s="512"/>
      <c r="S356" s="512"/>
      <c r="T356" s="512"/>
      <c r="U356" s="512"/>
      <c r="V356" s="512"/>
      <c r="W356" s="512"/>
    </row>
    <row r="357" s="477" customFormat="1" spans="1:23">
      <c r="A357" s="998" t="s">
        <v>202</v>
      </c>
      <c r="B357" s="1005" t="s">
        <v>284</v>
      </c>
      <c r="C357" s="1006" t="s">
        <v>59</v>
      </c>
      <c r="D357" s="1007">
        <v>1</v>
      </c>
      <c r="E357" s="677"/>
      <c r="F357" s="986"/>
      <c r="G357" s="986">
        <f t="shared" si="42"/>
        <v>45678</v>
      </c>
      <c r="H357" s="987">
        <f t="shared" si="43"/>
        <v>45711</v>
      </c>
      <c r="I357" s="1012" t="s">
        <v>286</v>
      </c>
      <c r="J357" s="998" t="s">
        <v>207</v>
      </c>
      <c r="K357" s="998" t="s">
        <v>19</v>
      </c>
      <c r="L357" s="992" t="s">
        <v>20</v>
      </c>
      <c r="M357" s="998"/>
      <c r="N357" s="512"/>
      <c r="O357" s="512"/>
      <c r="P357" s="512"/>
      <c r="Q357" s="512"/>
      <c r="R357" s="512"/>
      <c r="S357" s="512"/>
      <c r="T357" s="512"/>
      <c r="U357" s="512"/>
      <c r="V357" s="512"/>
      <c r="W357" s="512"/>
    </row>
    <row r="358" s="477" customFormat="1" spans="1:23">
      <c r="A358" s="998" t="s">
        <v>202</v>
      </c>
      <c r="B358" s="1005" t="s">
        <v>284</v>
      </c>
      <c r="C358" s="1006" t="s">
        <v>60</v>
      </c>
      <c r="D358" s="1007">
        <v>1</v>
      </c>
      <c r="E358" s="677"/>
      <c r="F358" s="986"/>
      <c r="G358" s="986">
        <f t="shared" si="42"/>
        <v>45678</v>
      </c>
      <c r="H358" s="987">
        <f t="shared" si="43"/>
        <v>45711</v>
      </c>
      <c r="I358" s="1012" t="s">
        <v>286</v>
      </c>
      <c r="J358" s="998" t="s">
        <v>207</v>
      </c>
      <c r="K358" s="998" t="s">
        <v>19</v>
      </c>
      <c r="L358" s="992" t="s">
        <v>20</v>
      </c>
      <c r="M358" s="998"/>
      <c r="N358" s="512"/>
      <c r="O358" s="512"/>
      <c r="P358" s="512"/>
      <c r="Q358" s="512"/>
      <c r="R358" s="512"/>
      <c r="S358" s="512"/>
      <c r="T358" s="512"/>
      <c r="U358" s="512"/>
      <c r="V358" s="512"/>
      <c r="W358" s="512"/>
    </row>
    <row r="359" s="477" customFormat="1" spans="1:23">
      <c r="A359" s="998" t="s">
        <v>202</v>
      </c>
      <c r="B359" s="1005" t="s">
        <v>288</v>
      </c>
      <c r="C359" s="1006" t="s">
        <v>52</v>
      </c>
      <c r="D359" s="1007">
        <v>26</v>
      </c>
      <c r="E359" s="1008" t="s">
        <v>289</v>
      </c>
      <c r="F359" s="986"/>
      <c r="G359" s="986">
        <f>VLOOKUP(CLEAN(SUBSTITUTE(TRIM(MID(E:E,FIND("/",E:E)+1,LEN(E:E)))," ","")),'Customs Decl. &amp; Local Delivery'!D:I,6,0)</f>
        <v>45685</v>
      </c>
      <c r="H359" s="987">
        <f>VLOOKUP(CLEAN(SUBSTITUTE(TRIM(MID(E:E,FIND("/",E:E)+1,LEN(E:E)))," ","")),'Customs Decl. &amp; Local Delivery'!D:J,7,0)</f>
        <v>45704</v>
      </c>
      <c r="I359" s="1012" t="s">
        <v>290</v>
      </c>
      <c r="J359" s="998" t="s">
        <v>161</v>
      </c>
      <c r="K359" s="998" t="s">
        <v>19</v>
      </c>
      <c r="L359" s="992" t="s">
        <v>20</v>
      </c>
      <c r="M359" s="998" t="s">
        <v>291</v>
      </c>
      <c r="N359" s="512"/>
      <c r="O359" s="512"/>
      <c r="P359" s="512"/>
      <c r="Q359" s="512"/>
      <c r="R359" s="512"/>
      <c r="S359" s="512"/>
      <c r="T359" s="512"/>
      <c r="U359" s="512"/>
      <c r="V359" s="512"/>
      <c r="W359" s="512"/>
    </row>
    <row r="360" s="477" customFormat="1" spans="1:23">
      <c r="A360" s="998" t="s">
        <v>202</v>
      </c>
      <c r="B360" s="1005" t="s">
        <v>288</v>
      </c>
      <c r="C360" s="1006" t="s">
        <v>56</v>
      </c>
      <c r="D360" s="1007">
        <v>26</v>
      </c>
      <c r="E360" s="677"/>
      <c r="F360" s="986"/>
      <c r="G360" s="986">
        <f t="shared" ref="G360:G370" si="44">G359</f>
        <v>45685</v>
      </c>
      <c r="H360" s="987">
        <f t="shared" ref="H360:H370" si="45">H359</f>
        <v>45704</v>
      </c>
      <c r="I360" s="1012" t="s">
        <v>290</v>
      </c>
      <c r="J360" s="998" t="s">
        <v>161</v>
      </c>
      <c r="K360" s="998" t="s">
        <v>19</v>
      </c>
      <c r="L360" s="992" t="s">
        <v>20</v>
      </c>
      <c r="M360" s="998" t="s">
        <v>217</v>
      </c>
      <c r="N360" s="512"/>
      <c r="O360" s="512"/>
      <c r="P360" s="512"/>
      <c r="Q360" s="512"/>
      <c r="R360" s="512"/>
      <c r="S360" s="512"/>
      <c r="T360" s="512"/>
      <c r="U360" s="512"/>
      <c r="V360" s="512"/>
      <c r="W360" s="512"/>
    </row>
    <row r="361" s="477" customFormat="1" spans="1:23">
      <c r="A361" s="998" t="s">
        <v>202</v>
      </c>
      <c r="B361" s="1005" t="s">
        <v>288</v>
      </c>
      <c r="C361" s="1006" t="s">
        <v>36</v>
      </c>
      <c r="D361" s="1007">
        <v>49</v>
      </c>
      <c r="E361" s="677"/>
      <c r="F361" s="986"/>
      <c r="G361" s="986">
        <f t="shared" si="44"/>
        <v>45685</v>
      </c>
      <c r="H361" s="987">
        <f t="shared" si="45"/>
        <v>45704</v>
      </c>
      <c r="I361" s="1012" t="s">
        <v>290</v>
      </c>
      <c r="J361" s="998" t="s">
        <v>161</v>
      </c>
      <c r="K361" s="998" t="s">
        <v>19</v>
      </c>
      <c r="L361" s="992" t="s">
        <v>20</v>
      </c>
      <c r="M361" s="1005"/>
      <c r="N361" s="512"/>
      <c r="O361" s="512"/>
      <c r="P361" s="512"/>
      <c r="Q361" s="512"/>
      <c r="R361" s="512"/>
      <c r="S361" s="512"/>
      <c r="T361" s="512"/>
      <c r="U361" s="512"/>
      <c r="V361" s="512"/>
      <c r="W361" s="512"/>
    </row>
    <row r="362" s="477" customFormat="1" spans="1:23">
      <c r="A362" s="998" t="s">
        <v>202</v>
      </c>
      <c r="B362" s="1005" t="s">
        <v>288</v>
      </c>
      <c r="C362" s="1006" t="s">
        <v>41</v>
      </c>
      <c r="D362" s="1007">
        <v>49</v>
      </c>
      <c r="E362" s="677"/>
      <c r="F362" s="986"/>
      <c r="G362" s="986">
        <f t="shared" si="44"/>
        <v>45685</v>
      </c>
      <c r="H362" s="987">
        <f t="shared" si="45"/>
        <v>45704</v>
      </c>
      <c r="I362" s="1012" t="s">
        <v>290</v>
      </c>
      <c r="J362" s="998" t="s">
        <v>161</v>
      </c>
      <c r="K362" s="998" t="s">
        <v>19</v>
      </c>
      <c r="L362" s="992" t="s">
        <v>20</v>
      </c>
      <c r="M362" s="1021" t="s">
        <v>292</v>
      </c>
      <c r="N362" s="512"/>
      <c r="O362" s="512"/>
      <c r="P362" s="512"/>
      <c r="Q362" s="512"/>
      <c r="R362" s="512"/>
      <c r="S362" s="512"/>
      <c r="T362" s="512"/>
      <c r="U362" s="512"/>
      <c r="V362" s="512"/>
      <c r="W362" s="512"/>
    </row>
    <row r="363" s="477" customFormat="1" spans="1:23">
      <c r="A363" s="998" t="s">
        <v>202</v>
      </c>
      <c r="B363" s="1005" t="s">
        <v>288</v>
      </c>
      <c r="C363" s="1006" t="s">
        <v>43</v>
      </c>
      <c r="D363" s="1007">
        <v>21</v>
      </c>
      <c r="E363" s="677"/>
      <c r="F363" s="986"/>
      <c r="G363" s="986">
        <f t="shared" si="44"/>
        <v>45685</v>
      </c>
      <c r="H363" s="987">
        <f t="shared" si="45"/>
        <v>45704</v>
      </c>
      <c r="I363" s="1012" t="s">
        <v>290</v>
      </c>
      <c r="J363" s="998" t="s">
        <v>161</v>
      </c>
      <c r="K363" s="998" t="s">
        <v>19</v>
      </c>
      <c r="L363" s="992" t="s">
        <v>20</v>
      </c>
      <c r="M363" s="1005"/>
      <c r="N363" s="512"/>
      <c r="O363" s="512"/>
      <c r="P363" s="512"/>
      <c r="Q363" s="512"/>
      <c r="R363" s="512"/>
      <c r="S363" s="512"/>
      <c r="T363" s="512"/>
      <c r="U363" s="512"/>
      <c r="V363" s="512"/>
      <c r="W363" s="512"/>
    </row>
    <row r="364" s="477" customFormat="1" spans="1:23">
      <c r="A364" s="998" t="s">
        <v>202</v>
      </c>
      <c r="B364" s="1005" t="s">
        <v>288</v>
      </c>
      <c r="C364" s="1006" t="s">
        <v>45</v>
      </c>
      <c r="D364" s="1007">
        <v>21</v>
      </c>
      <c r="E364" s="677"/>
      <c r="F364" s="986"/>
      <c r="G364" s="986">
        <f t="shared" si="44"/>
        <v>45685</v>
      </c>
      <c r="H364" s="987">
        <f t="shared" si="45"/>
        <v>45704</v>
      </c>
      <c r="I364" s="1012" t="s">
        <v>290</v>
      </c>
      <c r="J364" s="998" t="s">
        <v>161</v>
      </c>
      <c r="K364" s="998" t="s">
        <v>19</v>
      </c>
      <c r="L364" s="992" t="s">
        <v>20</v>
      </c>
      <c r="M364" s="1005"/>
      <c r="N364" s="512"/>
      <c r="O364" s="512"/>
      <c r="P364" s="512"/>
      <c r="Q364" s="512"/>
      <c r="R364" s="512"/>
      <c r="S364" s="512"/>
      <c r="T364" s="512"/>
      <c r="U364" s="512"/>
      <c r="V364" s="512"/>
      <c r="W364" s="512"/>
    </row>
    <row r="365" s="477" customFormat="1" spans="1:23">
      <c r="A365" s="998" t="s">
        <v>202</v>
      </c>
      <c r="B365" s="1005" t="s">
        <v>288</v>
      </c>
      <c r="C365" s="1006" t="s">
        <v>47</v>
      </c>
      <c r="D365" s="1007">
        <v>39</v>
      </c>
      <c r="E365" s="677"/>
      <c r="F365" s="986"/>
      <c r="G365" s="986">
        <f t="shared" si="44"/>
        <v>45685</v>
      </c>
      <c r="H365" s="987">
        <f t="shared" si="45"/>
        <v>45704</v>
      </c>
      <c r="I365" s="1012" t="s">
        <v>290</v>
      </c>
      <c r="J365" s="998" t="s">
        <v>161</v>
      </c>
      <c r="K365" s="998" t="s">
        <v>19</v>
      </c>
      <c r="L365" s="992" t="s">
        <v>20</v>
      </c>
      <c r="M365" s="1005"/>
      <c r="N365" s="512"/>
      <c r="O365" s="512"/>
      <c r="P365" s="512"/>
      <c r="Q365" s="512"/>
      <c r="R365" s="512"/>
      <c r="S365" s="512"/>
      <c r="T365" s="512"/>
      <c r="U365" s="512"/>
      <c r="V365" s="512"/>
      <c r="W365" s="512"/>
    </row>
    <row r="366" s="477" customFormat="1" spans="1:23">
      <c r="A366" s="998" t="s">
        <v>202</v>
      </c>
      <c r="B366" s="1005" t="s">
        <v>288</v>
      </c>
      <c r="C366" s="1006" t="s">
        <v>48</v>
      </c>
      <c r="D366" s="1007">
        <v>39</v>
      </c>
      <c r="E366" s="677"/>
      <c r="F366" s="986"/>
      <c r="G366" s="986">
        <f t="shared" si="44"/>
        <v>45685</v>
      </c>
      <c r="H366" s="987">
        <f t="shared" si="45"/>
        <v>45704</v>
      </c>
      <c r="I366" s="1012" t="s">
        <v>290</v>
      </c>
      <c r="J366" s="998" t="s">
        <v>161</v>
      </c>
      <c r="K366" s="998" t="s">
        <v>19</v>
      </c>
      <c r="L366" s="992" t="s">
        <v>20</v>
      </c>
      <c r="M366" s="1005"/>
      <c r="N366" s="512"/>
      <c r="O366" s="512"/>
      <c r="P366" s="512"/>
      <c r="Q366" s="512"/>
      <c r="R366" s="512"/>
      <c r="S366" s="512"/>
      <c r="T366" s="512"/>
      <c r="U366" s="512"/>
      <c r="V366" s="512"/>
      <c r="W366" s="512"/>
    </row>
    <row r="367" s="477" customFormat="1" spans="1:23">
      <c r="A367" s="998" t="s">
        <v>202</v>
      </c>
      <c r="B367" s="1005" t="s">
        <v>288</v>
      </c>
      <c r="C367" s="1006" t="s">
        <v>49</v>
      </c>
      <c r="D367" s="1007">
        <v>27</v>
      </c>
      <c r="E367" s="677"/>
      <c r="F367" s="986"/>
      <c r="G367" s="986">
        <f t="shared" si="44"/>
        <v>45685</v>
      </c>
      <c r="H367" s="987">
        <f t="shared" si="45"/>
        <v>45704</v>
      </c>
      <c r="I367" s="1012" t="s">
        <v>290</v>
      </c>
      <c r="J367" s="998" t="s">
        <v>161</v>
      </c>
      <c r="K367" s="998" t="s">
        <v>19</v>
      </c>
      <c r="L367" s="992" t="s">
        <v>20</v>
      </c>
      <c r="M367" s="1005"/>
      <c r="N367" s="512"/>
      <c r="O367" s="512"/>
      <c r="P367" s="512"/>
      <c r="Q367" s="512"/>
      <c r="R367" s="512"/>
      <c r="S367" s="512"/>
      <c r="T367" s="512"/>
      <c r="U367" s="512"/>
      <c r="V367" s="512"/>
      <c r="W367" s="512"/>
    </row>
    <row r="368" s="477" customFormat="1" spans="1:23">
      <c r="A368" s="998" t="s">
        <v>202</v>
      </c>
      <c r="B368" s="1005" t="s">
        <v>288</v>
      </c>
      <c r="C368" s="1006" t="s">
        <v>50</v>
      </c>
      <c r="D368" s="1007">
        <v>27</v>
      </c>
      <c r="E368" s="677"/>
      <c r="F368" s="986"/>
      <c r="G368" s="986">
        <f t="shared" si="44"/>
        <v>45685</v>
      </c>
      <c r="H368" s="987">
        <f t="shared" si="45"/>
        <v>45704</v>
      </c>
      <c r="I368" s="1012" t="s">
        <v>290</v>
      </c>
      <c r="J368" s="998" t="s">
        <v>161</v>
      </c>
      <c r="K368" s="998" t="s">
        <v>19</v>
      </c>
      <c r="L368" s="992" t="s">
        <v>20</v>
      </c>
      <c r="M368" s="1005"/>
      <c r="N368" s="512"/>
      <c r="O368" s="512"/>
      <c r="P368" s="512"/>
      <c r="Q368" s="512"/>
      <c r="R368" s="512"/>
      <c r="S368" s="512"/>
      <c r="T368" s="512"/>
      <c r="U368" s="512"/>
      <c r="V368" s="512"/>
      <c r="W368" s="512"/>
    </row>
    <row r="369" s="477" customFormat="1" spans="1:23">
      <c r="A369" s="998" t="s">
        <v>202</v>
      </c>
      <c r="B369" s="1005" t="s">
        <v>288</v>
      </c>
      <c r="C369" s="1006" t="s">
        <v>164</v>
      </c>
      <c r="D369" s="1007">
        <v>6</v>
      </c>
      <c r="E369" s="677"/>
      <c r="F369" s="986"/>
      <c r="G369" s="986">
        <f t="shared" si="44"/>
        <v>45685</v>
      </c>
      <c r="H369" s="987">
        <f t="shared" si="45"/>
        <v>45704</v>
      </c>
      <c r="I369" s="1012" t="s">
        <v>290</v>
      </c>
      <c r="J369" s="998" t="s">
        <v>161</v>
      </c>
      <c r="K369" s="998" t="s">
        <v>19</v>
      </c>
      <c r="L369" s="992" t="s">
        <v>20</v>
      </c>
      <c r="M369" s="1005"/>
      <c r="N369" s="512"/>
      <c r="O369" s="512"/>
      <c r="P369" s="512"/>
      <c r="Q369" s="512"/>
      <c r="R369" s="512"/>
      <c r="S369" s="512"/>
      <c r="T369" s="512"/>
      <c r="U369" s="512"/>
      <c r="V369" s="512"/>
      <c r="W369" s="512"/>
    </row>
    <row r="370" s="477" customFormat="1" spans="1:23">
      <c r="A370" s="998" t="s">
        <v>202</v>
      </c>
      <c r="B370" s="1005" t="s">
        <v>288</v>
      </c>
      <c r="C370" s="1006" t="s">
        <v>165</v>
      </c>
      <c r="D370" s="1007">
        <v>6</v>
      </c>
      <c r="E370" s="677"/>
      <c r="F370" s="986"/>
      <c r="G370" s="986">
        <f t="shared" si="44"/>
        <v>45685</v>
      </c>
      <c r="H370" s="987">
        <f t="shared" si="45"/>
        <v>45704</v>
      </c>
      <c r="I370" s="1012" t="s">
        <v>290</v>
      </c>
      <c r="J370" s="998" t="s">
        <v>161</v>
      </c>
      <c r="K370" s="998" t="s">
        <v>19</v>
      </c>
      <c r="L370" s="992" t="s">
        <v>20</v>
      </c>
      <c r="M370" s="1005"/>
      <c r="N370" s="512"/>
      <c r="O370" s="512"/>
      <c r="P370" s="512"/>
      <c r="Q370" s="512"/>
      <c r="R370" s="512"/>
      <c r="S370" s="512"/>
      <c r="T370" s="512"/>
      <c r="U370" s="512"/>
      <c r="V370" s="512"/>
      <c r="W370" s="512"/>
    </row>
    <row r="371" s="477" customFormat="1" spans="1:23">
      <c r="A371" s="1016" t="s">
        <v>272</v>
      </c>
      <c r="B371" s="1016" t="s">
        <v>293</v>
      </c>
      <c r="C371" s="1017" t="s">
        <v>52</v>
      </c>
      <c r="D371" s="1018">
        <v>30</v>
      </c>
      <c r="E371" s="989" t="s">
        <v>294</v>
      </c>
      <c r="F371" s="986"/>
      <c r="G371" s="986">
        <f>VLOOKUP(CLEAN(SUBSTITUTE(TRIM(MID(E:E,FIND("/",E:E)+1,LEN(E:E)))," ","")),'Customs Decl. &amp; Local Delivery'!D:I,6,0)</f>
        <v>45685</v>
      </c>
      <c r="H371" s="987">
        <f>VLOOKUP(CLEAN(SUBSTITUTE(TRIM(MID(E:E,FIND("/",E:E)+1,LEN(E:E)))," ","")),'Customs Decl. &amp; Local Delivery'!D:J,7,0)</f>
        <v>45701</v>
      </c>
      <c r="I371" s="1022" t="s">
        <v>295</v>
      </c>
      <c r="J371" s="1016" t="s">
        <v>39</v>
      </c>
      <c r="K371" s="1016" t="s">
        <v>19</v>
      </c>
      <c r="L371" s="992" t="s">
        <v>20</v>
      </c>
      <c r="M371" s="1023" t="s">
        <v>296</v>
      </c>
      <c r="N371" s="512"/>
      <c r="O371" s="512"/>
      <c r="P371" s="512"/>
      <c r="Q371" s="512"/>
      <c r="R371" s="512"/>
      <c r="S371" s="512"/>
      <c r="T371" s="512"/>
      <c r="U371" s="512"/>
      <c r="V371" s="512"/>
      <c r="W371" s="512"/>
    </row>
    <row r="372" s="477" customFormat="1" spans="1:23">
      <c r="A372" s="1016" t="s">
        <v>272</v>
      </c>
      <c r="B372" s="1016" t="s">
        <v>293</v>
      </c>
      <c r="C372" s="1017" t="s">
        <v>56</v>
      </c>
      <c r="D372" s="1018">
        <v>30</v>
      </c>
      <c r="E372" s="914"/>
      <c r="F372" s="986"/>
      <c r="G372" s="986">
        <f t="shared" ref="G372:G384" si="46">G371</f>
        <v>45685</v>
      </c>
      <c r="H372" s="987">
        <f t="shared" ref="H372:H384" si="47">H371</f>
        <v>45701</v>
      </c>
      <c r="I372" s="1022" t="s">
        <v>295</v>
      </c>
      <c r="J372" s="1016" t="s">
        <v>39</v>
      </c>
      <c r="K372" s="1016" t="s">
        <v>19</v>
      </c>
      <c r="L372" s="992" t="s">
        <v>20</v>
      </c>
      <c r="M372" s="1016" t="s">
        <v>276</v>
      </c>
      <c r="N372" s="512"/>
      <c r="O372" s="512"/>
      <c r="P372" s="512"/>
      <c r="Q372" s="512"/>
      <c r="R372" s="512"/>
      <c r="S372" s="512"/>
      <c r="T372" s="512"/>
      <c r="U372" s="512"/>
      <c r="V372" s="512"/>
      <c r="W372" s="512"/>
    </row>
    <row r="373" s="477" customFormat="1" spans="1:23">
      <c r="A373" s="1016" t="s">
        <v>272</v>
      </c>
      <c r="B373" s="1016" t="s">
        <v>293</v>
      </c>
      <c r="C373" s="1017" t="s">
        <v>36</v>
      </c>
      <c r="D373" s="1018">
        <v>76</v>
      </c>
      <c r="E373" s="914"/>
      <c r="F373" s="986"/>
      <c r="G373" s="986">
        <f t="shared" si="46"/>
        <v>45685</v>
      </c>
      <c r="H373" s="987">
        <f t="shared" si="47"/>
        <v>45701</v>
      </c>
      <c r="I373" s="1022" t="s">
        <v>295</v>
      </c>
      <c r="J373" s="1016" t="s">
        <v>39</v>
      </c>
      <c r="K373" s="1016" t="s">
        <v>19</v>
      </c>
      <c r="L373" s="992" t="s">
        <v>20</v>
      </c>
      <c r="M373" s="997" t="s">
        <v>256</v>
      </c>
      <c r="N373" s="512"/>
      <c r="O373" s="512"/>
      <c r="P373" s="512"/>
      <c r="Q373" s="512"/>
      <c r="R373" s="512"/>
      <c r="S373" s="512"/>
      <c r="T373" s="512"/>
      <c r="U373" s="512"/>
      <c r="V373" s="512"/>
      <c r="W373" s="512"/>
    </row>
    <row r="374" s="477" customFormat="1" spans="1:23">
      <c r="A374" s="1016" t="s">
        <v>272</v>
      </c>
      <c r="B374" s="1016" t="s">
        <v>293</v>
      </c>
      <c r="C374" s="1019" t="s">
        <v>41</v>
      </c>
      <c r="D374" s="1018">
        <v>76</v>
      </c>
      <c r="E374" s="914"/>
      <c r="F374" s="986"/>
      <c r="G374" s="986">
        <f t="shared" si="46"/>
        <v>45685</v>
      </c>
      <c r="H374" s="987">
        <f t="shared" si="47"/>
        <v>45701</v>
      </c>
      <c r="I374" s="1022" t="s">
        <v>295</v>
      </c>
      <c r="J374" s="1016" t="s">
        <v>39</v>
      </c>
      <c r="K374" s="1016" t="s">
        <v>19</v>
      </c>
      <c r="L374" s="992" t="s">
        <v>20</v>
      </c>
      <c r="M374" s="1016" t="s">
        <v>297</v>
      </c>
      <c r="N374" s="512"/>
      <c r="O374" s="512"/>
      <c r="P374" s="512"/>
      <c r="Q374" s="512"/>
      <c r="R374" s="512"/>
      <c r="S374" s="512"/>
      <c r="T374" s="512"/>
      <c r="U374" s="512"/>
      <c r="V374" s="512"/>
      <c r="W374" s="512"/>
    </row>
    <row r="375" s="477" customFormat="1" spans="1:23">
      <c r="A375" s="1016" t="s">
        <v>272</v>
      </c>
      <c r="B375" s="1016" t="s">
        <v>293</v>
      </c>
      <c r="C375" s="1017" t="s">
        <v>43</v>
      </c>
      <c r="D375" s="1018">
        <v>20</v>
      </c>
      <c r="E375" s="914"/>
      <c r="F375" s="986"/>
      <c r="G375" s="986">
        <f t="shared" si="46"/>
        <v>45685</v>
      </c>
      <c r="H375" s="987">
        <f t="shared" si="47"/>
        <v>45701</v>
      </c>
      <c r="I375" s="1022" t="s">
        <v>295</v>
      </c>
      <c r="J375" s="1016" t="s">
        <v>39</v>
      </c>
      <c r="K375" s="1016" t="s">
        <v>19</v>
      </c>
      <c r="L375" s="992" t="s">
        <v>20</v>
      </c>
      <c r="M375" s="588"/>
      <c r="N375" s="512"/>
      <c r="O375" s="512"/>
      <c r="P375" s="512"/>
      <c r="Q375" s="512"/>
      <c r="R375" s="512"/>
      <c r="S375" s="512"/>
      <c r="T375" s="512"/>
      <c r="U375" s="512"/>
      <c r="V375" s="512"/>
      <c r="W375" s="512"/>
    </row>
    <row r="376" s="477" customFormat="1" spans="1:23">
      <c r="A376" s="1016" t="s">
        <v>272</v>
      </c>
      <c r="B376" s="1016" t="s">
        <v>293</v>
      </c>
      <c r="C376" s="1017" t="s">
        <v>45</v>
      </c>
      <c r="D376" s="1018">
        <v>20</v>
      </c>
      <c r="E376" s="914"/>
      <c r="F376" s="986"/>
      <c r="G376" s="986">
        <f t="shared" si="46"/>
        <v>45685</v>
      </c>
      <c r="H376" s="987">
        <f t="shared" si="47"/>
        <v>45701</v>
      </c>
      <c r="I376" s="1022" t="s">
        <v>295</v>
      </c>
      <c r="J376" s="1016" t="s">
        <v>39</v>
      </c>
      <c r="K376" s="1016" t="s">
        <v>19</v>
      </c>
      <c r="L376" s="992" t="s">
        <v>20</v>
      </c>
      <c r="M376" s="1016"/>
      <c r="N376" s="512"/>
      <c r="O376" s="512"/>
      <c r="P376" s="512"/>
      <c r="Q376" s="512"/>
      <c r="R376" s="512"/>
      <c r="S376" s="512"/>
      <c r="T376" s="512"/>
      <c r="U376" s="512"/>
      <c r="V376" s="512"/>
      <c r="W376" s="512"/>
    </row>
    <row r="377" s="477" customFormat="1" spans="1:23">
      <c r="A377" s="1016" t="s">
        <v>272</v>
      </c>
      <c r="B377" s="1016" t="s">
        <v>293</v>
      </c>
      <c r="C377" s="1017" t="s">
        <v>47</v>
      </c>
      <c r="D377" s="1018">
        <v>10</v>
      </c>
      <c r="E377" s="914"/>
      <c r="F377" s="986"/>
      <c r="G377" s="986">
        <f t="shared" si="46"/>
        <v>45685</v>
      </c>
      <c r="H377" s="987">
        <f t="shared" si="47"/>
        <v>45701</v>
      </c>
      <c r="I377" s="1022" t="s">
        <v>295</v>
      </c>
      <c r="J377" s="1016" t="s">
        <v>39</v>
      </c>
      <c r="K377" s="1016" t="s">
        <v>19</v>
      </c>
      <c r="L377" s="992" t="s">
        <v>20</v>
      </c>
      <c r="M377" s="1016"/>
      <c r="N377" s="512"/>
      <c r="O377" s="512"/>
      <c r="P377" s="512"/>
      <c r="Q377" s="512"/>
      <c r="R377" s="512"/>
      <c r="S377" s="512"/>
      <c r="T377" s="512"/>
      <c r="U377" s="512"/>
      <c r="V377" s="512"/>
      <c r="W377" s="512"/>
    </row>
    <row r="378" s="477" customFormat="1" spans="1:23">
      <c r="A378" s="1016" t="s">
        <v>272</v>
      </c>
      <c r="B378" s="1016" t="s">
        <v>293</v>
      </c>
      <c r="C378" s="1017" t="s">
        <v>48</v>
      </c>
      <c r="D378" s="1018">
        <v>10</v>
      </c>
      <c r="E378" s="914"/>
      <c r="F378" s="986"/>
      <c r="G378" s="986">
        <f t="shared" si="46"/>
        <v>45685</v>
      </c>
      <c r="H378" s="987">
        <f t="shared" si="47"/>
        <v>45701</v>
      </c>
      <c r="I378" s="1022" t="s">
        <v>295</v>
      </c>
      <c r="J378" s="1016" t="s">
        <v>39</v>
      </c>
      <c r="K378" s="1016" t="s">
        <v>19</v>
      </c>
      <c r="L378" s="992" t="s">
        <v>20</v>
      </c>
      <c r="M378" s="1016"/>
      <c r="N378" s="512"/>
      <c r="O378" s="512"/>
      <c r="P378" s="512"/>
      <c r="Q378" s="512"/>
      <c r="R378" s="512"/>
      <c r="S378" s="512"/>
      <c r="T378" s="512"/>
      <c r="U378" s="512"/>
      <c r="V378" s="512"/>
      <c r="W378" s="512"/>
    </row>
    <row r="379" s="477" customFormat="1" spans="1:23">
      <c r="A379" s="1016" t="s">
        <v>272</v>
      </c>
      <c r="B379" s="1016" t="s">
        <v>293</v>
      </c>
      <c r="C379" s="1017" t="s">
        <v>49</v>
      </c>
      <c r="D379" s="1018">
        <v>35</v>
      </c>
      <c r="E379" s="914"/>
      <c r="F379" s="986"/>
      <c r="G379" s="986">
        <f t="shared" si="46"/>
        <v>45685</v>
      </c>
      <c r="H379" s="987">
        <f t="shared" si="47"/>
        <v>45701</v>
      </c>
      <c r="I379" s="1022" t="s">
        <v>295</v>
      </c>
      <c r="J379" s="1016" t="s">
        <v>39</v>
      </c>
      <c r="K379" s="1016" t="s">
        <v>19</v>
      </c>
      <c r="L379" s="992" t="s">
        <v>20</v>
      </c>
      <c r="M379" s="1016"/>
      <c r="N379" s="512"/>
      <c r="O379" s="512"/>
      <c r="P379" s="512"/>
      <c r="Q379" s="512"/>
      <c r="R379" s="512"/>
      <c r="S379" s="512"/>
      <c r="T379" s="512"/>
      <c r="U379" s="512"/>
      <c r="V379" s="512"/>
      <c r="W379" s="512"/>
    </row>
    <row r="380" s="477" customFormat="1" spans="1:23">
      <c r="A380" s="1016" t="s">
        <v>272</v>
      </c>
      <c r="B380" s="1016" t="s">
        <v>293</v>
      </c>
      <c r="C380" s="1017" t="s">
        <v>50</v>
      </c>
      <c r="D380" s="1018">
        <v>35</v>
      </c>
      <c r="E380" s="914"/>
      <c r="F380" s="986"/>
      <c r="G380" s="986">
        <f t="shared" si="46"/>
        <v>45685</v>
      </c>
      <c r="H380" s="987">
        <f t="shared" si="47"/>
        <v>45701</v>
      </c>
      <c r="I380" s="1022" t="s">
        <v>295</v>
      </c>
      <c r="J380" s="1016" t="s">
        <v>39</v>
      </c>
      <c r="K380" s="1016" t="s">
        <v>19</v>
      </c>
      <c r="L380" s="992" t="s">
        <v>20</v>
      </c>
      <c r="M380" s="1016"/>
      <c r="N380" s="512"/>
      <c r="O380" s="512"/>
      <c r="P380" s="512"/>
      <c r="Q380" s="512"/>
      <c r="R380" s="512"/>
      <c r="S380" s="512"/>
      <c r="T380" s="512"/>
      <c r="U380" s="512"/>
      <c r="V380" s="512"/>
      <c r="W380" s="512"/>
    </row>
    <row r="381" s="477" customFormat="1" spans="1:23">
      <c r="A381" s="1016" t="s">
        <v>272</v>
      </c>
      <c r="B381" s="1016" t="s">
        <v>293</v>
      </c>
      <c r="C381" s="1017" t="s">
        <v>164</v>
      </c>
      <c r="D381" s="1018">
        <v>3</v>
      </c>
      <c r="E381" s="914"/>
      <c r="F381" s="986"/>
      <c r="G381" s="986">
        <f t="shared" si="46"/>
        <v>45685</v>
      </c>
      <c r="H381" s="987">
        <f t="shared" si="47"/>
        <v>45701</v>
      </c>
      <c r="I381" s="1022" t="s">
        <v>295</v>
      </c>
      <c r="J381" s="1016" t="s">
        <v>39</v>
      </c>
      <c r="K381" s="1016" t="s">
        <v>19</v>
      </c>
      <c r="L381" s="992" t="s">
        <v>20</v>
      </c>
      <c r="M381" s="1016"/>
      <c r="N381" s="512"/>
      <c r="O381" s="512"/>
      <c r="P381" s="512"/>
      <c r="Q381" s="512"/>
      <c r="R381" s="512"/>
      <c r="S381" s="512"/>
      <c r="T381" s="512"/>
      <c r="U381" s="512"/>
      <c r="V381" s="512"/>
      <c r="W381" s="512"/>
    </row>
    <row r="382" s="477" customFormat="1" spans="1:23">
      <c r="A382" s="1016" t="s">
        <v>272</v>
      </c>
      <c r="B382" s="1016" t="s">
        <v>293</v>
      </c>
      <c r="C382" s="1017" t="s">
        <v>165</v>
      </c>
      <c r="D382" s="1018">
        <v>3</v>
      </c>
      <c r="E382" s="914"/>
      <c r="F382" s="986"/>
      <c r="G382" s="986">
        <f t="shared" si="46"/>
        <v>45685</v>
      </c>
      <c r="H382" s="987">
        <f t="shared" si="47"/>
        <v>45701</v>
      </c>
      <c r="I382" s="1022" t="s">
        <v>295</v>
      </c>
      <c r="J382" s="1016" t="s">
        <v>39</v>
      </c>
      <c r="K382" s="1016" t="s">
        <v>19</v>
      </c>
      <c r="L382" s="992" t="s">
        <v>20</v>
      </c>
      <c r="M382" s="1016"/>
      <c r="N382" s="512"/>
      <c r="O382" s="512"/>
      <c r="P382" s="512"/>
      <c r="Q382" s="512"/>
      <c r="R382" s="512"/>
      <c r="S382" s="512"/>
      <c r="T382" s="512"/>
      <c r="U382" s="512"/>
      <c r="V382" s="512"/>
      <c r="W382" s="512"/>
    </row>
    <row r="383" s="477" customFormat="1" spans="1:23">
      <c r="A383" s="1016" t="s">
        <v>272</v>
      </c>
      <c r="B383" s="1016" t="s">
        <v>293</v>
      </c>
      <c r="C383" s="1017" t="s">
        <v>29</v>
      </c>
      <c r="D383" s="1018">
        <v>3</v>
      </c>
      <c r="E383" s="914"/>
      <c r="F383" s="986"/>
      <c r="G383" s="986">
        <f t="shared" si="46"/>
        <v>45685</v>
      </c>
      <c r="H383" s="987">
        <f t="shared" si="47"/>
        <v>45701</v>
      </c>
      <c r="I383" s="1022" t="s">
        <v>295</v>
      </c>
      <c r="J383" s="1016" t="s">
        <v>39</v>
      </c>
      <c r="K383" s="1016" t="s">
        <v>19</v>
      </c>
      <c r="L383" s="992" t="s">
        <v>20</v>
      </c>
      <c r="M383" s="1016"/>
      <c r="N383" s="512"/>
      <c r="O383" s="512"/>
      <c r="P383" s="512"/>
      <c r="Q383" s="512"/>
      <c r="R383" s="512"/>
      <c r="S383" s="512"/>
      <c r="T383" s="512"/>
      <c r="U383" s="512"/>
      <c r="V383" s="512"/>
      <c r="W383" s="512"/>
    </row>
    <row r="384" s="477" customFormat="1" spans="1:23">
      <c r="A384" s="1016" t="s">
        <v>272</v>
      </c>
      <c r="B384" s="1016" t="s">
        <v>293</v>
      </c>
      <c r="C384" s="1017" t="s">
        <v>30</v>
      </c>
      <c r="D384" s="1018">
        <v>3</v>
      </c>
      <c r="E384" s="914"/>
      <c r="F384" s="986"/>
      <c r="G384" s="986">
        <f t="shared" si="46"/>
        <v>45685</v>
      </c>
      <c r="H384" s="987">
        <f t="shared" si="47"/>
        <v>45701</v>
      </c>
      <c r="I384" s="1022" t="s">
        <v>295</v>
      </c>
      <c r="J384" s="1016" t="s">
        <v>39</v>
      </c>
      <c r="K384" s="1016" t="s">
        <v>19</v>
      </c>
      <c r="L384" s="992" t="s">
        <v>20</v>
      </c>
      <c r="M384" s="1016"/>
      <c r="N384" s="512"/>
      <c r="O384" s="512"/>
      <c r="P384" s="512"/>
      <c r="Q384" s="512"/>
      <c r="R384" s="512"/>
      <c r="S384" s="512"/>
      <c r="T384" s="512"/>
      <c r="U384" s="512"/>
      <c r="V384" s="512"/>
      <c r="W384" s="512"/>
    </row>
    <row r="385" s="477" customFormat="1" spans="1:23">
      <c r="A385" s="998" t="s">
        <v>272</v>
      </c>
      <c r="B385" s="998" t="s">
        <v>298</v>
      </c>
      <c r="C385" s="1006" t="s">
        <v>52</v>
      </c>
      <c r="D385" s="1007">
        <v>20</v>
      </c>
      <c r="E385" s="1008" t="s">
        <v>299</v>
      </c>
      <c r="F385" s="986"/>
      <c r="G385" s="986">
        <f>VLOOKUP(CLEAN(SUBSTITUTE(TRIM(MID(E:E,FIND("/",E:E)+1,LEN(E:E)))," ","")),'Customs Decl. &amp; Local Delivery'!D:I,6,0)</f>
        <v>45685</v>
      </c>
      <c r="H385" s="987">
        <f>VLOOKUP(CLEAN(SUBSTITUTE(TRIM(MID(E:E,FIND("/",E:E)+1,LEN(E:E)))," ","")),'Customs Decl. &amp; Local Delivery'!D:J,7,0)</f>
        <v>45704</v>
      </c>
      <c r="I385" s="1012" t="s">
        <v>300</v>
      </c>
      <c r="J385" s="998" t="s">
        <v>161</v>
      </c>
      <c r="K385" s="998" t="s">
        <v>19</v>
      </c>
      <c r="L385" s="992" t="s">
        <v>20</v>
      </c>
      <c r="M385" s="998" t="s">
        <v>301</v>
      </c>
      <c r="N385" s="512"/>
      <c r="O385" s="512"/>
      <c r="P385" s="512"/>
      <c r="Q385" s="512"/>
      <c r="R385" s="512"/>
      <c r="S385" s="512"/>
      <c r="T385" s="512"/>
      <c r="U385" s="512"/>
      <c r="V385" s="512"/>
      <c r="W385" s="512"/>
    </row>
    <row r="386" s="477" customFormat="1" spans="1:23">
      <c r="A386" s="998" t="s">
        <v>272</v>
      </c>
      <c r="B386" s="998" t="s">
        <v>298</v>
      </c>
      <c r="C386" s="1006" t="s">
        <v>56</v>
      </c>
      <c r="D386" s="1007">
        <v>20</v>
      </c>
      <c r="E386" s="677"/>
      <c r="F386" s="986"/>
      <c r="G386" s="986">
        <f t="shared" ref="G386:G396" si="48">G385</f>
        <v>45685</v>
      </c>
      <c r="H386" s="987">
        <f t="shared" ref="H386:H396" si="49">H385</f>
        <v>45704</v>
      </c>
      <c r="I386" s="1012" t="s">
        <v>300</v>
      </c>
      <c r="J386" s="998" t="s">
        <v>161</v>
      </c>
      <c r="K386" s="998" t="s">
        <v>19</v>
      </c>
      <c r="L386" s="992" t="s">
        <v>20</v>
      </c>
      <c r="M386" s="998" t="s">
        <v>276</v>
      </c>
      <c r="N386" s="512"/>
      <c r="O386" s="512"/>
      <c r="P386" s="512"/>
      <c r="Q386" s="512"/>
      <c r="R386" s="512"/>
      <c r="S386" s="512"/>
      <c r="T386" s="512"/>
      <c r="U386" s="512"/>
      <c r="V386" s="512"/>
      <c r="W386" s="512"/>
    </row>
    <row r="387" s="477" customFormat="1" spans="1:23">
      <c r="A387" s="998" t="s">
        <v>272</v>
      </c>
      <c r="B387" s="998" t="s">
        <v>298</v>
      </c>
      <c r="C387" s="1006" t="s">
        <v>36</v>
      </c>
      <c r="D387" s="1007">
        <v>55</v>
      </c>
      <c r="E387" s="677"/>
      <c r="F387" s="986"/>
      <c r="G387" s="986">
        <f t="shared" si="48"/>
        <v>45685</v>
      </c>
      <c r="H387" s="987">
        <f t="shared" si="49"/>
        <v>45704</v>
      </c>
      <c r="I387" s="1012" t="s">
        <v>300</v>
      </c>
      <c r="J387" s="998" t="s">
        <v>161</v>
      </c>
      <c r="K387" s="998" t="s">
        <v>19</v>
      </c>
      <c r="L387" s="992" t="s">
        <v>20</v>
      </c>
      <c r="M387" s="998"/>
      <c r="N387" s="512"/>
      <c r="O387" s="512"/>
      <c r="P387" s="512"/>
      <c r="Q387" s="512"/>
      <c r="R387" s="512"/>
      <c r="S387" s="512"/>
      <c r="T387" s="512"/>
      <c r="U387" s="512"/>
      <c r="V387" s="512"/>
      <c r="W387" s="512"/>
    </row>
    <row r="388" s="477" customFormat="1" spans="1:23">
      <c r="A388" s="998" t="s">
        <v>272</v>
      </c>
      <c r="B388" s="998" t="s">
        <v>298</v>
      </c>
      <c r="C388" s="1006" t="s">
        <v>41</v>
      </c>
      <c r="D388" s="1007">
        <v>55</v>
      </c>
      <c r="E388" s="677"/>
      <c r="F388" s="986"/>
      <c r="G388" s="986">
        <f t="shared" si="48"/>
        <v>45685</v>
      </c>
      <c r="H388" s="987">
        <f t="shared" si="49"/>
        <v>45704</v>
      </c>
      <c r="I388" s="1012" t="s">
        <v>300</v>
      </c>
      <c r="J388" s="998" t="s">
        <v>161</v>
      </c>
      <c r="K388" s="998" t="s">
        <v>19</v>
      </c>
      <c r="L388" s="992" t="s">
        <v>20</v>
      </c>
      <c r="M388" s="1036" t="s">
        <v>256</v>
      </c>
      <c r="N388" s="512"/>
      <c r="O388" s="512"/>
      <c r="P388" s="512"/>
      <c r="Q388" s="512"/>
      <c r="R388" s="512"/>
      <c r="S388" s="512"/>
      <c r="T388" s="512"/>
      <c r="U388" s="512"/>
      <c r="V388" s="512"/>
      <c r="W388" s="512"/>
    </row>
    <row r="389" s="477" customFormat="1" spans="1:23">
      <c r="A389" s="998" t="s">
        <v>272</v>
      </c>
      <c r="B389" s="998" t="s">
        <v>298</v>
      </c>
      <c r="C389" s="1006" t="s">
        <v>43</v>
      </c>
      <c r="D389" s="1007">
        <v>50</v>
      </c>
      <c r="E389" s="677"/>
      <c r="F389" s="986"/>
      <c r="G389" s="986">
        <f t="shared" si="48"/>
        <v>45685</v>
      </c>
      <c r="H389" s="987">
        <f t="shared" si="49"/>
        <v>45704</v>
      </c>
      <c r="I389" s="1012" t="s">
        <v>300</v>
      </c>
      <c r="J389" s="998" t="s">
        <v>161</v>
      </c>
      <c r="K389" s="998" t="s">
        <v>19</v>
      </c>
      <c r="L389" s="992" t="s">
        <v>20</v>
      </c>
      <c r="M389" s="998"/>
      <c r="N389" s="512"/>
      <c r="O389" s="512"/>
      <c r="P389" s="512"/>
      <c r="Q389" s="512"/>
      <c r="R389" s="512"/>
      <c r="S389" s="512"/>
      <c r="T389" s="512"/>
      <c r="U389" s="512"/>
      <c r="V389" s="512"/>
      <c r="W389" s="512"/>
    </row>
    <row r="390" s="477" customFormat="1" spans="1:23">
      <c r="A390" s="998" t="s">
        <v>272</v>
      </c>
      <c r="B390" s="998" t="s">
        <v>298</v>
      </c>
      <c r="C390" s="1006" t="s">
        <v>45</v>
      </c>
      <c r="D390" s="1007">
        <v>50</v>
      </c>
      <c r="E390" s="677"/>
      <c r="F390" s="986"/>
      <c r="G390" s="986">
        <f t="shared" si="48"/>
        <v>45685</v>
      </c>
      <c r="H390" s="987">
        <f t="shared" si="49"/>
        <v>45704</v>
      </c>
      <c r="I390" s="1012" t="s">
        <v>300</v>
      </c>
      <c r="J390" s="998" t="s">
        <v>161</v>
      </c>
      <c r="K390" s="998" t="s">
        <v>19</v>
      </c>
      <c r="L390" s="992" t="s">
        <v>20</v>
      </c>
      <c r="M390" s="998"/>
      <c r="N390" s="512"/>
      <c r="O390" s="512"/>
      <c r="P390" s="512"/>
      <c r="Q390" s="512"/>
      <c r="R390" s="512"/>
      <c r="S390" s="512"/>
      <c r="T390" s="512"/>
      <c r="U390" s="512"/>
      <c r="V390" s="512"/>
      <c r="W390" s="512"/>
    </row>
    <row r="391" s="477" customFormat="1" spans="1:23">
      <c r="A391" s="998" t="s">
        <v>272</v>
      </c>
      <c r="B391" s="998" t="s">
        <v>298</v>
      </c>
      <c r="C391" s="1006" t="s">
        <v>47</v>
      </c>
      <c r="D391" s="1007">
        <v>30</v>
      </c>
      <c r="E391" s="677"/>
      <c r="F391" s="986"/>
      <c r="G391" s="986">
        <f t="shared" si="48"/>
        <v>45685</v>
      </c>
      <c r="H391" s="987">
        <f t="shared" si="49"/>
        <v>45704</v>
      </c>
      <c r="I391" s="1012" t="s">
        <v>300</v>
      </c>
      <c r="J391" s="998" t="s">
        <v>161</v>
      </c>
      <c r="K391" s="998" t="s">
        <v>19</v>
      </c>
      <c r="L391" s="992" t="s">
        <v>20</v>
      </c>
      <c r="M391" s="998"/>
      <c r="N391" s="512"/>
      <c r="O391" s="512"/>
      <c r="P391" s="512"/>
      <c r="Q391" s="512"/>
      <c r="R391" s="512"/>
      <c r="S391" s="512"/>
      <c r="T391" s="512"/>
      <c r="U391" s="512"/>
      <c r="V391" s="512"/>
      <c r="W391" s="512"/>
    </row>
    <row r="392" s="477" customFormat="1" spans="1:23">
      <c r="A392" s="998" t="s">
        <v>272</v>
      </c>
      <c r="B392" s="998" t="s">
        <v>298</v>
      </c>
      <c r="C392" s="1006" t="s">
        <v>48</v>
      </c>
      <c r="D392" s="1007">
        <v>30</v>
      </c>
      <c r="E392" s="677"/>
      <c r="F392" s="986"/>
      <c r="G392" s="986">
        <f t="shared" si="48"/>
        <v>45685</v>
      </c>
      <c r="H392" s="987">
        <f t="shared" si="49"/>
        <v>45704</v>
      </c>
      <c r="I392" s="1012" t="s">
        <v>300</v>
      </c>
      <c r="J392" s="998" t="s">
        <v>161</v>
      </c>
      <c r="K392" s="998" t="s">
        <v>19</v>
      </c>
      <c r="L392" s="992" t="s">
        <v>20</v>
      </c>
      <c r="M392" s="998"/>
      <c r="N392" s="512"/>
      <c r="O392" s="512"/>
      <c r="P392" s="512"/>
      <c r="Q392" s="512"/>
      <c r="R392" s="512"/>
      <c r="S392" s="512"/>
      <c r="T392" s="512"/>
      <c r="U392" s="512"/>
      <c r="V392" s="512"/>
      <c r="W392" s="512"/>
    </row>
    <row r="393" s="477" customFormat="1" spans="1:23">
      <c r="A393" s="998" t="s">
        <v>272</v>
      </c>
      <c r="B393" s="998" t="s">
        <v>298</v>
      </c>
      <c r="C393" s="1006" t="s">
        <v>49</v>
      </c>
      <c r="D393" s="1007">
        <v>20</v>
      </c>
      <c r="E393" s="677"/>
      <c r="F393" s="986"/>
      <c r="G393" s="986">
        <f t="shared" si="48"/>
        <v>45685</v>
      </c>
      <c r="H393" s="987">
        <f t="shared" si="49"/>
        <v>45704</v>
      </c>
      <c r="I393" s="1012" t="s">
        <v>300</v>
      </c>
      <c r="J393" s="998" t="s">
        <v>161</v>
      </c>
      <c r="K393" s="998" t="s">
        <v>19</v>
      </c>
      <c r="L393" s="992" t="s">
        <v>20</v>
      </c>
      <c r="M393" s="998"/>
      <c r="N393" s="512"/>
      <c r="O393" s="512"/>
      <c r="P393" s="512"/>
      <c r="Q393" s="512"/>
      <c r="R393" s="512"/>
      <c r="S393" s="512"/>
      <c r="T393" s="512"/>
      <c r="U393" s="512"/>
      <c r="V393" s="512"/>
      <c r="W393" s="512"/>
    </row>
    <row r="394" s="477" customFormat="1" spans="1:23">
      <c r="A394" s="998" t="s">
        <v>272</v>
      </c>
      <c r="B394" s="998" t="s">
        <v>298</v>
      </c>
      <c r="C394" s="1006" t="s">
        <v>50</v>
      </c>
      <c r="D394" s="1007">
        <v>20</v>
      </c>
      <c r="E394" s="677"/>
      <c r="F394" s="986"/>
      <c r="G394" s="986">
        <f t="shared" si="48"/>
        <v>45685</v>
      </c>
      <c r="H394" s="987">
        <f t="shared" si="49"/>
        <v>45704</v>
      </c>
      <c r="I394" s="1012" t="s">
        <v>300</v>
      </c>
      <c r="J394" s="998" t="s">
        <v>161</v>
      </c>
      <c r="K394" s="998" t="s">
        <v>19</v>
      </c>
      <c r="L394" s="992" t="s">
        <v>20</v>
      </c>
      <c r="M394" s="998"/>
      <c r="N394" s="512"/>
      <c r="O394" s="512"/>
      <c r="P394" s="512"/>
      <c r="Q394" s="512"/>
      <c r="R394" s="512"/>
      <c r="S394" s="512"/>
      <c r="T394" s="512"/>
      <c r="U394" s="512"/>
      <c r="V394" s="512"/>
      <c r="W394" s="512"/>
    </row>
    <row r="395" s="477" customFormat="1" spans="1:23">
      <c r="A395" s="998" t="s">
        <v>272</v>
      </c>
      <c r="B395" s="998" t="s">
        <v>298</v>
      </c>
      <c r="C395" s="1006" t="s">
        <v>164</v>
      </c>
      <c r="D395" s="1007">
        <v>4</v>
      </c>
      <c r="E395" s="677"/>
      <c r="F395" s="986"/>
      <c r="G395" s="986">
        <f t="shared" si="48"/>
        <v>45685</v>
      </c>
      <c r="H395" s="987">
        <f t="shared" si="49"/>
        <v>45704</v>
      </c>
      <c r="I395" s="1012" t="s">
        <v>300</v>
      </c>
      <c r="J395" s="998" t="s">
        <v>161</v>
      </c>
      <c r="K395" s="998" t="s">
        <v>19</v>
      </c>
      <c r="L395" s="992" t="s">
        <v>20</v>
      </c>
      <c r="M395" s="998"/>
      <c r="N395" s="512"/>
      <c r="O395" s="512"/>
      <c r="P395" s="512"/>
      <c r="Q395" s="512"/>
      <c r="R395" s="512"/>
      <c r="S395" s="512"/>
      <c r="T395" s="512"/>
      <c r="U395" s="512"/>
      <c r="V395" s="512"/>
      <c r="W395" s="512"/>
    </row>
    <row r="396" s="477" customFormat="1" spans="1:23">
      <c r="A396" s="998" t="s">
        <v>272</v>
      </c>
      <c r="B396" s="998" t="s">
        <v>298</v>
      </c>
      <c r="C396" s="1006" t="s">
        <v>165</v>
      </c>
      <c r="D396" s="1007">
        <v>4</v>
      </c>
      <c r="E396" s="677"/>
      <c r="F396" s="986"/>
      <c r="G396" s="986">
        <f t="shared" si="48"/>
        <v>45685</v>
      </c>
      <c r="H396" s="987">
        <f t="shared" si="49"/>
        <v>45704</v>
      </c>
      <c r="I396" s="1012" t="s">
        <v>300</v>
      </c>
      <c r="J396" s="998" t="s">
        <v>161</v>
      </c>
      <c r="K396" s="998" t="s">
        <v>19</v>
      </c>
      <c r="L396" s="992" t="s">
        <v>20</v>
      </c>
      <c r="M396" s="998"/>
      <c r="N396" s="512"/>
      <c r="O396" s="512"/>
      <c r="P396" s="512"/>
      <c r="Q396" s="512"/>
      <c r="R396" s="512"/>
      <c r="S396" s="512"/>
      <c r="T396" s="512"/>
      <c r="U396" s="512"/>
      <c r="V396" s="512"/>
      <c r="W396" s="512"/>
    </row>
    <row r="397" s="178" customFormat="1" spans="1:23">
      <c r="A397" s="998" t="s">
        <v>13</v>
      </c>
      <c r="B397" s="998" t="s">
        <v>302</v>
      </c>
      <c r="C397" s="1002" t="s">
        <v>77</v>
      </c>
      <c r="D397" s="1014">
        <v>48</v>
      </c>
      <c r="E397" s="1004" t="s">
        <v>303</v>
      </c>
      <c r="F397" s="986"/>
      <c r="G397" s="986">
        <f>VLOOKUP(CLEAN(SUBSTITUTE(TRIM(MID(E:E,FIND("/",E:E)+1,LEN(E:E)))," ","")),'Customs Decl. &amp; Local Delivery'!D:I,6,0)</f>
        <v>45685</v>
      </c>
      <c r="H397" s="987">
        <f>VLOOKUP(CLEAN(SUBSTITUTE(TRIM(MID(E:E,FIND("/",E:E)+1,LEN(E:E)))," ","")),'Customs Decl. &amp; Local Delivery'!D:J,7,0)</f>
        <v>45708</v>
      </c>
      <c r="I397" s="1012" t="s">
        <v>304</v>
      </c>
      <c r="J397" s="998" t="s">
        <v>18</v>
      </c>
      <c r="K397" s="998" t="s">
        <v>147</v>
      </c>
      <c r="L397" s="992" t="s">
        <v>20</v>
      </c>
      <c r="M397" s="1021" t="s">
        <v>292</v>
      </c>
      <c r="N397" s="203"/>
      <c r="O397" s="512"/>
      <c r="P397" s="512"/>
      <c r="Q397" s="512"/>
      <c r="R397" s="512"/>
      <c r="S397" s="512"/>
      <c r="T397" s="512"/>
      <c r="U397" s="512"/>
      <c r="V397" s="512"/>
      <c r="W397" s="512"/>
    </row>
    <row r="398" s="178" customFormat="1" spans="1:23">
      <c r="A398" s="998" t="s">
        <v>13</v>
      </c>
      <c r="B398" s="998" t="s">
        <v>302</v>
      </c>
      <c r="C398" s="1002" t="s">
        <v>28</v>
      </c>
      <c r="D398" s="1014">
        <v>57</v>
      </c>
      <c r="E398" s="677"/>
      <c r="F398" s="986"/>
      <c r="G398" s="986">
        <f>G397</f>
        <v>45685</v>
      </c>
      <c r="H398" s="987">
        <f>H397</f>
        <v>45708</v>
      </c>
      <c r="I398" s="1012" t="s">
        <v>304</v>
      </c>
      <c r="J398" s="998" t="s">
        <v>18</v>
      </c>
      <c r="K398" s="998" t="s">
        <v>147</v>
      </c>
      <c r="L398" s="992" t="s">
        <v>20</v>
      </c>
      <c r="M398" s="1037"/>
      <c r="N398" s="203"/>
      <c r="O398" s="512"/>
      <c r="P398" s="512"/>
      <c r="Q398" s="512"/>
      <c r="R398" s="512"/>
      <c r="S398" s="512"/>
      <c r="T398" s="512"/>
      <c r="U398" s="512"/>
      <c r="V398" s="512"/>
      <c r="W398" s="512"/>
    </row>
    <row r="399" s="178" customFormat="1" spans="1:23">
      <c r="A399" s="998" t="s">
        <v>13</v>
      </c>
      <c r="B399" s="998" t="s">
        <v>305</v>
      </c>
      <c r="C399" s="1002" t="s">
        <v>77</v>
      </c>
      <c r="D399" s="1003">
        <v>48</v>
      </c>
      <c r="E399" s="1004" t="s">
        <v>306</v>
      </c>
      <c r="F399" s="986"/>
      <c r="G399" s="986">
        <f>VLOOKUP(CLEAN(SUBSTITUTE(TRIM(MID(E:E,FIND("/",E:E)+1,LEN(E:E)))," ","")),'Customs Decl. &amp; Local Delivery'!D:I,6,0)</f>
        <v>45685</v>
      </c>
      <c r="H399" s="987">
        <f>VLOOKUP(CLEAN(SUBSTITUTE(TRIM(MID(E:E,FIND("/",E:E)+1,LEN(E:E)))," ","")),'Customs Decl. &amp; Local Delivery'!D:J,7,0)</f>
        <v>45708</v>
      </c>
      <c r="I399" s="1009" t="s">
        <v>307</v>
      </c>
      <c r="J399" s="998" t="s">
        <v>18</v>
      </c>
      <c r="K399" s="998" t="s">
        <v>147</v>
      </c>
      <c r="L399" s="992" t="s">
        <v>20</v>
      </c>
      <c r="M399" s="1021" t="s">
        <v>292</v>
      </c>
      <c r="N399" s="203"/>
      <c r="O399" s="512"/>
      <c r="P399" s="512"/>
      <c r="Q399" s="512"/>
      <c r="R399" s="512"/>
      <c r="S399" s="512"/>
      <c r="T399" s="512"/>
      <c r="U399" s="512"/>
      <c r="V399" s="512"/>
      <c r="W399" s="512"/>
    </row>
    <row r="400" s="178" customFormat="1" spans="1:23">
      <c r="A400" s="998" t="s">
        <v>13</v>
      </c>
      <c r="B400" s="998" t="s">
        <v>305</v>
      </c>
      <c r="C400" s="1002" t="s">
        <v>28</v>
      </c>
      <c r="D400" s="1003">
        <v>57</v>
      </c>
      <c r="E400" s="677"/>
      <c r="F400" s="986"/>
      <c r="G400" s="986">
        <f>G399</f>
        <v>45685</v>
      </c>
      <c r="H400" s="987">
        <f>H399</f>
        <v>45708</v>
      </c>
      <c r="I400" s="1009" t="s">
        <v>307</v>
      </c>
      <c r="J400" s="998" t="s">
        <v>18</v>
      </c>
      <c r="K400" s="998" t="s">
        <v>147</v>
      </c>
      <c r="L400" s="992" t="s">
        <v>20</v>
      </c>
      <c r="M400" s="998"/>
      <c r="N400" s="203"/>
      <c r="O400" s="512"/>
      <c r="P400" s="512"/>
      <c r="Q400" s="512"/>
      <c r="R400" s="512"/>
      <c r="S400" s="512"/>
      <c r="T400" s="512"/>
      <c r="U400" s="512"/>
      <c r="V400" s="512"/>
      <c r="W400" s="512"/>
    </row>
    <row r="401" s="178" customFormat="1" spans="1:23">
      <c r="A401" s="1012" t="s">
        <v>308</v>
      </c>
      <c r="B401" s="998" t="s">
        <v>309</v>
      </c>
      <c r="C401" s="1024" t="s">
        <v>310</v>
      </c>
      <c r="D401" s="1025">
        <v>30</v>
      </c>
      <c r="E401" s="1008" t="s">
        <v>311</v>
      </c>
      <c r="F401" s="986"/>
      <c r="G401" s="986">
        <f>VLOOKUP(CLEAN(SUBSTITUTE(TRIM(MID(E:E,FIND("/",E:E)+1,LEN(E:E)))," ","")),'Customs Decl. &amp; Local Delivery'!D:I,6,0)</f>
        <v>45685</v>
      </c>
      <c r="H401" s="987">
        <f>VLOOKUP(CLEAN(SUBSTITUTE(TRIM(MID(E:E,FIND("/",E:E)+1,LEN(E:E)))," ","")),'Customs Decl. &amp; Local Delivery'!D:J,7,0)</f>
        <v>45708</v>
      </c>
      <c r="I401" s="1012" t="s">
        <v>312</v>
      </c>
      <c r="J401" s="1012" t="s">
        <v>18</v>
      </c>
      <c r="K401" s="1012" t="s">
        <v>147</v>
      </c>
      <c r="L401" s="992" t="s">
        <v>20</v>
      </c>
      <c r="M401" s="1021" t="s">
        <v>313</v>
      </c>
      <c r="N401" s="203"/>
      <c r="O401" s="512"/>
      <c r="P401" s="512"/>
      <c r="Q401" s="512"/>
      <c r="R401" s="512"/>
      <c r="S401" s="512"/>
      <c r="T401" s="512"/>
      <c r="U401" s="512"/>
      <c r="V401" s="512"/>
      <c r="W401" s="512"/>
    </row>
    <row r="402" s="178" customFormat="1" spans="1:23">
      <c r="A402" s="1012" t="s">
        <v>308</v>
      </c>
      <c r="B402" s="998" t="s">
        <v>309</v>
      </c>
      <c r="C402" s="1024" t="s">
        <v>314</v>
      </c>
      <c r="D402" s="1025">
        <v>30</v>
      </c>
      <c r="E402" s="677"/>
      <c r="F402" s="986"/>
      <c r="G402" s="986">
        <f>G401</f>
        <v>45685</v>
      </c>
      <c r="H402" s="987">
        <f>H401</f>
        <v>45708</v>
      </c>
      <c r="I402" s="1012" t="s">
        <v>312</v>
      </c>
      <c r="J402" s="1012" t="s">
        <v>18</v>
      </c>
      <c r="K402" s="1012" t="s">
        <v>147</v>
      </c>
      <c r="L402" s="992" t="s">
        <v>20</v>
      </c>
      <c r="M402" s="1021" t="s">
        <v>315</v>
      </c>
      <c r="N402" s="203"/>
      <c r="O402" s="512"/>
      <c r="P402" s="512"/>
      <c r="Q402" s="512"/>
      <c r="R402" s="512"/>
      <c r="S402" s="512"/>
      <c r="T402" s="512"/>
      <c r="U402" s="512"/>
      <c r="V402" s="512"/>
      <c r="W402" s="512"/>
    </row>
    <row r="403" s="178" customFormat="1" spans="1:23">
      <c r="A403" s="998" t="s">
        <v>202</v>
      </c>
      <c r="B403" s="998" t="s">
        <v>203</v>
      </c>
      <c r="C403" s="998" t="s">
        <v>70</v>
      </c>
      <c r="D403" s="1026">
        <v>78</v>
      </c>
      <c r="E403" s="677"/>
      <c r="F403" s="986"/>
      <c r="G403" s="986">
        <f>G402</f>
        <v>45685</v>
      </c>
      <c r="H403" s="987">
        <f>H402</f>
        <v>45708</v>
      </c>
      <c r="I403" s="1012" t="s">
        <v>312</v>
      </c>
      <c r="J403" s="1012" t="s">
        <v>18</v>
      </c>
      <c r="K403" s="1012" t="s">
        <v>147</v>
      </c>
      <c r="L403" s="992" t="s">
        <v>20</v>
      </c>
      <c r="M403" s="1038" t="s">
        <v>316</v>
      </c>
      <c r="N403" s="203"/>
      <c r="O403" s="512"/>
      <c r="P403" s="512"/>
      <c r="Q403" s="512"/>
      <c r="R403" s="512"/>
      <c r="S403" s="512"/>
      <c r="T403" s="512"/>
      <c r="U403" s="512"/>
      <c r="V403" s="512"/>
      <c r="W403" s="512"/>
    </row>
    <row r="404" s="178" customFormat="1" ht="30" spans="1:23">
      <c r="A404" s="1027" t="s">
        <v>157</v>
      </c>
      <c r="B404" s="1024" t="s">
        <v>317</v>
      </c>
      <c r="C404" s="1024" t="s">
        <v>318</v>
      </c>
      <c r="D404" s="1027">
        <v>312</v>
      </c>
      <c r="E404" s="1028" t="s">
        <v>319</v>
      </c>
      <c r="F404" s="986"/>
      <c r="G404" s="986">
        <f>VLOOKUP(CLEAN(SUBSTITUTE(TRIM(MID(E:E,FIND("/",E:E)+1,LEN(E:E)))," ","")),'Customs Decl. &amp; Local Delivery'!D:I,6,0)</f>
        <v>45692</v>
      </c>
      <c r="H404" s="987">
        <f>VLOOKUP(CLEAN(SUBSTITUTE(TRIM(MID(E:E,FIND("/",E:E)+1,LEN(E:E)))," ","")),'Customs Decl. &amp; Local Delivery'!D:J,7,0)</f>
        <v>45709</v>
      </c>
      <c r="I404" s="1027" t="s">
        <v>320</v>
      </c>
      <c r="J404" s="1027" t="s">
        <v>18</v>
      </c>
      <c r="K404" s="1027" t="s">
        <v>321</v>
      </c>
      <c r="L404" s="992" t="s">
        <v>20</v>
      </c>
      <c r="M404" s="1039" t="s">
        <v>322</v>
      </c>
      <c r="N404" s="203"/>
      <c r="O404" s="512"/>
      <c r="P404" s="512"/>
      <c r="Q404" s="512"/>
      <c r="R404" s="512"/>
      <c r="S404" s="512"/>
      <c r="T404" s="512"/>
      <c r="U404" s="512"/>
      <c r="V404" s="512"/>
      <c r="W404" s="512"/>
    </row>
    <row r="405" s="178" customFormat="1" ht="30" spans="1:23">
      <c r="A405" s="998" t="s">
        <v>202</v>
      </c>
      <c r="B405" s="998" t="s">
        <v>203</v>
      </c>
      <c r="C405" s="998" t="s">
        <v>70</v>
      </c>
      <c r="D405" s="1026">
        <v>15</v>
      </c>
      <c r="E405" s="706" t="s">
        <v>323</v>
      </c>
      <c r="F405" s="986"/>
      <c r="G405" s="986">
        <f>VLOOKUP(CLEAN(SUBSTITUTE(TRIM(MID(E:E,FIND("/",E:E)+1,LEN(E:E)))," ","")),'Customs Decl. &amp; Local Delivery'!D:I,6,0)</f>
        <v>45692</v>
      </c>
      <c r="H405" s="987">
        <f>VLOOKUP(CLEAN(SUBSTITUTE(TRIM(MID(E:E,FIND("/",E:E)+1,LEN(E:E)))," ","")),'Customs Decl. &amp; Local Delivery'!D:J,7,0)</f>
        <v>45709</v>
      </c>
      <c r="I405" s="1029" t="s">
        <v>324</v>
      </c>
      <c r="J405" s="998" t="s">
        <v>18</v>
      </c>
      <c r="K405" s="1005" t="s">
        <v>147</v>
      </c>
      <c r="L405" s="992" t="s">
        <v>20</v>
      </c>
      <c r="M405" s="1012"/>
      <c r="N405" s="203"/>
      <c r="O405" s="512"/>
      <c r="P405" s="512"/>
      <c r="Q405" s="512"/>
      <c r="R405" s="512"/>
      <c r="S405" s="512"/>
      <c r="T405" s="512"/>
      <c r="U405" s="512"/>
      <c r="V405" s="512"/>
      <c r="W405" s="512"/>
    </row>
    <row r="406" s="178" customFormat="1" spans="1:23">
      <c r="A406" s="1029" t="s">
        <v>325</v>
      </c>
      <c r="B406" s="998" t="s">
        <v>326</v>
      </c>
      <c r="C406" s="1024" t="s">
        <v>56</v>
      </c>
      <c r="D406" s="209">
        <v>50</v>
      </c>
      <c r="E406" s="1004" t="s">
        <v>327</v>
      </c>
      <c r="F406" s="986"/>
      <c r="G406" s="986">
        <f>VLOOKUP(CLEAN(SUBSTITUTE(TRIM(MID(E:E,FIND("/",E:E)+1,LEN(E:E)))," ","")),'Customs Decl. &amp; Local Delivery'!D:I,6,0)</f>
        <v>45695</v>
      </c>
      <c r="H406" s="987">
        <f>VLOOKUP(CLEAN(SUBSTITUTE(TRIM(MID(E:E,FIND("/",E:E)+1,LEN(E:E)))," ","")),'Customs Decl. &amp; Local Delivery'!D:J,7,0)</f>
        <v>45731</v>
      </c>
      <c r="I406" s="1027" t="s">
        <v>328</v>
      </c>
      <c r="J406" s="998" t="s">
        <v>39</v>
      </c>
      <c r="K406" s="998" t="s">
        <v>147</v>
      </c>
      <c r="L406" s="992" t="s">
        <v>20</v>
      </c>
      <c r="M406" s="1021" t="s">
        <v>329</v>
      </c>
      <c r="N406" s="203"/>
      <c r="O406" s="512"/>
      <c r="P406" s="512"/>
      <c r="Q406" s="512"/>
      <c r="R406" s="512"/>
      <c r="S406" s="512"/>
      <c r="T406" s="512"/>
      <c r="U406" s="512"/>
      <c r="V406" s="512"/>
      <c r="W406" s="512"/>
    </row>
    <row r="407" s="178" customFormat="1" spans="1:23">
      <c r="A407" s="1029" t="s">
        <v>325</v>
      </c>
      <c r="B407" s="998" t="s">
        <v>326</v>
      </c>
      <c r="C407" s="1024" t="s">
        <v>52</v>
      </c>
      <c r="D407" s="209">
        <v>50</v>
      </c>
      <c r="E407" s="677"/>
      <c r="F407" s="986"/>
      <c r="G407" s="986">
        <f t="shared" ref="G407:G415" si="50">G406</f>
        <v>45695</v>
      </c>
      <c r="H407" s="987">
        <f t="shared" ref="H407:H415" si="51">H406</f>
        <v>45731</v>
      </c>
      <c r="I407" s="1027" t="s">
        <v>328</v>
      </c>
      <c r="J407" s="998" t="s">
        <v>39</v>
      </c>
      <c r="K407" s="998" t="s">
        <v>147</v>
      </c>
      <c r="L407" s="992" t="s">
        <v>20</v>
      </c>
      <c r="M407" s="1038"/>
      <c r="N407" s="203"/>
      <c r="O407" s="512"/>
      <c r="P407" s="512"/>
      <c r="Q407" s="512"/>
      <c r="R407" s="512"/>
      <c r="S407" s="512"/>
      <c r="T407" s="512"/>
      <c r="U407" s="512"/>
      <c r="V407" s="512"/>
      <c r="W407" s="512"/>
    </row>
    <row r="408" s="178" customFormat="1" spans="1:23">
      <c r="A408" s="1029" t="s">
        <v>325</v>
      </c>
      <c r="B408" s="998" t="s">
        <v>326</v>
      </c>
      <c r="C408" s="1024" t="s">
        <v>58</v>
      </c>
      <c r="D408" s="209">
        <v>30</v>
      </c>
      <c r="E408" s="677"/>
      <c r="F408" s="986"/>
      <c r="G408" s="986">
        <f t="shared" si="50"/>
        <v>45695</v>
      </c>
      <c r="H408" s="987">
        <f t="shared" si="51"/>
        <v>45731</v>
      </c>
      <c r="I408" s="1027" t="s">
        <v>328</v>
      </c>
      <c r="J408" s="998" t="s">
        <v>39</v>
      </c>
      <c r="K408" s="998" t="s">
        <v>147</v>
      </c>
      <c r="L408" s="992" t="s">
        <v>20</v>
      </c>
      <c r="M408" s="1038"/>
      <c r="N408" s="203"/>
      <c r="O408" s="512"/>
      <c r="P408" s="512"/>
      <c r="Q408" s="512"/>
      <c r="R408" s="512"/>
      <c r="S408" s="512"/>
      <c r="T408" s="512"/>
      <c r="U408" s="512"/>
      <c r="V408" s="512"/>
      <c r="W408" s="512"/>
    </row>
    <row r="409" s="178" customFormat="1" spans="1:23">
      <c r="A409" s="1029" t="s">
        <v>325</v>
      </c>
      <c r="B409" s="998" t="s">
        <v>326</v>
      </c>
      <c r="C409" s="1024" t="s">
        <v>57</v>
      </c>
      <c r="D409" s="209">
        <v>30</v>
      </c>
      <c r="E409" s="677"/>
      <c r="F409" s="986"/>
      <c r="G409" s="986">
        <f t="shared" si="50"/>
        <v>45695</v>
      </c>
      <c r="H409" s="987">
        <f t="shared" si="51"/>
        <v>45731</v>
      </c>
      <c r="I409" s="1027" t="s">
        <v>328</v>
      </c>
      <c r="J409" s="998" t="s">
        <v>39</v>
      </c>
      <c r="K409" s="998" t="s">
        <v>147</v>
      </c>
      <c r="L409" s="992" t="s">
        <v>20</v>
      </c>
      <c r="M409" s="1038"/>
      <c r="N409" s="203"/>
      <c r="O409" s="512"/>
      <c r="P409" s="512"/>
      <c r="Q409" s="512"/>
      <c r="R409" s="512"/>
      <c r="S409" s="512"/>
      <c r="T409" s="512"/>
      <c r="U409" s="512"/>
      <c r="V409" s="512"/>
      <c r="W409" s="512"/>
    </row>
    <row r="410" s="178" customFormat="1" spans="1:23">
      <c r="A410" s="1029" t="s">
        <v>325</v>
      </c>
      <c r="B410" s="998" t="s">
        <v>326</v>
      </c>
      <c r="C410" s="1024" t="s">
        <v>29</v>
      </c>
      <c r="D410" s="209">
        <v>5</v>
      </c>
      <c r="E410" s="677"/>
      <c r="F410" s="986"/>
      <c r="G410" s="986">
        <f t="shared" si="50"/>
        <v>45695</v>
      </c>
      <c r="H410" s="987">
        <f t="shared" si="51"/>
        <v>45731</v>
      </c>
      <c r="I410" s="1027" t="s">
        <v>328</v>
      </c>
      <c r="J410" s="998" t="s">
        <v>39</v>
      </c>
      <c r="K410" s="998" t="s">
        <v>147</v>
      </c>
      <c r="L410" s="992" t="s">
        <v>20</v>
      </c>
      <c r="M410" s="1038"/>
      <c r="N410" s="203"/>
      <c r="O410" s="512"/>
      <c r="P410" s="512"/>
      <c r="Q410" s="512"/>
      <c r="R410" s="512"/>
      <c r="S410" s="512"/>
      <c r="T410" s="512"/>
      <c r="U410" s="512"/>
      <c r="V410" s="512"/>
      <c r="W410" s="512"/>
    </row>
    <row r="411" s="178" customFormat="1" spans="1:23">
      <c r="A411" s="1029" t="s">
        <v>325</v>
      </c>
      <c r="B411" s="998" t="s">
        <v>326</v>
      </c>
      <c r="C411" s="1030" t="s">
        <v>30</v>
      </c>
      <c r="D411" s="209">
        <v>5</v>
      </c>
      <c r="E411" s="677"/>
      <c r="F411" s="986"/>
      <c r="G411" s="986">
        <f t="shared" si="50"/>
        <v>45695</v>
      </c>
      <c r="H411" s="987">
        <f t="shared" si="51"/>
        <v>45731</v>
      </c>
      <c r="I411" s="1027" t="s">
        <v>328</v>
      </c>
      <c r="J411" s="998" t="s">
        <v>39</v>
      </c>
      <c r="K411" s="998" t="s">
        <v>147</v>
      </c>
      <c r="L411" s="992" t="s">
        <v>20</v>
      </c>
      <c r="M411" s="1038"/>
      <c r="N411" s="203"/>
      <c r="O411" s="512"/>
      <c r="P411" s="512"/>
      <c r="Q411" s="512"/>
      <c r="R411" s="512"/>
      <c r="S411" s="512"/>
      <c r="T411" s="512"/>
      <c r="U411" s="512"/>
      <c r="V411" s="512"/>
      <c r="W411" s="512"/>
    </row>
    <row r="412" s="477" customFormat="1" spans="1:23">
      <c r="A412" s="1029" t="s">
        <v>330</v>
      </c>
      <c r="B412" s="998" t="s">
        <v>326</v>
      </c>
      <c r="C412" s="1024" t="s">
        <v>56</v>
      </c>
      <c r="D412" s="209">
        <v>50</v>
      </c>
      <c r="E412" s="677"/>
      <c r="F412" s="986"/>
      <c r="G412" s="986">
        <f t="shared" si="50"/>
        <v>45695</v>
      </c>
      <c r="H412" s="987">
        <f t="shared" si="51"/>
        <v>45731</v>
      </c>
      <c r="I412" s="1027" t="s">
        <v>328</v>
      </c>
      <c r="J412" s="998" t="s">
        <v>39</v>
      </c>
      <c r="K412" s="1029" t="s">
        <v>19</v>
      </c>
      <c r="L412" s="992" t="s">
        <v>20</v>
      </c>
      <c r="M412" s="1038" t="s">
        <v>331</v>
      </c>
      <c r="N412" s="512"/>
      <c r="O412" s="512"/>
      <c r="P412" s="512"/>
      <c r="Q412" s="512"/>
      <c r="R412" s="512"/>
      <c r="S412" s="512"/>
      <c r="T412" s="512"/>
      <c r="U412" s="512"/>
      <c r="V412" s="512"/>
      <c r="W412" s="512"/>
    </row>
    <row r="413" s="477" customFormat="1" spans="1:23">
      <c r="A413" s="1029" t="s">
        <v>330</v>
      </c>
      <c r="B413" s="998" t="s">
        <v>326</v>
      </c>
      <c r="C413" s="1024" t="s">
        <v>52</v>
      </c>
      <c r="D413" s="209">
        <v>50</v>
      </c>
      <c r="E413" s="677"/>
      <c r="F413" s="986"/>
      <c r="G413" s="986">
        <f t="shared" si="50"/>
        <v>45695</v>
      </c>
      <c r="H413" s="987">
        <f t="shared" si="51"/>
        <v>45731</v>
      </c>
      <c r="I413" s="1027" t="s">
        <v>328</v>
      </c>
      <c r="J413" s="998" t="s">
        <v>39</v>
      </c>
      <c r="K413" s="1029" t="s">
        <v>19</v>
      </c>
      <c r="L413" s="992" t="s">
        <v>20</v>
      </c>
      <c r="M413" s="1038" t="s">
        <v>331</v>
      </c>
      <c r="N413" s="512"/>
      <c r="O413" s="512"/>
      <c r="P413" s="512"/>
      <c r="Q413" s="512"/>
      <c r="R413" s="512"/>
      <c r="S413" s="512"/>
      <c r="T413" s="512"/>
      <c r="U413" s="512"/>
      <c r="V413" s="512"/>
      <c r="W413" s="512"/>
    </row>
    <row r="414" s="477" customFormat="1" spans="1:23">
      <c r="A414" s="1029" t="s">
        <v>330</v>
      </c>
      <c r="B414" s="998" t="s">
        <v>326</v>
      </c>
      <c r="C414" s="1024" t="s">
        <v>29</v>
      </c>
      <c r="D414" s="209">
        <v>20</v>
      </c>
      <c r="E414" s="677"/>
      <c r="F414" s="986"/>
      <c r="G414" s="986">
        <f t="shared" si="50"/>
        <v>45695</v>
      </c>
      <c r="H414" s="987">
        <f t="shared" si="51"/>
        <v>45731</v>
      </c>
      <c r="I414" s="1027" t="s">
        <v>328</v>
      </c>
      <c r="J414" s="998" t="s">
        <v>39</v>
      </c>
      <c r="K414" s="1029" t="s">
        <v>19</v>
      </c>
      <c r="L414" s="992" t="s">
        <v>20</v>
      </c>
      <c r="M414" s="1038" t="s">
        <v>331</v>
      </c>
      <c r="N414" s="512"/>
      <c r="O414" s="512"/>
      <c r="P414" s="512"/>
      <c r="Q414" s="512"/>
      <c r="R414" s="512"/>
      <c r="S414" s="512"/>
      <c r="T414" s="512"/>
      <c r="U414" s="512"/>
      <c r="V414" s="512"/>
      <c r="W414" s="512"/>
    </row>
    <row r="415" s="477" customFormat="1" spans="1:23">
      <c r="A415" s="1029" t="s">
        <v>330</v>
      </c>
      <c r="B415" s="998" t="s">
        <v>326</v>
      </c>
      <c r="C415" s="1030" t="s">
        <v>30</v>
      </c>
      <c r="D415" s="209">
        <v>20</v>
      </c>
      <c r="E415" s="677"/>
      <c r="F415" s="986"/>
      <c r="G415" s="986">
        <f t="shared" si="50"/>
        <v>45695</v>
      </c>
      <c r="H415" s="987">
        <f t="shared" si="51"/>
        <v>45731</v>
      </c>
      <c r="I415" s="1027" t="s">
        <v>328</v>
      </c>
      <c r="J415" s="998" t="s">
        <v>39</v>
      </c>
      <c r="K415" s="1029" t="s">
        <v>19</v>
      </c>
      <c r="L415" s="992" t="s">
        <v>20</v>
      </c>
      <c r="M415" s="1038" t="s">
        <v>331</v>
      </c>
      <c r="N415" s="512"/>
      <c r="O415" s="512"/>
      <c r="P415" s="512"/>
      <c r="Q415" s="512"/>
      <c r="R415" s="512"/>
      <c r="S415" s="512"/>
      <c r="T415" s="512"/>
      <c r="U415" s="512"/>
      <c r="V415" s="512"/>
      <c r="W415" s="512"/>
    </row>
    <row r="416" s="477" customFormat="1" spans="1:23">
      <c r="A416" s="1029" t="s">
        <v>330</v>
      </c>
      <c r="B416" s="998" t="s">
        <v>309</v>
      </c>
      <c r="C416" s="1031" t="s">
        <v>36</v>
      </c>
      <c r="D416" s="209">
        <v>0</v>
      </c>
      <c r="E416" s="1032"/>
      <c r="F416" s="986"/>
      <c r="G416" s="986"/>
      <c r="H416" s="987"/>
      <c r="I416" s="998" t="s">
        <v>309</v>
      </c>
      <c r="J416" s="998" t="s">
        <v>39</v>
      </c>
      <c r="K416" s="1029" t="s">
        <v>19</v>
      </c>
      <c r="L416" s="992" t="s">
        <v>20</v>
      </c>
      <c r="M416" s="1040" t="s">
        <v>332</v>
      </c>
      <c r="N416" s="512"/>
      <c r="O416" s="512"/>
      <c r="P416" s="512"/>
      <c r="Q416" s="512"/>
      <c r="R416" s="512"/>
      <c r="S416" s="512"/>
      <c r="T416" s="512"/>
      <c r="U416" s="512"/>
      <c r="V416" s="512"/>
      <c r="W416" s="512"/>
    </row>
    <row r="417" s="477" customFormat="1" spans="1:23">
      <c r="A417" s="1029" t="s">
        <v>330</v>
      </c>
      <c r="B417" s="998" t="s">
        <v>309</v>
      </c>
      <c r="C417" s="1031" t="s">
        <v>41</v>
      </c>
      <c r="D417" s="209">
        <v>0</v>
      </c>
      <c r="E417" s="677"/>
      <c r="F417" s="986"/>
      <c r="G417" s="986"/>
      <c r="H417" s="987"/>
      <c r="I417" s="998" t="s">
        <v>309</v>
      </c>
      <c r="J417" s="998" t="s">
        <v>39</v>
      </c>
      <c r="K417" s="1029" t="s">
        <v>19</v>
      </c>
      <c r="L417" s="992" t="s">
        <v>20</v>
      </c>
      <c r="M417" s="1041" t="s">
        <v>332</v>
      </c>
      <c r="N417" s="512"/>
      <c r="O417" s="512"/>
      <c r="P417" s="512"/>
      <c r="Q417" s="512"/>
      <c r="R417" s="512"/>
      <c r="S417" s="512"/>
      <c r="T417" s="512"/>
      <c r="U417" s="512"/>
      <c r="V417" s="512"/>
      <c r="W417" s="512"/>
    </row>
    <row r="418" s="477" customFormat="1" spans="1:23">
      <c r="A418" s="1029" t="s">
        <v>330</v>
      </c>
      <c r="B418" s="998" t="s">
        <v>309</v>
      </c>
      <c r="C418" s="1031" t="s">
        <v>43</v>
      </c>
      <c r="D418" s="209">
        <v>0</v>
      </c>
      <c r="E418" s="677"/>
      <c r="F418" s="986"/>
      <c r="G418" s="986"/>
      <c r="H418" s="987"/>
      <c r="I418" s="998" t="s">
        <v>309</v>
      </c>
      <c r="J418" s="998" t="s">
        <v>39</v>
      </c>
      <c r="K418" s="1029" t="s">
        <v>19</v>
      </c>
      <c r="L418" s="992" t="s">
        <v>20</v>
      </c>
      <c r="M418" s="1041" t="s">
        <v>332</v>
      </c>
      <c r="N418" s="512"/>
      <c r="O418" s="512"/>
      <c r="P418" s="512"/>
      <c r="Q418" s="512"/>
      <c r="R418" s="512"/>
      <c r="S418" s="512"/>
      <c r="T418" s="512"/>
      <c r="U418" s="512"/>
      <c r="V418" s="512"/>
      <c r="W418" s="512"/>
    </row>
    <row r="419" s="477" customFormat="1" spans="1:23">
      <c r="A419" s="1029" t="s">
        <v>330</v>
      </c>
      <c r="B419" s="998" t="s">
        <v>309</v>
      </c>
      <c r="C419" s="1031" t="s">
        <v>45</v>
      </c>
      <c r="D419" s="209">
        <v>0</v>
      </c>
      <c r="E419" s="677"/>
      <c r="F419" s="986"/>
      <c r="G419" s="986"/>
      <c r="H419" s="987"/>
      <c r="I419" s="998" t="s">
        <v>309</v>
      </c>
      <c r="J419" s="998" t="s">
        <v>39</v>
      </c>
      <c r="K419" s="1029" t="s">
        <v>19</v>
      </c>
      <c r="L419" s="992" t="s">
        <v>20</v>
      </c>
      <c r="M419" s="1041" t="s">
        <v>332</v>
      </c>
      <c r="N419" s="512"/>
      <c r="O419" s="512"/>
      <c r="P419" s="512"/>
      <c r="Q419" s="512"/>
      <c r="R419" s="512"/>
      <c r="S419" s="512"/>
      <c r="T419" s="512"/>
      <c r="U419" s="512"/>
      <c r="V419" s="512"/>
      <c r="W419" s="512"/>
    </row>
    <row r="420" s="477" customFormat="1" spans="1:23">
      <c r="A420" s="1029" t="s">
        <v>330</v>
      </c>
      <c r="B420" s="998" t="s">
        <v>309</v>
      </c>
      <c r="C420" s="1031" t="s">
        <v>47</v>
      </c>
      <c r="D420" s="209">
        <v>0</v>
      </c>
      <c r="E420" s="677"/>
      <c r="F420" s="986"/>
      <c r="G420" s="986"/>
      <c r="H420" s="987"/>
      <c r="I420" s="998" t="s">
        <v>309</v>
      </c>
      <c r="J420" s="998" t="s">
        <v>39</v>
      </c>
      <c r="K420" s="1029" t="s">
        <v>19</v>
      </c>
      <c r="L420" s="992" t="s">
        <v>20</v>
      </c>
      <c r="M420" s="1041" t="s">
        <v>332</v>
      </c>
      <c r="N420" s="512"/>
      <c r="O420" s="512"/>
      <c r="P420" s="512"/>
      <c r="Q420" s="512"/>
      <c r="R420" s="512"/>
      <c r="S420" s="512"/>
      <c r="T420" s="512"/>
      <c r="U420" s="512"/>
      <c r="V420" s="512"/>
      <c r="W420" s="512"/>
    </row>
    <row r="421" s="477" customFormat="1" spans="1:23">
      <c r="A421" s="1029" t="s">
        <v>330</v>
      </c>
      <c r="B421" s="998" t="s">
        <v>309</v>
      </c>
      <c r="C421" s="1031" t="s">
        <v>48</v>
      </c>
      <c r="D421" s="209">
        <v>0</v>
      </c>
      <c r="E421" s="677"/>
      <c r="F421" s="986"/>
      <c r="G421" s="986"/>
      <c r="H421" s="987"/>
      <c r="I421" s="998" t="s">
        <v>309</v>
      </c>
      <c r="J421" s="998" t="s">
        <v>39</v>
      </c>
      <c r="K421" s="1029" t="s">
        <v>19</v>
      </c>
      <c r="L421" s="992" t="s">
        <v>20</v>
      </c>
      <c r="M421" s="1041" t="s">
        <v>332</v>
      </c>
      <c r="N421" s="512"/>
      <c r="O421" s="512"/>
      <c r="P421" s="512"/>
      <c r="Q421" s="512"/>
      <c r="R421" s="512"/>
      <c r="S421" s="512"/>
      <c r="T421" s="512"/>
      <c r="U421" s="512"/>
      <c r="V421" s="512"/>
      <c r="W421" s="512"/>
    </row>
    <row r="422" s="477" customFormat="1" spans="1:23">
      <c r="A422" s="1029" t="s">
        <v>330</v>
      </c>
      <c r="B422" s="998" t="s">
        <v>309</v>
      </c>
      <c r="C422" s="1031" t="s">
        <v>31</v>
      </c>
      <c r="D422" s="209">
        <v>0</v>
      </c>
      <c r="E422" s="677"/>
      <c r="F422" s="986"/>
      <c r="G422" s="986"/>
      <c r="H422" s="987"/>
      <c r="I422" s="998" t="s">
        <v>309</v>
      </c>
      <c r="J422" s="998" t="s">
        <v>39</v>
      </c>
      <c r="K422" s="1029" t="s">
        <v>19</v>
      </c>
      <c r="L422" s="992" t="s">
        <v>20</v>
      </c>
      <c r="M422" s="1041" t="s">
        <v>332</v>
      </c>
      <c r="N422" s="512"/>
      <c r="O422" s="512"/>
      <c r="P422" s="512"/>
      <c r="Q422" s="512"/>
      <c r="R422" s="512"/>
      <c r="S422" s="512"/>
      <c r="T422" s="512"/>
      <c r="U422" s="512"/>
      <c r="V422" s="512"/>
      <c r="W422" s="512"/>
    </row>
    <row r="423" s="477" customFormat="1" spans="1:23">
      <c r="A423" s="1029" t="s">
        <v>330</v>
      </c>
      <c r="B423" s="998" t="s">
        <v>309</v>
      </c>
      <c r="C423" s="1031" t="s">
        <v>32</v>
      </c>
      <c r="D423" s="209">
        <v>0</v>
      </c>
      <c r="E423" s="677"/>
      <c r="F423" s="986"/>
      <c r="G423" s="986"/>
      <c r="H423" s="987"/>
      <c r="I423" s="998" t="s">
        <v>309</v>
      </c>
      <c r="J423" s="998" t="s">
        <v>39</v>
      </c>
      <c r="K423" s="1029" t="s">
        <v>19</v>
      </c>
      <c r="L423" s="992" t="s">
        <v>20</v>
      </c>
      <c r="M423" s="1041" t="s">
        <v>332</v>
      </c>
      <c r="N423" s="512"/>
      <c r="O423" s="512"/>
      <c r="P423" s="512"/>
      <c r="Q423" s="512"/>
      <c r="R423" s="512"/>
      <c r="S423" s="512"/>
      <c r="T423" s="512"/>
      <c r="U423" s="512"/>
      <c r="V423" s="512"/>
      <c r="W423" s="512"/>
    </row>
    <row r="424" s="477" customFormat="1" spans="1:23">
      <c r="A424" s="1029" t="s">
        <v>330</v>
      </c>
      <c r="B424" s="998" t="s">
        <v>309</v>
      </c>
      <c r="C424" s="1031" t="s">
        <v>33</v>
      </c>
      <c r="D424" s="1033">
        <v>0</v>
      </c>
      <c r="E424" s="677"/>
      <c r="F424" s="986"/>
      <c r="G424" s="986"/>
      <c r="H424" s="987"/>
      <c r="I424" s="998" t="s">
        <v>309</v>
      </c>
      <c r="J424" s="998" t="s">
        <v>39</v>
      </c>
      <c r="K424" s="1029" t="s">
        <v>19</v>
      </c>
      <c r="L424" s="992" t="s">
        <v>20</v>
      </c>
      <c r="M424" s="1041" t="s">
        <v>332</v>
      </c>
      <c r="N424" s="512"/>
      <c r="O424" s="512"/>
      <c r="P424" s="512"/>
      <c r="Q424" s="512"/>
      <c r="R424" s="512"/>
      <c r="S424" s="512"/>
      <c r="T424" s="512"/>
      <c r="U424" s="512"/>
      <c r="V424" s="512"/>
      <c r="W424" s="512"/>
    </row>
    <row r="425" s="477" customFormat="1" spans="1:23">
      <c r="A425" s="1029" t="s">
        <v>330</v>
      </c>
      <c r="B425" s="998" t="s">
        <v>309</v>
      </c>
      <c r="C425" s="1031" t="s">
        <v>34</v>
      </c>
      <c r="D425" s="1033">
        <v>0</v>
      </c>
      <c r="E425" s="677"/>
      <c r="F425" s="986"/>
      <c r="G425" s="986"/>
      <c r="H425" s="987"/>
      <c r="I425" s="998" t="s">
        <v>309</v>
      </c>
      <c r="J425" s="998" t="s">
        <v>39</v>
      </c>
      <c r="K425" s="1029" t="s">
        <v>19</v>
      </c>
      <c r="L425" s="992" t="s">
        <v>20</v>
      </c>
      <c r="M425" s="1041" t="s">
        <v>332</v>
      </c>
      <c r="N425" s="512"/>
      <c r="O425" s="512"/>
      <c r="P425" s="512"/>
      <c r="Q425" s="512"/>
      <c r="R425" s="512"/>
      <c r="S425" s="512"/>
      <c r="T425" s="512"/>
      <c r="U425" s="512"/>
      <c r="V425" s="512"/>
      <c r="W425" s="512"/>
    </row>
    <row r="426" s="477" customFormat="1" spans="1:23">
      <c r="A426" s="1029" t="s">
        <v>330</v>
      </c>
      <c r="B426" s="998" t="s">
        <v>309</v>
      </c>
      <c r="C426" s="1031" t="s">
        <v>59</v>
      </c>
      <c r="D426" s="1033">
        <v>0</v>
      </c>
      <c r="E426" s="677"/>
      <c r="F426" s="986"/>
      <c r="G426" s="986"/>
      <c r="H426" s="987"/>
      <c r="I426" s="998" t="s">
        <v>309</v>
      </c>
      <c r="J426" s="998" t="s">
        <v>39</v>
      </c>
      <c r="K426" s="1029" t="s">
        <v>19</v>
      </c>
      <c r="L426" s="992" t="s">
        <v>20</v>
      </c>
      <c r="M426" s="1041" t="s">
        <v>332</v>
      </c>
      <c r="N426" s="512"/>
      <c r="O426" s="512"/>
      <c r="P426" s="512"/>
      <c r="Q426" s="512"/>
      <c r="R426" s="512"/>
      <c r="S426" s="512"/>
      <c r="T426" s="512"/>
      <c r="U426" s="512"/>
      <c r="V426" s="512"/>
      <c r="W426" s="512"/>
    </row>
    <row r="427" s="477" customFormat="1" spans="1:23">
      <c r="A427" s="1029" t="s">
        <v>330</v>
      </c>
      <c r="B427" s="998" t="s">
        <v>309</v>
      </c>
      <c r="C427" s="1031" t="s">
        <v>60</v>
      </c>
      <c r="D427" s="1033">
        <v>0</v>
      </c>
      <c r="E427" s="677"/>
      <c r="F427" s="986"/>
      <c r="G427" s="986"/>
      <c r="H427" s="987"/>
      <c r="I427" s="998" t="s">
        <v>309</v>
      </c>
      <c r="J427" s="998" t="s">
        <v>39</v>
      </c>
      <c r="K427" s="1029" t="s">
        <v>19</v>
      </c>
      <c r="L427" s="992" t="s">
        <v>20</v>
      </c>
      <c r="M427" s="1041" t="s">
        <v>332</v>
      </c>
      <c r="N427" s="512"/>
      <c r="O427" s="512"/>
      <c r="P427" s="512"/>
      <c r="Q427" s="512"/>
      <c r="R427" s="512"/>
      <c r="S427" s="512"/>
      <c r="T427" s="512"/>
      <c r="U427" s="512"/>
      <c r="V427" s="512"/>
      <c r="W427" s="512"/>
    </row>
    <row r="428" s="477" customFormat="1" spans="1:23">
      <c r="A428" s="998" t="s">
        <v>333</v>
      </c>
      <c r="B428" s="998" t="s">
        <v>334</v>
      </c>
      <c r="C428" s="1034" t="s">
        <v>15</v>
      </c>
      <c r="D428" s="233">
        <v>47</v>
      </c>
      <c r="E428" s="1004" t="s">
        <v>335</v>
      </c>
      <c r="F428" s="986"/>
      <c r="G428" s="986">
        <f>VLOOKUP(CLEAN(SUBSTITUTE(TRIM(MID(E:E,FIND("/",E:E)+1,LEN(E:E)))," ","")),'Customs Decl. &amp; Local Delivery'!D:I,6,0)</f>
        <v>45695</v>
      </c>
      <c r="H428" s="987">
        <f>VLOOKUP(CLEAN(SUBSTITUTE(TRIM(MID(E:E,FIND("/",E:E)+1,LEN(E:E)))," ","")),'Customs Decl. &amp; Local Delivery'!D:J,7,0)</f>
        <v>45717</v>
      </c>
      <c r="I428" s="1027" t="s">
        <v>336</v>
      </c>
      <c r="J428" s="998" t="s">
        <v>18</v>
      </c>
      <c r="K428" s="998" t="s">
        <v>19</v>
      </c>
      <c r="L428" s="992" t="s">
        <v>20</v>
      </c>
      <c r="M428" s="1021" t="s">
        <v>337</v>
      </c>
      <c r="N428" s="512"/>
      <c r="O428" s="512"/>
      <c r="P428" s="512"/>
      <c r="Q428" s="512"/>
      <c r="R428" s="512"/>
      <c r="S428" s="512"/>
      <c r="T428" s="512"/>
      <c r="U428" s="512"/>
      <c r="V428" s="512"/>
      <c r="W428" s="512"/>
    </row>
    <row r="429" s="477" customFormat="1" spans="1:23">
      <c r="A429" s="998" t="s">
        <v>333</v>
      </c>
      <c r="B429" s="998" t="s">
        <v>334</v>
      </c>
      <c r="C429" s="1034" t="s">
        <v>22</v>
      </c>
      <c r="D429" s="233">
        <v>47</v>
      </c>
      <c r="E429" s="677"/>
      <c r="F429" s="986"/>
      <c r="G429" s="986">
        <f t="shared" ref="G429:G441" si="52">G428</f>
        <v>45695</v>
      </c>
      <c r="H429" s="987">
        <f t="shared" ref="H429:H441" si="53">H428</f>
        <v>45717</v>
      </c>
      <c r="I429" s="1027" t="s">
        <v>336</v>
      </c>
      <c r="J429" s="998" t="s">
        <v>18</v>
      </c>
      <c r="K429" s="998" t="s">
        <v>19</v>
      </c>
      <c r="L429" s="992" t="s">
        <v>20</v>
      </c>
      <c r="M429" s="1038" t="s">
        <v>338</v>
      </c>
      <c r="N429" s="512"/>
      <c r="O429" s="512"/>
      <c r="P429" s="512"/>
      <c r="Q429" s="512"/>
      <c r="R429" s="512"/>
      <c r="S429" s="512"/>
      <c r="T429" s="512"/>
      <c r="U429" s="512"/>
      <c r="V429" s="512"/>
      <c r="W429" s="512"/>
    </row>
    <row r="430" s="477" customFormat="1" spans="1:23">
      <c r="A430" s="998" t="s">
        <v>333</v>
      </c>
      <c r="B430" s="998" t="s">
        <v>334</v>
      </c>
      <c r="C430" s="1034" t="s">
        <v>24</v>
      </c>
      <c r="D430" s="233">
        <v>4</v>
      </c>
      <c r="E430" s="677"/>
      <c r="F430" s="986"/>
      <c r="G430" s="986">
        <f t="shared" si="52"/>
        <v>45695</v>
      </c>
      <c r="H430" s="987">
        <f t="shared" si="53"/>
        <v>45717</v>
      </c>
      <c r="I430" s="1027" t="s">
        <v>336</v>
      </c>
      <c r="J430" s="998" t="s">
        <v>18</v>
      </c>
      <c r="K430" s="998" t="s">
        <v>19</v>
      </c>
      <c r="L430" s="992" t="s">
        <v>20</v>
      </c>
      <c r="M430" s="1038" t="s">
        <v>338</v>
      </c>
      <c r="N430" s="512"/>
      <c r="O430" s="512"/>
      <c r="P430" s="512"/>
      <c r="Q430" s="512"/>
      <c r="R430" s="512"/>
      <c r="S430" s="512"/>
      <c r="T430" s="512"/>
      <c r="U430" s="512"/>
      <c r="V430" s="512"/>
      <c r="W430" s="512"/>
    </row>
    <row r="431" s="477" customFormat="1" spans="1:23">
      <c r="A431" s="998" t="s">
        <v>333</v>
      </c>
      <c r="B431" s="998" t="s">
        <v>334</v>
      </c>
      <c r="C431" s="1034" t="s">
        <v>25</v>
      </c>
      <c r="D431" s="233">
        <v>4</v>
      </c>
      <c r="E431" s="677"/>
      <c r="F431" s="986"/>
      <c r="G431" s="986">
        <f t="shared" si="52"/>
        <v>45695</v>
      </c>
      <c r="H431" s="987">
        <f t="shared" si="53"/>
        <v>45717</v>
      </c>
      <c r="I431" s="1027" t="s">
        <v>336</v>
      </c>
      <c r="J431" s="998" t="s">
        <v>18</v>
      </c>
      <c r="K431" s="998" t="s">
        <v>19</v>
      </c>
      <c r="L431" s="992" t="s">
        <v>20</v>
      </c>
      <c r="M431" s="1038" t="s">
        <v>338</v>
      </c>
      <c r="N431" s="512"/>
      <c r="O431" s="512"/>
      <c r="P431" s="512"/>
      <c r="Q431" s="512"/>
      <c r="R431" s="512"/>
      <c r="S431" s="512"/>
      <c r="T431" s="512"/>
      <c r="U431" s="512"/>
      <c r="V431" s="512"/>
      <c r="W431" s="512"/>
    </row>
    <row r="432" s="477" customFormat="1" spans="1:23">
      <c r="A432" s="998" t="s">
        <v>333</v>
      </c>
      <c r="B432" s="998" t="s">
        <v>334</v>
      </c>
      <c r="C432" s="1034" t="s">
        <v>27</v>
      </c>
      <c r="D432" s="233">
        <v>16</v>
      </c>
      <c r="E432" s="677"/>
      <c r="F432" s="986"/>
      <c r="G432" s="986">
        <f t="shared" si="52"/>
        <v>45695</v>
      </c>
      <c r="H432" s="987">
        <f t="shared" si="53"/>
        <v>45717</v>
      </c>
      <c r="I432" s="1027" t="s">
        <v>336</v>
      </c>
      <c r="J432" s="998" t="s">
        <v>18</v>
      </c>
      <c r="K432" s="998" t="s">
        <v>19</v>
      </c>
      <c r="L432" s="992" t="s">
        <v>20</v>
      </c>
      <c r="M432" s="1038" t="s">
        <v>338</v>
      </c>
      <c r="N432" s="512"/>
      <c r="O432" s="512"/>
      <c r="P432" s="512"/>
      <c r="Q432" s="512"/>
      <c r="R432" s="512"/>
      <c r="S432" s="512"/>
      <c r="T432" s="512"/>
      <c r="U432" s="512"/>
      <c r="V432" s="512"/>
      <c r="W432" s="512"/>
    </row>
    <row r="433" s="477" customFormat="1" spans="1:23">
      <c r="A433" s="998" t="s">
        <v>333</v>
      </c>
      <c r="B433" s="998" t="s">
        <v>334</v>
      </c>
      <c r="C433" s="1034" t="s">
        <v>28</v>
      </c>
      <c r="D433" s="233">
        <v>16</v>
      </c>
      <c r="E433" s="677"/>
      <c r="F433" s="986"/>
      <c r="G433" s="986">
        <f t="shared" si="52"/>
        <v>45695</v>
      </c>
      <c r="H433" s="987">
        <f t="shared" si="53"/>
        <v>45717</v>
      </c>
      <c r="I433" s="1027" t="s">
        <v>336</v>
      </c>
      <c r="J433" s="998" t="s">
        <v>18</v>
      </c>
      <c r="K433" s="998" t="s">
        <v>19</v>
      </c>
      <c r="L433" s="992" t="s">
        <v>20</v>
      </c>
      <c r="M433" s="1038" t="s">
        <v>338</v>
      </c>
      <c r="N433" s="512"/>
      <c r="O433" s="512"/>
      <c r="P433" s="512"/>
      <c r="Q433" s="512"/>
      <c r="R433" s="512"/>
      <c r="S433" s="512"/>
      <c r="T433" s="512"/>
      <c r="U433" s="512"/>
      <c r="V433" s="512"/>
      <c r="W433" s="512"/>
    </row>
    <row r="434" s="477" customFormat="1" spans="1:23">
      <c r="A434" s="998" t="s">
        <v>333</v>
      </c>
      <c r="B434" s="998" t="s">
        <v>334</v>
      </c>
      <c r="C434" s="1034" t="s">
        <v>67</v>
      </c>
      <c r="D434" s="233">
        <v>16</v>
      </c>
      <c r="E434" s="677"/>
      <c r="F434" s="986"/>
      <c r="G434" s="986">
        <f t="shared" si="52"/>
        <v>45695</v>
      </c>
      <c r="H434" s="987">
        <f t="shared" si="53"/>
        <v>45717</v>
      </c>
      <c r="I434" s="1027" t="s">
        <v>336</v>
      </c>
      <c r="J434" s="998" t="s">
        <v>18</v>
      </c>
      <c r="K434" s="998" t="s">
        <v>19</v>
      </c>
      <c r="L434" s="992" t="s">
        <v>20</v>
      </c>
      <c r="M434" s="1038" t="s">
        <v>338</v>
      </c>
      <c r="N434" s="512"/>
      <c r="O434" s="512"/>
      <c r="P434" s="512"/>
      <c r="Q434" s="512"/>
      <c r="R434" s="512"/>
      <c r="S434" s="512"/>
      <c r="T434" s="512"/>
      <c r="U434" s="512"/>
      <c r="V434" s="512"/>
      <c r="W434" s="512"/>
    </row>
    <row r="435" s="477" customFormat="1" spans="1:23">
      <c r="A435" s="998" t="s">
        <v>333</v>
      </c>
      <c r="B435" s="998" t="s">
        <v>334</v>
      </c>
      <c r="C435" s="1034" t="s">
        <v>69</v>
      </c>
      <c r="D435" s="233">
        <v>16</v>
      </c>
      <c r="E435" s="677"/>
      <c r="F435" s="986"/>
      <c r="G435" s="986">
        <f t="shared" si="52"/>
        <v>45695</v>
      </c>
      <c r="H435" s="987">
        <f t="shared" si="53"/>
        <v>45717</v>
      </c>
      <c r="I435" s="1027" t="s">
        <v>336</v>
      </c>
      <c r="J435" s="998" t="s">
        <v>18</v>
      </c>
      <c r="K435" s="998" t="s">
        <v>19</v>
      </c>
      <c r="L435" s="992" t="s">
        <v>20</v>
      </c>
      <c r="M435" s="1038" t="s">
        <v>338</v>
      </c>
      <c r="N435" s="512"/>
      <c r="O435" s="512"/>
      <c r="P435" s="512"/>
      <c r="Q435" s="512"/>
      <c r="R435" s="512"/>
      <c r="S435" s="512"/>
      <c r="T435" s="512"/>
      <c r="U435" s="512"/>
      <c r="V435" s="512"/>
      <c r="W435" s="512"/>
    </row>
    <row r="436" s="477" customFormat="1" spans="1:23">
      <c r="A436" s="998" t="s">
        <v>333</v>
      </c>
      <c r="B436" s="998" t="s">
        <v>334</v>
      </c>
      <c r="C436" s="1034" t="s">
        <v>29</v>
      </c>
      <c r="D436" s="233">
        <v>1</v>
      </c>
      <c r="E436" s="677"/>
      <c r="F436" s="986"/>
      <c r="G436" s="986">
        <f t="shared" si="52"/>
        <v>45695</v>
      </c>
      <c r="H436" s="987">
        <f t="shared" si="53"/>
        <v>45717</v>
      </c>
      <c r="I436" s="1027" t="s">
        <v>336</v>
      </c>
      <c r="J436" s="998" t="s">
        <v>18</v>
      </c>
      <c r="K436" s="998" t="s">
        <v>19</v>
      </c>
      <c r="L436" s="992" t="s">
        <v>20</v>
      </c>
      <c r="M436" s="1038" t="s">
        <v>338</v>
      </c>
      <c r="N436" s="512"/>
      <c r="O436" s="512"/>
      <c r="P436" s="512"/>
      <c r="Q436" s="512"/>
      <c r="R436" s="512"/>
      <c r="S436" s="512"/>
      <c r="T436" s="512"/>
      <c r="U436" s="512"/>
      <c r="V436" s="512"/>
      <c r="W436" s="512"/>
    </row>
    <row r="437" s="477" customFormat="1" spans="1:23">
      <c r="A437" s="998" t="s">
        <v>333</v>
      </c>
      <c r="B437" s="998" t="s">
        <v>334</v>
      </c>
      <c r="C437" s="1034" t="s">
        <v>30</v>
      </c>
      <c r="D437" s="233">
        <v>1</v>
      </c>
      <c r="E437" s="677"/>
      <c r="F437" s="986"/>
      <c r="G437" s="986">
        <f t="shared" si="52"/>
        <v>45695</v>
      </c>
      <c r="H437" s="987">
        <f t="shared" si="53"/>
        <v>45717</v>
      </c>
      <c r="I437" s="1027" t="s">
        <v>336</v>
      </c>
      <c r="J437" s="998" t="s">
        <v>18</v>
      </c>
      <c r="K437" s="998" t="s">
        <v>19</v>
      </c>
      <c r="L437" s="992" t="s">
        <v>20</v>
      </c>
      <c r="M437" s="1038" t="s">
        <v>338</v>
      </c>
      <c r="N437" s="512"/>
      <c r="O437" s="512"/>
      <c r="P437" s="512"/>
      <c r="Q437" s="512"/>
      <c r="R437" s="512"/>
      <c r="S437" s="512"/>
      <c r="T437" s="512"/>
      <c r="U437" s="512"/>
      <c r="V437" s="512"/>
      <c r="W437" s="512"/>
    </row>
    <row r="438" s="477" customFormat="1" spans="1:23">
      <c r="A438" s="998" t="s">
        <v>333</v>
      </c>
      <c r="B438" s="998" t="s">
        <v>334</v>
      </c>
      <c r="C438" s="1034" t="s">
        <v>31</v>
      </c>
      <c r="D438" s="233">
        <v>1</v>
      </c>
      <c r="E438" s="677"/>
      <c r="F438" s="986"/>
      <c r="G438" s="986">
        <f t="shared" si="52"/>
        <v>45695</v>
      </c>
      <c r="H438" s="987">
        <f t="shared" si="53"/>
        <v>45717</v>
      </c>
      <c r="I438" s="1027" t="s">
        <v>336</v>
      </c>
      <c r="J438" s="998" t="s">
        <v>18</v>
      </c>
      <c r="K438" s="998" t="s">
        <v>19</v>
      </c>
      <c r="L438" s="992" t="s">
        <v>20</v>
      </c>
      <c r="M438" s="1038" t="s">
        <v>338</v>
      </c>
      <c r="N438" s="512"/>
      <c r="O438" s="512"/>
      <c r="P438" s="512"/>
      <c r="Q438" s="512"/>
      <c r="R438" s="512"/>
      <c r="S438" s="512"/>
      <c r="T438" s="512"/>
      <c r="U438" s="512"/>
      <c r="V438" s="512"/>
      <c r="W438" s="512"/>
    </row>
    <row r="439" s="477" customFormat="1" spans="1:23">
      <c r="A439" s="998" t="s">
        <v>333</v>
      </c>
      <c r="B439" s="998" t="s">
        <v>334</v>
      </c>
      <c r="C439" s="1034" t="s">
        <v>32</v>
      </c>
      <c r="D439" s="233">
        <v>1</v>
      </c>
      <c r="E439" s="677"/>
      <c r="F439" s="986"/>
      <c r="G439" s="986">
        <f t="shared" si="52"/>
        <v>45695</v>
      </c>
      <c r="H439" s="987">
        <f t="shared" si="53"/>
        <v>45717</v>
      </c>
      <c r="I439" s="1027" t="s">
        <v>336</v>
      </c>
      <c r="J439" s="998" t="s">
        <v>18</v>
      </c>
      <c r="K439" s="998" t="s">
        <v>19</v>
      </c>
      <c r="L439" s="992" t="s">
        <v>20</v>
      </c>
      <c r="M439" s="1038" t="s">
        <v>338</v>
      </c>
      <c r="N439" s="512"/>
      <c r="O439" s="512"/>
      <c r="P439" s="512"/>
      <c r="Q439" s="512"/>
      <c r="R439" s="512"/>
      <c r="S439" s="512"/>
      <c r="T439" s="512"/>
      <c r="U439" s="512"/>
      <c r="V439" s="512"/>
      <c r="W439" s="512"/>
    </row>
    <row r="440" s="477" customFormat="1" spans="1:23">
      <c r="A440" s="998" t="s">
        <v>333</v>
      </c>
      <c r="B440" s="998" t="s">
        <v>334</v>
      </c>
      <c r="C440" s="1034" t="s">
        <v>59</v>
      </c>
      <c r="D440" s="233">
        <v>21</v>
      </c>
      <c r="E440" s="677"/>
      <c r="F440" s="986"/>
      <c r="G440" s="986">
        <f t="shared" si="52"/>
        <v>45695</v>
      </c>
      <c r="H440" s="987">
        <f t="shared" si="53"/>
        <v>45717</v>
      </c>
      <c r="I440" s="1027" t="s">
        <v>336</v>
      </c>
      <c r="J440" s="998" t="s">
        <v>18</v>
      </c>
      <c r="K440" s="998" t="s">
        <v>19</v>
      </c>
      <c r="L440" s="992" t="s">
        <v>20</v>
      </c>
      <c r="M440" s="1038" t="s">
        <v>338</v>
      </c>
      <c r="N440" s="512"/>
      <c r="O440" s="512"/>
      <c r="P440" s="512"/>
      <c r="Q440" s="512"/>
      <c r="R440" s="512"/>
      <c r="S440" s="512"/>
      <c r="T440" s="512"/>
      <c r="U440" s="512"/>
      <c r="V440" s="512"/>
      <c r="W440" s="512"/>
    </row>
    <row r="441" s="477" customFormat="1" spans="1:23">
      <c r="A441" s="998" t="s">
        <v>333</v>
      </c>
      <c r="B441" s="998" t="s">
        <v>334</v>
      </c>
      <c r="C441" s="1034" t="s">
        <v>60</v>
      </c>
      <c r="D441" s="233">
        <v>21</v>
      </c>
      <c r="E441" s="677"/>
      <c r="F441" s="986"/>
      <c r="G441" s="986">
        <f t="shared" si="52"/>
        <v>45695</v>
      </c>
      <c r="H441" s="987">
        <f t="shared" si="53"/>
        <v>45717</v>
      </c>
      <c r="I441" s="1027" t="s">
        <v>336</v>
      </c>
      <c r="J441" s="998" t="s">
        <v>18</v>
      </c>
      <c r="K441" s="998" t="s">
        <v>19</v>
      </c>
      <c r="L441" s="992" t="s">
        <v>20</v>
      </c>
      <c r="M441" s="1038" t="s">
        <v>338</v>
      </c>
      <c r="N441" s="512"/>
      <c r="O441" s="512"/>
      <c r="P441" s="512"/>
      <c r="Q441" s="512"/>
      <c r="R441" s="512"/>
      <c r="S441" s="512"/>
      <c r="T441" s="512"/>
      <c r="U441" s="512"/>
      <c r="V441" s="512"/>
      <c r="W441" s="512"/>
    </row>
    <row r="442" s="178" customFormat="1" spans="1:23">
      <c r="A442" s="998" t="s">
        <v>330</v>
      </c>
      <c r="B442" s="998" t="s">
        <v>339</v>
      </c>
      <c r="C442" s="1024" t="s">
        <v>15</v>
      </c>
      <c r="D442" s="209">
        <v>155</v>
      </c>
      <c r="E442" s="1004" t="s">
        <v>340</v>
      </c>
      <c r="F442" s="986"/>
      <c r="G442" s="986">
        <f>VLOOKUP(CLEAN(SUBSTITUTE(TRIM(MID(E:E,FIND("/",E:E)+1,LEN(E:E)))," ","")),'Customs Decl. &amp; Local Delivery'!D:I,6,0)</f>
        <v>45695</v>
      </c>
      <c r="H442" s="987">
        <f>VLOOKUP(CLEAN(SUBSTITUTE(TRIM(MID(E:E,FIND("/",E:E)+1,LEN(E:E)))," ","")),'Customs Decl. &amp; Local Delivery'!D:J,7,0)</f>
        <v>45717</v>
      </c>
      <c r="I442" s="1012" t="s">
        <v>341</v>
      </c>
      <c r="J442" s="998" t="s">
        <v>18</v>
      </c>
      <c r="K442" s="1005" t="s">
        <v>147</v>
      </c>
      <c r="L442" s="992" t="s">
        <v>20</v>
      </c>
      <c r="M442" s="1042" t="s">
        <v>329</v>
      </c>
      <c r="N442" s="203"/>
      <c r="O442" s="512"/>
      <c r="P442" s="512"/>
      <c r="Q442" s="512"/>
      <c r="R442" s="512"/>
      <c r="S442" s="512"/>
      <c r="T442" s="512"/>
      <c r="U442" s="512"/>
      <c r="V442" s="512"/>
      <c r="W442" s="512"/>
    </row>
    <row r="443" s="178" customFormat="1" spans="1:23">
      <c r="A443" s="998" t="s">
        <v>330</v>
      </c>
      <c r="B443" s="998" t="s">
        <v>339</v>
      </c>
      <c r="C443" s="1024" t="s">
        <v>69</v>
      </c>
      <c r="D443" s="209">
        <v>80</v>
      </c>
      <c r="E443" s="677"/>
      <c r="F443" s="986"/>
      <c r="G443" s="986">
        <f>G442</f>
        <v>45695</v>
      </c>
      <c r="H443" s="987">
        <f>H442</f>
        <v>45717</v>
      </c>
      <c r="I443" s="1043" t="s">
        <v>341</v>
      </c>
      <c r="J443" s="998" t="s">
        <v>18</v>
      </c>
      <c r="K443" s="1005" t="s">
        <v>147</v>
      </c>
      <c r="L443" s="992" t="s">
        <v>20</v>
      </c>
      <c r="M443" s="1005"/>
      <c r="N443" s="203"/>
      <c r="O443" s="512"/>
      <c r="P443" s="512"/>
      <c r="Q443" s="512"/>
      <c r="R443" s="512"/>
      <c r="S443" s="512"/>
      <c r="T443" s="512"/>
      <c r="U443" s="512"/>
      <c r="V443" s="512"/>
      <c r="W443" s="512"/>
    </row>
    <row r="444" s="178" customFormat="1" spans="1:23">
      <c r="A444" s="998" t="s">
        <v>330</v>
      </c>
      <c r="B444" s="998" t="s">
        <v>339</v>
      </c>
      <c r="C444" s="1024" t="s">
        <v>342</v>
      </c>
      <c r="D444" s="209">
        <v>53</v>
      </c>
      <c r="E444" s="677"/>
      <c r="F444" s="986"/>
      <c r="G444" s="986">
        <f>G443</f>
        <v>45695</v>
      </c>
      <c r="H444" s="987">
        <f>H443</f>
        <v>45717</v>
      </c>
      <c r="I444" s="1012" t="s">
        <v>341</v>
      </c>
      <c r="J444" s="998" t="s">
        <v>18</v>
      </c>
      <c r="K444" s="1005" t="s">
        <v>147</v>
      </c>
      <c r="L444" s="992" t="s">
        <v>20</v>
      </c>
      <c r="M444" s="1005"/>
      <c r="N444" s="203"/>
      <c r="O444" s="512"/>
      <c r="P444" s="512"/>
      <c r="Q444" s="512"/>
      <c r="R444" s="512"/>
      <c r="S444" s="512"/>
      <c r="T444" s="512"/>
      <c r="U444" s="512"/>
      <c r="V444" s="512"/>
      <c r="W444" s="512"/>
    </row>
    <row r="445" s="178" customFormat="1" spans="1:23">
      <c r="A445" s="1005" t="s">
        <v>343</v>
      </c>
      <c r="B445" s="998" t="s">
        <v>344</v>
      </c>
      <c r="C445" s="1035" t="s">
        <v>318</v>
      </c>
      <c r="D445" s="233">
        <v>74</v>
      </c>
      <c r="E445" s="1004" t="s">
        <v>345</v>
      </c>
      <c r="F445" s="986"/>
      <c r="G445" s="986">
        <f>VLOOKUP(CLEAN(SUBSTITUTE(TRIM(MID(E:E,FIND("/",E:E)+1,LEN(E:E)))," ","")),'Customs Decl. &amp; Local Delivery'!D:I,6,0)</f>
        <v>45698</v>
      </c>
      <c r="H445" s="987">
        <f>VLOOKUP(CLEAN(SUBSTITUTE(TRIM(MID(E:E,FIND("/",E:E)+1,LEN(E:E)))," ","")),'Customs Decl. &amp; Local Delivery'!D:J,7,0)</f>
        <v>45731</v>
      </c>
      <c r="I445" s="1027" t="s">
        <v>346</v>
      </c>
      <c r="J445" s="998" t="s">
        <v>39</v>
      </c>
      <c r="K445" s="998" t="s">
        <v>147</v>
      </c>
      <c r="L445" s="992" t="s">
        <v>20</v>
      </c>
      <c r="M445" s="1042" t="s">
        <v>347</v>
      </c>
      <c r="N445" s="203"/>
      <c r="O445" s="512"/>
      <c r="P445" s="512"/>
      <c r="Q445" s="512"/>
      <c r="R445" s="512"/>
      <c r="S445" s="512"/>
      <c r="T445" s="512"/>
      <c r="U445" s="512"/>
      <c r="V445" s="512"/>
      <c r="W445" s="512"/>
    </row>
    <row r="446" s="178" customFormat="1" spans="1:23">
      <c r="A446" s="1005" t="s">
        <v>343</v>
      </c>
      <c r="B446" s="998" t="s">
        <v>344</v>
      </c>
      <c r="C446" s="1035" t="s">
        <v>348</v>
      </c>
      <c r="D446" s="233">
        <v>78</v>
      </c>
      <c r="E446" s="677"/>
      <c r="F446" s="986"/>
      <c r="G446" s="986">
        <f>G445</f>
        <v>45698</v>
      </c>
      <c r="H446" s="987">
        <f>H445</f>
        <v>45731</v>
      </c>
      <c r="I446" s="1027" t="s">
        <v>346</v>
      </c>
      <c r="J446" s="998" t="s">
        <v>39</v>
      </c>
      <c r="K446" s="998" t="s">
        <v>147</v>
      </c>
      <c r="L446" s="992" t="s">
        <v>20</v>
      </c>
      <c r="M446" s="1005"/>
      <c r="N446" s="203"/>
      <c r="O446" s="512"/>
      <c r="P446" s="512"/>
      <c r="Q446" s="512"/>
      <c r="R446" s="512"/>
      <c r="S446" s="512"/>
      <c r="T446" s="512"/>
      <c r="U446" s="512"/>
      <c r="V446" s="512"/>
      <c r="W446" s="512"/>
    </row>
    <row r="447" s="178" customFormat="1" spans="1:23">
      <c r="A447" s="1005" t="s">
        <v>343</v>
      </c>
      <c r="B447" s="998" t="s">
        <v>344</v>
      </c>
      <c r="C447" s="1035" t="s">
        <v>349</v>
      </c>
      <c r="D447" s="233">
        <v>78</v>
      </c>
      <c r="E447" s="677"/>
      <c r="F447" s="986"/>
      <c r="G447" s="986">
        <f>G446</f>
        <v>45698</v>
      </c>
      <c r="H447" s="987">
        <f>H446</f>
        <v>45731</v>
      </c>
      <c r="I447" s="1027" t="s">
        <v>346</v>
      </c>
      <c r="J447" s="998" t="s">
        <v>39</v>
      </c>
      <c r="K447" s="998" t="s">
        <v>147</v>
      </c>
      <c r="L447" s="992" t="s">
        <v>20</v>
      </c>
      <c r="M447" s="1005"/>
      <c r="N447" s="203"/>
      <c r="O447" s="512"/>
      <c r="P447" s="512"/>
      <c r="Q447" s="512"/>
      <c r="R447" s="512"/>
      <c r="S447" s="512"/>
      <c r="T447" s="512"/>
      <c r="U447" s="512"/>
      <c r="V447" s="512"/>
      <c r="W447" s="512"/>
    </row>
    <row r="448" s="178" customFormat="1" spans="1:23">
      <c r="A448" s="1005" t="s">
        <v>343</v>
      </c>
      <c r="B448" s="998" t="s">
        <v>344</v>
      </c>
      <c r="C448" s="1035" t="s">
        <v>144</v>
      </c>
      <c r="D448" s="233">
        <v>25</v>
      </c>
      <c r="E448" s="677"/>
      <c r="F448" s="986"/>
      <c r="G448" s="986">
        <f>G447</f>
        <v>45698</v>
      </c>
      <c r="H448" s="987">
        <f>H447</f>
        <v>45731</v>
      </c>
      <c r="I448" s="1027" t="s">
        <v>346</v>
      </c>
      <c r="J448" s="1044" t="s">
        <v>39</v>
      </c>
      <c r="K448" s="1044" t="s">
        <v>147</v>
      </c>
      <c r="L448" s="992" t="s">
        <v>20</v>
      </c>
      <c r="M448" s="1045"/>
      <c r="N448" s="203"/>
      <c r="O448" s="512"/>
      <c r="P448" s="512"/>
      <c r="Q448" s="512"/>
      <c r="R448" s="512"/>
      <c r="S448" s="512"/>
      <c r="T448" s="512"/>
      <c r="U448" s="512"/>
      <c r="V448" s="512"/>
      <c r="W448" s="512"/>
    </row>
    <row r="449" s="178" customFormat="1" ht="30" spans="1:23">
      <c r="A449" s="1005" t="s">
        <v>343</v>
      </c>
      <c r="B449" s="998" t="s">
        <v>350</v>
      </c>
      <c r="C449" s="1006" t="s">
        <v>318</v>
      </c>
      <c r="D449" s="1007">
        <v>312</v>
      </c>
      <c r="E449" s="1008" t="s">
        <v>351</v>
      </c>
      <c r="F449" s="986"/>
      <c r="G449" s="986">
        <f>VLOOKUP(CLEAN(SUBSTITUTE(TRIM(MID(E:E,FIND("/",E:E)+1,LEN(E:E)))," ","")),'Customs Decl. &amp; Local Delivery'!D:I,6,0)</f>
        <v>45700</v>
      </c>
      <c r="H449" s="987">
        <f>VLOOKUP(CLEAN(SUBSTITUTE(TRIM(MID(E:E,FIND("/",E:E)+1,LEN(E:E)))," ","")),'Customs Decl. &amp; Local Delivery'!D:J,7,0)</f>
        <v>45724</v>
      </c>
      <c r="I449" s="1012" t="s">
        <v>352</v>
      </c>
      <c r="J449" s="998" t="s">
        <v>18</v>
      </c>
      <c r="K449" s="998" t="s">
        <v>147</v>
      </c>
      <c r="L449" s="193" t="s">
        <v>20</v>
      </c>
      <c r="M449" s="1021" t="s">
        <v>347</v>
      </c>
      <c r="N449" s="203"/>
      <c r="O449" s="512"/>
      <c r="P449" s="512"/>
      <c r="Q449" s="512"/>
      <c r="R449" s="512"/>
      <c r="S449" s="512"/>
      <c r="T449" s="512"/>
      <c r="U449" s="512"/>
      <c r="V449" s="512"/>
      <c r="W449" s="512"/>
    </row>
    <row r="450" s="477" customFormat="1" spans="1:23">
      <c r="A450" s="1027" t="s">
        <v>333</v>
      </c>
      <c r="B450" s="998" t="s">
        <v>353</v>
      </c>
      <c r="C450" s="1034" t="s">
        <v>15</v>
      </c>
      <c r="D450" s="233">
        <v>47</v>
      </c>
      <c r="E450" s="1008" t="s">
        <v>354</v>
      </c>
      <c r="F450" s="986"/>
      <c r="G450" s="986">
        <f>VLOOKUP(CLEAN(SUBSTITUTE(TRIM(MID(E:E,FIND("/",E:E)+1,LEN(E:E)))," ","")),'Customs Decl. &amp; Local Delivery'!D:I,6,0)</f>
        <v>45705</v>
      </c>
      <c r="H450" s="987">
        <f>VLOOKUP(CLEAN(SUBSTITUTE(TRIM(MID(E:E,FIND("/",E:E)+1,LEN(E:E)))," ","")),'Customs Decl. &amp; Local Delivery'!D:J,7,0)</f>
        <v>45728</v>
      </c>
      <c r="I450" s="1027" t="s">
        <v>355</v>
      </c>
      <c r="J450" s="998" t="s">
        <v>18</v>
      </c>
      <c r="K450" s="998" t="s">
        <v>19</v>
      </c>
      <c r="L450" s="193" t="s">
        <v>20</v>
      </c>
      <c r="M450" s="1021" t="s">
        <v>356</v>
      </c>
      <c r="N450" s="512"/>
      <c r="O450" s="512"/>
      <c r="P450" s="512"/>
      <c r="Q450" s="512"/>
      <c r="R450" s="512"/>
      <c r="S450" s="512"/>
      <c r="T450" s="512"/>
      <c r="U450" s="512"/>
      <c r="V450" s="512"/>
      <c r="W450" s="512"/>
    </row>
    <row r="451" s="477" customFormat="1" spans="1:23">
      <c r="A451" s="1027" t="s">
        <v>333</v>
      </c>
      <c r="B451" s="998" t="s">
        <v>353</v>
      </c>
      <c r="C451" s="1034" t="s">
        <v>22</v>
      </c>
      <c r="D451" s="233">
        <v>47</v>
      </c>
      <c r="E451" s="677"/>
      <c r="F451" s="986"/>
      <c r="G451" s="986">
        <f t="shared" ref="G451:G463" si="54">G450</f>
        <v>45705</v>
      </c>
      <c r="H451" s="987">
        <f t="shared" ref="H451:H463" si="55">H450</f>
        <v>45728</v>
      </c>
      <c r="I451" s="1027" t="s">
        <v>355</v>
      </c>
      <c r="J451" s="998" t="s">
        <v>18</v>
      </c>
      <c r="K451" s="998" t="s">
        <v>19</v>
      </c>
      <c r="L451" s="193" t="s">
        <v>20</v>
      </c>
      <c r="M451" s="1038" t="s">
        <v>357</v>
      </c>
      <c r="N451" s="512"/>
      <c r="O451" s="512"/>
      <c r="P451" s="512"/>
      <c r="Q451" s="512"/>
      <c r="R451" s="512"/>
      <c r="S451" s="512"/>
      <c r="T451" s="512"/>
      <c r="U451" s="512"/>
      <c r="V451" s="512"/>
      <c r="W451" s="512"/>
    </row>
    <row r="452" s="477" customFormat="1" spans="1:23">
      <c r="A452" s="1027" t="s">
        <v>333</v>
      </c>
      <c r="B452" s="998" t="s">
        <v>353</v>
      </c>
      <c r="C452" s="1034" t="s">
        <v>24</v>
      </c>
      <c r="D452" s="233">
        <v>4</v>
      </c>
      <c r="E452" s="677"/>
      <c r="F452" s="986"/>
      <c r="G452" s="986">
        <f t="shared" si="54"/>
        <v>45705</v>
      </c>
      <c r="H452" s="987">
        <f t="shared" si="55"/>
        <v>45728</v>
      </c>
      <c r="I452" s="1027" t="s">
        <v>355</v>
      </c>
      <c r="J452" s="998" t="s">
        <v>18</v>
      </c>
      <c r="K452" s="998" t="s">
        <v>19</v>
      </c>
      <c r="L452" s="193" t="s">
        <v>20</v>
      </c>
      <c r="M452" s="1038" t="s">
        <v>357</v>
      </c>
      <c r="N452" s="512"/>
      <c r="O452" s="512"/>
      <c r="P452" s="512"/>
      <c r="Q452" s="512"/>
      <c r="R452" s="512"/>
      <c r="S452" s="512"/>
      <c r="T452" s="512"/>
      <c r="U452" s="512"/>
      <c r="V452" s="512"/>
      <c r="W452" s="512"/>
    </row>
    <row r="453" s="477" customFormat="1" spans="1:23">
      <c r="A453" s="1027" t="s">
        <v>333</v>
      </c>
      <c r="B453" s="998" t="s">
        <v>353</v>
      </c>
      <c r="C453" s="1034" t="s">
        <v>25</v>
      </c>
      <c r="D453" s="233">
        <v>4</v>
      </c>
      <c r="E453" s="677"/>
      <c r="F453" s="986"/>
      <c r="G453" s="986">
        <f t="shared" si="54"/>
        <v>45705</v>
      </c>
      <c r="H453" s="987">
        <f t="shared" si="55"/>
        <v>45728</v>
      </c>
      <c r="I453" s="1027" t="s">
        <v>355</v>
      </c>
      <c r="J453" s="998" t="s">
        <v>18</v>
      </c>
      <c r="K453" s="998" t="s">
        <v>19</v>
      </c>
      <c r="L453" s="193" t="s">
        <v>20</v>
      </c>
      <c r="M453" s="1038" t="s">
        <v>357</v>
      </c>
      <c r="N453" s="512"/>
      <c r="O453" s="512"/>
      <c r="P453" s="512"/>
      <c r="Q453" s="512"/>
      <c r="R453" s="512"/>
      <c r="S453" s="512"/>
      <c r="T453" s="512"/>
      <c r="U453" s="512"/>
      <c r="V453" s="512"/>
      <c r="W453" s="512"/>
    </row>
    <row r="454" s="477" customFormat="1" spans="1:23">
      <c r="A454" s="1027" t="s">
        <v>333</v>
      </c>
      <c r="B454" s="998" t="s">
        <v>353</v>
      </c>
      <c r="C454" s="1034" t="s">
        <v>27</v>
      </c>
      <c r="D454" s="233">
        <v>16</v>
      </c>
      <c r="E454" s="677"/>
      <c r="F454" s="986"/>
      <c r="G454" s="986">
        <f t="shared" si="54"/>
        <v>45705</v>
      </c>
      <c r="H454" s="987">
        <f t="shared" si="55"/>
        <v>45728</v>
      </c>
      <c r="I454" s="1027" t="s">
        <v>355</v>
      </c>
      <c r="J454" s="998" t="s">
        <v>18</v>
      </c>
      <c r="K454" s="998" t="s">
        <v>19</v>
      </c>
      <c r="L454" s="193" t="s">
        <v>20</v>
      </c>
      <c r="M454" s="1038" t="s">
        <v>357</v>
      </c>
      <c r="N454" s="512"/>
      <c r="O454" s="512"/>
      <c r="P454" s="512"/>
      <c r="Q454" s="512"/>
      <c r="R454" s="512"/>
      <c r="S454" s="512"/>
      <c r="T454" s="512"/>
      <c r="U454" s="512"/>
      <c r="V454" s="512"/>
      <c r="W454" s="512"/>
    </row>
    <row r="455" s="477" customFormat="1" spans="1:23">
      <c r="A455" s="1027" t="s">
        <v>333</v>
      </c>
      <c r="B455" s="998" t="s">
        <v>353</v>
      </c>
      <c r="C455" s="1034" t="s">
        <v>28</v>
      </c>
      <c r="D455" s="233">
        <v>16</v>
      </c>
      <c r="E455" s="677"/>
      <c r="F455" s="986"/>
      <c r="G455" s="986">
        <f t="shared" si="54"/>
        <v>45705</v>
      </c>
      <c r="H455" s="987">
        <f t="shared" si="55"/>
        <v>45728</v>
      </c>
      <c r="I455" s="1027" t="s">
        <v>355</v>
      </c>
      <c r="J455" s="998" t="s">
        <v>18</v>
      </c>
      <c r="K455" s="998" t="s">
        <v>19</v>
      </c>
      <c r="L455" s="193" t="s">
        <v>20</v>
      </c>
      <c r="M455" s="1038" t="s">
        <v>357</v>
      </c>
      <c r="N455" s="512"/>
      <c r="O455" s="512"/>
      <c r="P455" s="512"/>
      <c r="Q455" s="512"/>
      <c r="R455" s="512"/>
      <c r="S455" s="512"/>
      <c r="T455" s="512"/>
      <c r="U455" s="512"/>
      <c r="V455" s="512"/>
      <c r="W455" s="512"/>
    </row>
    <row r="456" s="477" customFormat="1" spans="1:23">
      <c r="A456" s="1027" t="s">
        <v>333</v>
      </c>
      <c r="B456" s="998" t="s">
        <v>353</v>
      </c>
      <c r="C456" s="1034" t="s">
        <v>67</v>
      </c>
      <c r="D456" s="233">
        <v>16</v>
      </c>
      <c r="E456" s="677"/>
      <c r="F456" s="986"/>
      <c r="G456" s="986">
        <f t="shared" si="54"/>
        <v>45705</v>
      </c>
      <c r="H456" s="987">
        <f t="shared" si="55"/>
        <v>45728</v>
      </c>
      <c r="I456" s="1027" t="s">
        <v>355</v>
      </c>
      <c r="J456" s="998" t="s">
        <v>18</v>
      </c>
      <c r="K456" s="998" t="s">
        <v>19</v>
      </c>
      <c r="L456" s="193" t="s">
        <v>20</v>
      </c>
      <c r="M456" s="1038" t="s">
        <v>357</v>
      </c>
      <c r="N456" s="512"/>
      <c r="O456" s="512"/>
      <c r="P456" s="512"/>
      <c r="Q456" s="512"/>
      <c r="R456" s="512"/>
      <c r="S456" s="512"/>
      <c r="T456" s="512"/>
      <c r="U456" s="512"/>
      <c r="V456" s="512"/>
      <c r="W456" s="512"/>
    </row>
    <row r="457" s="477" customFormat="1" spans="1:23">
      <c r="A457" s="1027" t="s">
        <v>333</v>
      </c>
      <c r="B457" s="998" t="s">
        <v>353</v>
      </c>
      <c r="C457" s="1034" t="s">
        <v>69</v>
      </c>
      <c r="D457" s="233">
        <v>16</v>
      </c>
      <c r="E457" s="677"/>
      <c r="F457" s="986"/>
      <c r="G457" s="986">
        <f t="shared" si="54"/>
        <v>45705</v>
      </c>
      <c r="H457" s="987">
        <f t="shared" si="55"/>
        <v>45728</v>
      </c>
      <c r="I457" s="1027" t="s">
        <v>355</v>
      </c>
      <c r="J457" s="998" t="s">
        <v>18</v>
      </c>
      <c r="K457" s="998" t="s">
        <v>19</v>
      </c>
      <c r="L457" s="193" t="s">
        <v>20</v>
      </c>
      <c r="M457" s="1038" t="s">
        <v>357</v>
      </c>
      <c r="N457" s="512"/>
      <c r="O457" s="512"/>
      <c r="P457" s="512"/>
      <c r="Q457" s="512"/>
      <c r="R457" s="512"/>
      <c r="S457" s="512"/>
      <c r="T457" s="512"/>
      <c r="U457" s="512"/>
      <c r="V457" s="512"/>
      <c r="W457" s="512"/>
    </row>
    <row r="458" s="477" customFormat="1" spans="1:23">
      <c r="A458" s="1027" t="s">
        <v>333</v>
      </c>
      <c r="B458" s="998" t="s">
        <v>353</v>
      </c>
      <c r="C458" s="1034" t="s">
        <v>29</v>
      </c>
      <c r="D458" s="233">
        <v>1</v>
      </c>
      <c r="E458" s="677"/>
      <c r="F458" s="986"/>
      <c r="G458" s="986">
        <f t="shared" si="54"/>
        <v>45705</v>
      </c>
      <c r="H458" s="987">
        <f t="shared" si="55"/>
        <v>45728</v>
      </c>
      <c r="I458" s="1027" t="s">
        <v>355</v>
      </c>
      <c r="J458" s="998" t="s">
        <v>18</v>
      </c>
      <c r="K458" s="998" t="s">
        <v>19</v>
      </c>
      <c r="L458" s="193" t="s">
        <v>20</v>
      </c>
      <c r="M458" s="1038" t="s">
        <v>357</v>
      </c>
      <c r="N458" s="512"/>
      <c r="O458" s="512"/>
      <c r="P458" s="512"/>
      <c r="Q458" s="512"/>
      <c r="R458" s="512"/>
      <c r="S458" s="512"/>
      <c r="T458" s="512"/>
      <c r="U458" s="512"/>
      <c r="V458" s="512"/>
      <c r="W458" s="512"/>
    </row>
    <row r="459" s="477" customFormat="1" spans="1:23">
      <c r="A459" s="1027" t="s">
        <v>333</v>
      </c>
      <c r="B459" s="998" t="s">
        <v>353</v>
      </c>
      <c r="C459" s="1034" t="s">
        <v>30</v>
      </c>
      <c r="D459" s="233">
        <v>1</v>
      </c>
      <c r="E459" s="677"/>
      <c r="F459" s="986"/>
      <c r="G459" s="986">
        <f t="shared" si="54"/>
        <v>45705</v>
      </c>
      <c r="H459" s="987">
        <f t="shared" si="55"/>
        <v>45728</v>
      </c>
      <c r="I459" s="1027" t="s">
        <v>355</v>
      </c>
      <c r="J459" s="998" t="s">
        <v>18</v>
      </c>
      <c r="K459" s="998" t="s">
        <v>19</v>
      </c>
      <c r="L459" s="193" t="s">
        <v>20</v>
      </c>
      <c r="M459" s="1038" t="s">
        <v>357</v>
      </c>
      <c r="N459" s="512"/>
      <c r="O459" s="512"/>
      <c r="P459" s="512"/>
      <c r="Q459" s="512"/>
      <c r="R459" s="512"/>
      <c r="S459" s="512"/>
      <c r="T459" s="512"/>
      <c r="U459" s="512"/>
      <c r="V459" s="512"/>
      <c r="W459" s="512"/>
    </row>
    <row r="460" s="477" customFormat="1" spans="1:23">
      <c r="A460" s="1027" t="s">
        <v>333</v>
      </c>
      <c r="B460" s="998" t="s">
        <v>353</v>
      </c>
      <c r="C460" s="1034" t="s">
        <v>31</v>
      </c>
      <c r="D460" s="233">
        <v>1</v>
      </c>
      <c r="E460" s="677"/>
      <c r="F460" s="986"/>
      <c r="G460" s="986">
        <f t="shared" si="54"/>
        <v>45705</v>
      </c>
      <c r="H460" s="987">
        <f t="shared" si="55"/>
        <v>45728</v>
      </c>
      <c r="I460" s="1027" t="s">
        <v>355</v>
      </c>
      <c r="J460" s="998" t="s">
        <v>18</v>
      </c>
      <c r="K460" s="998" t="s">
        <v>19</v>
      </c>
      <c r="L460" s="193" t="s">
        <v>20</v>
      </c>
      <c r="M460" s="1038" t="s">
        <v>357</v>
      </c>
      <c r="N460" s="512"/>
      <c r="O460" s="512"/>
      <c r="P460" s="512"/>
      <c r="Q460" s="512"/>
      <c r="R460" s="512"/>
      <c r="S460" s="512"/>
      <c r="T460" s="512"/>
      <c r="U460" s="512"/>
      <c r="V460" s="512"/>
      <c r="W460" s="512"/>
    </row>
    <row r="461" s="477" customFormat="1" spans="1:23">
      <c r="A461" s="1027" t="s">
        <v>333</v>
      </c>
      <c r="B461" s="998" t="s">
        <v>353</v>
      </c>
      <c r="C461" s="1034" t="s">
        <v>32</v>
      </c>
      <c r="D461" s="233">
        <v>1</v>
      </c>
      <c r="E461" s="677"/>
      <c r="F461" s="986"/>
      <c r="G461" s="986">
        <f t="shared" si="54"/>
        <v>45705</v>
      </c>
      <c r="H461" s="987">
        <f t="shared" si="55"/>
        <v>45728</v>
      </c>
      <c r="I461" s="1027" t="s">
        <v>355</v>
      </c>
      <c r="J461" s="998" t="s">
        <v>18</v>
      </c>
      <c r="K461" s="998" t="s">
        <v>19</v>
      </c>
      <c r="L461" s="193" t="s">
        <v>20</v>
      </c>
      <c r="M461" s="1038" t="s">
        <v>357</v>
      </c>
      <c r="N461" s="512"/>
      <c r="O461" s="512"/>
      <c r="P461" s="512"/>
      <c r="Q461" s="512"/>
      <c r="R461" s="512"/>
      <c r="S461" s="512"/>
      <c r="T461" s="512"/>
      <c r="U461" s="512"/>
      <c r="V461" s="512"/>
      <c r="W461" s="512"/>
    </row>
    <row r="462" s="477" customFormat="1" spans="1:23">
      <c r="A462" s="1027" t="s">
        <v>333</v>
      </c>
      <c r="B462" s="998" t="s">
        <v>353</v>
      </c>
      <c r="C462" s="1034" t="s">
        <v>59</v>
      </c>
      <c r="D462" s="233">
        <v>21</v>
      </c>
      <c r="E462" s="677"/>
      <c r="F462" s="986"/>
      <c r="G462" s="986">
        <f t="shared" si="54"/>
        <v>45705</v>
      </c>
      <c r="H462" s="987">
        <f t="shared" si="55"/>
        <v>45728</v>
      </c>
      <c r="I462" s="1027" t="s">
        <v>355</v>
      </c>
      <c r="J462" s="998" t="s">
        <v>18</v>
      </c>
      <c r="K462" s="998" t="s">
        <v>19</v>
      </c>
      <c r="L462" s="193" t="s">
        <v>20</v>
      </c>
      <c r="M462" s="1038" t="s">
        <v>357</v>
      </c>
      <c r="N462" s="512"/>
      <c r="O462" s="512"/>
      <c r="P462" s="512"/>
      <c r="Q462" s="512"/>
      <c r="R462" s="512"/>
      <c r="S462" s="512"/>
      <c r="T462" s="512"/>
      <c r="U462" s="512"/>
      <c r="V462" s="512"/>
      <c r="W462" s="512"/>
    </row>
    <row r="463" s="477" customFormat="1" spans="1:23">
      <c r="A463" s="1027" t="s">
        <v>333</v>
      </c>
      <c r="B463" s="998" t="s">
        <v>353</v>
      </c>
      <c r="C463" s="1034" t="s">
        <v>60</v>
      </c>
      <c r="D463" s="233">
        <v>21</v>
      </c>
      <c r="E463" s="677"/>
      <c r="F463" s="986"/>
      <c r="G463" s="986">
        <f t="shared" si="54"/>
        <v>45705</v>
      </c>
      <c r="H463" s="987">
        <f t="shared" si="55"/>
        <v>45728</v>
      </c>
      <c r="I463" s="1027" t="s">
        <v>355</v>
      </c>
      <c r="J463" s="998" t="s">
        <v>18</v>
      </c>
      <c r="K463" s="998" t="s">
        <v>19</v>
      </c>
      <c r="L463" s="193" t="s">
        <v>20</v>
      </c>
      <c r="M463" s="1038" t="s">
        <v>357</v>
      </c>
      <c r="N463" s="512"/>
      <c r="O463" s="512"/>
      <c r="P463" s="512"/>
      <c r="Q463" s="512"/>
      <c r="R463" s="512"/>
      <c r="S463" s="512"/>
      <c r="T463" s="512"/>
      <c r="U463" s="512"/>
      <c r="V463" s="512"/>
      <c r="W463" s="512"/>
    </row>
    <row r="464" s="178" customFormat="1" spans="1:23">
      <c r="A464" s="1027" t="s">
        <v>343</v>
      </c>
      <c r="B464" s="998" t="s">
        <v>358</v>
      </c>
      <c r="C464" s="1035" t="s">
        <v>318</v>
      </c>
      <c r="D464" s="233">
        <v>74</v>
      </c>
      <c r="E464" s="1004" t="s">
        <v>359</v>
      </c>
      <c r="F464" s="986"/>
      <c r="G464" s="986">
        <f>VLOOKUP(CLEAN(SUBSTITUTE(TRIM(MID(E:E,FIND("/",E:E)+1,LEN(E:E)))," ","")),'Customs Decl. &amp; Local Delivery'!D:I,6,0)</f>
        <v>45705</v>
      </c>
      <c r="H464" s="987">
        <f>VLOOKUP(CLEAN(SUBSTITUTE(TRIM(MID(E:E,FIND("/",E:E)+1,LEN(E:E)))," ","")),'Customs Decl. &amp; Local Delivery'!D:J,7,0)</f>
        <v>45724</v>
      </c>
      <c r="I464" s="1027" t="s">
        <v>360</v>
      </c>
      <c r="J464" s="998" t="s">
        <v>161</v>
      </c>
      <c r="K464" s="998" t="s">
        <v>147</v>
      </c>
      <c r="L464" s="193" t="s">
        <v>20</v>
      </c>
      <c r="M464" s="1021" t="s">
        <v>347</v>
      </c>
      <c r="N464" s="203"/>
      <c r="O464" s="512"/>
      <c r="P464" s="512"/>
      <c r="Q464" s="512"/>
      <c r="R464" s="512"/>
      <c r="S464" s="512"/>
      <c r="T464" s="512"/>
      <c r="U464" s="512"/>
      <c r="V464" s="512"/>
      <c r="W464" s="512"/>
    </row>
    <row r="465" s="178" customFormat="1" spans="1:23">
      <c r="A465" s="1027" t="s">
        <v>343</v>
      </c>
      <c r="B465" s="998" t="s">
        <v>358</v>
      </c>
      <c r="C465" s="1035" t="s">
        <v>348</v>
      </c>
      <c r="D465" s="233">
        <v>78</v>
      </c>
      <c r="E465" s="677"/>
      <c r="F465" s="986"/>
      <c r="G465" s="986">
        <f>G464</f>
        <v>45705</v>
      </c>
      <c r="H465" s="987">
        <f>H464</f>
        <v>45724</v>
      </c>
      <c r="I465" s="1027" t="s">
        <v>360</v>
      </c>
      <c r="J465" s="998" t="s">
        <v>161</v>
      </c>
      <c r="K465" s="998" t="s">
        <v>147</v>
      </c>
      <c r="L465" s="193" t="s">
        <v>20</v>
      </c>
      <c r="M465" s="1038"/>
      <c r="N465" s="203"/>
      <c r="O465" s="512"/>
      <c r="P465" s="512"/>
      <c r="Q465" s="512"/>
      <c r="R465" s="512"/>
      <c r="S465" s="512"/>
      <c r="T465" s="512"/>
      <c r="U465" s="512"/>
      <c r="V465" s="512"/>
      <c r="W465" s="512"/>
    </row>
    <row r="466" s="178" customFormat="1" spans="1:23">
      <c r="A466" s="1027" t="s">
        <v>343</v>
      </c>
      <c r="B466" s="998" t="s">
        <v>358</v>
      </c>
      <c r="C466" s="1035" t="s">
        <v>349</v>
      </c>
      <c r="D466" s="233">
        <v>78</v>
      </c>
      <c r="E466" s="677"/>
      <c r="F466" s="986"/>
      <c r="G466" s="986">
        <f>G465</f>
        <v>45705</v>
      </c>
      <c r="H466" s="987">
        <f>H465</f>
        <v>45724</v>
      </c>
      <c r="I466" s="1027" t="s">
        <v>360</v>
      </c>
      <c r="J466" s="998" t="s">
        <v>161</v>
      </c>
      <c r="K466" s="998" t="s">
        <v>147</v>
      </c>
      <c r="L466" s="193" t="s">
        <v>20</v>
      </c>
      <c r="M466" s="1038"/>
      <c r="N466" s="203"/>
      <c r="O466" s="512"/>
      <c r="P466" s="512"/>
      <c r="Q466" s="512"/>
      <c r="R466" s="512"/>
      <c r="S466" s="512"/>
      <c r="T466" s="512"/>
      <c r="U466" s="512"/>
      <c r="V466" s="512"/>
      <c r="W466" s="512"/>
    </row>
    <row r="467" s="178" customFormat="1" spans="1:23">
      <c r="A467" s="1027" t="s">
        <v>343</v>
      </c>
      <c r="B467" s="998" t="s">
        <v>358</v>
      </c>
      <c r="C467" s="1035" t="s">
        <v>144</v>
      </c>
      <c r="D467" s="233">
        <v>25</v>
      </c>
      <c r="E467" s="677"/>
      <c r="F467" s="986"/>
      <c r="G467" s="986">
        <f>G466</f>
        <v>45705</v>
      </c>
      <c r="H467" s="987">
        <f>H466</f>
        <v>45724</v>
      </c>
      <c r="I467" s="1027" t="s">
        <v>360</v>
      </c>
      <c r="J467" s="998" t="s">
        <v>161</v>
      </c>
      <c r="K467" s="998" t="s">
        <v>147</v>
      </c>
      <c r="L467" s="193" t="s">
        <v>20</v>
      </c>
      <c r="M467" s="1038"/>
      <c r="N467" s="203"/>
      <c r="O467" s="512"/>
      <c r="P467" s="512"/>
      <c r="Q467" s="512"/>
      <c r="R467" s="512"/>
      <c r="S467" s="512"/>
      <c r="T467" s="512"/>
      <c r="U467" s="512"/>
      <c r="V467" s="512"/>
      <c r="W467" s="512"/>
    </row>
    <row r="468" s="178" customFormat="1" spans="1:23">
      <c r="A468" s="998" t="s">
        <v>330</v>
      </c>
      <c r="B468" s="998" t="s">
        <v>361</v>
      </c>
      <c r="C468" s="1024" t="s">
        <v>15</v>
      </c>
      <c r="D468" s="209">
        <v>145</v>
      </c>
      <c r="E468" s="1004" t="s">
        <v>362</v>
      </c>
      <c r="F468" s="986"/>
      <c r="G468" s="986">
        <f>VLOOKUP(CLEAN(SUBSTITUTE(TRIM(MID(E:E,FIND("/",E:E)+1,LEN(E:E)))," ","")),'Customs Decl. &amp; Local Delivery'!D:I,6,0)</f>
        <v>45707</v>
      </c>
      <c r="H468" s="987">
        <f>VLOOKUP(CLEAN(SUBSTITUTE(TRIM(MID(E:E,FIND("/",E:E)+1,LEN(E:E)))," ","")),'Customs Decl. &amp; Local Delivery'!D:J,7,0)</f>
        <v>45724</v>
      </c>
      <c r="I468" s="1027" t="s">
        <v>363</v>
      </c>
      <c r="J468" s="1044" t="s">
        <v>18</v>
      </c>
      <c r="K468" s="1045" t="s">
        <v>147</v>
      </c>
      <c r="L468" s="193" t="s">
        <v>20</v>
      </c>
      <c r="M468" s="1021" t="s">
        <v>347</v>
      </c>
      <c r="N468" s="203"/>
      <c r="O468" s="512"/>
      <c r="P468" s="512"/>
      <c r="Q468" s="512"/>
      <c r="R468" s="512"/>
      <c r="S468" s="512"/>
      <c r="T468" s="512"/>
      <c r="U468" s="512"/>
      <c r="V468" s="512"/>
      <c r="W468" s="512"/>
    </row>
    <row r="469" s="178" customFormat="1" spans="1:23">
      <c r="A469" s="998" t="s">
        <v>330</v>
      </c>
      <c r="B469" s="998" t="s">
        <v>361</v>
      </c>
      <c r="C469" s="1024" t="s">
        <v>25</v>
      </c>
      <c r="D469" s="209">
        <v>120</v>
      </c>
      <c r="E469" s="677"/>
      <c r="F469" s="986"/>
      <c r="G469" s="986">
        <f>G468</f>
        <v>45707</v>
      </c>
      <c r="H469" s="987">
        <f>H468</f>
        <v>45724</v>
      </c>
      <c r="I469" s="1027" t="s">
        <v>363</v>
      </c>
      <c r="J469" s="1044" t="s">
        <v>18</v>
      </c>
      <c r="K469" s="1045" t="s">
        <v>147</v>
      </c>
      <c r="L469" s="193" t="s">
        <v>20</v>
      </c>
      <c r="M469" s="1038" t="s">
        <v>364</v>
      </c>
      <c r="N469" s="203"/>
      <c r="O469" s="512"/>
      <c r="P469" s="512"/>
      <c r="Q469" s="512"/>
      <c r="R469" s="512"/>
      <c r="S469" s="512"/>
      <c r="T469" s="512"/>
      <c r="U469" s="512"/>
      <c r="V469" s="512"/>
      <c r="W469" s="512"/>
    </row>
    <row r="470" s="178" customFormat="1" spans="1:23">
      <c r="A470" s="998" t="s">
        <v>330</v>
      </c>
      <c r="B470" s="998" t="s">
        <v>361</v>
      </c>
      <c r="C470" s="1024" t="s">
        <v>135</v>
      </c>
      <c r="D470" s="209">
        <v>13</v>
      </c>
      <c r="E470" s="677"/>
      <c r="F470" s="986"/>
      <c r="G470" s="986">
        <f>G469</f>
        <v>45707</v>
      </c>
      <c r="H470" s="987">
        <f>H469</f>
        <v>45724</v>
      </c>
      <c r="I470" s="1027" t="s">
        <v>363</v>
      </c>
      <c r="J470" s="1044" t="s">
        <v>18</v>
      </c>
      <c r="K470" s="1045" t="s">
        <v>147</v>
      </c>
      <c r="L470" s="193" t="s">
        <v>20</v>
      </c>
      <c r="M470" s="1038" t="s">
        <v>365</v>
      </c>
      <c r="N470" s="203"/>
      <c r="O470" s="512"/>
      <c r="P470" s="512"/>
      <c r="Q470" s="512"/>
      <c r="R470" s="512"/>
      <c r="S470" s="512"/>
      <c r="T470" s="512"/>
      <c r="U470" s="512"/>
      <c r="V470" s="512"/>
      <c r="W470" s="512"/>
    </row>
    <row r="471" s="178" customFormat="1" spans="1:23">
      <c r="A471" s="998" t="s">
        <v>330</v>
      </c>
      <c r="B471" s="998" t="s">
        <v>361</v>
      </c>
      <c r="C471" s="1024" t="s">
        <v>136</v>
      </c>
      <c r="D471" s="209">
        <v>9</v>
      </c>
      <c r="E471" s="677"/>
      <c r="F471" s="986"/>
      <c r="G471" s="986">
        <f>G470</f>
        <v>45707</v>
      </c>
      <c r="H471" s="987">
        <f>H470</f>
        <v>45724</v>
      </c>
      <c r="I471" s="1027" t="s">
        <v>363</v>
      </c>
      <c r="J471" s="998" t="s">
        <v>18</v>
      </c>
      <c r="K471" s="1005" t="s">
        <v>147</v>
      </c>
      <c r="L471" s="193" t="s">
        <v>20</v>
      </c>
      <c r="M471" s="1038"/>
      <c r="N471" s="203"/>
      <c r="O471" s="512"/>
      <c r="P471" s="512"/>
      <c r="Q471" s="512"/>
      <c r="R471" s="512"/>
      <c r="S471" s="512"/>
      <c r="T471" s="512"/>
      <c r="U471" s="512"/>
      <c r="V471" s="512"/>
      <c r="W471" s="512"/>
    </row>
    <row r="472" s="178" customFormat="1" spans="1:23">
      <c r="A472" s="998" t="s">
        <v>330</v>
      </c>
      <c r="B472" s="998" t="s">
        <v>361</v>
      </c>
      <c r="C472" s="1024" t="s">
        <v>69</v>
      </c>
      <c r="D472" s="209">
        <v>70</v>
      </c>
      <c r="E472" s="677"/>
      <c r="F472" s="986"/>
      <c r="G472" s="986">
        <f>G471</f>
        <v>45707</v>
      </c>
      <c r="H472" s="987">
        <f>H471</f>
        <v>45724</v>
      </c>
      <c r="I472" s="1027" t="s">
        <v>363</v>
      </c>
      <c r="J472" s="998" t="s">
        <v>18</v>
      </c>
      <c r="K472" s="1005" t="s">
        <v>147</v>
      </c>
      <c r="L472" s="193" t="s">
        <v>20</v>
      </c>
      <c r="M472" s="1038"/>
      <c r="N472" s="203"/>
      <c r="O472" s="512"/>
      <c r="P472" s="512"/>
      <c r="Q472" s="512"/>
      <c r="R472" s="512"/>
      <c r="S472" s="512"/>
      <c r="T472" s="512"/>
      <c r="U472" s="512"/>
      <c r="V472" s="512"/>
      <c r="W472" s="512"/>
    </row>
    <row r="473" s="178" customFormat="1" spans="1:23">
      <c r="A473" s="998" t="s">
        <v>13</v>
      </c>
      <c r="B473" s="998" t="s">
        <v>366</v>
      </c>
      <c r="C473" s="1002" t="s">
        <v>77</v>
      </c>
      <c r="D473" s="1014">
        <v>48</v>
      </c>
      <c r="E473" s="1002" t="s">
        <v>367</v>
      </c>
      <c r="F473" s="986"/>
      <c r="G473" s="986">
        <f>VLOOKUP(CLEAN(SUBSTITUTE(TRIM(MID(E:E,FIND("/",E:E)+1,LEN(E:E)))," ","")),'Customs Decl. &amp; Local Delivery'!D:I,6,0)</f>
        <v>45707</v>
      </c>
      <c r="H473" s="987">
        <f>VLOOKUP(CLEAN(SUBSTITUTE(TRIM(MID(E:E,FIND("/",E:E)+1,LEN(E:E)))," ","")),'Customs Decl. &amp; Local Delivery'!D:J,7,0)</f>
        <v>45728</v>
      </c>
      <c r="I473" s="1009" t="s">
        <v>368</v>
      </c>
      <c r="J473" s="1009" t="s">
        <v>18</v>
      </c>
      <c r="K473" s="1009" t="s">
        <v>147</v>
      </c>
      <c r="L473" s="193" t="s">
        <v>20</v>
      </c>
      <c r="M473" s="1027" t="s">
        <v>369</v>
      </c>
      <c r="N473" s="203"/>
      <c r="O473" s="512"/>
      <c r="P473" s="512"/>
      <c r="Q473" s="512"/>
      <c r="R473" s="512"/>
      <c r="S473" s="512"/>
      <c r="T473" s="512"/>
      <c r="U473" s="512"/>
      <c r="V473" s="512"/>
      <c r="W473" s="512"/>
    </row>
    <row r="474" s="178" customFormat="1" spans="1:23">
      <c r="A474" s="998" t="s">
        <v>13</v>
      </c>
      <c r="B474" s="998" t="s">
        <v>366</v>
      </c>
      <c r="C474" s="1002" t="s">
        <v>28</v>
      </c>
      <c r="D474" s="1014">
        <v>23</v>
      </c>
      <c r="E474" s="677"/>
      <c r="F474" s="986"/>
      <c r="G474" s="986">
        <f>G473</f>
        <v>45707</v>
      </c>
      <c r="H474" s="987">
        <f>H473</f>
        <v>45728</v>
      </c>
      <c r="I474" s="1009" t="s">
        <v>368</v>
      </c>
      <c r="J474" s="1009" t="s">
        <v>18</v>
      </c>
      <c r="K474" s="1009" t="s">
        <v>147</v>
      </c>
      <c r="L474" s="193" t="s">
        <v>20</v>
      </c>
      <c r="M474" s="1057" t="s">
        <v>370</v>
      </c>
      <c r="N474" s="203"/>
      <c r="O474" s="512"/>
      <c r="P474" s="512"/>
      <c r="Q474" s="512"/>
      <c r="R474" s="512"/>
      <c r="S474" s="512"/>
      <c r="T474" s="512"/>
      <c r="U474" s="512"/>
      <c r="V474" s="512"/>
      <c r="W474" s="512"/>
    </row>
    <row r="475" s="178" customFormat="1" spans="1:23">
      <c r="A475" s="998" t="s">
        <v>13</v>
      </c>
      <c r="B475" s="998" t="s">
        <v>366</v>
      </c>
      <c r="C475" s="1002" t="s">
        <v>69</v>
      </c>
      <c r="D475" s="1014">
        <v>34</v>
      </c>
      <c r="E475" s="677"/>
      <c r="F475" s="986"/>
      <c r="G475" s="986">
        <f>G474</f>
        <v>45707</v>
      </c>
      <c r="H475" s="987">
        <f>H474</f>
        <v>45728</v>
      </c>
      <c r="I475" s="1009" t="s">
        <v>368</v>
      </c>
      <c r="J475" s="1009" t="s">
        <v>18</v>
      </c>
      <c r="K475" s="1009" t="s">
        <v>147</v>
      </c>
      <c r="L475" s="193" t="s">
        <v>20</v>
      </c>
      <c r="M475" s="1027"/>
      <c r="N475" s="203"/>
      <c r="O475" s="512"/>
      <c r="P475" s="512"/>
      <c r="Q475" s="512"/>
      <c r="R475" s="512"/>
      <c r="S475" s="512"/>
      <c r="T475" s="512"/>
      <c r="U475" s="512"/>
      <c r="V475" s="512"/>
      <c r="W475" s="512"/>
    </row>
    <row r="476" s="477" customFormat="1" spans="1:23">
      <c r="A476" s="1027" t="s">
        <v>330</v>
      </c>
      <c r="B476" s="1005" t="s">
        <v>371</v>
      </c>
      <c r="C476" s="1024" t="s">
        <v>36</v>
      </c>
      <c r="D476" s="209">
        <v>79</v>
      </c>
      <c r="E476" s="1004" t="s">
        <v>372</v>
      </c>
      <c r="F476" s="986"/>
      <c r="G476" s="986">
        <f>VLOOKUP(CLEAN(SUBSTITUTE(TRIM(MID(E:E,FIND("/",E:E)+1,LEN(E:E)))," ","")),'Customs Decl. &amp; Local Delivery'!D:I,6,0)</f>
        <v>45712</v>
      </c>
      <c r="H476" s="987">
        <f>VLOOKUP(CLEAN(SUBSTITUTE(TRIM(MID(E:E,FIND("/",E:E)+1,LEN(E:E)))," ","")),'Customs Decl. &amp; Local Delivery'!D:J,7,0)</f>
        <v>45732</v>
      </c>
      <c r="I476" s="1027" t="s">
        <v>373</v>
      </c>
      <c r="J476" s="998" t="s">
        <v>161</v>
      </c>
      <c r="K476" s="998" t="s">
        <v>19</v>
      </c>
      <c r="L476" s="193" t="s">
        <v>20</v>
      </c>
      <c r="M476" s="1039" t="s">
        <v>374</v>
      </c>
      <c r="N476" s="512"/>
      <c r="O476" s="512"/>
      <c r="P476" s="512"/>
      <c r="Q476" s="512"/>
      <c r="R476" s="512"/>
      <c r="S476" s="512"/>
      <c r="T476" s="512"/>
      <c r="U476" s="512"/>
      <c r="V476" s="512"/>
      <c r="W476" s="512"/>
    </row>
    <row r="477" s="477" customFormat="1" spans="1:23">
      <c r="A477" s="1027" t="s">
        <v>330</v>
      </c>
      <c r="B477" s="1005" t="s">
        <v>371</v>
      </c>
      <c r="C477" s="1024" t="s">
        <v>41</v>
      </c>
      <c r="D477" s="209">
        <v>79</v>
      </c>
      <c r="E477" s="677"/>
      <c r="F477" s="986"/>
      <c r="G477" s="986">
        <f t="shared" ref="G477:G485" si="56">G476</f>
        <v>45712</v>
      </c>
      <c r="H477" s="987">
        <f t="shared" ref="H477:H485" si="57">H476</f>
        <v>45732</v>
      </c>
      <c r="I477" s="1027" t="s">
        <v>373</v>
      </c>
      <c r="J477" s="998" t="s">
        <v>161</v>
      </c>
      <c r="K477" s="998" t="s">
        <v>19</v>
      </c>
      <c r="L477" s="193" t="s">
        <v>20</v>
      </c>
      <c r="M477" s="1027" t="s">
        <v>375</v>
      </c>
      <c r="N477" s="512"/>
      <c r="O477" s="512"/>
      <c r="P477" s="512"/>
      <c r="Q477" s="512"/>
      <c r="R477" s="512"/>
      <c r="S477" s="512"/>
      <c r="T477" s="512"/>
      <c r="U477" s="512"/>
      <c r="V477" s="512"/>
      <c r="W477" s="512"/>
    </row>
    <row r="478" s="477" customFormat="1" spans="1:23">
      <c r="A478" s="1027" t="s">
        <v>330</v>
      </c>
      <c r="B478" s="1005" t="s">
        <v>371</v>
      </c>
      <c r="C478" s="1024" t="s">
        <v>49</v>
      </c>
      <c r="D478" s="209">
        <v>43</v>
      </c>
      <c r="E478" s="677"/>
      <c r="F478" s="986"/>
      <c r="G478" s="986">
        <f t="shared" si="56"/>
        <v>45712</v>
      </c>
      <c r="H478" s="987">
        <f t="shared" si="57"/>
        <v>45732</v>
      </c>
      <c r="I478" s="1027" t="s">
        <v>373</v>
      </c>
      <c r="J478" s="998" t="s">
        <v>161</v>
      </c>
      <c r="K478" s="998" t="s">
        <v>19</v>
      </c>
      <c r="L478" s="193" t="s">
        <v>20</v>
      </c>
      <c r="M478" s="1027" t="s">
        <v>375</v>
      </c>
      <c r="N478" s="512"/>
      <c r="O478" s="512"/>
      <c r="P478" s="512"/>
      <c r="Q478" s="512"/>
      <c r="R478" s="512"/>
      <c r="S478" s="512"/>
      <c r="T478" s="512"/>
      <c r="U478" s="512"/>
      <c r="V478" s="512"/>
      <c r="W478" s="512"/>
    </row>
    <row r="479" s="477" customFormat="1" spans="1:23">
      <c r="A479" s="1027" t="s">
        <v>330</v>
      </c>
      <c r="B479" s="1005" t="s">
        <v>371</v>
      </c>
      <c r="C479" s="1024" t="s">
        <v>50</v>
      </c>
      <c r="D479" s="209">
        <v>43</v>
      </c>
      <c r="E479" s="677"/>
      <c r="F479" s="986"/>
      <c r="G479" s="986">
        <f t="shared" si="56"/>
        <v>45712</v>
      </c>
      <c r="H479" s="987">
        <f t="shared" si="57"/>
        <v>45732</v>
      </c>
      <c r="I479" s="1027" t="s">
        <v>373</v>
      </c>
      <c r="J479" s="998" t="s">
        <v>161</v>
      </c>
      <c r="K479" s="998" t="s">
        <v>19</v>
      </c>
      <c r="L479" s="193" t="s">
        <v>20</v>
      </c>
      <c r="M479" s="1027" t="s">
        <v>375</v>
      </c>
      <c r="N479" s="512"/>
      <c r="O479" s="512"/>
      <c r="P479" s="512"/>
      <c r="Q479" s="512"/>
      <c r="R479" s="512"/>
      <c r="S479" s="512"/>
      <c r="T479" s="512"/>
      <c r="U479" s="512"/>
      <c r="V479" s="512"/>
      <c r="W479" s="512"/>
    </row>
    <row r="480" s="477" customFormat="1" spans="1:23">
      <c r="A480" s="1027" t="s">
        <v>330</v>
      </c>
      <c r="B480" s="1005" t="s">
        <v>371</v>
      </c>
      <c r="C480" s="1046" t="s">
        <v>31</v>
      </c>
      <c r="D480" s="209">
        <v>6</v>
      </c>
      <c r="E480" s="677"/>
      <c r="F480" s="986"/>
      <c r="G480" s="986">
        <f t="shared" si="56"/>
        <v>45712</v>
      </c>
      <c r="H480" s="987">
        <f t="shared" si="57"/>
        <v>45732</v>
      </c>
      <c r="I480" s="1027" t="s">
        <v>373</v>
      </c>
      <c r="J480" s="998" t="s">
        <v>161</v>
      </c>
      <c r="K480" s="998" t="s">
        <v>19</v>
      </c>
      <c r="L480" s="193" t="s">
        <v>20</v>
      </c>
      <c r="M480" s="1027" t="s">
        <v>375</v>
      </c>
      <c r="N480" s="512"/>
      <c r="O480" s="512"/>
      <c r="P480" s="512"/>
      <c r="Q480" s="512"/>
      <c r="R480" s="512"/>
      <c r="S480" s="512"/>
      <c r="T480" s="512"/>
      <c r="U480" s="512"/>
      <c r="V480" s="512"/>
      <c r="W480" s="512"/>
    </row>
    <row r="481" s="477" customFormat="1" spans="1:23">
      <c r="A481" s="1027" t="s">
        <v>330</v>
      </c>
      <c r="B481" s="1005" t="s">
        <v>371</v>
      </c>
      <c r="C481" s="1046" t="s">
        <v>32</v>
      </c>
      <c r="D481" s="209">
        <v>6</v>
      </c>
      <c r="E481" s="677"/>
      <c r="F481" s="986"/>
      <c r="G481" s="986">
        <f t="shared" si="56"/>
        <v>45712</v>
      </c>
      <c r="H481" s="987">
        <f t="shared" si="57"/>
        <v>45732</v>
      </c>
      <c r="I481" s="1027" t="s">
        <v>373</v>
      </c>
      <c r="J481" s="998" t="s">
        <v>161</v>
      </c>
      <c r="K481" s="998" t="s">
        <v>19</v>
      </c>
      <c r="L481" s="193" t="s">
        <v>20</v>
      </c>
      <c r="M481" s="1027" t="s">
        <v>375</v>
      </c>
      <c r="N481" s="512"/>
      <c r="O481" s="512"/>
      <c r="P481" s="512"/>
      <c r="Q481" s="512"/>
      <c r="R481" s="512"/>
      <c r="S481" s="512"/>
      <c r="T481" s="512"/>
      <c r="U481" s="512"/>
      <c r="V481" s="512"/>
      <c r="W481" s="512"/>
    </row>
    <row r="482" s="477" customFormat="1" spans="1:23">
      <c r="A482" s="1027" t="s">
        <v>330</v>
      </c>
      <c r="B482" s="1005" t="s">
        <v>371</v>
      </c>
      <c r="C482" s="1046" t="s">
        <v>33</v>
      </c>
      <c r="D482" s="209">
        <v>2</v>
      </c>
      <c r="E482" s="677"/>
      <c r="F482" s="986"/>
      <c r="G482" s="986">
        <f t="shared" si="56"/>
        <v>45712</v>
      </c>
      <c r="H482" s="987">
        <f t="shared" si="57"/>
        <v>45732</v>
      </c>
      <c r="I482" s="1027" t="s">
        <v>373</v>
      </c>
      <c r="J482" s="998" t="s">
        <v>161</v>
      </c>
      <c r="K482" s="998" t="s">
        <v>19</v>
      </c>
      <c r="L482" s="193" t="s">
        <v>20</v>
      </c>
      <c r="M482" s="1027" t="s">
        <v>375</v>
      </c>
      <c r="N482" s="512"/>
      <c r="O482" s="512"/>
      <c r="P482" s="512"/>
      <c r="Q482" s="512"/>
      <c r="R482" s="512"/>
      <c r="S482" s="512"/>
      <c r="T482" s="512"/>
      <c r="U482" s="512"/>
      <c r="V482" s="512"/>
      <c r="W482" s="512"/>
    </row>
    <row r="483" s="477" customFormat="1" spans="1:23">
      <c r="A483" s="1027" t="s">
        <v>330</v>
      </c>
      <c r="B483" s="1005" t="s">
        <v>371</v>
      </c>
      <c r="C483" s="1046" t="s">
        <v>34</v>
      </c>
      <c r="D483" s="209">
        <v>2</v>
      </c>
      <c r="E483" s="677"/>
      <c r="F483" s="986"/>
      <c r="G483" s="986">
        <f t="shared" si="56"/>
        <v>45712</v>
      </c>
      <c r="H483" s="987">
        <f t="shared" si="57"/>
        <v>45732</v>
      </c>
      <c r="I483" s="1027" t="s">
        <v>373</v>
      </c>
      <c r="J483" s="998" t="s">
        <v>161</v>
      </c>
      <c r="K483" s="998" t="s">
        <v>19</v>
      </c>
      <c r="L483" s="193" t="s">
        <v>20</v>
      </c>
      <c r="M483" s="1027" t="s">
        <v>375</v>
      </c>
      <c r="N483" s="512"/>
      <c r="O483" s="512"/>
      <c r="P483" s="512"/>
      <c r="Q483" s="512"/>
      <c r="R483" s="512"/>
      <c r="S483" s="512"/>
      <c r="T483" s="512"/>
      <c r="U483" s="512"/>
      <c r="V483" s="512"/>
      <c r="W483" s="512"/>
    </row>
    <row r="484" s="477" customFormat="1" spans="1:23">
      <c r="A484" s="1027" t="s">
        <v>330</v>
      </c>
      <c r="B484" s="1005" t="s">
        <v>371</v>
      </c>
      <c r="C484" s="1046" t="s">
        <v>59</v>
      </c>
      <c r="D484" s="209">
        <v>5</v>
      </c>
      <c r="E484" s="677"/>
      <c r="F484" s="986"/>
      <c r="G484" s="986">
        <f t="shared" si="56"/>
        <v>45712</v>
      </c>
      <c r="H484" s="987">
        <f t="shared" si="57"/>
        <v>45732</v>
      </c>
      <c r="I484" s="1027" t="s">
        <v>373</v>
      </c>
      <c r="J484" s="998" t="s">
        <v>161</v>
      </c>
      <c r="K484" s="998" t="s">
        <v>19</v>
      </c>
      <c r="L484" s="193" t="s">
        <v>20</v>
      </c>
      <c r="M484" s="1027" t="s">
        <v>375</v>
      </c>
      <c r="N484" s="512"/>
      <c r="O484" s="512"/>
      <c r="P484" s="512"/>
      <c r="Q484" s="512"/>
      <c r="R484" s="512"/>
      <c r="S484" s="512"/>
      <c r="T484" s="512"/>
      <c r="U484" s="512"/>
      <c r="V484" s="512"/>
      <c r="W484" s="512"/>
    </row>
    <row r="485" s="477" customFormat="1" spans="1:23">
      <c r="A485" s="1027" t="s">
        <v>330</v>
      </c>
      <c r="B485" s="1005" t="s">
        <v>371</v>
      </c>
      <c r="C485" s="1046" t="s">
        <v>60</v>
      </c>
      <c r="D485" s="209">
        <v>5</v>
      </c>
      <c r="E485" s="677"/>
      <c r="F485" s="986"/>
      <c r="G485" s="986">
        <f t="shared" si="56"/>
        <v>45712</v>
      </c>
      <c r="H485" s="987">
        <f t="shared" si="57"/>
        <v>45732</v>
      </c>
      <c r="I485" s="1027" t="s">
        <v>373</v>
      </c>
      <c r="J485" s="998" t="s">
        <v>161</v>
      </c>
      <c r="K485" s="998" t="s">
        <v>19</v>
      </c>
      <c r="L485" s="193" t="s">
        <v>20</v>
      </c>
      <c r="M485" s="1027" t="s">
        <v>375</v>
      </c>
      <c r="N485" s="512"/>
      <c r="O485" s="512"/>
      <c r="P485" s="512"/>
      <c r="Q485" s="512"/>
      <c r="R485" s="512"/>
      <c r="S485" s="512"/>
      <c r="T485" s="512"/>
      <c r="U485" s="512"/>
      <c r="V485" s="512"/>
      <c r="W485" s="512"/>
    </row>
    <row r="486" s="178" customFormat="1" spans="1:23">
      <c r="A486" s="1047" t="s">
        <v>376</v>
      </c>
      <c r="B486" s="1047" t="s">
        <v>377</v>
      </c>
      <c r="C486" s="1048" t="s">
        <v>77</v>
      </c>
      <c r="D486" s="266">
        <v>48</v>
      </c>
      <c r="E486" s="756" t="s">
        <v>378</v>
      </c>
      <c r="F486" s="986"/>
      <c r="G486" s="986">
        <f>VLOOKUP(CLEAN(SUBSTITUTE(TRIM(MID(E:E,FIND("/",E:E)+1,LEN(E:E)))," ","")),'Customs Decl. &amp; Local Delivery'!D:I,6,0)</f>
        <v>45715</v>
      </c>
      <c r="H486" s="987">
        <f>VLOOKUP(CLEAN(SUBSTITUTE(TRIM(MID(E:E,FIND("/",E:E)+1,LEN(E:E)))," ","")),'Customs Decl. &amp; Local Delivery'!D:J,7,0)</f>
        <v>45736</v>
      </c>
      <c r="I486" s="1058" t="s">
        <v>379</v>
      </c>
      <c r="J486" s="1047" t="s">
        <v>18</v>
      </c>
      <c r="K486" s="784" t="s">
        <v>380</v>
      </c>
      <c r="L486" s="279" t="s">
        <v>20</v>
      </c>
      <c r="M486" s="1059" t="s">
        <v>381</v>
      </c>
      <c r="N486" s="203"/>
      <c r="O486" s="512"/>
      <c r="P486" s="512"/>
      <c r="Q486" s="512"/>
      <c r="R486" s="512"/>
      <c r="S486" s="512"/>
      <c r="T486" s="512"/>
      <c r="U486" s="512"/>
      <c r="V486" s="512"/>
      <c r="W486" s="512"/>
    </row>
    <row r="487" s="178" customFormat="1" spans="1:23">
      <c r="A487" s="1047" t="s">
        <v>376</v>
      </c>
      <c r="B487" s="1047" t="s">
        <v>377</v>
      </c>
      <c r="C487" s="1048" t="s">
        <v>15</v>
      </c>
      <c r="D487" s="266">
        <v>12</v>
      </c>
      <c r="E487" s="708"/>
      <c r="F487" s="986"/>
      <c r="G487" s="986">
        <f>G486</f>
        <v>45715</v>
      </c>
      <c r="H487" s="987">
        <f>H486</f>
        <v>45736</v>
      </c>
      <c r="I487" s="1058" t="s">
        <v>379</v>
      </c>
      <c r="J487" s="1047" t="s">
        <v>18</v>
      </c>
      <c r="K487" s="784" t="s">
        <v>380</v>
      </c>
      <c r="L487" s="279" t="s">
        <v>20</v>
      </c>
      <c r="M487" s="1060" t="s">
        <v>382</v>
      </c>
      <c r="N487" s="203"/>
      <c r="O487" s="512"/>
      <c r="P487" s="512"/>
      <c r="Q487" s="512"/>
      <c r="R487" s="512"/>
      <c r="S487" s="512"/>
      <c r="T487" s="512"/>
      <c r="U487" s="512"/>
      <c r="V487" s="512"/>
      <c r="W487" s="512"/>
    </row>
    <row r="488" s="178" customFormat="1" spans="1:23">
      <c r="A488" s="1047" t="s">
        <v>376</v>
      </c>
      <c r="B488" s="1047" t="s">
        <v>377</v>
      </c>
      <c r="C488" s="1048" t="s">
        <v>24</v>
      </c>
      <c r="D488" s="266">
        <v>100</v>
      </c>
      <c r="E488" s="708"/>
      <c r="F488" s="986"/>
      <c r="G488" s="986">
        <f>G487</f>
        <v>45715</v>
      </c>
      <c r="H488" s="987">
        <f>H487</f>
        <v>45736</v>
      </c>
      <c r="I488" s="1058" t="s">
        <v>379</v>
      </c>
      <c r="J488" s="1047" t="s">
        <v>18</v>
      </c>
      <c r="K488" s="784" t="s">
        <v>380</v>
      </c>
      <c r="L488" s="279" t="s">
        <v>20</v>
      </c>
      <c r="M488" s="1060" t="s">
        <v>383</v>
      </c>
      <c r="N488" s="203"/>
      <c r="O488" s="512"/>
      <c r="P488" s="512"/>
      <c r="Q488" s="512"/>
      <c r="R488" s="512"/>
      <c r="S488" s="512"/>
      <c r="T488" s="512"/>
      <c r="U488" s="512"/>
      <c r="V488" s="512"/>
      <c r="W488" s="512"/>
    </row>
    <row r="489" s="178" customFormat="1" spans="1:23">
      <c r="A489" s="1047" t="s">
        <v>376</v>
      </c>
      <c r="B489" s="1047" t="s">
        <v>377</v>
      </c>
      <c r="C489" s="1048" t="s">
        <v>27</v>
      </c>
      <c r="D489" s="266">
        <v>30</v>
      </c>
      <c r="E489" s="708"/>
      <c r="F489" s="986"/>
      <c r="G489" s="986">
        <f>G488</f>
        <v>45715</v>
      </c>
      <c r="H489" s="987">
        <f>H488</f>
        <v>45736</v>
      </c>
      <c r="I489" s="1058" t="s">
        <v>379</v>
      </c>
      <c r="J489" s="1047" t="s">
        <v>18</v>
      </c>
      <c r="K489" s="784" t="s">
        <v>380</v>
      </c>
      <c r="L489" s="279" t="s">
        <v>20</v>
      </c>
      <c r="M489" s="1061"/>
      <c r="N489" s="203"/>
      <c r="O489" s="512"/>
      <c r="P489" s="512"/>
      <c r="Q489" s="512"/>
      <c r="R489" s="512"/>
      <c r="S489" s="512"/>
      <c r="T489" s="512"/>
      <c r="U489" s="512"/>
      <c r="V489" s="512"/>
      <c r="W489" s="512"/>
    </row>
    <row r="490" s="178" customFormat="1" spans="1:23">
      <c r="A490" s="1047" t="s">
        <v>376</v>
      </c>
      <c r="B490" s="1047" t="s">
        <v>377</v>
      </c>
      <c r="C490" s="1048" t="s">
        <v>67</v>
      </c>
      <c r="D490" s="266">
        <v>30</v>
      </c>
      <c r="E490" s="708"/>
      <c r="F490" s="986"/>
      <c r="G490" s="986">
        <f>G489</f>
        <v>45715</v>
      </c>
      <c r="H490" s="987">
        <f>H489</f>
        <v>45736</v>
      </c>
      <c r="I490" s="1058" t="s">
        <v>379</v>
      </c>
      <c r="J490" s="1047" t="s">
        <v>18</v>
      </c>
      <c r="K490" s="784" t="s">
        <v>380</v>
      </c>
      <c r="L490" s="279" t="s">
        <v>20</v>
      </c>
      <c r="M490" s="1062"/>
      <c r="N490" s="203"/>
      <c r="O490" s="512"/>
      <c r="P490" s="512"/>
      <c r="Q490" s="512"/>
      <c r="R490" s="512"/>
      <c r="S490" s="512"/>
      <c r="T490" s="512"/>
      <c r="U490" s="512"/>
      <c r="V490" s="512"/>
      <c r="W490" s="512"/>
    </row>
    <row r="491" s="178" customFormat="1" spans="1:23">
      <c r="A491" s="1047" t="s">
        <v>376</v>
      </c>
      <c r="B491" s="1047" t="s">
        <v>377</v>
      </c>
      <c r="C491" s="1048" t="s">
        <v>70</v>
      </c>
      <c r="D491" s="266">
        <v>50</v>
      </c>
      <c r="E491" s="708"/>
      <c r="F491" s="986"/>
      <c r="G491" s="986">
        <f>G490</f>
        <v>45715</v>
      </c>
      <c r="H491" s="987">
        <f>H490</f>
        <v>45736</v>
      </c>
      <c r="I491" s="1058" t="s">
        <v>379</v>
      </c>
      <c r="J491" s="1047" t="s">
        <v>18</v>
      </c>
      <c r="K491" s="784" t="s">
        <v>380</v>
      </c>
      <c r="L491" s="279" t="s">
        <v>20</v>
      </c>
      <c r="M491" s="1062"/>
      <c r="N491" s="203"/>
      <c r="O491" s="512"/>
      <c r="P491" s="512"/>
      <c r="Q491" s="512"/>
      <c r="R491" s="512"/>
      <c r="S491" s="512"/>
      <c r="T491" s="512"/>
      <c r="U491" s="512"/>
      <c r="V491" s="512"/>
      <c r="W491" s="512"/>
    </row>
    <row r="492" s="178" customFormat="1" spans="1:23">
      <c r="A492" s="1047" t="s">
        <v>376</v>
      </c>
      <c r="B492" s="1047" t="s">
        <v>384</v>
      </c>
      <c r="C492" s="1048" t="s">
        <v>77</v>
      </c>
      <c r="D492" s="266">
        <v>48</v>
      </c>
      <c r="E492" s="1049" t="s">
        <v>385</v>
      </c>
      <c r="F492" s="986"/>
      <c r="G492" s="986">
        <f>VLOOKUP(CLEAN(SUBSTITUTE(TRIM(MID(E:E,FIND("/",E:E)+1,LEN(E:E)))," ","")),'Customs Decl. &amp; Local Delivery'!D:I,6,0)</f>
        <v>45715</v>
      </c>
      <c r="H492" s="987">
        <f>VLOOKUP(CLEAN(SUBSTITUTE(TRIM(MID(E:E,FIND("/",E:E)+1,LEN(E:E)))," ","")),'Customs Decl. &amp; Local Delivery'!D:J,7,0)</f>
        <v>45736</v>
      </c>
      <c r="I492" s="1058" t="s">
        <v>386</v>
      </c>
      <c r="J492" s="1047" t="s">
        <v>18</v>
      </c>
      <c r="K492" s="784" t="s">
        <v>147</v>
      </c>
      <c r="L492" s="279" t="s">
        <v>20</v>
      </c>
      <c r="M492" s="1059" t="s">
        <v>387</v>
      </c>
      <c r="N492" s="203"/>
      <c r="O492" s="512"/>
      <c r="P492" s="512"/>
      <c r="Q492" s="512"/>
      <c r="R492" s="512"/>
      <c r="S492" s="512"/>
      <c r="T492" s="512"/>
      <c r="U492" s="512"/>
      <c r="V492" s="512"/>
      <c r="W492" s="512"/>
    </row>
    <row r="493" s="178" customFormat="1" spans="1:23">
      <c r="A493" s="1047" t="s">
        <v>376</v>
      </c>
      <c r="B493" s="1047" t="s">
        <v>384</v>
      </c>
      <c r="C493" s="1048" t="s">
        <v>15</v>
      </c>
      <c r="D493" s="266">
        <v>12</v>
      </c>
      <c r="E493" s="708"/>
      <c r="F493" s="986"/>
      <c r="G493" s="986">
        <f>G492</f>
        <v>45715</v>
      </c>
      <c r="H493" s="987">
        <f>H492</f>
        <v>45736</v>
      </c>
      <c r="I493" s="1058" t="s">
        <v>386</v>
      </c>
      <c r="J493" s="1047" t="s">
        <v>18</v>
      </c>
      <c r="K493" s="784" t="s">
        <v>147</v>
      </c>
      <c r="L493" s="279" t="s">
        <v>20</v>
      </c>
      <c r="M493" s="1060" t="s">
        <v>382</v>
      </c>
      <c r="N493" s="203"/>
      <c r="O493" s="512"/>
      <c r="P493" s="512"/>
      <c r="Q493" s="512"/>
      <c r="R493" s="512"/>
      <c r="S493" s="512"/>
      <c r="T493" s="512"/>
      <c r="U493" s="512"/>
      <c r="V493" s="512"/>
      <c r="W493" s="512"/>
    </row>
    <row r="494" s="178" customFormat="1" spans="1:23">
      <c r="A494" s="1047" t="s">
        <v>376</v>
      </c>
      <c r="B494" s="1047" t="s">
        <v>384</v>
      </c>
      <c r="C494" s="1048" t="s">
        <v>24</v>
      </c>
      <c r="D494" s="266">
        <v>100</v>
      </c>
      <c r="E494" s="708"/>
      <c r="F494" s="986"/>
      <c r="G494" s="986">
        <f>G493</f>
        <v>45715</v>
      </c>
      <c r="H494" s="987">
        <f>H493</f>
        <v>45736</v>
      </c>
      <c r="I494" s="1058" t="s">
        <v>386</v>
      </c>
      <c r="J494" s="1047" t="s">
        <v>18</v>
      </c>
      <c r="K494" s="784" t="s">
        <v>147</v>
      </c>
      <c r="L494" s="279" t="s">
        <v>20</v>
      </c>
      <c r="M494" s="1060" t="s">
        <v>383</v>
      </c>
      <c r="N494" s="203"/>
      <c r="O494" s="512"/>
      <c r="P494" s="512"/>
      <c r="Q494" s="512"/>
      <c r="R494" s="512"/>
      <c r="S494" s="512"/>
      <c r="T494" s="512"/>
      <c r="U494" s="512"/>
      <c r="V494" s="512"/>
      <c r="W494" s="512"/>
    </row>
    <row r="495" s="178" customFormat="1" spans="1:23">
      <c r="A495" s="1047" t="s">
        <v>376</v>
      </c>
      <c r="B495" s="1047" t="s">
        <v>384</v>
      </c>
      <c r="C495" s="1048" t="s">
        <v>27</v>
      </c>
      <c r="D495" s="266">
        <v>30</v>
      </c>
      <c r="E495" s="708"/>
      <c r="F495" s="986"/>
      <c r="G495" s="986">
        <f>G494</f>
        <v>45715</v>
      </c>
      <c r="H495" s="987">
        <f>H494</f>
        <v>45736</v>
      </c>
      <c r="I495" s="1058" t="s">
        <v>386</v>
      </c>
      <c r="J495" s="1047" t="s">
        <v>18</v>
      </c>
      <c r="K495" s="784" t="s">
        <v>147</v>
      </c>
      <c r="L495" s="279" t="s">
        <v>20</v>
      </c>
      <c r="M495" s="1061"/>
      <c r="N495" s="203"/>
      <c r="O495" s="512"/>
      <c r="P495" s="512"/>
      <c r="Q495" s="512"/>
      <c r="R495" s="512"/>
      <c r="S495" s="512"/>
      <c r="T495" s="512"/>
      <c r="U495" s="512"/>
      <c r="V495" s="512"/>
      <c r="W495" s="512"/>
    </row>
    <row r="496" s="178" customFormat="1" spans="1:23">
      <c r="A496" s="1047" t="s">
        <v>376</v>
      </c>
      <c r="B496" s="1047" t="s">
        <v>384</v>
      </c>
      <c r="C496" s="1048" t="s">
        <v>67</v>
      </c>
      <c r="D496" s="266">
        <v>30</v>
      </c>
      <c r="E496" s="708"/>
      <c r="F496" s="986"/>
      <c r="G496" s="986">
        <f>G495</f>
        <v>45715</v>
      </c>
      <c r="H496" s="987">
        <f>H495</f>
        <v>45736</v>
      </c>
      <c r="I496" s="1058" t="s">
        <v>386</v>
      </c>
      <c r="J496" s="1047" t="s">
        <v>18</v>
      </c>
      <c r="K496" s="784" t="s">
        <v>147</v>
      </c>
      <c r="L496" s="279" t="s">
        <v>20</v>
      </c>
      <c r="M496" s="1062"/>
      <c r="N496" s="203"/>
      <c r="O496" s="512"/>
      <c r="P496" s="512"/>
      <c r="Q496" s="512"/>
      <c r="R496" s="512"/>
      <c r="S496" s="512"/>
      <c r="T496" s="512"/>
      <c r="U496" s="512"/>
      <c r="V496" s="512"/>
      <c r="W496" s="512"/>
    </row>
    <row r="497" s="178" customFormat="1" spans="1:23">
      <c r="A497" s="1047" t="s">
        <v>376</v>
      </c>
      <c r="B497" s="1047" t="s">
        <v>384</v>
      </c>
      <c r="C497" s="1048" t="s">
        <v>70</v>
      </c>
      <c r="D497" s="266">
        <v>50</v>
      </c>
      <c r="E497" s="708"/>
      <c r="F497" s="986"/>
      <c r="G497" s="986">
        <f>G496</f>
        <v>45715</v>
      </c>
      <c r="H497" s="987">
        <f>H496</f>
        <v>45736</v>
      </c>
      <c r="I497" s="1058" t="s">
        <v>386</v>
      </c>
      <c r="J497" s="1047" t="s">
        <v>18</v>
      </c>
      <c r="K497" s="784" t="s">
        <v>147</v>
      </c>
      <c r="L497" s="279" t="s">
        <v>20</v>
      </c>
      <c r="M497" s="1062"/>
      <c r="N497" s="203"/>
      <c r="O497" s="512"/>
      <c r="P497" s="512"/>
      <c r="Q497" s="512"/>
      <c r="R497" s="512"/>
      <c r="S497" s="512"/>
      <c r="T497" s="512"/>
      <c r="U497" s="512"/>
      <c r="V497" s="512"/>
      <c r="W497" s="512"/>
    </row>
    <row r="498" s="178" customFormat="1" spans="1:23">
      <c r="A498" s="1047" t="s">
        <v>376</v>
      </c>
      <c r="B498" s="1047" t="s">
        <v>388</v>
      </c>
      <c r="C498" s="1048" t="s">
        <v>77</v>
      </c>
      <c r="D498" s="266">
        <v>48</v>
      </c>
      <c r="E498" s="756" t="s">
        <v>389</v>
      </c>
      <c r="F498" s="986"/>
      <c r="G498" s="986">
        <f>VLOOKUP(CLEAN(SUBSTITUTE(TRIM(MID(E:E,FIND("/",E:E)+1,LEN(E:E)))," ","")),'Customs Decl. &amp; Local Delivery'!D:I,6,0)</f>
        <v>45715</v>
      </c>
      <c r="H498" s="987">
        <f>VLOOKUP(CLEAN(SUBSTITUTE(TRIM(MID(E:E,FIND("/",E:E)+1,LEN(E:E)))," ","")),'Customs Decl. &amp; Local Delivery'!D:J,7,0)</f>
        <v>45736</v>
      </c>
      <c r="I498" s="1058" t="s">
        <v>390</v>
      </c>
      <c r="J498" s="1047" t="s">
        <v>18</v>
      </c>
      <c r="K498" s="784" t="s">
        <v>147</v>
      </c>
      <c r="L498" s="279" t="s">
        <v>20</v>
      </c>
      <c r="M498" s="1059" t="s">
        <v>387</v>
      </c>
      <c r="N498" s="203"/>
      <c r="O498" s="512"/>
      <c r="P498" s="512"/>
      <c r="Q498" s="512"/>
      <c r="R498" s="512"/>
      <c r="S498" s="512"/>
      <c r="T498" s="512"/>
      <c r="U498" s="512"/>
      <c r="V498" s="512"/>
      <c r="W498" s="512"/>
    </row>
    <row r="499" s="178" customFormat="1" spans="1:23">
      <c r="A499" s="1047" t="s">
        <v>376</v>
      </c>
      <c r="B499" s="1047" t="s">
        <v>388</v>
      </c>
      <c r="C499" s="1048" t="s">
        <v>15</v>
      </c>
      <c r="D499" s="266">
        <v>12</v>
      </c>
      <c r="E499" s="708"/>
      <c r="F499" s="986"/>
      <c r="G499" s="986">
        <f>G498</f>
        <v>45715</v>
      </c>
      <c r="H499" s="987">
        <f>H498</f>
        <v>45736</v>
      </c>
      <c r="I499" s="1058" t="s">
        <v>390</v>
      </c>
      <c r="J499" s="1047" t="s">
        <v>18</v>
      </c>
      <c r="K499" s="784" t="s">
        <v>147</v>
      </c>
      <c r="L499" s="279" t="s">
        <v>20</v>
      </c>
      <c r="M499" s="1060" t="s">
        <v>382</v>
      </c>
      <c r="N499" s="203"/>
      <c r="O499" s="512"/>
      <c r="P499" s="512"/>
      <c r="Q499" s="512"/>
      <c r="R499" s="512"/>
      <c r="S499" s="512"/>
      <c r="T499" s="512"/>
      <c r="U499" s="512"/>
      <c r="V499" s="512"/>
      <c r="W499" s="512"/>
    </row>
    <row r="500" s="178" customFormat="1" spans="1:23">
      <c r="A500" s="1047" t="s">
        <v>376</v>
      </c>
      <c r="B500" s="1047" t="s">
        <v>388</v>
      </c>
      <c r="C500" s="1048" t="s">
        <v>24</v>
      </c>
      <c r="D500" s="266">
        <v>100</v>
      </c>
      <c r="E500" s="708"/>
      <c r="F500" s="986"/>
      <c r="G500" s="986">
        <f>G499</f>
        <v>45715</v>
      </c>
      <c r="H500" s="987">
        <f>H499</f>
        <v>45736</v>
      </c>
      <c r="I500" s="1058" t="s">
        <v>390</v>
      </c>
      <c r="J500" s="1047" t="s">
        <v>18</v>
      </c>
      <c r="K500" s="784" t="s">
        <v>147</v>
      </c>
      <c r="L500" s="279" t="s">
        <v>20</v>
      </c>
      <c r="M500" s="1060" t="s">
        <v>383</v>
      </c>
      <c r="N500" s="203"/>
      <c r="O500" s="512"/>
      <c r="P500" s="512"/>
      <c r="Q500" s="512"/>
      <c r="R500" s="512"/>
      <c r="S500" s="512"/>
      <c r="T500" s="512"/>
      <c r="U500" s="512"/>
      <c r="V500" s="512"/>
      <c r="W500" s="512"/>
    </row>
    <row r="501" s="178" customFormat="1" spans="1:23">
      <c r="A501" s="1047" t="s">
        <v>376</v>
      </c>
      <c r="B501" s="1047" t="s">
        <v>388</v>
      </c>
      <c r="C501" s="1048" t="s">
        <v>27</v>
      </c>
      <c r="D501" s="266">
        <v>30</v>
      </c>
      <c r="E501" s="708"/>
      <c r="F501" s="986"/>
      <c r="G501" s="986">
        <f>G500</f>
        <v>45715</v>
      </c>
      <c r="H501" s="987">
        <f>H500</f>
        <v>45736</v>
      </c>
      <c r="I501" s="1058" t="s">
        <v>390</v>
      </c>
      <c r="J501" s="1047" t="s">
        <v>18</v>
      </c>
      <c r="K501" s="784" t="s">
        <v>147</v>
      </c>
      <c r="L501" s="279" t="s">
        <v>20</v>
      </c>
      <c r="M501" s="1058"/>
      <c r="N501" s="203"/>
      <c r="O501" s="512"/>
      <c r="P501" s="512"/>
      <c r="Q501" s="512"/>
      <c r="R501" s="512"/>
      <c r="S501" s="512"/>
      <c r="T501" s="512"/>
      <c r="U501" s="512"/>
      <c r="V501" s="512"/>
      <c r="W501" s="512"/>
    </row>
    <row r="502" s="178" customFormat="1" spans="1:23">
      <c r="A502" s="1047" t="s">
        <v>376</v>
      </c>
      <c r="B502" s="1047" t="s">
        <v>388</v>
      </c>
      <c r="C502" s="1048" t="s">
        <v>67</v>
      </c>
      <c r="D502" s="266">
        <v>30</v>
      </c>
      <c r="E502" s="708"/>
      <c r="F502" s="986"/>
      <c r="G502" s="986">
        <f>G501</f>
        <v>45715</v>
      </c>
      <c r="H502" s="987">
        <f>H501</f>
        <v>45736</v>
      </c>
      <c r="I502" s="1058" t="s">
        <v>390</v>
      </c>
      <c r="J502" s="1047" t="s">
        <v>18</v>
      </c>
      <c r="K502" s="784" t="s">
        <v>147</v>
      </c>
      <c r="L502" s="279" t="s">
        <v>20</v>
      </c>
      <c r="M502" s="1058"/>
      <c r="N502" s="203"/>
      <c r="O502" s="512"/>
      <c r="P502" s="512"/>
      <c r="Q502" s="512"/>
      <c r="R502" s="512"/>
      <c r="S502" s="512"/>
      <c r="T502" s="512"/>
      <c r="U502" s="512"/>
      <c r="V502" s="512"/>
      <c r="W502" s="512"/>
    </row>
    <row r="503" s="178" customFormat="1" spans="1:23">
      <c r="A503" s="1047" t="s">
        <v>376</v>
      </c>
      <c r="B503" s="1047" t="s">
        <v>388</v>
      </c>
      <c r="C503" s="1048" t="s">
        <v>70</v>
      </c>
      <c r="D503" s="266">
        <v>50</v>
      </c>
      <c r="E503" s="708"/>
      <c r="F503" s="986"/>
      <c r="G503" s="986">
        <f>G502</f>
        <v>45715</v>
      </c>
      <c r="H503" s="987">
        <f>H502</f>
        <v>45736</v>
      </c>
      <c r="I503" s="1058" t="s">
        <v>390</v>
      </c>
      <c r="J503" s="1047" t="s">
        <v>18</v>
      </c>
      <c r="K503" s="784" t="s">
        <v>147</v>
      </c>
      <c r="L503" s="279" t="s">
        <v>20</v>
      </c>
      <c r="M503" s="784"/>
      <c r="N503" s="203"/>
      <c r="O503" s="512"/>
      <c r="P503" s="512"/>
      <c r="Q503" s="512"/>
      <c r="R503" s="512"/>
      <c r="S503" s="512"/>
      <c r="T503" s="512"/>
      <c r="U503" s="512"/>
      <c r="V503" s="512"/>
      <c r="W503" s="512"/>
    </row>
    <row r="504" s="178" customFormat="1" spans="1:23">
      <c r="A504" s="1047" t="s">
        <v>376</v>
      </c>
      <c r="B504" s="1047" t="s">
        <v>391</v>
      </c>
      <c r="C504" s="1048" t="s">
        <v>77</v>
      </c>
      <c r="D504" s="266">
        <v>48</v>
      </c>
      <c r="E504" s="756" t="s">
        <v>392</v>
      </c>
      <c r="F504" s="986"/>
      <c r="G504" s="986">
        <f>VLOOKUP(CLEAN(SUBSTITUTE(TRIM(MID(E:E,FIND("/",E:E)+1,LEN(E:E)))," ","")),'Customs Decl. &amp; Local Delivery'!D:I,6,0)</f>
        <v>45715</v>
      </c>
      <c r="H504" s="987">
        <f>VLOOKUP(CLEAN(SUBSTITUTE(TRIM(MID(E:E,FIND("/",E:E)+1,LEN(E:E)))," ","")),'Customs Decl. &amp; Local Delivery'!D:J,7,0)</f>
        <v>45736</v>
      </c>
      <c r="I504" s="1058" t="s">
        <v>393</v>
      </c>
      <c r="J504" s="1047" t="s">
        <v>18</v>
      </c>
      <c r="K504" s="1047" t="s">
        <v>147</v>
      </c>
      <c r="L504" s="279" t="s">
        <v>20</v>
      </c>
      <c r="M504" s="1060" t="s">
        <v>382</v>
      </c>
      <c r="N504" s="203"/>
      <c r="O504" s="512"/>
      <c r="P504" s="512"/>
      <c r="Q504" s="512"/>
      <c r="R504" s="512"/>
      <c r="S504" s="512"/>
      <c r="T504" s="512"/>
      <c r="U504" s="512"/>
      <c r="V504" s="512"/>
      <c r="W504" s="512"/>
    </row>
    <row r="505" s="178" customFormat="1" spans="1:23">
      <c r="A505" s="1047" t="s">
        <v>376</v>
      </c>
      <c r="B505" s="1047" t="s">
        <v>391</v>
      </c>
      <c r="C505" s="1048" t="s">
        <v>15</v>
      </c>
      <c r="D505" s="266">
        <v>12</v>
      </c>
      <c r="E505" s="708"/>
      <c r="F505" s="986"/>
      <c r="G505" s="986">
        <f>G504</f>
        <v>45715</v>
      </c>
      <c r="H505" s="987">
        <f>H504</f>
        <v>45736</v>
      </c>
      <c r="I505" s="1058" t="s">
        <v>393</v>
      </c>
      <c r="J505" s="1047" t="s">
        <v>18</v>
      </c>
      <c r="K505" s="1047" t="s">
        <v>147</v>
      </c>
      <c r="L505" s="279" t="s">
        <v>20</v>
      </c>
      <c r="M505" s="1060" t="s">
        <v>383</v>
      </c>
      <c r="N505" s="203"/>
      <c r="O505" s="512"/>
      <c r="P505" s="512"/>
      <c r="Q505" s="512"/>
      <c r="R505" s="512"/>
      <c r="S505" s="512"/>
      <c r="T505" s="512"/>
      <c r="U505" s="512"/>
      <c r="V505" s="512"/>
      <c r="W505" s="512"/>
    </row>
    <row r="506" s="178" customFormat="1" spans="1:23">
      <c r="A506" s="1047" t="s">
        <v>376</v>
      </c>
      <c r="B506" s="1047" t="s">
        <v>391</v>
      </c>
      <c r="C506" s="1048" t="s">
        <v>24</v>
      </c>
      <c r="D506" s="266">
        <v>100</v>
      </c>
      <c r="E506" s="708"/>
      <c r="F506" s="986"/>
      <c r="G506" s="986">
        <f>G505</f>
        <v>45715</v>
      </c>
      <c r="H506" s="987">
        <f>H505</f>
        <v>45736</v>
      </c>
      <c r="I506" s="1058" t="s">
        <v>393</v>
      </c>
      <c r="J506" s="1047" t="s">
        <v>18</v>
      </c>
      <c r="K506" s="1047" t="s">
        <v>147</v>
      </c>
      <c r="L506" s="279" t="s">
        <v>20</v>
      </c>
      <c r="M506" s="1058"/>
      <c r="N506" s="203"/>
      <c r="O506" s="512"/>
      <c r="P506" s="512"/>
      <c r="Q506" s="512"/>
      <c r="R506" s="512"/>
      <c r="S506" s="512"/>
      <c r="T506" s="512"/>
      <c r="U506" s="512"/>
      <c r="V506" s="512"/>
      <c r="W506" s="512"/>
    </row>
    <row r="507" s="178" customFormat="1" spans="1:23">
      <c r="A507" s="1047" t="s">
        <v>376</v>
      </c>
      <c r="B507" s="1047" t="s">
        <v>391</v>
      </c>
      <c r="C507" s="1048" t="s">
        <v>27</v>
      </c>
      <c r="D507" s="266">
        <v>30</v>
      </c>
      <c r="E507" s="708"/>
      <c r="F507" s="986"/>
      <c r="G507" s="986">
        <f>G506</f>
        <v>45715</v>
      </c>
      <c r="H507" s="987">
        <f>H506</f>
        <v>45736</v>
      </c>
      <c r="I507" s="1058" t="s">
        <v>393</v>
      </c>
      <c r="J507" s="1047" t="s">
        <v>18</v>
      </c>
      <c r="K507" s="1047" t="s">
        <v>147</v>
      </c>
      <c r="L507" s="279" t="s">
        <v>20</v>
      </c>
      <c r="M507" s="1050"/>
      <c r="N507" s="203"/>
      <c r="O507" s="512"/>
      <c r="P507" s="512"/>
      <c r="Q507" s="512"/>
      <c r="R507" s="512"/>
      <c r="S507" s="512"/>
      <c r="T507" s="512"/>
      <c r="U507" s="512"/>
      <c r="V507" s="512"/>
      <c r="W507" s="512"/>
    </row>
    <row r="508" s="178" customFormat="1" spans="1:23">
      <c r="A508" s="1047" t="s">
        <v>376</v>
      </c>
      <c r="B508" s="1047" t="s">
        <v>391</v>
      </c>
      <c r="C508" s="1048" t="s">
        <v>67</v>
      </c>
      <c r="D508" s="266">
        <v>30</v>
      </c>
      <c r="E508" s="708"/>
      <c r="F508" s="986"/>
      <c r="G508" s="986">
        <f>G507</f>
        <v>45715</v>
      </c>
      <c r="H508" s="987">
        <f>H507</f>
        <v>45736</v>
      </c>
      <c r="I508" s="1058" t="s">
        <v>393</v>
      </c>
      <c r="J508" s="1047" t="s">
        <v>18</v>
      </c>
      <c r="K508" s="1047" t="s">
        <v>147</v>
      </c>
      <c r="L508" s="279" t="s">
        <v>20</v>
      </c>
      <c r="M508" s="1050"/>
      <c r="N508" s="203"/>
      <c r="O508" s="512"/>
      <c r="P508" s="512"/>
      <c r="Q508" s="512"/>
      <c r="R508" s="512"/>
      <c r="S508" s="512"/>
      <c r="T508" s="512"/>
      <c r="U508" s="512"/>
      <c r="V508" s="512"/>
      <c r="W508" s="512"/>
    </row>
    <row r="509" s="178" customFormat="1" spans="1:23">
      <c r="A509" s="1047" t="s">
        <v>376</v>
      </c>
      <c r="B509" s="1047" t="s">
        <v>391</v>
      </c>
      <c r="C509" s="1048" t="s">
        <v>70</v>
      </c>
      <c r="D509" s="266">
        <v>50</v>
      </c>
      <c r="E509" s="708"/>
      <c r="F509" s="986"/>
      <c r="G509" s="986">
        <f>G508</f>
        <v>45715</v>
      </c>
      <c r="H509" s="987">
        <f>H508</f>
        <v>45736</v>
      </c>
      <c r="I509" s="1058" t="s">
        <v>393</v>
      </c>
      <c r="J509" s="1047" t="s">
        <v>18</v>
      </c>
      <c r="K509" s="1047" t="s">
        <v>147</v>
      </c>
      <c r="L509" s="279" t="s">
        <v>20</v>
      </c>
      <c r="M509" s="1050"/>
      <c r="N509" s="203"/>
      <c r="O509" s="512"/>
      <c r="P509" s="512"/>
      <c r="Q509" s="512"/>
      <c r="R509" s="512"/>
      <c r="S509" s="512"/>
      <c r="T509" s="512"/>
      <c r="U509" s="512"/>
      <c r="V509" s="512"/>
      <c r="W509" s="512"/>
    </row>
    <row r="510" s="178" customFormat="1" ht="30.75" customHeight="1" spans="1:23">
      <c r="A510" s="1047" t="s">
        <v>394</v>
      </c>
      <c r="B510" s="789" t="s">
        <v>395</v>
      </c>
      <c r="C510" s="1050" t="s">
        <v>396</v>
      </c>
      <c r="D510" s="1051">
        <v>138</v>
      </c>
      <c r="E510" s="1052" t="s">
        <v>397</v>
      </c>
      <c r="F510" s="986"/>
      <c r="G510" s="986">
        <f>VLOOKUP(CLEAN(SUBSTITUTE(TRIM(MID(E:E,FIND("/",E:E)+1,LEN(E:E)))," ","")),'Customs Decl. &amp; Local Delivery'!D:I,6,0)</f>
        <v>45715</v>
      </c>
      <c r="H510" s="987">
        <f>VLOOKUP(CLEAN(SUBSTITUTE(TRIM(MID(E:E,FIND("/",E:E)+1,LEN(E:E)))," ","")),'Customs Decl. &amp; Local Delivery'!D:J,7,0)</f>
        <v>45736</v>
      </c>
      <c r="I510" s="1063" t="s">
        <v>398</v>
      </c>
      <c r="J510" s="1047" t="s">
        <v>18</v>
      </c>
      <c r="K510" s="1047" t="s">
        <v>147</v>
      </c>
      <c r="L510" s="279" t="s">
        <v>20</v>
      </c>
      <c r="M510" s="1053" t="s">
        <v>399</v>
      </c>
      <c r="N510" s="203"/>
      <c r="O510" s="512"/>
      <c r="P510" s="512"/>
      <c r="Q510" s="512"/>
      <c r="R510" s="512"/>
      <c r="S510" s="512"/>
      <c r="T510" s="512"/>
      <c r="U510" s="512"/>
      <c r="V510" s="512"/>
      <c r="W510" s="512"/>
    </row>
    <row r="511" s="178" customFormat="1" ht="15.4" customHeight="1" spans="1:23">
      <c r="A511" s="1053" t="s">
        <v>400</v>
      </c>
      <c r="B511" s="1050" t="s">
        <v>401</v>
      </c>
      <c r="C511" s="1054" t="s">
        <v>15</v>
      </c>
      <c r="D511" s="263">
        <v>559</v>
      </c>
      <c r="E511" s="1055" t="s">
        <v>402</v>
      </c>
      <c r="F511" s="986"/>
      <c r="G511" s="986">
        <f>VLOOKUP(CLEAN(SUBSTITUTE(TRIM(MID(E:E,FIND("/",E:E)+1,LEN(E:E)))," ","")),'Customs Decl. &amp; Local Delivery'!D:I,6,0)</f>
        <v>45716</v>
      </c>
      <c r="H511" s="987">
        <f>VLOOKUP(CLEAN(SUBSTITUTE(TRIM(MID(E:E,FIND("/",E:E)+1,LEN(E:E)))," ","")),'Customs Decl. &amp; Local Delivery'!D:J,7,0)</f>
        <v>45736</v>
      </c>
      <c r="I511" s="1058" t="s">
        <v>403</v>
      </c>
      <c r="J511" s="1064" t="s">
        <v>18</v>
      </c>
      <c r="K511" s="784" t="s">
        <v>147</v>
      </c>
      <c r="L511" s="279" t="s">
        <v>20</v>
      </c>
      <c r="M511" s="1053" t="s">
        <v>404</v>
      </c>
      <c r="N511" s="203"/>
      <c r="O511" s="512"/>
      <c r="P511" s="512"/>
      <c r="Q511" s="512"/>
      <c r="R511" s="512"/>
      <c r="S511" s="512"/>
      <c r="T511" s="512"/>
      <c r="U511" s="512"/>
      <c r="V511" s="512"/>
      <c r="W511" s="512"/>
    </row>
    <row r="512" s="178" customFormat="1" ht="15.4" customHeight="1" spans="1:23">
      <c r="A512" s="1053" t="s">
        <v>400</v>
      </c>
      <c r="B512" s="1050" t="s">
        <v>401</v>
      </c>
      <c r="C512" s="1054" t="s">
        <v>70</v>
      </c>
      <c r="D512" s="263">
        <v>39</v>
      </c>
      <c r="E512" s="1056"/>
      <c r="F512" s="986"/>
      <c r="G512" s="986">
        <f>G511</f>
        <v>45716</v>
      </c>
      <c r="H512" s="987">
        <f>H511</f>
        <v>45736</v>
      </c>
      <c r="I512" s="1058" t="s">
        <v>403</v>
      </c>
      <c r="J512" s="1064" t="s">
        <v>18</v>
      </c>
      <c r="K512" s="784" t="s">
        <v>147</v>
      </c>
      <c r="L512" s="279" t="s">
        <v>20</v>
      </c>
      <c r="M512" s="1060" t="s">
        <v>383</v>
      </c>
      <c r="N512" s="203"/>
      <c r="O512" s="512"/>
      <c r="P512" s="512"/>
      <c r="Q512" s="512"/>
      <c r="R512" s="512"/>
      <c r="S512" s="512"/>
      <c r="T512" s="512"/>
      <c r="U512" s="512"/>
      <c r="V512" s="512"/>
      <c r="W512" s="512"/>
    </row>
    <row r="513" s="178" customFormat="1" ht="15.4" customHeight="1" spans="1:23">
      <c r="A513" s="1053" t="s">
        <v>400</v>
      </c>
      <c r="B513" s="1050" t="s">
        <v>401</v>
      </c>
      <c r="C513" s="1054" t="s">
        <v>71</v>
      </c>
      <c r="D513" s="263">
        <v>40</v>
      </c>
      <c r="E513" s="1056"/>
      <c r="F513" s="986"/>
      <c r="G513" s="986">
        <f>G512</f>
        <v>45716</v>
      </c>
      <c r="H513" s="987">
        <f>H512</f>
        <v>45736</v>
      </c>
      <c r="I513" s="1058" t="s">
        <v>403</v>
      </c>
      <c r="J513" s="1064" t="s">
        <v>18</v>
      </c>
      <c r="K513" s="784" t="s">
        <v>147</v>
      </c>
      <c r="L513" s="279" t="s">
        <v>20</v>
      </c>
      <c r="M513" s="1053"/>
      <c r="N513" s="203"/>
      <c r="O513" s="512"/>
      <c r="P513" s="512"/>
      <c r="Q513" s="512"/>
      <c r="R513" s="512"/>
      <c r="S513" s="512"/>
      <c r="T513" s="512"/>
      <c r="U513" s="512"/>
      <c r="V513" s="512"/>
      <c r="W513" s="512"/>
    </row>
    <row r="514" s="178" customFormat="1" ht="15.4" customHeight="1" spans="1:23">
      <c r="A514" s="1047" t="s">
        <v>376</v>
      </c>
      <c r="B514" s="1047" t="s">
        <v>405</v>
      </c>
      <c r="C514" s="789" t="s">
        <v>77</v>
      </c>
      <c r="D514" s="1051">
        <v>48</v>
      </c>
      <c r="E514" s="1052" t="s">
        <v>406</v>
      </c>
      <c r="F514" s="986"/>
      <c r="G514" s="986">
        <f>VLOOKUP(CLEAN(SUBSTITUTE(TRIM(MID(E:E,FIND("/",E:E)+1,LEN(E:E)))," ","")),'Customs Decl. &amp; Local Delivery'!D:I,6,0)</f>
        <v>45717</v>
      </c>
      <c r="H514" s="987">
        <f>VLOOKUP(CLEAN(SUBSTITUTE(TRIM(MID(E:E,FIND("/",E:E)+1,LEN(E:E)))," ","")),'Customs Decl. &amp; Local Delivery'!D:J,7,0)</f>
        <v>45755</v>
      </c>
      <c r="I514" s="1058" t="s">
        <v>407</v>
      </c>
      <c r="J514" s="784" t="s">
        <v>18</v>
      </c>
      <c r="K514" s="982" t="s">
        <v>64</v>
      </c>
      <c r="L514" s="279" t="s">
        <v>20</v>
      </c>
      <c r="M514" s="1058" t="s">
        <v>408</v>
      </c>
      <c r="N514" s="203"/>
      <c r="O514" s="512"/>
      <c r="P514" s="512"/>
      <c r="Q514" s="512"/>
      <c r="R514" s="512"/>
      <c r="S514" s="512"/>
      <c r="T514" s="512"/>
      <c r="U514" s="512"/>
      <c r="V514" s="512"/>
      <c r="W514" s="512"/>
    </row>
    <row r="515" s="178" customFormat="1" ht="15.4" customHeight="1" spans="1:23">
      <c r="A515" s="1047" t="s">
        <v>376</v>
      </c>
      <c r="B515" s="1065" t="s">
        <v>405</v>
      </c>
      <c r="C515" s="789" t="s">
        <v>15</v>
      </c>
      <c r="D515" s="1051">
        <v>12</v>
      </c>
      <c r="E515" s="1066"/>
      <c r="F515" s="986"/>
      <c r="G515" s="986">
        <f>G514</f>
        <v>45717</v>
      </c>
      <c r="H515" s="987">
        <f>H514</f>
        <v>45755</v>
      </c>
      <c r="I515" s="1058" t="s">
        <v>407</v>
      </c>
      <c r="J515" s="784" t="s">
        <v>18</v>
      </c>
      <c r="K515" s="982" t="s">
        <v>64</v>
      </c>
      <c r="L515" s="279" t="s">
        <v>20</v>
      </c>
      <c r="M515" s="1060" t="s">
        <v>382</v>
      </c>
      <c r="N515" s="203"/>
      <c r="O515" s="512"/>
      <c r="P515" s="512"/>
      <c r="Q515" s="512"/>
      <c r="R515" s="512"/>
      <c r="S515" s="512"/>
      <c r="T515" s="512"/>
      <c r="U515" s="512"/>
      <c r="V515" s="512"/>
      <c r="W515" s="512"/>
    </row>
    <row r="516" s="178" customFormat="1" ht="15.4" customHeight="1" spans="1:23">
      <c r="A516" s="1047" t="s">
        <v>376</v>
      </c>
      <c r="B516" s="1047" t="s">
        <v>405</v>
      </c>
      <c r="C516" s="789" t="s">
        <v>24</v>
      </c>
      <c r="D516" s="1051">
        <v>100</v>
      </c>
      <c r="E516" s="1066"/>
      <c r="F516" s="986"/>
      <c r="G516" s="986">
        <f>G515</f>
        <v>45717</v>
      </c>
      <c r="H516" s="987">
        <f>H515</f>
        <v>45755</v>
      </c>
      <c r="I516" s="1058" t="s">
        <v>407</v>
      </c>
      <c r="J516" s="784" t="s">
        <v>18</v>
      </c>
      <c r="K516" s="982" t="s">
        <v>64</v>
      </c>
      <c r="L516" s="279" t="s">
        <v>20</v>
      </c>
      <c r="M516" s="1060" t="s">
        <v>409</v>
      </c>
      <c r="N516" s="203"/>
      <c r="O516" s="512"/>
      <c r="P516" s="512"/>
      <c r="Q516" s="512"/>
      <c r="R516" s="512"/>
      <c r="S516" s="512"/>
      <c r="T516" s="512"/>
      <c r="U516" s="512"/>
      <c r="V516" s="512"/>
      <c r="W516" s="512"/>
    </row>
    <row r="517" s="178" customFormat="1" ht="15.4" customHeight="1" spans="1:23">
      <c r="A517" s="1047" t="s">
        <v>376</v>
      </c>
      <c r="B517" s="1047" t="s">
        <v>405</v>
      </c>
      <c r="C517" s="789" t="s">
        <v>27</v>
      </c>
      <c r="D517" s="1051">
        <v>30</v>
      </c>
      <c r="E517" s="1066"/>
      <c r="F517" s="986"/>
      <c r="G517" s="986">
        <f>G516</f>
        <v>45717</v>
      </c>
      <c r="H517" s="987">
        <f>H516</f>
        <v>45755</v>
      </c>
      <c r="I517" s="1058" t="s">
        <v>407</v>
      </c>
      <c r="J517" s="784" t="s">
        <v>18</v>
      </c>
      <c r="K517" s="982" t="s">
        <v>64</v>
      </c>
      <c r="L517" s="279" t="s">
        <v>20</v>
      </c>
      <c r="M517" s="1061"/>
      <c r="N517" s="203"/>
      <c r="O517" s="512"/>
      <c r="P517" s="512"/>
      <c r="Q517" s="512"/>
      <c r="R517" s="512"/>
      <c r="S517" s="512"/>
      <c r="T517" s="512"/>
      <c r="U517" s="512"/>
      <c r="V517" s="512"/>
      <c r="W517" s="512"/>
    </row>
    <row r="518" s="178" customFormat="1" ht="15.4" customHeight="1" spans="1:23">
      <c r="A518" s="1047" t="s">
        <v>376</v>
      </c>
      <c r="B518" s="1047" t="s">
        <v>405</v>
      </c>
      <c r="C518" s="789" t="s">
        <v>67</v>
      </c>
      <c r="D518" s="1051">
        <v>30</v>
      </c>
      <c r="E518" s="1066"/>
      <c r="F518" s="986"/>
      <c r="G518" s="986">
        <f>G517</f>
        <v>45717</v>
      </c>
      <c r="H518" s="987">
        <f>H517</f>
        <v>45755</v>
      </c>
      <c r="I518" s="1058" t="s">
        <v>407</v>
      </c>
      <c r="J518" s="784" t="s">
        <v>18</v>
      </c>
      <c r="K518" s="982" t="s">
        <v>64</v>
      </c>
      <c r="L518" s="279" t="s">
        <v>20</v>
      </c>
      <c r="M518" s="1061"/>
      <c r="N518" s="203"/>
      <c r="O518" s="512"/>
      <c r="P518" s="512"/>
      <c r="Q518" s="512"/>
      <c r="R518" s="512"/>
      <c r="S518" s="512"/>
      <c r="T518" s="512"/>
      <c r="U518" s="512"/>
      <c r="V518" s="512"/>
      <c r="W518" s="512"/>
    </row>
    <row r="519" s="178" customFormat="1" ht="15.4" customHeight="1" spans="1:23">
      <c r="A519" s="1047" t="s">
        <v>376</v>
      </c>
      <c r="B519" s="1047" t="s">
        <v>405</v>
      </c>
      <c r="C519" s="789" t="s">
        <v>70</v>
      </c>
      <c r="D519" s="1051">
        <v>50</v>
      </c>
      <c r="E519" s="1066"/>
      <c r="F519" s="986"/>
      <c r="G519" s="986">
        <f>G518</f>
        <v>45717</v>
      </c>
      <c r="H519" s="987">
        <f>H518</f>
        <v>45755</v>
      </c>
      <c r="I519" s="1058" t="s">
        <v>407</v>
      </c>
      <c r="J519" s="784" t="s">
        <v>18</v>
      </c>
      <c r="K519" s="982" t="s">
        <v>64</v>
      </c>
      <c r="L519" s="279" t="s">
        <v>20</v>
      </c>
      <c r="M519" s="1061"/>
      <c r="N519" s="203"/>
      <c r="O519" s="512"/>
      <c r="P519" s="512"/>
      <c r="Q519" s="512"/>
      <c r="R519" s="512"/>
      <c r="S519" s="512"/>
      <c r="T519" s="512"/>
      <c r="U519" s="512"/>
      <c r="V519" s="512"/>
      <c r="W519" s="512"/>
    </row>
    <row r="520" s="178" customFormat="1" ht="15.4" customHeight="1" spans="1:23">
      <c r="A520" s="1047" t="s">
        <v>376</v>
      </c>
      <c r="B520" s="1047" t="s">
        <v>410</v>
      </c>
      <c r="C520" s="789" t="s">
        <v>77</v>
      </c>
      <c r="D520" s="1051">
        <v>48</v>
      </c>
      <c r="E520" s="1052" t="s">
        <v>411</v>
      </c>
      <c r="F520" s="986"/>
      <c r="G520" s="986">
        <f>VLOOKUP(CLEAN(SUBSTITUTE(TRIM(MID(E:E,FIND("/",E:E)+1,LEN(E:E)))," ","")),'Customs Decl. &amp; Local Delivery'!D:I,6,0)</f>
        <v>45717</v>
      </c>
      <c r="H520" s="987">
        <f>VLOOKUP(CLEAN(SUBSTITUTE(TRIM(MID(E:E,FIND("/",E:E)+1,LEN(E:E)))," ","")),'Customs Decl. &amp; Local Delivery'!D:J,7,0)</f>
        <v>45755</v>
      </c>
      <c r="I520" s="1058" t="s">
        <v>407</v>
      </c>
      <c r="J520" s="784" t="s">
        <v>18</v>
      </c>
      <c r="K520" s="982" t="s">
        <v>64</v>
      </c>
      <c r="L520" s="279" t="s">
        <v>20</v>
      </c>
      <c r="M520" s="1058" t="s">
        <v>412</v>
      </c>
      <c r="N520" s="203"/>
      <c r="O520" s="512"/>
      <c r="P520" s="512"/>
      <c r="Q520" s="512"/>
      <c r="R520" s="512"/>
      <c r="S520" s="512"/>
      <c r="T520" s="512"/>
      <c r="U520" s="512"/>
      <c r="V520" s="512"/>
      <c r="W520" s="512"/>
    </row>
    <row r="521" s="178" customFormat="1" ht="15.4" customHeight="1" spans="1:23">
      <c r="A521" s="1047" t="s">
        <v>376</v>
      </c>
      <c r="B521" s="1047" t="s">
        <v>410</v>
      </c>
      <c r="C521" s="789" t="s">
        <v>15</v>
      </c>
      <c r="D521" s="1051">
        <v>12</v>
      </c>
      <c r="E521" s="1066"/>
      <c r="F521" s="986"/>
      <c r="G521" s="986">
        <f>G520</f>
        <v>45717</v>
      </c>
      <c r="H521" s="987">
        <f>H520</f>
        <v>45755</v>
      </c>
      <c r="I521" s="1058" t="s">
        <v>407</v>
      </c>
      <c r="J521" s="784" t="s">
        <v>18</v>
      </c>
      <c r="K521" s="982" t="s">
        <v>64</v>
      </c>
      <c r="L521" s="279" t="s">
        <v>20</v>
      </c>
      <c r="M521" s="1060" t="s">
        <v>382</v>
      </c>
      <c r="N521" s="203"/>
      <c r="O521" s="512"/>
      <c r="P521" s="512"/>
      <c r="Q521" s="512"/>
      <c r="R521" s="512"/>
      <c r="S521" s="512"/>
      <c r="T521" s="512"/>
      <c r="U521" s="512"/>
      <c r="V521" s="512"/>
      <c r="W521" s="512"/>
    </row>
    <row r="522" s="178" customFormat="1" ht="15.4" customHeight="1" spans="1:23">
      <c r="A522" s="1047" t="s">
        <v>376</v>
      </c>
      <c r="B522" s="1047" t="s">
        <v>410</v>
      </c>
      <c r="C522" s="789" t="s">
        <v>24</v>
      </c>
      <c r="D522" s="1051">
        <v>100</v>
      </c>
      <c r="E522" s="1066"/>
      <c r="F522" s="986"/>
      <c r="G522" s="986">
        <f>G521</f>
        <v>45717</v>
      </c>
      <c r="H522" s="987">
        <f>H521</f>
        <v>45755</v>
      </c>
      <c r="I522" s="1058" t="s">
        <v>407</v>
      </c>
      <c r="J522" s="784" t="s">
        <v>18</v>
      </c>
      <c r="K522" s="982" t="s">
        <v>64</v>
      </c>
      <c r="L522" s="279" t="s">
        <v>20</v>
      </c>
      <c r="M522" s="1060" t="s">
        <v>409</v>
      </c>
      <c r="N522" s="203"/>
      <c r="O522" s="512"/>
      <c r="P522" s="512"/>
      <c r="Q522" s="512"/>
      <c r="R522" s="512"/>
      <c r="S522" s="512"/>
      <c r="T522" s="512"/>
      <c r="U522" s="512"/>
      <c r="V522" s="512"/>
      <c r="W522" s="512"/>
    </row>
    <row r="523" s="178" customFormat="1" ht="15.4" customHeight="1" spans="1:23">
      <c r="A523" s="1047" t="s">
        <v>376</v>
      </c>
      <c r="B523" s="1047" t="s">
        <v>410</v>
      </c>
      <c r="C523" s="789" t="s">
        <v>27</v>
      </c>
      <c r="D523" s="1051">
        <v>30</v>
      </c>
      <c r="E523" s="1066"/>
      <c r="F523" s="986"/>
      <c r="G523" s="986">
        <f>G522</f>
        <v>45717</v>
      </c>
      <c r="H523" s="987">
        <f>H522</f>
        <v>45755</v>
      </c>
      <c r="I523" s="1058" t="s">
        <v>407</v>
      </c>
      <c r="J523" s="784" t="s">
        <v>18</v>
      </c>
      <c r="K523" s="982" t="s">
        <v>64</v>
      </c>
      <c r="L523" s="279" t="s">
        <v>20</v>
      </c>
      <c r="M523" s="1061"/>
      <c r="N523" s="203"/>
      <c r="O523" s="512"/>
      <c r="P523" s="512"/>
      <c r="Q523" s="512"/>
      <c r="R523" s="512"/>
      <c r="S523" s="512"/>
      <c r="T523" s="512"/>
      <c r="U523" s="512"/>
      <c r="V523" s="512"/>
      <c r="W523" s="512"/>
    </row>
    <row r="524" s="178" customFormat="1" ht="15.4" customHeight="1" spans="1:23">
      <c r="A524" s="1047" t="s">
        <v>376</v>
      </c>
      <c r="B524" s="1047" t="s">
        <v>410</v>
      </c>
      <c r="C524" s="789" t="s">
        <v>67</v>
      </c>
      <c r="D524" s="1051">
        <v>30</v>
      </c>
      <c r="E524" s="1066"/>
      <c r="F524" s="986"/>
      <c r="G524" s="986">
        <f>G523</f>
        <v>45717</v>
      </c>
      <c r="H524" s="987">
        <f>H523</f>
        <v>45755</v>
      </c>
      <c r="I524" s="1058" t="s">
        <v>407</v>
      </c>
      <c r="J524" s="784" t="s">
        <v>18</v>
      </c>
      <c r="K524" s="982" t="s">
        <v>64</v>
      </c>
      <c r="L524" s="279" t="s">
        <v>20</v>
      </c>
      <c r="M524" s="1061"/>
      <c r="N524" s="203"/>
      <c r="O524" s="512"/>
      <c r="P524" s="512"/>
      <c r="Q524" s="512"/>
      <c r="R524" s="512"/>
      <c r="S524" s="512"/>
      <c r="T524" s="512"/>
      <c r="U524" s="512"/>
      <c r="V524" s="512"/>
      <c r="W524" s="512"/>
    </row>
    <row r="525" s="178" customFormat="1" ht="15.4" customHeight="1" spans="1:23">
      <c r="A525" s="1047" t="s">
        <v>376</v>
      </c>
      <c r="B525" s="1047" t="s">
        <v>410</v>
      </c>
      <c r="C525" s="789" t="s">
        <v>70</v>
      </c>
      <c r="D525" s="1051">
        <v>50</v>
      </c>
      <c r="E525" s="1066"/>
      <c r="F525" s="986"/>
      <c r="G525" s="986">
        <f>G524</f>
        <v>45717</v>
      </c>
      <c r="H525" s="987">
        <f>H524</f>
        <v>45755</v>
      </c>
      <c r="I525" s="1058" t="s">
        <v>407</v>
      </c>
      <c r="J525" s="784" t="s">
        <v>18</v>
      </c>
      <c r="K525" s="982" t="s">
        <v>64</v>
      </c>
      <c r="L525" s="279" t="s">
        <v>20</v>
      </c>
      <c r="M525" s="1061"/>
      <c r="N525" s="203"/>
      <c r="O525" s="512"/>
      <c r="P525" s="512"/>
      <c r="Q525" s="512"/>
      <c r="R525" s="512"/>
      <c r="S525" s="512"/>
      <c r="T525" s="512"/>
      <c r="U525" s="512"/>
      <c r="V525" s="512"/>
      <c r="W525" s="512"/>
    </row>
    <row r="526" s="178" customFormat="1" ht="15.4" customHeight="1" spans="1:23">
      <c r="A526" s="1047" t="s">
        <v>376</v>
      </c>
      <c r="B526" s="1047" t="s">
        <v>413</v>
      </c>
      <c r="C526" s="789" t="s">
        <v>77</v>
      </c>
      <c r="D526" s="1051">
        <v>48</v>
      </c>
      <c r="E526" s="1052" t="s">
        <v>414</v>
      </c>
      <c r="F526" s="986"/>
      <c r="G526" s="986">
        <f>VLOOKUP(CLEAN(SUBSTITUTE(TRIM(MID(E:E,FIND("/",E:E)+1,LEN(E:E)))," ","")),'Customs Decl. &amp; Local Delivery'!D:I,6,0)</f>
        <v>45717</v>
      </c>
      <c r="H526" s="987">
        <f>VLOOKUP(CLEAN(SUBSTITUTE(TRIM(MID(E:E,FIND("/",E:E)+1,LEN(E:E)))," ","")),'Customs Decl. &amp; Local Delivery'!D:J,7,0)</f>
        <v>45755</v>
      </c>
      <c r="I526" s="1058" t="s">
        <v>407</v>
      </c>
      <c r="J526" s="784" t="s">
        <v>18</v>
      </c>
      <c r="K526" s="982" t="s">
        <v>64</v>
      </c>
      <c r="L526" s="279" t="s">
        <v>20</v>
      </c>
      <c r="M526" s="1058" t="s">
        <v>415</v>
      </c>
      <c r="N526" s="203"/>
      <c r="O526" s="512"/>
      <c r="P526" s="512"/>
      <c r="Q526" s="512"/>
      <c r="R526" s="512"/>
      <c r="S526" s="512"/>
      <c r="T526" s="512"/>
      <c r="U526" s="512"/>
      <c r="V526" s="512"/>
      <c r="W526" s="512"/>
    </row>
    <row r="527" s="178" customFormat="1" ht="15.4" customHeight="1" spans="1:23">
      <c r="A527" s="1047" t="s">
        <v>376</v>
      </c>
      <c r="B527" s="1047" t="s">
        <v>413</v>
      </c>
      <c r="C527" s="789" t="s">
        <v>15</v>
      </c>
      <c r="D527" s="1051">
        <v>12</v>
      </c>
      <c r="E527" s="1066"/>
      <c r="F527" s="986"/>
      <c r="G527" s="986">
        <f>G526</f>
        <v>45717</v>
      </c>
      <c r="H527" s="987">
        <f>H526</f>
        <v>45755</v>
      </c>
      <c r="I527" s="1058" t="s">
        <v>407</v>
      </c>
      <c r="J527" s="784" t="s">
        <v>18</v>
      </c>
      <c r="K527" s="982" t="s">
        <v>64</v>
      </c>
      <c r="L527" s="279" t="s">
        <v>20</v>
      </c>
      <c r="M527" s="1058" t="s">
        <v>416</v>
      </c>
      <c r="N527" s="203"/>
      <c r="O527" s="512"/>
      <c r="P527" s="512"/>
      <c r="Q527" s="512"/>
      <c r="R527" s="512"/>
      <c r="S527" s="512"/>
      <c r="T527" s="512"/>
      <c r="U527" s="512"/>
      <c r="V527" s="512"/>
      <c r="W527" s="512"/>
    </row>
    <row r="528" s="178" customFormat="1" ht="15.4" customHeight="1" spans="1:23">
      <c r="A528" s="1047" t="s">
        <v>376</v>
      </c>
      <c r="B528" s="1047" t="s">
        <v>413</v>
      </c>
      <c r="C528" s="789" t="s">
        <v>24</v>
      </c>
      <c r="D528" s="1051">
        <v>100</v>
      </c>
      <c r="E528" s="1066"/>
      <c r="F528" s="986"/>
      <c r="G528" s="986">
        <f>G527</f>
        <v>45717</v>
      </c>
      <c r="H528" s="987">
        <f>H527</f>
        <v>45755</v>
      </c>
      <c r="I528" s="1058" t="s">
        <v>407</v>
      </c>
      <c r="J528" s="784" t="s">
        <v>18</v>
      </c>
      <c r="K528" s="982" t="s">
        <v>64</v>
      </c>
      <c r="L528" s="279" t="s">
        <v>20</v>
      </c>
      <c r="M528" s="1060" t="s">
        <v>409</v>
      </c>
      <c r="N528" s="203"/>
      <c r="O528" s="512"/>
      <c r="P528" s="512"/>
      <c r="Q528" s="512"/>
      <c r="R528" s="512"/>
      <c r="S528" s="512"/>
      <c r="T528" s="512"/>
      <c r="U528" s="512"/>
      <c r="V528" s="512"/>
      <c r="W528" s="512"/>
    </row>
    <row r="529" s="178" customFormat="1" ht="15.4" customHeight="1" spans="1:23">
      <c r="A529" s="1047" t="s">
        <v>376</v>
      </c>
      <c r="B529" s="1065" t="s">
        <v>413</v>
      </c>
      <c r="C529" s="789" t="s">
        <v>27</v>
      </c>
      <c r="D529" s="1051">
        <v>30</v>
      </c>
      <c r="E529" s="1066"/>
      <c r="F529" s="986"/>
      <c r="G529" s="986">
        <f>G528</f>
        <v>45717</v>
      </c>
      <c r="H529" s="987">
        <f>H528</f>
        <v>45755</v>
      </c>
      <c r="I529" s="1058" t="s">
        <v>407</v>
      </c>
      <c r="J529" s="784" t="s">
        <v>18</v>
      </c>
      <c r="K529" s="982" t="s">
        <v>64</v>
      </c>
      <c r="L529" s="279" t="s">
        <v>20</v>
      </c>
      <c r="M529" s="1058"/>
      <c r="N529" s="203"/>
      <c r="O529" s="512"/>
      <c r="P529" s="512"/>
      <c r="Q529" s="512"/>
      <c r="R529" s="512"/>
      <c r="S529" s="512"/>
      <c r="T529" s="512"/>
      <c r="U529" s="512"/>
      <c r="V529" s="512"/>
      <c r="W529" s="512"/>
    </row>
    <row r="530" s="178" customFormat="1" ht="15.4" customHeight="1" spans="1:23">
      <c r="A530" s="1047" t="s">
        <v>376</v>
      </c>
      <c r="B530" s="1047" t="s">
        <v>413</v>
      </c>
      <c r="C530" s="789" t="s">
        <v>67</v>
      </c>
      <c r="D530" s="1051">
        <v>30</v>
      </c>
      <c r="E530" s="1066"/>
      <c r="F530" s="986"/>
      <c r="G530" s="986">
        <f>G529</f>
        <v>45717</v>
      </c>
      <c r="H530" s="987">
        <f>H529</f>
        <v>45755</v>
      </c>
      <c r="I530" s="1058" t="s">
        <v>407</v>
      </c>
      <c r="J530" s="784" t="s">
        <v>18</v>
      </c>
      <c r="K530" s="982" t="s">
        <v>64</v>
      </c>
      <c r="L530" s="279" t="s">
        <v>20</v>
      </c>
      <c r="M530" s="1058"/>
      <c r="N530" s="203"/>
      <c r="O530" s="512"/>
      <c r="P530" s="512"/>
      <c r="Q530" s="512"/>
      <c r="R530" s="512"/>
      <c r="S530" s="512"/>
      <c r="T530" s="512"/>
      <c r="U530" s="512"/>
      <c r="V530" s="512"/>
      <c r="W530" s="512"/>
    </row>
    <row r="531" s="178" customFormat="1" ht="15.4" customHeight="1" spans="1:23">
      <c r="A531" s="1047" t="s">
        <v>376</v>
      </c>
      <c r="B531" s="1047" t="s">
        <v>413</v>
      </c>
      <c r="C531" s="789" t="s">
        <v>70</v>
      </c>
      <c r="D531" s="1051">
        <v>50</v>
      </c>
      <c r="E531" s="1066"/>
      <c r="F531" s="986"/>
      <c r="G531" s="986">
        <f>G530</f>
        <v>45717</v>
      </c>
      <c r="H531" s="987">
        <f>H530</f>
        <v>45755</v>
      </c>
      <c r="I531" s="1058" t="s">
        <v>407</v>
      </c>
      <c r="J531" s="784" t="s">
        <v>18</v>
      </c>
      <c r="K531" s="982" t="s">
        <v>64</v>
      </c>
      <c r="L531" s="279" t="s">
        <v>20</v>
      </c>
      <c r="M531" s="1058"/>
      <c r="N531" s="203"/>
      <c r="O531" s="512"/>
      <c r="P531" s="512"/>
      <c r="Q531" s="512"/>
      <c r="R531" s="512"/>
      <c r="S531" s="512"/>
      <c r="T531" s="512"/>
      <c r="U531" s="512"/>
      <c r="V531" s="512"/>
      <c r="W531" s="512"/>
    </row>
    <row r="532" s="178" customFormat="1" ht="15.4" customHeight="1" spans="1:23">
      <c r="A532" s="1047" t="s">
        <v>376</v>
      </c>
      <c r="B532" s="1047" t="s">
        <v>417</v>
      </c>
      <c r="C532" s="789" t="s">
        <v>77</v>
      </c>
      <c r="D532" s="1051">
        <v>48</v>
      </c>
      <c r="E532" s="1052" t="s">
        <v>418</v>
      </c>
      <c r="F532" s="986"/>
      <c r="G532" s="986">
        <f>VLOOKUP(CLEAN(SUBSTITUTE(TRIM(MID(E:E,FIND("/",E:E)+1,LEN(E:E)))," ","")),'Customs Decl. &amp; Local Delivery'!D:I,6,0)</f>
        <v>45717</v>
      </c>
      <c r="H532" s="987">
        <f>VLOOKUP(CLEAN(SUBSTITUTE(TRIM(MID(E:E,FIND("/",E:E)+1,LEN(E:E)))," ","")),'Customs Decl. &amp; Local Delivery'!D:J,7,0)</f>
        <v>45755</v>
      </c>
      <c r="I532" s="1058" t="s">
        <v>407</v>
      </c>
      <c r="J532" s="784" t="s">
        <v>18</v>
      </c>
      <c r="K532" s="982" t="s">
        <v>64</v>
      </c>
      <c r="L532" s="279" t="s">
        <v>20</v>
      </c>
      <c r="M532" s="1058" t="s">
        <v>419</v>
      </c>
      <c r="N532" s="203"/>
      <c r="O532" s="512"/>
      <c r="P532" s="512"/>
      <c r="Q532" s="512"/>
      <c r="R532" s="512"/>
      <c r="S532" s="512"/>
      <c r="T532" s="512"/>
      <c r="U532" s="512"/>
      <c r="V532" s="512"/>
      <c r="W532" s="512"/>
    </row>
    <row r="533" s="178" customFormat="1" ht="15.4" customHeight="1" spans="1:23">
      <c r="A533" s="1047" t="s">
        <v>376</v>
      </c>
      <c r="B533" s="1047" t="s">
        <v>417</v>
      </c>
      <c r="C533" s="789" t="s">
        <v>15</v>
      </c>
      <c r="D533" s="1051">
        <v>12</v>
      </c>
      <c r="E533" s="1066"/>
      <c r="F533" s="986"/>
      <c r="G533" s="986">
        <f>G532</f>
        <v>45717</v>
      </c>
      <c r="H533" s="987">
        <f>H532</f>
        <v>45755</v>
      </c>
      <c r="I533" s="1058" t="s">
        <v>407</v>
      </c>
      <c r="J533" s="784" t="s">
        <v>18</v>
      </c>
      <c r="K533" s="982" t="s">
        <v>64</v>
      </c>
      <c r="L533" s="279" t="s">
        <v>20</v>
      </c>
      <c r="M533" s="1058" t="s">
        <v>416</v>
      </c>
      <c r="N533" s="203"/>
      <c r="O533" s="512"/>
      <c r="P533" s="512"/>
      <c r="Q533" s="512"/>
      <c r="R533" s="512"/>
      <c r="S533" s="512"/>
      <c r="T533" s="512"/>
      <c r="U533" s="512"/>
      <c r="V533" s="512"/>
      <c r="W533" s="512"/>
    </row>
    <row r="534" s="178" customFormat="1" ht="15.4" customHeight="1" spans="1:23">
      <c r="A534" s="1047" t="s">
        <v>376</v>
      </c>
      <c r="B534" s="1047" t="s">
        <v>417</v>
      </c>
      <c r="C534" s="789" t="s">
        <v>24</v>
      </c>
      <c r="D534" s="1051">
        <v>100</v>
      </c>
      <c r="E534" s="1066"/>
      <c r="F534" s="986"/>
      <c r="G534" s="986">
        <f>G533</f>
        <v>45717</v>
      </c>
      <c r="H534" s="987">
        <f>H533</f>
        <v>45755</v>
      </c>
      <c r="I534" s="1058" t="s">
        <v>407</v>
      </c>
      <c r="J534" s="784" t="s">
        <v>18</v>
      </c>
      <c r="K534" s="982" t="s">
        <v>64</v>
      </c>
      <c r="L534" s="279" t="s">
        <v>20</v>
      </c>
      <c r="M534" s="1060" t="s">
        <v>409</v>
      </c>
      <c r="N534" s="203"/>
      <c r="O534" s="512"/>
      <c r="P534" s="512"/>
      <c r="Q534" s="512"/>
      <c r="R534" s="512"/>
      <c r="S534" s="512"/>
      <c r="T534" s="512"/>
      <c r="U534" s="512"/>
      <c r="V534" s="512"/>
      <c r="W534" s="512"/>
    </row>
    <row r="535" s="178" customFormat="1" ht="15.4" customHeight="1" spans="1:23">
      <c r="A535" s="1047" t="s">
        <v>376</v>
      </c>
      <c r="B535" s="1047" t="s">
        <v>417</v>
      </c>
      <c r="C535" s="789" t="s">
        <v>27</v>
      </c>
      <c r="D535" s="1051">
        <v>30</v>
      </c>
      <c r="E535" s="1066"/>
      <c r="F535" s="986"/>
      <c r="G535" s="986">
        <f>G534</f>
        <v>45717</v>
      </c>
      <c r="H535" s="987">
        <f>H534</f>
        <v>45755</v>
      </c>
      <c r="I535" s="1058" t="s">
        <v>407</v>
      </c>
      <c r="J535" s="784" t="s">
        <v>18</v>
      </c>
      <c r="K535" s="982" t="s">
        <v>64</v>
      </c>
      <c r="L535" s="279" t="s">
        <v>20</v>
      </c>
      <c r="M535" s="1058"/>
      <c r="N535" s="203"/>
      <c r="O535" s="512"/>
      <c r="P535" s="512"/>
      <c r="Q535" s="512"/>
      <c r="R535" s="512"/>
      <c r="S535" s="512"/>
      <c r="T535" s="512"/>
      <c r="U535" s="512"/>
      <c r="V535" s="512"/>
      <c r="W535" s="512"/>
    </row>
    <row r="536" s="178" customFormat="1" ht="15.4" customHeight="1" spans="1:23">
      <c r="A536" s="1047" t="s">
        <v>376</v>
      </c>
      <c r="B536" s="1047" t="s">
        <v>417</v>
      </c>
      <c r="C536" s="789" t="s">
        <v>67</v>
      </c>
      <c r="D536" s="1051">
        <v>30</v>
      </c>
      <c r="E536" s="1066"/>
      <c r="F536" s="986"/>
      <c r="G536" s="986">
        <f>G535</f>
        <v>45717</v>
      </c>
      <c r="H536" s="987">
        <f>H535</f>
        <v>45755</v>
      </c>
      <c r="I536" s="1058" t="s">
        <v>407</v>
      </c>
      <c r="J536" s="784" t="s">
        <v>18</v>
      </c>
      <c r="K536" s="982" t="s">
        <v>64</v>
      </c>
      <c r="L536" s="279" t="s">
        <v>20</v>
      </c>
      <c r="M536" s="1058"/>
      <c r="N536" s="203"/>
      <c r="O536" s="512"/>
      <c r="P536" s="512"/>
      <c r="Q536" s="512"/>
      <c r="R536" s="512"/>
      <c r="S536" s="512"/>
      <c r="T536" s="512"/>
      <c r="U536" s="512"/>
      <c r="V536" s="512"/>
      <c r="W536" s="512"/>
    </row>
    <row r="537" s="178" customFormat="1" ht="15.4" customHeight="1" spans="1:23">
      <c r="A537" s="1047" t="s">
        <v>376</v>
      </c>
      <c r="B537" s="1047" t="s">
        <v>417</v>
      </c>
      <c r="C537" s="789" t="s">
        <v>70</v>
      </c>
      <c r="D537" s="1051">
        <v>50</v>
      </c>
      <c r="E537" s="1066"/>
      <c r="F537" s="986"/>
      <c r="G537" s="986">
        <f>G536</f>
        <v>45717</v>
      </c>
      <c r="H537" s="987">
        <f>H536</f>
        <v>45755</v>
      </c>
      <c r="I537" s="1058" t="s">
        <v>407</v>
      </c>
      <c r="J537" s="784" t="s">
        <v>18</v>
      </c>
      <c r="K537" s="982" t="s">
        <v>64</v>
      </c>
      <c r="L537" s="279" t="s">
        <v>20</v>
      </c>
      <c r="M537" s="1058"/>
      <c r="N537" s="203"/>
      <c r="O537" s="512"/>
      <c r="P537" s="512"/>
      <c r="Q537" s="512"/>
      <c r="R537" s="512"/>
      <c r="S537" s="512"/>
      <c r="T537" s="512"/>
      <c r="U537" s="512"/>
      <c r="V537" s="512"/>
      <c r="W537" s="512"/>
    </row>
    <row r="538" s="178" customFormat="1" spans="1:23">
      <c r="A538" s="1047" t="s">
        <v>376</v>
      </c>
      <c r="B538" s="1047" t="s">
        <v>420</v>
      </c>
      <c r="C538" s="1048" t="s">
        <v>77</v>
      </c>
      <c r="D538" s="266">
        <v>48</v>
      </c>
      <c r="E538" s="789" t="s">
        <v>421</v>
      </c>
      <c r="F538" s="986"/>
      <c r="G538" s="986">
        <f>VLOOKUP(CLEAN(SUBSTITUTE(TRIM(MID(E:E,FIND("/",E:E)+1,LEN(E:E)))," ","")),'Customs Decl. &amp; Local Delivery'!D:I,6,0)</f>
        <v>45721</v>
      </c>
      <c r="H538" s="987">
        <f>VLOOKUP(CLEAN(SUBSTITUTE(TRIM(MID(E:E,FIND("/",E:E)+1,LEN(E:E)))," ","")),'Customs Decl. &amp; Local Delivery'!D:J,7,0)</f>
        <v>45736</v>
      </c>
      <c r="I538" s="1058" t="s">
        <v>422</v>
      </c>
      <c r="J538" s="1047" t="s">
        <v>18</v>
      </c>
      <c r="K538" s="1047" t="s">
        <v>147</v>
      </c>
      <c r="L538" s="279" t="s">
        <v>20</v>
      </c>
      <c r="M538" s="1063" t="s">
        <v>423</v>
      </c>
      <c r="N538" s="203"/>
      <c r="O538" s="512"/>
      <c r="P538" s="512"/>
      <c r="Q538" s="512"/>
      <c r="R538" s="512"/>
      <c r="S538" s="512"/>
      <c r="T538" s="512"/>
      <c r="U538" s="512"/>
      <c r="V538" s="512"/>
      <c r="W538" s="512"/>
    </row>
    <row r="539" s="178" customFormat="1" spans="1:23">
      <c r="A539" s="1047" t="s">
        <v>376</v>
      </c>
      <c r="B539" s="1047" t="s">
        <v>420</v>
      </c>
      <c r="C539" s="1048" t="s">
        <v>15</v>
      </c>
      <c r="D539" s="266">
        <v>12</v>
      </c>
      <c r="E539" s="1067"/>
      <c r="F539" s="986"/>
      <c r="G539" s="986">
        <f>G538</f>
        <v>45721</v>
      </c>
      <c r="H539" s="987">
        <f>H538</f>
        <v>45736</v>
      </c>
      <c r="I539" s="1058" t="s">
        <v>422</v>
      </c>
      <c r="J539" s="1047" t="s">
        <v>18</v>
      </c>
      <c r="K539" s="1047" t="s">
        <v>147</v>
      </c>
      <c r="L539" s="279" t="s">
        <v>20</v>
      </c>
      <c r="M539" s="1061"/>
      <c r="N539" s="203"/>
      <c r="O539" s="512"/>
      <c r="P539" s="512"/>
      <c r="Q539" s="512"/>
      <c r="R539" s="512"/>
      <c r="S539" s="512"/>
      <c r="T539" s="512"/>
      <c r="U539" s="512"/>
      <c r="V539" s="512"/>
      <c r="W539" s="512"/>
    </row>
    <row r="540" s="178" customFormat="1" spans="1:23">
      <c r="A540" s="1047" t="s">
        <v>376</v>
      </c>
      <c r="B540" s="1047" t="s">
        <v>420</v>
      </c>
      <c r="C540" s="1048" t="s">
        <v>24</v>
      </c>
      <c r="D540" s="266">
        <v>100</v>
      </c>
      <c r="E540" s="1067"/>
      <c r="F540" s="986"/>
      <c r="G540" s="986">
        <f>G539</f>
        <v>45721</v>
      </c>
      <c r="H540" s="987">
        <f>H539</f>
        <v>45736</v>
      </c>
      <c r="I540" s="1058" t="s">
        <v>422</v>
      </c>
      <c r="J540" s="1047" t="s">
        <v>18</v>
      </c>
      <c r="K540" s="1047" t="s">
        <v>147</v>
      </c>
      <c r="L540" s="279" t="s">
        <v>20</v>
      </c>
      <c r="M540" s="588"/>
      <c r="N540" s="203"/>
      <c r="O540" s="512"/>
      <c r="P540" s="512"/>
      <c r="Q540" s="512"/>
      <c r="R540" s="512"/>
      <c r="S540" s="512"/>
      <c r="T540" s="512"/>
      <c r="U540" s="512"/>
      <c r="V540" s="512"/>
      <c r="W540" s="512"/>
    </row>
    <row r="541" s="178" customFormat="1" spans="1:23">
      <c r="A541" s="1047" t="s">
        <v>376</v>
      </c>
      <c r="B541" s="1047" t="s">
        <v>420</v>
      </c>
      <c r="C541" s="1048" t="s">
        <v>27</v>
      </c>
      <c r="D541" s="266">
        <v>30</v>
      </c>
      <c r="E541" s="1067"/>
      <c r="F541" s="986"/>
      <c r="G541" s="986">
        <f>G540</f>
        <v>45721</v>
      </c>
      <c r="H541" s="987">
        <f>H540</f>
        <v>45736</v>
      </c>
      <c r="I541" s="1058" t="s">
        <v>422</v>
      </c>
      <c r="J541" s="1047" t="s">
        <v>18</v>
      </c>
      <c r="K541" s="1047" t="s">
        <v>147</v>
      </c>
      <c r="L541" s="279" t="s">
        <v>20</v>
      </c>
      <c r="M541" s="1061"/>
      <c r="N541" s="203"/>
      <c r="O541" s="512"/>
      <c r="P541" s="512"/>
      <c r="Q541" s="512"/>
      <c r="R541" s="512"/>
      <c r="S541" s="512"/>
      <c r="T541" s="512"/>
      <c r="U541" s="512"/>
      <c r="V541" s="512"/>
      <c r="W541" s="512"/>
    </row>
    <row r="542" s="178" customFormat="1" spans="1:23">
      <c r="A542" s="1047" t="s">
        <v>376</v>
      </c>
      <c r="B542" s="1047" t="s">
        <v>420</v>
      </c>
      <c r="C542" s="1048" t="s">
        <v>67</v>
      </c>
      <c r="D542" s="266">
        <v>30</v>
      </c>
      <c r="E542" s="1067"/>
      <c r="F542" s="986"/>
      <c r="G542" s="986">
        <f>G541</f>
        <v>45721</v>
      </c>
      <c r="H542" s="987">
        <f>H541</f>
        <v>45736</v>
      </c>
      <c r="I542" s="1058" t="s">
        <v>422</v>
      </c>
      <c r="J542" s="1047" t="s">
        <v>18</v>
      </c>
      <c r="K542" s="1047" t="s">
        <v>147</v>
      </c>
      <c r="L542" s="279" t="s">
        <v>20</v>
      </c>
      <c r="M542" s="1061"/>
      <c r="N542" s="203"/>
      <c r="O542" s="512"/>
      <c r="P542" s="512"/>
      <c r="Q542" s="512"/>
      <c r="R542" s="512"/>
      <c r="S542" s="512"/>
      <c r="T542" s="512"/>
      <c r="U542" s="512"/>
      <c r="V542" s="512"/>
      <c r="W542" s="512"/>
    </row>
    <row r="543" s="178" customFormat="1" spans="1:23">
      <c r="A543" s="1047" t="s">
        <v>376</v>
      </c>
      <c r="B543" s="1047" t="s">
        <v>420</v>
      </c>
      <c r="C543" s="1048" t="s">
        <v>70</v>
      </c>
      <c r="D543" s="266">
        <v>50</v>
      </c>
      <c r="E543" s="1067"/>
      <c r="F543" s="986"/>
      <c r="G543" s="986">
        <f>G542</f>
        <v>45721</v>
      </c>
      <c r="H543" s="987">
        <f>H542</f>
        <v>45736</v>
      </c>
      <c r="I543" s="1058" t="s">
        <v>422</v>
      </c>
      <c r="J543" s="1047" t="s">
        <v>18</v>
      </c>
      <c r="K543" s="1047" t="s">
        <v>147</v>
      </c>
      <c r="L543" s="279" t="s">
        <v>20</v>
      </c>
      <c r="M543" s="1061"/>
      <c r="N543" s="203"/>
      <c r="O543" s="512"/>
      <c r="P543" s="512"/>
      <c r="Q543" s="512"/>
      <c r="R543" s="512"/>
      <c r="S543" s="512"/>
      <c r="T543" s="512"/>
      <c r="U543" s="512"/>
      <c r="V543" s="512"/>
      <c r="W543" s="512"/>
    </row>
    <row r="544" s="178" customFormat="1" spans="1:23">
      <c r="A544" s="1047" t="s">
        <v>376</v>
      </c>
      <c r="B544" s="1047" t="s">
        <v>424</v>
      </c>
      <c r="C544" s="1048" t="s">
        <v>77</v>
      </c>
      <c r="D544" s="266">
        <v>48</v>
      </c>
      <c r="E544" s="789" t="s">
        <v>425</v>
      </c>
      <c r="F544" s="986"/>
      <c r="G544" s="986">
        <f>VLOOKUP(CLEAN(SUBSTITUTE(TRIM(MID(E:E,FIND("/",E:E)+1,LEN(E:E)))," ","")),'Customs Decl. &amp; Local Delivery'!D:I,6,0)</f>
        <v>45721</v>
      </c>
      <c r="H544" s="987">
        <f>VLOOKUP(CLEAN(SUBSTITUTE(TRIM(MID(E:E,FIND("/",E:E)+1,LEN(E:E)))," ","")),'Customs Decl. &amp; Local Delivery'!D:J,7,0)</f>
        <v>45736</v>
      </c>
      <c r="I544" s="1058" t="s">
        <v>426</v>
      </c>
      <c r="J544" s="1047" t="s">
        <v>18</v>
      </c>
      <c r="K544" s="1047" t="s">
        <v>147</v>
      </c>
      <c r="L544" s="279" t="s">
        <v>20</v>
      </c>
      <c r="M544" s="1060" t="s">
        <v>382</v>
      </c>
      <c r="N544" s="203"/>
      <c r="O544" s="512"/>
      <c r="P544" s="512"/>
      <c r="Q544" s="512"/>
      <c r="R544" s="512"/>
      <c r="S544" s="512"/>
      <c r="T544" s="512"/>
      <c r="U544" s="512"/>
      <c r="V544" s="512"/>
      <c r="W544" s="512"/>
    </row>
    <row r="545" s="178" customFormat="1" spans="1:23">
      <c r="A545" s="1047" t="s">
        <v>376</v>
      </c>
      <c r="B545" s="1047" t="s">
        <v>424</v>
      </c>
      <c r="C545" s="1048" t="s">
        <v>15</v>
      </c>
      <c r="D545" s="266">
        <v>12</v>
      </c>
      <c r="E545" s="1067"/>
      <c r="F545" s="986"/>
      <c r="G545" s="986">
        <f>G544</f>
        <v>45721</v>
      </c>
      <c r="H545" s="987">
        <f>H544</f>
        <v>45736</v>
      </c>
      <c r="I545" s="1058" t="s">
        <v>426</v>
      </c>
      <c r="J545" s="1047" t="s">
        <v>18</v>
      </c>
      <c r="K545" s="1047" t="s">
        <v>147</v>
      </c>
      <c r="L545" s="279" t="s">
        <v>20</v>
      </c>
      <c r="M545" s="1063" t="s">
        <v>423</v>
      </c>
      <c r="N545" s="203"/>
      <c r="O545" s="512"/>
      <c r="P545" s="512"/>
      <c r="Q545" s="512"/>
      <c r="R545" s="512"/>
      <c r="S545" s="512"/>
      <c r="T545" s="512"/>
      <c r="U545" s="512"/>
      <c r="V545" s="512"/>
      <c r="W545" s="512"/>
    </row>
    <row r="546" s="178" customFormat="1" spans="1:23">
      <c r="A546" s="1047" t="s">
        <v>376</v>
      </c>
      <c r="B546" s="1047" t="s">
        <v>424</v>
      </c>
      <c r="C546" s="1048" t="s">
        <v>24</v>
      </c>
      <c r="D546" s="266">
        <v>100</v>
      </c>
      <c r="E546" s="1067"/>
      <c r="F546" s="986"/>
      <c r="G546" s="986">
        <f>G545</f>
        <v>45721</v>
      </c>
      <c r="H546" s="987">
        <f>H545</f>
        <v>45736</v>
      </c>
      <c r="I546" s="1058" t="s">
        <v>426</v>
      </c>
      <c r="J546" s="1047" t="s">
        <v>18</v>
      </c>
      <c r="K546" s="1047" t="s">
        <v>147</v>
      </c>
      <c r="L546" s="279" t="s">
        <v>20</v>
      </c>
      <c r="M546" s="1058"/>
      <c r="N546" s="203"/>
      <c r="O546" s="512"/>
      <c r="P546" s="512"/>
      <c r="Q546" s="512"/>
      <c r="R546" s="512"/>
      <c r="S546" s="512"/>
      <c r="T546" s="512"/>
      <c r="U546" s="512"/>
      <c r="V546" s="512"/>
      <c r="W546" s="512"/>
    </row>
    <row r="547" s="178" customFormat="1" spans="1:23">
      <c r="A547" s="1047" t="s">
        <v>376</v>
      </c>
      <c r="B547" s="1047" t="s">
        <v>424</v>
      </c>
      <c r="C547" s="1048" t="s">
        <v>27</v>
      </c>
      <c r="D547" s="266">
        <v>30</v>
      </c>
      <c r="E547" s="1067"/>
      <c r="F547" s="986"/>
      <c r="G547" s="986">
        <f>G546</f>
        <v>45721</v>
      </c>
      <c r="H547" s="987">
        <f>H546</f>
        <v>45736</v>
      </c>
      <c r="I547" s="1058" t="s">
        <v>426</v>
      </c>
      <c r="J547" s="1047" t="s">
        <v>18</v>
      </c>
      <c r="K547" s="1047" t="s">
        <v>147</v>
      </c>
      <c r="L547" s="279" t="s">
        <v>20</v>
      </c>
      <c r="M547" s="1058"/>
      <c r="N547" s="203"/>
      <c r="O547" s="512"/>
      <c r="P547" s="512"/>
      <c r="Q547" s="512"/>
      <c r="R547" s="512"/>
      <c r="S547" s="512"/>
      <c r="T547" s="512"/>
      <c r="U547" s="512"/>
      <c r="V547" s="512"/>
      <c r="W547" s="512"/>
    </row>
    <row r="548" s="178" customFormat="1" spans="1:23">
      <c r="A548" s="1047" t="s">
        <v>376</v>
      </c>
      <c r="B548" s="1047" t="s">
        <v>424</v>
      </c>
      <c r="C548" s="1048" t="s">
        <v>67</v>
      </c>
      <c r="D548" s="266">
        <v>30</v>
      </c>
      <c r="E548" s="1067"/>
      <c r="F548" s="986"/>
      <c r="G548" s="986">
        <f>G547</f>
        <v>45721</v>
      </c>
      <c r="H548" s="987">
        <f>H547</f>
        <v>45736</v>
      </c>
      <c r="I548" s="1058" t="s">
        <v>426</v>
      </c>
      <c r="J548" s="1047" t="s">
        <v>18</v>
      </c>
      <c r="K548" s="1047" t="s">
        <v>147</v>
      </c>
      <c r="L548" s="279" t="s">
        <v>20</v>
      </c>
      <c r="M548" s="1058"/>
      <c r="N548" s="203"/>
      <c r="O548" s="512"/>
      <c r="P548" s="512"/>
      <c r="Q548" s="512"/>
      <c r="R548" s="512"/>
      <c r="S548" s="512"/>
      <c r="T548" s="512"/>
      <c r="U548" s="512"/>
      <c r="V548" s="512"/>
      <c r="W548" s="512"/>
    </row>
    <row r="549" s="178" customFormat="1" spans="1:23">
      <c r="A549" s="1068" t="s">
        <v>376</v>
      </c>
      <c r="B549" s="1068" t="s">
        <v>424</v>
      </c>
      <c r="C549" s="1048" t="s">
        <v>70</v>
      </c>
      <c r="D549" s="266">
        <v>50</v>
      </c>
      <c r="E549" s="1067"/>
      <c r="F549" s="986"/>
      <c r="G549" s="986">
        <f>G548</f>
        <v>45721</v>
      </c>
      <c r="H549" s="987">
        <f>H548</f>
        <v>45736</v>
      </c>
      <c r="I549" s="1058" t="s">
        <v>426</v>
      </c>
      <c r="J549" s="1068" t="s">
        <v>18</v>
      </c>
      <c r="K549" s="1068" t="s">
        <v>147</v>
      </c>
      <c r="L549" s="279" t="s">
        <v>20</v>
      </c>
      <c r="M549" s="1058"/>
      <c r="N549" s="203"/>
      <c r="O549" s="512"/>
      <c r="P549" s="512"/>
      <c r="Q549" s="512"/>
      <c r="R549" s="512"/>
      <c r="S549" s="512"/>
      <c r="T549" s="512"/>
      <c r="U549" s="512"/>
      <c r="V549" s="512"/>
      <c r="W549" s="512"/>
    </row>
    <row r="550" s="178" customFormat="1" spans="1:23">
      <c r="A550" s="1047" t="s">
        <v>376</v>
      </c>
      <c r="B550" s="1047" t="s">
        <v>427</v>
      </c>
      <c r="C550" s="1048" t="s">
        <v>77</v>
      </c>
      <c r="D550" s="266">
        <v>48</v>
      </c>
      <c r="E550" s="789" t="s">
        <v>428</v>
      </c>
      <c r="F550" s="986"/>
      <c r="G550" s="986">
        <f>VLOOKUP(CLEAN(SUBSTITUTE(TRIM(MID(E:E,FIND("/",E:E)+1,LEN(E:E)))," ","")),'Customs Decl. &amp; Local Delivery'!D:I,6,0)</f>
        <v>45721</v>
      </c>
      <c r="H550" s="987">
        <f>VLOOKUP(CLEAN(SUBSTITUTE(TRIM(MID(E:E,FIND("/",E:E)+1,LEN(E:E)))," ","")),'Customs Decl. &amp; Local Delivery'!D:J,7,0)</f>
        <v>45736</v>
      </c>
      <c r="I550" s="1058" t="s">
        <v>429</v>
      </c>
      <c r="J550" s="1047" t="s">
        <v>18</v>
      </c>
      <c r="K550" s="1047" t="s">
        <v>147</v>
      </c>
      <c r="L550" s="279" t="s">
        <v>20</v>
      </c>
      <c r="M550" s="1063" t="s">
        <v>382</v>
      </c>
      <c r="N550" s="203"/>
      <c r="O550" s="512"/>
      <c r="P550" s="512"/>
      <c r="Q550" s="512"/>
      <c r="R550" s="512"/>
      <c r="S550" s="512"/>
      <c r="T550" s="512"/>
      <c r="U550" s="512"/>
      <c r="V550" s="512"/>
      <c r="W550" s="512"/>
    </row>
    <row r="551" s="178" customFormat="1" spans="1:23">
      <c r="A551" s="1047" t="s">
        <v>376</v>
      </c>
      <c r="B551" s="1047" t="s">
        <v>427</v>
      </c>
      <c r="C551" s="1048" t="s">
        <v>15</v>
      </c>
      <c r="D551" s="266">
        <v>12</v>
      </c>
      <c r="E551" s="1067"/>
      <c r="F551" s="986"/>
      <c r="G551" s="986">
        <f>G550</f>
        <v>45721</v>
      </c>
      <c r="H551" s="987">
        <f>H550</f>
        <v>45736</v>
      </c>
      <c r="I551" s="1058" t="s">
        <v>429</v>
      </c>
      <c r="J551" s="1047" t="s">
        <v>18</v>
      </c>
      <c r="K551" s="1047" t="s">
        <v>147</v>
      </c>
      <c r="L551" s="279" t="s">
        <v>20</v>
      </c>
      <c r="M551" s="1063" t="s">
        <v>423</v>
      </c>
      <c r="N551" s="203"/>
      <c r="O551" s="512"/>
      <c r="P551" s="512"/>
      <c r="Q551" s="512"/>
      <c r="R551" s="512"/>
      <c r="S551" s="512"/>
      <c r="T551" s="512"/>
      <c r="U551" s="512"/>
      <c r="V551" s="512"/>
      <c r="W551" s="512"/>
    </row>
    <row r="552" s="178" customFormat="1" spans="1:23">
      <c r="A552" s="1047" t="s">
        <v>376</v>
      </c>
      <c r="B552" s="1047" t="s">
        <v>427</v>
      </c>
      <c r="C552" s="1048" t="s">
        <v>24</v>
      </c>
      <c r="D552" s="266">
        <v>100</v>
      </c>
      <c r="E552" s="1067"/>
      <c r="F552" s="986"/>
      <c r="G552" s="986">
        <f>G551</f>
        <v>45721</v>
      </c>
      <c r="H552" s="987">
        <f>H551</f>
        <v>45736</v>
      </c>
      <c r="I552" s="1058" t="s">
        <v>429</v>
      </c>
      <c r="J552" s="1047" t="s">
        <v>18</v>
      </c>
      <c r="K552" s="1047" t="s">
        <v>147</v>
      </c>
      <c r="L552" s="279" t="s">
        <v>20</v>
      </c>
      <c r="M552" s="1058"/>
      <c r="N552" s="203"/>
      <c r="O552" s="512"/>
      <c r="P552" s="512"/>
      <c r="Q552" s="512"/>
      <c r="R552" s="512"/>
      <c r="S552" s="512"/>
      <c r="T552" s="512"/>
      <c r="U552" s="512"/>
      <c r="V552" s="512"/>
      <c r="W552" s="512"/>
    </row>
    <row r="553" s="178" customFormat="1" spans="1:23">
      <c r="A553" s="1047" t="s">
        <v>376</v>
      </c>
      <c r="B553" s="1047" t="s">
        <v>427</v>
      </c>
      <c r="C553" s="1048" t="s">
        <v>27</v>
      </c>
      <c r="D553" s="266">
        <v>30</v>
      </c>
      <c r="E553" s="1067"/>
      <c r="F553" s="986"/>
      <c r="G553" s="986">
        <f>G552</f>
        <v>45721</v>
      </c>
      <c r="H553" s="987">
        <f>H552</f>
        <v>45736</v>
      </c>
      <c r="I553" s="1058" t="s">
        <v>429</v>
      </c>
      <c r="J553" s="1047" t="s">
        <v>18</v>
      </c>
      <c r="K553" s="1047" t="s">
        <v>147</v>
      </c>
      <c r="L553" s="279" t="s">
        <v>20</v>
      </c>
      <c r="M553" s="1058"/>
      <c r="N553" s="203"/>
      <c r="O553" s="512"/>
      <c r="P553" s="512"/>
      <c r="Q553" s="512"/>
      <c r="R553" s="512"/>
      <c r="S553" s="512"/>
      <c r="T553" s="512"/>
      <c r="U553" s="512"/>
      <c r="V553" s="512"/>
      <c r="W553" s="512"/>
    </row>
    <row r="554" s="178" customFormat="1" spans="1:23">
      <c r="A554" s="1047" t="s">
        <v>376</v>
      </c>
      <c r="B554" s="1047" t="s">
        <v>427</v>
      </c>
      <c r="C554" s="1048" t="s">
        <v>67</v>
      </c>
      <c r="D554" s="266">
        <v>30</v>
      </c>
      <c r="E554" s="1067"/>
      <c r="F554" s="986"/>
      <c r="G554" s="986">
        <f>G553</f>
        <v>45721</v>
      </c>
      <c r="H554" s="987">
        <f>H553</f>
        <v>45736</v>
      </c>
      <c r="I554" s="1058" t="s">
        <v>429</v>
      </c>
      <c r="J554" s="1047" t="s">
        <v>18</v>
      </c>
      <c r="K554" s="1047" t="s">
        <v>147</v>
      </c>
      <c r="L554" s="279" t="s">
        <v>20</v>
      </c>
      <c r="M554" s="1058"/>
      <c r="N554" s="203"/>
      <c r="O554" s="512"/>
      <c r="P554" s="512"/>
      <c r="Q554" s="512"/>
      <c r="R554" s="512"/>
      <c r="S554" s="512"/>
      <c r="T554" s="512"/>
      <c r="U554" s="512"/>
      <c r="V554" s="512"/>
      <c r="W554" s="512"/>
    </row>
    <row r="555" s="178" customFormat="1" spans="1:23">
      <c r="A555" s="1047" t="s">
        <v>376</v>
      </c>
      <c r="B555" s="1047" t="s">
        <v>427</v>
      </c>
      <c r="C555" s="1048" t="s">
        <v>70</v>
      </c>
      <c r="D555" s="266">
        <v>50</v>
      </c>
      <c r="E555" s="1067"/>
      <c r="F555" s="986"/>
      <c r="G555" s="986">
        <f>G554</f>
        <v>45721</v>
      </c>
      <c r="H555" s="987">
        <f>H554</f>
        <v>45736</v>
      </c>
      <c r="I555" s="1058" t="s">
        <v>429</v>
      </c>
      <c r="J555" s="1047" t="s">
        <v>18</v>
      </c>
      <c r="K555" s="1047" t="s">
        <v>147</v>
      </c>
      <c r="L555" s="279" t="s">
        <v>20</v>
      </c>
      <c r="M555" s="1058"/>
      <c r="N555" s="203"/>
      <c r="O555" s="512"/>
      <c r="P555" s="512"/>
      <c r="Q555" s="512"/>
      <c r="R555" s="512"/>
      <c r="S555" s="512"/>
      <c r="T555" s="512"/>
      <c r="U555" s="512"/>
      <c r="V555" s="512"/>
      <c r="W555" s="512"/>
    </row>
    <row r="556" s="178" customFormat="1" spans="1:23">
      <c r="A556" s="1058" t="s">
        <v>376</v>
      </c>
      <c r="B556" s="1047" t="s">
        <v>430</v>
      </c>
      <c r="C556" s="1048" t="s">
        <v>77</v>
      </c>
      <c r="D556" s="266">
        <v>48</v>
      </c>
      <c r="E556" s="789" t="s">
        <v>431</v>
      </c>
      <c r="F556" s="986"/>
      <c r="G556" s="986">
        <f>VLOOKUP(CLEAN(SUBSTITUTE(TRIM(MID(E:E,FIND("/",E:E)+1,LEN(E:E)))," ","")),'Customs Decl. &amp; Local Delivery'!D:I,6,0)</f>
        <v>45721</v>
      </c>
      <c r="H556" s="987">
        <f>VLOOKUP(CLEAN(SUBSTITUTE(TRIM(MID(E:E,FIND("/",E:E)+1,LEN(E:E)))," ","")),'Customs Decl. &amp; Local Delivery'!D:J,7,0)</f>
        <v>45736</v>
      </c>
      <c r="I556" s="1058" t="s">
        <v>432</v>
      </c>
      <c r="J556" s="1047" t="s">
        <v>18</v>
      </c>
      <c r="K556" s="1047" t="s">
        <v>147</v>
      </c>
      <c r="L556" s="279" t="s">
        <v>20</v>
      </c>
      <c r="M556" s="1063" t="s">
        <v>382</v>
      </c>
      <c r="N556" s="203"/>
      <c r="O556" s="512"/>
      <c r="P556" s="512"/>
      <c r="Q556" s="512"/>
      <c r="R556" s="512"/>
      <c r="S556" s="512"/>
      <c r="T556" s="512"/>
      <c r="U556" s="512"/>
      <c r="V556" s="512"/>
      <c r="W556" s="512"/>
    </row>
    <row r="557" s="178" customFormat="1" spans="1:23">
      <c r="A557" s="1058" t="s">
        <v>376</v>
      </c>
      <c r="B557" s="1047" t="s">
        <v>430</v>
      </c>
      <c r="C557" s="1048" t="s">
        <v>15</v>
      </c>
      <c r="D557" s="266">
        <v>12</v>
      </c>
      <c r="E557" s="1067"/>
      <c r="F557" s="986"/>
      <c r="G557" s="986">
        <f>G556</f>
        <v>45721</v>
      </c>
      <c r="H557" s="987">
        <f>H556</f>
        <v>45736</v>
      </c>
      <c r="I557" s="1058" t="s">
        <v>432</v>
      </c>
      <c r="J557" s="1047" t="s">
        <v>18</v>
      </c>
      <c r="K557" s="1047" t="s">
        <v>147</v>
      </c>
      <c r="L557" s="279" t="s">
        <v>20</v>
      </c>
      <c r="M557" s="1063" t="s">
        <v>423</v>
      </c>
      <c r="N557" s="203"/>
      <c r="O557" s="512"/>
      <c r="P557" s="512"/>
      <c r="Q557" s="512"/>
      <c r="R557" s="512"/>
      <c r="S557" s="512"/>
      <c r="T557" s="512"/>
      <c r="U557" s="512"/>
      <c r="V557" s="512"/>
      <c r="W557" s="512"/>
    </row>
    <row r="558" s="178" customFormat="1" spans="1:23">
      <c r="A558" s="1058" t="s">
        <v>376</v>
      </c>
      <c r="B558" s="1047" t="s">
        <v>430</v>
      </c>
      <c r="C558" s="1048" t="s">
        <v>24</v>
      </c>
      <c r="D558" s="266">
        <v>100</v>
      </c>
      <c r="E558" s="1067"/>
      <c r="F558" s="986"/>
      <c r="G558" s="986">
        <f>G557</f>
        <v>45721</v>
      </c>
      <c r="H558" s="987">
        <f>H557</f>
        <v>45736</v>
      </c>
      <c r="I558" s="1058" t="s">
        <v>432</v>
      </c>
      <c r="J558" s="1047" t="s">
        <v>18</v>
      </c>
      <c r="K558" s="1047" t="s">
        <v>147</v>
      </c>
      <c r="L558" s="279" t="s">
        <v>20</v>
      </c>
      <c r="M558" s="1058"/>
      <c r="N558" s="203"/>
      <c r="O558" s="512"/>
      <c r="P558" s="512"/>
      <c r="Q558" s="512"/>
      <c r="R558" s="512"/>
      <c r="S558" s="512"/>
      <c r="T558" s="512"/>
      <c r="U558" s="512"/>
      <c r="V558" s="512"/>
      <c r="W558" s="512"/>
    </row>
    <row r="559" s="178" customFormat="1" spans="1:23">
      <c r="A559" s="1058" t="s">
        <v>376</v>
      </c>
      <c r="B559" s="1047" t="s">
        <v>430</v>
      </c>
      <c r="C559" s="1048" t="s">
        <v>27</v>
      </c>
      <c r="D559" s="266">
        <v>30</v>
      </c>
      <c r="E559" s="1067"/>
      <c r="F559" s="986"/>
      <c r="G559" s="986">
        <f>G558</f>
        <v>45721</v>
      </c>
      <c r="H559" s="987">
        <f>H558</f>
        <v>45736</v>
      </c>
      <c r="I559" s="1058" t="s">
        <v>432</v>
      </c>
      <c r="J559" s="1047" t="s">
        <v>18</v>
      </c>
      <c r="K559" s="1047" t="s">
        <v>147</v>
      </c>
      <c r="L559" s="279" t="s">
        <v>20</v>
      </c>
      <c r="M559" s="1058"/>
      <c r="N559" s="203"/>
      <c r="O559" s="512"/>
      <c r="P559" s="512"/>
      <c r="Q559" s="512"/>
      <c r="R559" s="512"/>
      <c r="S559" s="512"/>
      <c r="T559" s="512"/>
      <c r="U559" s="512"/>
      <c r="V559" s="512"/>
      <c r="W559" s="512"/>
    </row>
    <row r="560" s="178" customFormat="1" spans="1:23">
      <c r="A560" s="1058" t="s">
        <v>376</v>
      </c>
      <c r="B560" s="1047" t="s">
        <v>430</v>
      </c>
      <c r="C560" s="1048" t="s">
        <v>67</v>
      </c>
      <c r="D560" s="266">
        <v>30</v>
      </c>
      <c r="E560" s="1067"/>
      <c r="F560" s="986"/>
      <c r="G560" s="986">
        <f>G559</f>
        <v>45721</v>
      </c>
      <c r="H560" s="987">
        <f>H559</f>
        <v>45736</v>
      </c>
      <c r="I560" s="1058" t="s">
        <v>432</v>
      </c>
      <c r="J560" s="1047" t="s">
        <v>18</v>
      </c>
      <c r="K560" s="1047" t="s">
        <v>147</v>
      </c>
      <c r="L560" s="279" t="s">
        <v>20</v>
      </c>
      <c r="M560" s="1058"/>
      <c r="N560" s="203"/>
      <c r="O560" s="512"/>
      <c r="P560" s="512"/>
      <c r="Q560" s="512"/>
      <c r="R560" s="512"/>
      <c r="S560" s="512"/>
      <c r="T560" s="512"/>
      <c r="U560" s="512"/>
      <c r="V560" s="512"/>
      <c r="W560" s="512"/>
    </row>
    <row r="561" s="178" customFormat="1" spans="1:23">
      <c r="A561" s="1058" t="s">
        <v>376</v>
      </c>
      <c r="B561" s="1047" t="s">
        <v>430</v>
      </c>
      <c r="C561" s="1048" t="s">
        <v>70</v>
      </c>
      <c r="D561" s="266">
        <v>50</v>
      </c>
      <c r="E561" s="1067"/>
      <c r="F561" s="986"/>
      <c r="G561" s="986">
        <f>G560</f>
        <v>45721</v>
      </c>
      <c r="H561" s="987">
        <f>H560</f>
        <v>45736</v>
      </c>
      <c r="I561" s="1058" t="s">
        <v>432</v>
      </c>
      <c r="J561" s="1047" t="s">
        <v>18</v>
      </c>
      <c r="K561" s="1047" t="s">
        <v>147</v>
      </c>
      <c r="L561" s="279" t="s">
        <v>20</v>
      </c>
      <c r="M561" s="1058"/>
      <c r="N561" s="203"/>
      <c r="O561" s="512"/>
      <c r="P561" s="512"/>
      <c r="Q561" s="512"/>
      <c r="R561" s="512"/>
      <c r="S561" s="512"/>
      <c r="T561" s="512"/>
      <c r="U561" s="512"/>
      <c r="V561" s="512"/>
      <c r="W561" s="512"/>
    </row>
    <row r="562" s="178" customFormat="1" spans="1:23">
      <c r="A562" s="1047" t="s">
        <v>376</v>
      </c>
      <c r="B562" s="1047" t="s">
        <v>433</v>
      </c>
      <c r="C562" s="1048" t="s">
        <v>77</v>
      </c>
      <c r="D562" s="266">
        <v>48</v>
      </c>
      <c r="E562" s="1049" t="s">
        <v>434</v>
      </c>
      <c r="F562" s="986"/>
      <c r="G562" s="986">
        <f>VLOOKUP(CLEAN(SUBSTITUTE(TRIM(MID(E:E,FIND("/",E:E)+1,LEN(E:E)))," ","")),'Customs Decl. &amp; Local Delivery'!D:I,6,0)</f>
        <v>45721</v>
      </c>
      <c r="H562" s="987">
        <f>VLOOKUP(CLEAN(SUBSTITUTE(TRIM(MID(E:E,FIND("/",E:E)+1,LEN(E:E)))," ","")),'Customs Decl. &amp; Local Delivery'!D:J,7,0)</f>
        <v>45737</v>
      </c>
      <c r="I562" s="1058" t="s">
        <v>435</v>
      </c>
      <c r="J562" s="784" t="s">
        <v>18</v>
      </c>
      <c r="K562" s="784" t="s">
        <v>147</v>
      </c>
      <c r="L562" s="279" t="s">
        <v>20</v>
      </c>
      <c r="M562" s="1059" t="s">
        <v>436</v>
      </c>
      <c r="N562" s="203"/>
      <c r="O562" s="512"/>
      <c r="P562" s="512"/>
      <c r="Q562" s="512"/>
      <c r="R562" s="512"/>
      <c r="S562" s="512"/>
      <c r="T562" s="512"/>
      <c r="U562" s="512"/>
      <c r="V562" s="512"/>
      <c r="W562" s="512"/>
    </row>
    <row r="563" s="178" customFormat="1" spans="1:23">
      <c r="A563" s="1047" t="s">
        <v>376</v>
      </c>
      <c r="B563" s="1047" t="s">
        <v>433</v>
      </c>
      <c r="C563" s="1048" t="s">
        <v>15</v>
      </c>
      <c r="D563" s="266">
        <v>12</v>
      </c>
      <c r="E563" s="1069"/>
      <c r="F563" s="986"/>
      <c r="G563" s="986">
        <f>G562</f>
        <v>45721</v>
      </c>
      <c r="H563" s="987">
        <f>H562</f>
        <v>45737</v>
      </c>
      <c r="I563" s="1058" t="s">
        <v>435</v>
      </c>
      <c r="J563" s="784" t="s">
        <v>18</v>
      </c>
      <c r="K563" s="784" t="s">
        <v>147</v>
      </c>
      <c r="L563" s="279" t="s">
        <v>20</v>
      </c>
      <c r="M563" s="1060" t="s">
        <v>437</v>
      </c>
      <c r="N563" s="203"/>
      <c r="O563" s="512"/>
      <c r="P563" s="512"/>
      <c r="Q563" s="512"/>
      <c r="R563" s="512"/>
      <c r="S563" s="512"/>
      <c r="T563" s="512"/>
      <c r="U563" s="512"/>
      <c r="V563" s="512"/>
      <c r="W563" s="512"/>
    </row>
    <row r="564" s="178" customFormat="1" spans="1:23">
      <c r="A564" s="1047" t="s">
        <v>376</v>
      </c>
      <c r="B564" s="1047" t="s">
        <v>433</v>
      </c>
      <c r="C564" s="1048" t="s">
        <v>24</v>
      </c>
      <c r="D564" s="266">
        <v>100</v>
      </c>
      <c r="E564" s="1069"/>
      <c r="F564" s="986"/>
      <c r="G564" s="986">
        <f>G563</f>
        <v>45721</v>
      </c>
      <c r="H564" s="987">
        <f>H563</f>
        <v>45737</v>
      </c>
      <c r="I564" s="1058" t="s">
        <v>435</v>
      </c>
      <c r="J564" s="784" t="s">
        <v>18</v>
      </c>
      <c r="K564" s="784" t="s">
        <v>147</v>
      </c>
      <c r="L564" s="279" t="s">
        <v>20</v>
      </c>
      <c r="M564" s="1061"/>
      <c r="N564" s="203"/>
      <c r="O564" s="512"/>
      <c r="P564" s="512"/>
      <c r="Q564" s="512"/>
      <c r="R564" s="512"/>
      <c r="S564" s="512"/>
      <c r="T564" s="512"/>
      <c r="U564" s="512"/>
      <c r="V564" s="512"/>
      <c r="W564" s="512"/>
    </row>
    <row r="565" s="178" customFormat="1" spans="1:23">
      <c r="A565" s="1047" t="s">
        <v>376</v>
      </c>
      <c r="B565" s="1047" t="s">
        <v>433</v>
      </c>
      <c r="C565" s="1048" t="s">
        <v>27</v>
      </c>
      <c r="D565" s="266">
        <v>30</v>
      </c>
      <c r="E565" s="1069"/>
      <c r="F565" s="986"/>
      <c r="G565" s="986">
        <f>G564</f>
        <v>45721</v>
      </c>
      <c r="H565" s="987">
        <f>H564</f>
        <v>45737</v>
      </c>
      <c r="I565" s="1058" t="s">
        <v>435</v>
      </c>
      <c r="J565" s="784" t="s">
        <v>18</v>
      </c>
      <c r="K565" s="784" t="s">
        <v>147</v>
      </c>
      <c r="L565" s="279" t="s">
        <v>20</v>
      </c>
      <c r="M565" s="1061"/>
      <c r="N565" s="203"/>
      <c r="O565" s="512"/>
      <c r="P565" s="512"/>
      <c r="Q565" s="512"/>
      <c r="R565" s="512"/>
      <c r="S565" s="512"/>
      <c r="T565" s="512"/>
      <c r="U565" s="512"/>
      <c r="V565" s="512"/>
      <c r="W565" s="512"/>
    </row>
    <row r="566" s="178" customFormat="1" spans="1:23">
      <c r="A566" s="1047" t="s">
        <v>376</v>
      </c>
      <c r="B566" s="1047" t="s">
        <v>433</v>
      </c>
      <c r="C566" s="1048" t="s">
        <v>67</v>
      </c>
      <c r="D566" s="266">
        <v>30</v>
      </c>
      <c r="E566" s="1069"/>
      <c r="F566" s="986"/>
      <c r="G566" s="986">
        <f>G565</f>
        <v>45721</v>
      </c>
      <c r="H566" s="987">
        <f>H565</f>
        <v>45737</v>
      </c>
      <c r="I566" s="1058" t="s">
        <v>435</v>
      </c>
      <c r="J566" s="784" t="s">
        <v>18</v>
      </c>
      <c r="K566" s="784" t="s">
        <v>147</v>
      </c>
      <c r="L566" s="279" t="s">
        <v>20</v>
      </c>
      <c r="M566" s="1061"/>
      <c r="N566" s="203"/>
      <c r="O566" s="512"/>
      <c r="P566" s="512"/>
      <c r="Q566" s="512"/>
      <c r="R566" s="512"/>
      <c r="S566" s="512"/>
      <c r="T566" s="512"/>
      <c r="U566" s="512"/>
      <c r="V566" s="512"/>
      <c r="W566" s="512"/>
    </row>
    <row r="567" s="178" customFormat="1" spans="1:23">
      <c r="A567" s="1047" t="s">
        <v>376</v>
      </c>
      <c r="B567" s="1047" t="s">
        <v>433</v>
      </c>
      <c r="C567" s="1048" t="s">
        <v>70</v>
      </c>
      <c r="D567" s="266">
        <v>50</v>
      </c>
      <c r="E567" s="1069"/>
      <c r="F567" s="986"/>
      <c r="G567" s="986">
        <f>G566</f>
        <v>45721</v>
      </c>
      <c r="H567" s="987">
        <f>H566</f>
        <v>45737</v>
      </c>
      <c r="I567" s="1058" t="s">
        <v>435</v>
      </c>
      <c r="J567" s="784" t="s">
        <v>18</v>
      </c>
      <c r="K567" s="784" t="s">
        <v>147</v>
      </c>
      <c r="L567" s="279" t="s">
        <v>20</v>
      </c>
      <c r="M567" s="1061"/>
      <c r="N567" s="203"/>
      <c r="O567" s="512"/>
      <c r="P567" s="512"/>
      <c r="Q567" s="512"/>
      <c r="R567" s="512"/>
      <c r="S567" s="512"/>
      <c r="T567" s="512"/>
      <c r="U567" s="512"/>
      <c r="V567" s="512"/>
      <c r="W567" s="512"/>
    </row>
    <row r="568" s="178" customFormat="1" spans="1:23">
      <c r="A568" s="1070" t="s">
        <v>376</v>
      </c>
      <c r="B568" s="1071" t="s">
        <v>438</v>
      </c>
      <c r="C568" s="1048" t="s">
        <v>77</v>
      </c>
      <c r="D568" s="266">
        <v>48</v>
      </c>
      <c r="E568" s="1072" t="s">
        <v>439</v>
      </c>
      <c r="F568" s="986"/>
      <c r="G568" s="986">
        <f>VLOOKUP(CLEAN(SUBSTITUTE(TRIM(MID(E:E,FIND("/",E:E)+1,LEN(E:E)))," ","")),'Customs Decl. &amp; Local Delivery'!D:I,6,0)</f>
        <v>45721</v>
      </c>
      <c r="H568" s="987">
        <f>VLOOKUP(CLEAN(SUBSTITUTE(TRIM(MID(E:E,FIND("/",E:E)+1,LEN(E:E)))," ","")),'Customs Decl. &amp; Local Delivery'!D:J,7,0)</f>
        <v>45737</v>
      </c>
      <c r="I568" s="1058" t="s">
        <v>440</v>
      </c>
      <c r="J568" s="784" t="s">
        <v>18</v>
      </c>
      <c r="K568" s="784" t="s">
        <v>147</v>
      </c>
      <c r="L568" s="279" t="s">
        <v>20</v>
      </c>
      <c r="M568" s="1073" t="s">
        <v>436</v>
      </c>
      <c r="N568" s="203"/>
      <c r="O568" s="512"/>
      <c r="P568" s="512"/>
      <c r="Q568" s="512"/>
      <c r="R568" s="512"/>
      <c r="S568" s="512"/>
      <c r="T568" s="512"/>
      <c r="U568" s="512"/>
      <c r="V568" s="512"/>
      <c r="W568" s="512"/>
    </row>
    <row r="569" s="178" customFormat="1" spans="1:23">
      <c r="A569" s="1070" t="s">
        <v>376</v>
      </c>
      <c r="B569" s="1071" t="s">
        <v>438</v>
      </c>
      <c r="C569" s="1048" t="s">
        <v>15</v>
      </c>
      <c r="D569" s="266">
        <v>12</v>
      </c>
      <c r="E569" s="1069"/>
      <c r="F569" s="986"/>
      <c r="G569" s="986">
        <f>G568</f>
        <v>45721</v>
      </c>
      <c r="H569" s="987">
        <f>H568</f>
        <v>45737</v>
      </c>
      <c r="I569" s="1058" t="s">
        <v>440</v>
      </c>
      <c r="J569" s="784" t="s">
        <v>18</v>
      </c>
      <c r="K569" s="784" t="s">
        <v>147</v>
      </c>
      <c r="L569" s="279" t="s">
        <v>20</v>
      </c>
      <c r="M569" s="1061" t="s">
        <v>437</v>
      </c>
      <c r="N569" s="203"/>
      <c r="O569" s="512"/>
      <c r="P569" s="512"/>
      <c r="Q569" s="512"/>
      <c r="R569" s="512"/>
      <c r="S569" s="512"/>
      <c r="T569" s="512"/>
      <c r="U569" s="512"/>
      <c r="V569" s="512"/>
      <c r="W569" s="512"/>
    </row>
    <row r="570" s="178" customFormat="1" spans="1:23">
      <c r="A570" s="1070" t="s">
        <v>376</v>
      </c>
      <c r="B570" s="1071" t="s">
        <v>438</v>
      </c>
      <c r="C570" s="1048" t="s">
        <v>24</v>
      </c>
      <c r="D570" s="266">
        <v>100</v>
      </c>
      <c r="E570" s="1069"/>
      <c r="F570" s="986"/>
      <c r="G570" s="986">
        <f>G569</f>
        <v>45721</v>
      </c>
      <c r="H570" s="987">
        <f>H569</f>
        <v>45737</v>
      </c>
      <c r="I570" s="1058" t="s">
        <v>440</v>
      </c>
      <c r="J570" s="784" t="s">
        <v>18</v>
      </c>
      <c r="K570" s="784" t="s">
        <v>147</v>
      </c>
      <c r="L570" s="279" t="s">
        <v>20</v>
      </c>
      <c r="M570" s="1061"/>
      <c r="N570" s="203"/>
      <c r="O570" s="512"/>
      <c r="P570" s="512"/>
      <c r="Q570" s="512"/>
      <c r="R570" s="512"/>
      <c r="S570" s="512"/>
      <c r="T570" s="512"/>
      <c r="U570" s="512"/>
      <c r="V570" s="512"/>
      <c r="W570" s="512"/>
    </row>
    <row r="571" s="178" customFormat="1" spans="1:23">
      <c r="A571" s="1070" t="s">
        <v>376</v>
      </c>
      <c r="B571" s="1071" t="s">
        <v>438</v>
      </c>
      <c r="C571" s="1048" t="s">
        <v>27</v>
      </c>
      <c r="D571" s="266">
        <v>30</v>
      </c>
      <c r="E571" s="1069"/>
      <c r="F571" s="986"/>
      <c r="G571" s="986">
        <f>G570</f>
        <v>45721</v>
      </c>
      <c r="H571" s="987">
        <f>H570</f>
        <v>45737</v>
      </c>
      <c r="I571" s="1058" t="s">
        <v>440</v>
      </c>
      <c r="J571" s="784" t="s">
        <v>18</v>
      </c>
      <c r="K571" s="784" t="s">
        <v>147</v>
      </c>
      <c r="L571" s="279" t="s">
        <v>20</v>
      </c>
      <c r="M571" s="1061"/>
      <c r="N571" s="203"/>
      <c r="O571" s="512"/>
      <c r="P571" s="512"/>
      <c r="Q571" s="512"/>
      <c r="R571" s="512"/>
      <c r="S571" s="512"/>
      <c r="T571" s="512"/>
      <c r="U571" s="512"/>
      <c r="V571" s="512"/>
      <c r="W571" s="512"/>
    </row>
    <row r="572" s="178" customFormat="1" spans="1:23">
      <c r="A572" s="1070" t="s">
        <v>376</v>
      </c>
      <c r="B572" s="1071" t="s">
        <v>438</v>
      </c>
      <c r="C572" s="1048" t="s">
        <v>67</v>
      </c>
      <c r="D572" s="266">
        <v>30</v>
      </c>
      <c r="E572" s="1069"/>
      <c r="F572" s="986"/>
      <c r="G572" s="986">
        <f>G571</f>
        <v>45721</v>
      </c>
      <c r="H572" s="987">
        <f>H571</f>
        <v>45737</v>
      </c>
      <c r="I572" s="1058" t="s">
        <v>440</v>
      </c>
      <c r="J572" s="784" t="s">
        <v>18</v>
      </c>
      <c r="K572" s="784" t="s">
        <v>147</v>
      </c>
      <c r="L572" s="279" t="s">
        <v>20</v>
      </c>
      <c r="M572" s="1061"/>
      <c r="N572" s="203"/>
      <c r="O572" s="512"/>
      <c r="P572" s="512"/>
      <c r="Q572" s="512"/>
      <c r="R572" s="512"/>
      <c r="S572" s="512"/>
      <c r="T572" s="512"/>
      <c r="U572" s="512"/>
      <c r="V572" s="512"/>
      <c r="W572" s="512"/>
    </row>
    <row r="573" s="178" customFormat="1" spans="1:23">
      <c r="A573" s="1070" t="s">
        <v>376</v>
      </c>
      <c r="B573" s="1071" t="s">
        <v>438</v>
      </c>
      <c r="C573" s="1048" t="s">
        <v>70</v>
      </c>
      <c r="D573" s="266">
        <v>50</v>
      </c>
      <c r="E573" s="1069"/>
      <c r="F573" s="986"/>
      <c r="G573" s="986">
        <f>G572</f>
        <v>45721</v>
      </c>
      <c r="H573" s="987">
        <f>H572</f>
        <v>45737</v>
      </c>
      <c r="I573" s="1058" t="s">
        <v>440</v>
      </c>
      <c r="J573" s="784" t="s">
        <v>18</v>
      </c>
      <c r="K573" s="784" t="s">
        <v>147</v>
      </c>
      <c r="L573" s="279" t="s">
        <v>20</v>
      </c>
      <c r="M573" s="1061"/>
      <c r="N573" s="203"/>
      <c r="O573" s="512"/>
      <c r="P573" s="512"/>
      <c r="Q573" s="512"/>
      <c r="R573" s="512"/>
      <c r="S573" s="512"/>
      <c r="T573" s="512"/>
      <c r="U573" s="512"/>
      <c r="V573" s="512"/>
      <c r="W573" s="512"/>
    </row>
    <row r="574" s="178" customFormat="1" ht="15.4" customHeight="1" spans="1:23">
      <c r="A574" s="1047" t="s">
        <v>376</v>
      </c>
      <c r="B574" s="1047" t="s">
        <v>441</v>
      </c>
      <c r="C574" s="1048" t="s">
        <v>77</v>
      </c>
      <c r="D574" s="266">
        <v>48</v>
      </c>
      <c r="E574" s="756" t="s">
        <v>442</v>
      </c>
      <c r="F574" s="986"/>
      <c r="G574" s="986">
        <f>VLOOKUP(CLEAN(SUBSTITUTE(TRIM(MID(E:E,FIND("/",E:E)+1,LEN(E:E)))," ","")),'Customs Decl. &amp; Local Delivery'!D:I,6,0)</f>
        <v>45721</v>
      </c>
      <c r="H574" s="987">
        <f>VLOOKUP(CLEAN(SUBSTITUTE(TRIM(MID(E:E,FIND("/",E:E)+1,LEN(E:E)))," ","")),'Customs Decl. &amp; Local Delivery'!D:J,7,0)</f>
        <v>45737</v>
      </c>
      <c r="I574" s="1058" t="s">
        <v>443</v>
      </c>
      <c r="J574" s="784" t="s">
        <v>18</v>
      </c>
      <c r="K574" s="784" t="s">
        <v>147</v>
      </c>
      <c r="L574" s="279" t="s">
        <v>20</v>
      </c>
      <c r="M574" s="1060" t="s">
        <v>437</v>
      </c>
      <c r="N574" s="203"/>
      <c r="O574" s="512"/>
      <c r="P574" s="512"/>
      <c r="Q574" s="512"/>
      <c r="R574" s="512"/>
      <c r="S574" s="512"/>
      <c r="T574" s="512"/>
      <c r="U574" s="512"/>
      <c r="V574" s="512"/>
      <c r="W574" s="512"/>
    </row>
    <row r="575" s="178" customFormat="1" ht="15.4" customHeight="1" spans="1:23">
      <c r="A575" s="1047" t="s">
        <v>376</v>
      </c>
      <c r="B575" s="1047" t="s">
        <v>441</v>
      </c>
      <c r="C575" s="1048" t="s">
        <v>15</v>
      </c>
      <c r="D575" s="266">
        <v>12</v>
      </c>
      <c r="E575" s="1069"/>
      <c r="F575" s="986"/>
      <c r="G575" s="986">
        <f>G574</f>
        <v>45721</v>
      </c>
      <c r="H575" s="987">
        <f>H574</f>
        <v>45737</v>
      </c>
      <c r="I575" s="1058" t="s">
        <v>443</v>
      </c>
      <c r="J575" s="784" t="s">
        <v>18</v>
      </c>
      <c r="K575" s="784" t="s">
        <v>147</v>
      </c>
      <c r="L575" s="279" t="s">
        <v>20</v>
      </c>
      <c r="M575" s="1061"/>
      <c r="N575" s="203"/>
      <c r="O575" s="512"/>
      <c r="P575" s="512"/>
      <c r="Q575" s="512"/>
      <c r="R575" s="512"/>
      <c r="S575" s="512"/>
      <c r="T575" s="512"/>
      <c r="U575" s="512"/>
      <c r="V575" s="512"/>
      <c r="W575" s="512"/>
    </row>
    <row r="576" s="178" customFormat="1" ht="15.4" customHeight="1" spans="1:23">
      <c r="A576" s="1047" t="s">
        <v>376</v>
      </c>
      <c r="B576" s="1047" t="s">
        <v>441</v>
      </c>
      <c r="C576" s="1048" t="s">
        <v>24</v>
      </c>
      <c r="D576" s="266">
        <v>100</v>
      </c>
      <c r="E576" s="1069"/>
      <c r="F576" s="986"/>
      <c r="G576" s="986">
        <f>G575</f>
        <v>45721</v>
      </c>
      <c r="H576" s="987">
        <f>H575</f>
        <v>45737</v>
      </c>
      <c r="I576" s="1058" t="s">
        <v>443</v>
      </c>
      <c r="J576" s="784" t="s">
        <v>18</v>
      </c>
      <c r="K576" s="784" t="s">
        <v>147</v>
      </c>
      <c r="L576" s="279" t="s">
        <v>20</v>
      </c>
      <c r="M576" s="1061"/>
      <c r="N576" s="203"/>
      <c r="O576" s="512"/>
      <c r="P576" s="512"/>
      <c r="Q576" s="512"/>
      <c r="R576" s="512"/>
      <c r="S576" s="512"/>
      <c r="T576" s="512"/>
      <c r="U576" s="512"/>
      <c r="V576" s="512"/>
      <c r="W576" s="512"/>
    </row>
    <row r="577" s="178" customFormat="1" ht="15.4" customHeight="1" spans="1:23">
      <c r="A577" s="1047" t="s">
        <v>376</v>
      </c>
      <c r="B577" s="1047" t="s">
        <v>441</v>
      </c>
      <c r="C577" s="1048" t="s">
        <v>27</v>
      </c>
      <c r="D577" s="266">
        <v>30</v>
      </c>
      <c r="E577" s="1069"/>
      <c r="F577" s="986"/>
      <c r="G577" s="986">
        <f>G576</f>
        <v>45721</v>
      </c>
      <c r="H577" s="987">
        <f>H576</f>
        <v>45737</v>
      </c>
      <c r="I577" s="1058" t="s">
        <v>443</v>
      </c>
      <c r="J577" s="784" t="s">
        <v>18</v>
      </c>
      <c r="K577" s="784" t="s">
        <v>147</v>
      </c>
      <c r="L577" s="279" t="s">
        <v>20</v>
      </c>
      <c r="M577" s="1061"/>
      <c r="N577" s="203"/>
      <c r="O577" s="512"/>
      <c r="P577" s="512"/>
      <c r="Q577" s="512"/>
      <c r="R577" s="512"/>
      <c r="S577" s="512"/>
      <c r="T577" s="512"/>
      <c r="U577" s="512"/>
      <c r="V577" s="512"/>
      <c r="W577" s="512"/>
    </row>
    <row r="578" s="178" customFormat="1" ht="15.4" customHeight="1" spans="1:23">
      <c r="A578" s="1047" t="s">
        <v>376</v>
      </c>
      <c r="B578" s="1047" t="s">
        <v>441</v>
      </c>
      <c r="C578" s="1048" t="s">
        <v>67</v>
      </c>
      <c r="D578" s="266">
        <v>30</v>
      </c>
      <c r="E578" s="1069"/>
      <c r="F578" s="986"/>
      <c r="G578" s="986">
        <f>G577</f>
        <v>45721</v>
      </c>
      <c r="H578" s="987">
        <f>H577</f>
        <v>45737</v>
      </c>
      <c r="I578" s="1058" t="s">
        <v>443</v>
      </c>
      <c r="J578" s="784" t="s">
        <v>18</v>
      </c>
      <c r="K578" s="784" t="s">
        <v>147</v>
      </c>
      <c r="L578" s="279" t="s">
        <v>20</v>
      </c>
      <c r="M578" s="1061"/>
      <c r="N578" s="203"/>
      <c r="O578" s="512"/>
      <c r="P578" s="512"/>
      <c r="Q578" s="512"/>
      <c r="R578" s="512"/>
      <c r="S578" s="512"/>
      <c r="T578" s="512"/>
      <c r="U578" s="512"/>
      <c r="V578" s="512"/>
      <c r="W578" s="512"/>
    </row>
    <row r="579" s="178" customFormat="1" ht="15.4" customHeight="1" spans="1:23">
      <c r="A579" s="1047" t="s">
        <v>376</v>
      </c>
      <c r="B579" s="1047" t="s">
        <v>441</v>
      </c>
      <c r="C579" s="1048" t="s">
        <v>70</v>
      </c>
      <c r="D579" s="266">
        <v>50</v>
      </c>
      <c r="E579" s="1069"/>
      <c r="F579" s="986"/>
      <c r="G579" s="986">
        <f>G578</f>
        <v>45721</v>
      </c>
      <c r="H579" s="987">
        <f>H578</f>
        <v>45737</v>
      </c>
      <c r="I579" s="1058" t="s">
        <v>443</v>
      </c>
      <c r="J579" s="784" t="s">
        <v>18</v>
      </c>
      <c r="K579" s="784" t="s">
        <v>147</v>
      </c>
      <c r="L579" s="279" t="s">
        <v>20</v>
      </c>
      <c r="M579" s="1061"/>
      <c r="N579" s="203"/>
      <c r="O579" s="512"/>
      <c r="P579" s="512"/>
      <c r="Q579" s="512"/>
      <c r="R579" s="512"/>
      <c r="S579" s="512"/>
      <c r="T579" s="512"/>
      <c r="U579" s="512"/>
      <c r="V579" s="512"/>
      <c r="W579" s="512"/>
    </row>
    <row r="580" s="178" customFormat="1" ht="15.4" customHeight="1" spans="1:23">
      <c r="A580" s="1047" t="s">
        <v>376</v>
      </c>
      <c r="B580" s="1047" t="s">
        <v>444</v>
      </c>
      <c r="C580" s="1048" t="s">
        <v>77</v>
      </c>
      <c r="D580" s="266">
        <v>48</v>
      </c>
      <c r="E580" s="1052" t="s">
        <v>445</v>
      </c>
      <c r="F580" s="986"/>
      <c r="G580" s="986">
        <f>VLOOKUP(CLEAN(SUBSTITUTE(TRIM(MID(E:E,FIND("/",E:E)+1,LEN(E:E)))," ","")),'Customs Decl. &amp; Local Delivery'!D:I,6,0)</f>
        <v>45721</v>
      </c>
      <c r="H580" s="987">
        <f>VLOOKUP(CLEAN(SUBSTITUTE(TRIM(MID(E:E,FIND("/",E:E)+1,LEN(E:E)))," ","")),'Customs Decl. &amp; Local Delivery'!D:J,7,0)</f>
        <v>45737</v>
      </c>
      <c r="I580" s="1058" t="s">
        <v>446</v>
      </c>
      <c r="J580" s="784" t="s">
        <v>18</v>
      </c>
      <c r="K580" s="784" t="s">
        <v>147</v>
      </c>
      <c r="L580" s="279" t="s">
        <v>20</v>
      </c>
      <c r="M580" s="1060" t="s">
        <v>437</v>
      </c>
      <c r="N580" s="203"/>
      <c r="O580" s="512"/>
      <c r="P580" s="512"/>
      <c r="Q580" s="512"/>
      <c r="R580" s="512"/>
      <c r="S580" s="512"/>
      <c r="T580" s="512"/>
      <c r="U580" s="512"/>
      <c r="V580" s="512"/>
      <c r="W580" s="512"/>
    </row>
    <row r="581" s="178" customFormat="1" ht="15.4" customHeight="1" spans="1:23">
      <c r="A581" s="1047" t="s">
        <v>376</v>
      </c>
      <c r="B581" s="1047" t="s">
        <v>444</v>
      </c>
      <c r="C581" s="1048" t="s">
        <v>15</v>
      </c>
      <c r="D581" s="266">
        <v>12</v>
      </c>
      <c r="E581" s="1066"/>
      <c r="F581" s="986"/>
      <c r="G581" s="986">
        <f>G580</f>
        <v>45721</v>
      </c>
      <c r="H581" s="987">
        <f>H580</f>
        <v>45737</v>
      </c>
      <c r="I581" s="1058" t="s">
        <v>446</v>
      </c>
      <c r="J581" s="784" t="s">
        <v>18</v>
      </c>
      <c r="K581" s="784" t="s">
        <v>147</v>
      </c>
      <c r="L581" s="279" t="s">
        <v>20</v>
      </c>
      <c r="M581" s="1061"/>
      <c r="N581" s="203"/>
      <c r="O581" s="512"/>
      <c r="P581" s="512"/>
      <c r="Q581" s="512"/>
      <c r="R581" s="512"/>
      <c r="S581" s="512"/>
      <c r="T581" s="512"/>
      <c r="U581" s="512"/>
      <c r="V581" s="512"/>
      <c r="W581" s="512"/>
    </row>
    <row r="582" s="178" customFormat="1" ht="15.4" customHeight="1" spans="1:23">
      <c r="A582" s="1047" t="s">
        <v>376</v>
      </c>
      <c r="B582" s="1047" t="s">
        <v>444</v>
      </c>
      <c r="C582" s="1048" t="s">
        <v>24</v>
      </c>
      <c r="D582" s="266">
        <v>100</v>
      </c>
      <c r="E582" s="1066"/>
      <c r="F582" s="986"/>
      <c r="G582" s="986">
        <f>G581</f>
        <v>45721</v>
      </c>
      <c r="H582" s="987">
        <f>H581</f>
        <v>45737</v>
      </c>
      <c r="I582" s="1058" t="s">
        <v>446</v>
      </c>
      <c r="J582" s="784" t="s">
        <v>18</v>
      </c>
      <c r="K582" s="784" t="s">
        <v>147</v>
      </c>
      <c r="L582" s="279" t="s">
        <v>20</v>
      </c>
      <c r="M582" s="1061"/>
      <c r="N582" s="203"/>
      <c r="O582" s="512"/>
      <c r="P582" s="512"/>
      <c r="Q582" s="512"/>
      <c r="R582" s="512"/>
      <c r="S582" s="512"/>
      <c r="T582" s="512"/>
      <c r="U582" s="512"/>
      <c r="V582" s="512"/>
      <c r="W582" s="512"/>
    </row>
    <row r="583" s="178" customFormat="1" ht="15.4" customHeight="1" spans="1:23">
      <c r="A583" s="1047" t="s">
        <v>376</v>
      </c>
      <c r="B583" s="1047" t="s">
        <v>444</v>
      </c>
      <c r="C583" s="1048" t="s">
        <v>27</v>
      </c>
      <c r="D583" s="266">
        <v>30</v>
      </c>
      <c r="E583" s="1066"/>
      <c r="F583" s="986"/>
      <c r="G583" s="986">
        <f>G582</f>
        <v>45721</v>
      </c>
      <c r="H583" s="987">
        <f>H582</f>
        <v>45737</v>
      </c>
      <c r="I583" s="1058" t="s">
        <v>446</v>
      </c>
      <c r="J583" s="784" t="s">
        <v>18</v>
      </c>
      <c r="K583" s="784" t="s">
        <v>147</v>
      </c>
      <c r="L583" s="279" t="s">
        <v>20</v>
      </c>
      <c r="M583" s="1061"/>
      <c r="N583" s="203"/>
      <c r="O583" s="512"/>
      <c r="P583" s="512"/>
      <c r="Q583" s="512"/>
      <c r="R583" s="512"/>
      <c r="S583" s="512"/>
      <c r="T583" s="512"/>
      <c r="U583" s="512"/>
      <c r="V583" s="512"/>
      <c r="W583" s="512"/>
    </row>
    <row r="584" s="178" customFormat="1" ht="15.4" customHeight="1" spans="1:23">
      <c r="A584" s="1047" t="s">
        <v>376</v>
      </c>
      <c r="B584" s="1047" t="s">
        <v>444</v>
      </c>
      <c r="C584" s="1048" t="s">
        <v>67</v>
      </c>
      <c r="D584" s="266">
        <v>30</v>
      </c>
      <c r="E584" s="1066"/>
      <c r="F584" s="986"/>
      <c r="G584" s="986">
        <f>G583</f>
        <v>45721</v>
      </c>
      <c r="H584" s="987">
        <f>H583</f>
        <v>45737</v>
      </c>
      <c r="I584" s="1063" t="s">
        <v>446</v>
      </c>
      <c r="J584" s="784" t="s">
        <v>18</v>
      </c>
      <c r="K584" s="784" t="s">
        <v>147</v>
      </c>
      <c r="L584" s="279" t="s">
        <v>20</v>
      </c>
      <c r="M584" s="1061"/>
      <c r="N584" s="203"/>
      <c r="O584" s="512"/>
      <c r="P584" s="512"/>
      <c r="Q584" s="512"/>
      <c r="R584" s="512"/>
      <c r="S584" s="512"/>
      <c r="T584" s="512"/>
      <c r="U584" s="512"/>
      <c r="V584" s="512"/>
      <c r="W584" s="512"/>
    </row>
    <row r="585" s="178" customFormat="1" ht="15.4" customHeight="1" spans="1:23">
      <c r="A585" s="1047" t="s">
        <v>376</v>
      </c>
      <c r="B585" s="1047" t="s">
        <v>444</v>
      </c>
      <c r="C585" s="1048" t="s">
        <v>70</v>
      </c>
      <c r="D585" s="266">
        <v>50</v>
      </c>
      <c r="E585" s="1066"/>
      <c r="F585" s="986"/>
      <c r="G585" s="986">
        <f>G584</f>
        <v>45721</v>
      </c>
      <c r="H585" s="987">
        <f>H584</f>
        <v>45737</v>
      </c>
      <c r="I585" s="1058" t="s">
        <v>446</v>
      </c>
      <c r="J585" s="784" t="s">
        <v>18</v>
      </c>
      <c r="K585" s="784" t="s">
        <v>147</v>
      </c>
      <c r="L585" s="279" t="s">
        <v>20</v>
      </c>
      <c r="M585" s="1061"/>
      <c r="N585" s="203"/>
      <c r="O585" s="512"/>
      <c r="P585" s="512"/>
      <c r="Q585" s="512"/>
      <c r="R585" s="512"/>
      <c r="S585" s="512"/>
      <c r="T585" s="512"/>
      <c r="U585" s="512"/>
      <c r="V585" s="512"/>
      <c r="W585" s="512"/>
    </row>
    <row r="586" s="178" customFormat="1" ht="15.4" customHeight="1" spans="1:23">
      <c r="A586" s="1047" t="s">
        <v>376</v>
      </c>
      <c r="B586" s="1047" t="s">
        <v>447</v>
      </c>
      <c r="C586" s="1048" t="s">
        <v>77</v>
      </c>
      <c r="D586" s="266">
        <v>48</v>
      </c>
      <c r="E586" s="756" t="s">
        <v>448</v>
      </c>
      <c r="F586" s="986"/>
      <c r="G586" s="986">
        <f>VLOOKUP(CLEAN(SUBSTITUTE(TRIM(MID(E:E,FIND("/",E:E)+1,LEN(E:E)))," ","")),'Customs Decl. &amp; Local Delivery'!D:I,6,0)</f>
        <v>45721</v>
      </c>
      <c r="H586" s="987">
        <f>VLOOKUP(CLEAN(SUBSTITUTE(TRIM(MID(E:E,FIND("/",E:E)+1,LEN(E:E)))," ","")),'Customs Decl. &amp; Local Delivery'!D:J,7,0)</f>
        <v>45737</v>
      </c>
      <c r="I586" s="1058" t="s">
        <v>449</v>
      </c>
      <c r="J586" s="784" t="s">
        <v>18</v>
      </c>
      <c r="K586" s="784" t="s">
        <v>147</v>
      </c>
      <c r="L586" s="279" t="s">
        <v>20</v>
      </c>
      <c r="M586" s="1060" t="s">
        <v>437</v>
      </c>
      <c r="N586" s="203"/>
      <c r="O586" s="512"/>
      <c r="P586" s="512"/>
      <c r="Q586" s="512"/>
      <c r="R586" s="512"/>
      <c r="S586" s="512"/>
      <c r="T586" s="512"/>
      <c r="U586" s="512"/>
      <c r="V586" s="512"/>
      <c r="W586" s="512"/>
    </row>
    <row r="587" s="178" customFormat="1" ht="15.4" customHeight="1" spans="1:23">
      <c r="A587" s="1047" t="s">
        <v>376</v>
      </c>
      <c r="B587" s="1047" t="s">
        <v>447</v>
      </c>
      <c r="C587" s="1048" t="s">
        <v>15</v>
      </c>
      <c r="D587" s="266">
        <v>12</v>
      </c>
      <c r="E587" s="1069"/>
      <c r="F587" s="986"/>
      <c r="G587" s="986">
        <f>G586</f>
        <v>45721</v>
      </c>
      <c r="H587" s="987">
        <f>H586</f>
        <v>45737</v>
      </c>
      <c r="I587" s="1058" t="s">
        <v>449</v>
      </c>
      <c r="J587" s="784" t="s">
        <v>18</v>
      </c>
      <c r="K587" s="784" t="s">
        <v>147</v>
      </c>
      <c r="L587" s="279" t="s">
        <v>20</v>
      </c>
      <c r="M587" s="1061"/>
      <c r="N587" s="203"/>
      <c r="O587" s="512"/>
      <c r="P587" s="512"/>
      <c r="Q587" s="512"/>
      <c r="R587" s="512"/>
      <c r="S587" s="512"/>
      <c r="T587" s="512"/>
      <c r="U587" s="512"/>
      <c r="V587" s="512"/>
      <c r="W587" s="512"/>
    </row>
    <row r="588" s="178" customFormat="1" ht="15.4" customHeight="1" spans="1:23">
      <c r="A588" s="1047" t="s">
        <v>376</v>
      </c>
      <c r="B588" s="1047" t="s">
        <v>447</v>
      </c>
      <c r="C588" s="1048" t="s">
        <v>24</v>
      </c>
      <c r="D588" s="266">
        <v>100</v>
      </c>
      <c r="E588" s="1069"/>
      <c r="F588" s="986"/>
      <c r="G588" s="986">
        <f>G587</f>
        <v>45721</v>
      </c>
      <c r="H588" s="987">
        <f>H587</f>
        <v>45737</v>
      </c>
      <c r="I588" s="1058" t="s">
        <v>449</v>
      </c>
      <c r="J588" s="784" t="s">
        <v>18</v>
      </c>
      <c r="K588" s="784" t="s">
        <v>147</v>
      </c>
      <c r="L588" s="279" t="s">
        <v>20</v>
      </c>
      <c r="M588" s="1061"/>
      <c r="N588" s="203"/>
      <c r="O588" s="512"/>
      <c r="P588" s="512"/>
      <c r="Q588" s="512"/>
      <c r="R588" s="512"/>
      <c r="S588" s="512"/>
      <c r="T588" s="512"/>
      <c r="U588" s="512"/>
      <c r="V588" s="512"/>
      <c r="W588" s="512"/>
    </row>
    <row r="589" s="178" customFormat="1" ht="15.4" customHeight="1" spans="1:23">
      <c r="A589" s="1047" t="s">
        <v>376</v>
      </c>
      <c r="B589" s="1047" t="s">
        <v>447</v>
      </c>
      <c r="C589" s="1048" t="s">
        <v>27</v>
      </c>
      <c r="D589" s="266">
        <v>30</v>
      </c>
      <c r="E589" s="1069"/>
      <c r="F589" s="986"/>
      <c r="G589" s="986">
        <f>G588</f>
        <v>45721</v>
      </c>
      <c r="H589" s="987">
        <f>H588</f>
        <v>45737</v>
      </c>
      <c r="I589" s="1058" t="s">
        <v>449</v>
      </c>
      <c r="J589" s="784" t="s">
        <v>18</v>
      </c>
      <c r="K589" s="784" t="s">
        <v>147</v>
      </c>
      <c r="L589" s="279" t="s">
        <v>20</v>
      </c>
      <c r="M589" s="1061"/>
      <c r="N589" s="203"/>
      <c r="O589" s="512"/>
      <c r="P589" s="512"/>
      <c r="Q589" s="512"/>
      <c r="R589" s="512"/>
      <c r="S589" s="512"/>
      <c r="T589" s="512"/>
      <c r="U589" s="512"/>
      <c r="V589" s="512"/>
      <c r="W589" s="512"/>
    </row>
    <row r="590" s="178" customFormat="1" ht="15.4" customHeight="1" spans="1:23">
      <c r="A590" s="1047" t="s">
        <v>376</v>
      </c>
      <c r="B590" s="1047" t="s">
        <v>447</v>
      </c>
      <c r="C590" s="1048" t="s">
        <v>67</v>
      </c>
      <c r="D590" s="266">
        <v>30</v>
      </c>
      <c r="E590" s="1069"/>
      <c r="F590" s="986"/>
      <c r="G590" s="986">
        <f>G589</f>
        <v>45721</v>
      </c>
      <c r="H590" s="987">
        <f>H589</f>
        <v>45737</v>
      </c>
      <c r="I590" s="1058" t="s">
        <v>449</v>
      </c>
      <c r="J590" s="784" t="s">
        <v>18</v>
      </c>
      <c r="K590" s="784" t="s">
        <v>147</v>
      </c>
      <c r="L590" s="279" t="s">
        <v>20</v>
      </c>
      <c r="M590" s="1061"/>
      <c r="N590" s="203"/>
      <c r="O590" s="512"/>
      <c r="P590" s="512"/>
      <c r="Q590" s="512"/>
      <c r="R590" s="512"/>
      <c r="S590" s="512"/>
      <c r="T590" s="512"/>
      <c r="U590" s="512"/>
      <c r="V590" s="512"/>
      <c r="W590" s="512"/>
    </row>
    <row r="591" s="178" customFormat="1" ht="15.4" customHeight="1" spans="1:23">
      <c r="A591" s="1047" t="s">
        <v>376</v>
      </c>
      <c r="B591" s="1047" t="s">
        <v>447</v>
      </c>
      <c r="C591" s="1048" t="s">
        <v>70</v>
      </c>
      <c r="D591" s="266">
        <v>50</v>
      </c>
      <c r="E591" s="1069"/>
      <c r="F591" s="986"/>
      <c r="G591" s="986">
        <f>G590</f>
        <v>45721</v>
      </c>
      <c r="H591" s="987">
        <f>H590</f>
        <v>45737</v>
      </c>
      <c r="I591" s="1058" t="s">
        <v>449</v>
      </c>
      <c r="J591" s="784" t="s">
        <v>18</v>
      </c>
      <c r="K591" s="784" t="s">
        <v>147</v>
      </c>
      <c r="L591" s="279" t="s">
        <v>20</v>
      </c>
      <c r="M591" s="1061"/>
      <c r="N591" s="203"/>
      <c r="O591" s="512"/>
      <c r="P591" s="512"/>
      <c r="Q591" s="512"/>
      <c r="R591" s="512"/>
      <c r="S591" s="512"/>
      <c r="T591" s="512"/>
      <c r="U591" s="512"/>
      <c r="V591" s="512"/>
      <c r="W591" s="512"/>
    </row>
    <row r="592" s="178" customFormat="1" spans="1:23">
      <c r="A592" s="1071" t="s">
        <v>376</v>
      </c>
      <c r="B592" s="1071" t="s">
        <v>450</v>
      </c>
      <c r="C592" s="1048" t="s">
        <v>77</v>
      </c>
      <c r="D592" s="266">
        <v>48</v>
      </c>
      <c r="E592" s="789" t="s">
        <v>451</v>
      </c>
      <c r="F592" s="986"/>
      <c r="G592" s="986">
        <f>VLOOKUP(CLEAN(SUBSTITUTE(TRIM(MID(E:E,FIND("/",E:E)+1,LEN(E:E)))," ","")),'Customs Decl. &amp; Local Delivery'!D:I,6,0)</f>
        <v>45721</v>
      </c>
      <c r="H592" s="987">
        <f>VLOOKUP(CLEAN(SUBSTITUTE(TRIM(MID(E:E,FIND("/",E:E)+1,LEN(E:E)))," ","")),'Customs Decl. &amp; Local Delivery'!D:J,7,0)</f>
        <v>45737</v>
      </c>
      <c r="I592" s="1058" t="s">
        <v>452</v>
      </c>
      <c r="J592" s="784" t="s">
        <v>18</v>
      </c>
      <c r="K592" s="784" t="s">
        <v>147</v>
      </c>
      <c r="L592" s="279" t="s">
        <v>20</v>
      </c>
      <c r="M592" s="1061" t="s">
        <v>437</v>
      </c>
      <c r="N592" s="203"/>
      <c r="O592" s="512"/>
      <c r="P592" s="512"/>
      <c r="Q592" s="512"/>
      <c r="R592" s="512"/>
      <c r="S592" s="512"/>
      <c r="T592" s="512"/>
      <c r="U592" s="512"/>
      <c r="V592" s="512"/>
      <c r="W592" s="512"/>
    </row>
    <row r="593" s="178" customFormat="1" spans="1:23">
      <c r="A593" s="1071" t="s">
        <v>376</v>
      </c>
      <c r="B593" s="1071" t="s">
        <v>450</v>
      </c>
      <c r="C593" s="1048" t="s">
        <v>15</v>
      </c>
      <c r="D593" s="266">
        <v>12</v>
      </c>
      <c r="E593" s="1066"/>
      <c r="F593" s="986"/>
      <c r="G593" s="986">
        <f>G592</f>
        <v>45721</v>
      </c>
      <c r="H593" s="987">
        <f>H592</f>
        <v>45737</v>
      </c>
      <c r="I593" s="1058" t="s">
        <v>452</v>
      </c>
      <c r="J593" s="784" t="s">
        <v>18</v>
      </c>
      <c r="K593" s="784" t="s">
        <v>147</v>
      </c>
      <c r="L593" s="279" t="s">
        <v>20</v>
      </c>
      <c r="M593" s="1061"/>
      <c r="N593" s="203"/>
      <c r="O593" s="512"/>
      <c r="P593" s="512"/>
      <c r="Q593" s="512"/>
      <c r="R593" s="512"/>
      <c r="S593" s="512"/>
      <c r="T593" s="512"/>
      <c r="U593" s="512"/>
      <c r="V593" s="512"/>
      <c r="W593" s="512"/>
    </row>
    <row r="594" s="178" customFormat="1" spans="1:23">
      <c r="A594" s="1071" t="s">
        <v>376</v>
      </c>
      <c r="B594" s="1071" t="s">
        <v>450</v>
      </c>
      <c r="C594" s="1048" t="s">
        <v>24</v>
      </c>
      <c r="D594" s="266">
        <v>100</v>
      </c>
      <c r="E594" s="1066"/>
      <c r="F594" s="986"/>
      <c r="G594" s="986">
        <f>G593</f>
        <v>45721</v>
      </c>
      <c r="H594" s="987">
        <f>H593</f>
        <v>45737</v>
      </c>
      <c r="I594" s="1058" t="s">
        <v>452</v>
      </c>
      <c r="J594" s="784" t="s">
        <v>18</v>
      </c>
      <c r="K594" s="784" t="s">
        <v>147</v>
      </c>
      <c r="L594" s="279" t="s">
        <v>20</v>
      </c>
      <c r="M594" s="1061"/>
      <c r="N594" s="203"/>
      <c r="O594" s="512"/>
      <c r="P594" s="512"/>
      <c r="Q594" s="512"/>
      <c r="R594" s="512"/>
      <c r="S594" s="512"/>
      <c r="T594" s="512"/>
      <c r="U594" s="512"/>
      <c r="V594" s="512"/>
      <c r="W594" s="512"/>
    </row>
    <row r="595" s="178" customFormat="1" spans="1:23">
      <c r="A595" s="1071" t="s">
        <v>376</v>
      </c>
      <c r="B595" s="1071" t="s">
        <v>450</v>
      </c>
      <c r="C595" s="1048" t="s">
        <v>27</v>
      </c>
      <c r="D595" s="266">
        <v>30</v>
      </c>
      <c r="E595" s="1066"/>
      <c r="F595" s="986"/>
      <c r="G595" s="986">
        <f>G594</f>
        <v>45721</v>
      </c>
      <c r="H595" s="987">
        <f>H594</f>
        <v>45737</v>
      </c>
      <c r="I595" s="1058" t="s">
        <v>452</v>
      </c>
      <c r="J595" s="784" t="s">
        <v>18</v>
      </c>
      <c r="K595" s="784" t="s">
        <v>147</v>
      </c>
      <c r="L595" s="279" t="s">
        <v>20</v>
      </c>
      <c r="M595" s="1061"/>
      <c r="N595" s="203"/>
      <c r="O595" s="512"/>
      <c r="P595" s="512"/>
      <c r="Q595" s="512"/>
      <c r="R595" s="512"/>
      <c r="S595" s="512"/>
      <c r="T595" s="512"/>
      <c r="U595" s="512"/>
      <c r="V595" s="512"/>
      <c r="W595" s="512"/>
    </row>
    <row r="596" s="178" customFormat="1" spans="1:23">
      <c r="A596" s="1071" t="s">
        <v>376</v>
      </c>
      <c r="B596" s="1071" t="s">
        <v>450</v>
      </c>
      <c r="C596" s="1048" t="s">
        <v>67</v>
      </c>
      <c r="D596" s="266">
        <v>30</v>
      </c>
      <c r="E596" s="1066"/>
      <c r="F596" s="986"/>
      <c r="G596" s="986">
        <f>G595</f>
        <v>45721</v>
      </c>
      <c r="H596" s="987">
        <f>H595</f>
        <v>45737</v>
      </c>
      <c r="I596" s="1058" t="s">
        <v>452</v>
      </c>
      <c r="J596" s="784" t="s">
        <v>18</v>
      </c>
      <c r="K596" s="784" t="s">
        <v>147</v>
      </c>
      <c r="L596" s="279" t="s">
        <v>20</v>
      </c>
      <c r="M596" s="1061"/>
      <c r="N596" s="203"/>
      <c r="O596" s="512"/>
      <c r="P596" s="512"/>
      <c r="Q596" s="512"/>
      <c r="R596" s="512"/>
      <c r="S596" s="512"/>
      <c r="T596" s="512"/>
      <c r="U596" s="512"/>
      <c r="V596" s="512"/>
      <c r="W596" s="512"/>
    </row>
    <row r="597" s="178" customFormat="1" spans="1:23">
      <c r="A597" s="1071" t="s">
        <v>376</v>
      </c>
      <c r="B597" s="1071" t="s">
        <v>450</v>
      </c>
      <c r="C597" s="1048" t="s">
        <v>70</v>
      </c>
      <c r="D597" s="266">
        <v>50</v>
      </c>
      <c r="E597" s="1066"/>
      <c r="F597" s="986"/>
      <c r="G597" s="986">
        <f>G596</f>
        <v>45721</v>
      </c>
      <c r="H597" s="987">
        <f>H596</f>
        <v>45737</v>
      </c>
      <c r="I597" s="1058" t="s">
        <v>452</v>
      </c>
      <c r="J597" s="784" t="s">
        <v>18</v>
      </c>
      <c r="K597" s="784" t="s">
        <v>147</v>
      </c>
      <c r="L597" s="279" t="s">
        <v>20</v>
      </c>
      <c r="M597" s="1061"/>
      <c r="N597" s="203"/>
      <c r="O597" s="512"/>
      <c r="P597" s="512"/>
      <c r="Q597" s="512"/>
      <c r="R597" s="512"/>
      <c r="S597" s="512"/>
      <c r="T597" s="512"/>
      <c r="U597" s="512"/>
      <c r="V597" s="512"/>
      <c r="W597" s="512"/>
    </row>
    <row r="598" s="178" customFormat="1" spans="1:23">
      <c r="A598" s="1070" t="s">
        <v>376</v>
      </c>
      <c r="B598" s="1074" t="s">
        <v>453</v>
      </c>
      <c r="C598" s="1048" t="s">
        <v>77</v>
      </c>
      <c r="D598" s="266">
        <v>48</v>
      </c>
      <c r="E598" s="756" t="s">
        <v>454</v>
      </c>
      <c r="F598" s="986"/>
      <c r="G598" s="986">
        <f>VLOOKUP(CLEAN(SUBSTITUTE(TRIM(MID(E:E,FIND("/",E:E)+1,LEN(E:E)))," ","")),'Customs Decl. &amp; Local Delivery'!D:I,6,0)</f>
        <v>45721</v>
      </c>
      <c r="H598" s="987">
        <f>VLOOKUP(CLEAN(SUBSTITUTE(TRIM(MID(E:E,FIND("/",E:E)+1,LEN(E:E)))," ","")),'Customs Decl. &amp; Local Delivery'!D:J,7,0)</f>
        <v>45737</v>
      </c>
      <c r="I598" s="1058" t="s">
        <v>455</v>
      </c>
      <c r="J598" s="784" t="s">
        <v>18</v>
      </c>
      <c r="K598" s="784" t="s">
        <v>147</v>
      </c>
      <c r="L598" s="279" t="s">
        <v>20</v>
      </c>
      <c r="M598" s="1060" t="s">
        <v>437</v>
      </c>
      <c r="N598" s="203"/>
      <c r="O598" s="512"/>
      <c r="P598" s="512"/>
      <c r="Q598" s="512"/>
      <c r="R598" s="512"/>
      <c r="S598" s="512"/>
      <c r="T598" s="512"/>
      <c r="U598" s="512"/>
      <c r="V598" s="512"/>
      <c r="W598" s="512"/>
    </row>
    <row r="599" s="178" customFormat="1" spans="1:23">
      <c r="A599" s="1070" t="s">
        <v>376</v>
      </c>
      <c r="B599" s="1074" t="s">
        <v>453</v>
      </c>
      <c r="C599" s="1048" t="s">
        <v>15</v>
      </c>
      <c r="D599" s="266">
        <v>12</v>
      </c>
      <c r="E599" s="1069"/>
      <c r="F599" s="986"/>
      <c r="G599" s="986">
        <f>G598</f>
        <v>45721</v>
      </c>
      <c r="H599" s="987">
        <f>H598</f>
        <v>45737</v>
      </c>
      <c r="I599" s="1058" t="s">
        <v>455</v>
      </c>
      <c r="J599" s="784" t="s">
        <v>18</v>
      </c>
      <c r="K599" s="784" t="s">
        <v>147</v>
      </c>
      <c r="L599" s="279" t="s">
        <v>20</v>
      </c>
      <c r="M599" s="1061"/>
      <c r="N599" s="203"/>
      <c r="O599" s="512"/>
      <c r="P599" s="512"/>
      <c r="Q599" s="512"/>
      <c r="R599" s="512"/>
      <c r="S599" s="512"/>
      <c r="T599" s="512"/>
      <c r="U599" s="512"/>
      <c r="V599" s="512"/>
      <c r="W599" s="512"/>
    </row>
    <row r="600" s="178" customFormat="1" spans="1:23">
      <c r="A600" s="1070" t="s">
        <v>376</v>
      </c>
      <c r="B600" s="1074" t="s">
        <v>453</v>
      </c>
      <c r="C600" s="1048" t="s">
        <v>24</v>
      </c>
      <c r="D600" s="266">
        <v>100</v>
      </c>
      <c r="E600" s="1069"/>
      <c r="F600" s="986"/>
      <c r="G600" s="986">
        <f>G599</f>
        <v>45721</v>
      </c>
      <c r="H600" s="987">
        <f>H599</f>
        <v>45737</v>
      </c>
      <c r="I600" s="1058" t="s">
        <v>455</v>
      </c>
      <c r="J600" s="784" t="s">
        <v>18</v>
      </c>
      <c r="K600" s="784" t="s">
        <v>147</v>
      </c>
      <c r="L600" s="279" t="s">
        <v>20</v>
      </c>
      <c r="M600" s="1061"/>
      <c r="N600" s="203"/>
      <c r="O600" s="512"/>
      <c r="P600" s="512"/>
      <c r="Q600" s="512"/>
      <c r="R600" s="512"/>
      <c r="S600" s="512"/>
      <c r="T600" s="512"/>
      <c r="U600" s="512"/>
      <c r="V600" s="512"/>
      <c r="W600" s="512"/>
    </row>
    <row r="601" s="178" customFormat="1" spans="1:23">
      <c r="A601" s="1070" t="s">
        <v>376</v>
      </c>
      <c r="B601" s="1074" t="s">
        <v>453</v>
      </c>
      <c r="C601" s="1048" t="s">
        <v>27</v>
      </c>
      <c r="D601" s="266">
        <v>30</v>
      </c>
      <c r="E601" s="1069"/>
      <c r="F601" s="986"/>
      <c r="G601" s="986">
        <f>G600</f>
        <v>45721</v>
      </c>
      <c r="H601" s="987">
        <f>H600</f>
        <v>45737</v>
      </c>
      <c r="I601" s="1058" t="s">
        <v>455</v>
      </c>
      <c r="J601" s="784" t="s">
        <v>18</v>
      </c>
      <c r="K601" s="784" t="s">
        <v>147</v>
      </c>
      <c r="L601" s="279" t="s">
        <v>20</v>
      </c>
      <c r="M601" s="1061"/>
      <c r="N601" s="203"/>
      <c r="O601" s="512"/>
      <c r="P601" s="512"/>
      <c r="Q601" s="512"/>
      <c r="R601" s="512"/>
      <c r="S601" s="512"/>
      <c r="T601" s="512"/>
      <c r="U601" s="512"/>
      <c r="V601" s="512"/>
      <c r="W601" s="512"/>
    </row>
    <row r="602" s="178" customFormat="1" spans="1:23">
      <c r="A602" s="1070" t="s">
        <v>376</v>
      </c>
      <c r="B602" s="1074" t="s">
        <v>453</v>
      </c>
      <c r="C602" s="1048" t="s">
        <v>67</v>
      </c>
      <c r="D602" s="266">
        <v>30</v>
      </c>
      <c r="E602" s="1069"/>
      <c r="F602" s="986"/>
      <c r="G602" s="986">
        <f>G601</f>
        <v>45721</v>
      </c>
      <c r="H602" s="987">
        <f>H601</f>
        <v>45737</v>
      </c>
      <c r="I602" s="1058" t="s">
        <v>455</v>
      </c>
      <c r="J602" s="784" t="s">
        <v>18</v>
      </c>
      <c r="K602" s="784" t="s">
        <v>147</v>
      </c>
      <c r="L602" s="279" t="s">
        <v>20</v>
      </c>
      <c r="M602" s="1061"/>
      <c r="N602" s="203"/>
      <c r="O602" s="512"/>
      <c r="P602" s="512"/>
      <c r="Q602" s="512"/>
      <c r="R602" s="512"/>
      <c r="S602" s="512"/>
      <c r="T602" s="512"/>
      <c r="U602" s="512"/>
      <c r="V602" s="512"/>
      <c r="W602" s="512"/>
    </row>
    <row r="603" s="178" customFormat="1" spans="1:23">
      <c r="A603" s="1070" t="s">
        <v>376</v>
      </c>
      <c r="B603" s="1074" t="s">
        <v>453</v>
      </c>
      <c r="C603" s="1048" t="s">
        <v>70</v>
      </c>
      <c r="D603" s="266">
        <v>50</v>
      </c>
      <c r="E603" s="1069"/>
      <c r="F603" s="986"/>
      <c r="G603" s="986">
        <f>G602</f>
        <v>45721</v>
      </c>
      <c r="H603" s="987">
        <f>H602</f>
        <v>45737</v>
      </c>
      <c r="I603" s="1058" t="s">
        <v>455</v>
      </c>
      <c r="J603" s="784" t="s">
        <v>18</v>
      </c>
      <c r="K603" s="784" t="s">
        <v>147</v>
      </c>
      <c r="L603" s="279" t="s">
        <v>20</v>
      </c>
      <c r="M603" s="1061"/>
      <c r="N603" s="203"/>
      <c r="O603" s="512"/>
      <c r="P603" s="512"/>
      <c r="Q603" s="512"/>
      <c r="R603" s="512"/>
      <c r="S603" s="512"/>
      <c r="T603" s="512"/>
      <c r="U603" s="512"/>
      <c r="V603" s="512"/>
      <c r="W603" s="512"/>
    </row>
    <row r="604" s="178" customFormat="1" spans="1:23">
      <c r="A604" s="1075" t="s">
        <v>456</v>
      </c>
      <c r="B604" s="1050" t="s">
        <v>457</v>
      </c>
      <c r="C604" s="789" t="s">
        <v>15</v>
      </c>
      <c r="D604" s="1051">
        <v>130</v>
      </c>
      <c r="E604" s="789" t="s">
        <v>458</v>
      </c>
      <c r="F604" s="986"/>
      <c r="G604" s="986">
        <f>VLOOKUP(CLEAN(SUBSTITUTE(TRIM(MID(E:E,FIND("/",E:E)+1,LEN(E:E)))," ","")),'Customs Decl. &amp; Local Delivery'!D:I,6,0)</f>
        <v>45724</v>
      </c>
      <c r="H604" s="987">
        <f>VLOOKUP(CLEAN(SUBSTITUTE(TRIM(MID(E:E,FIND("/",E:E)+1,LEN(E:E)))," ","")),'Customs Decl. &amp; Local Delivery'!D:J,7,0)</f>
        <v>45737</v>
      </c>
      <c r="I604" s="1058" t="s">
        <v>459</v>
      </c>
      <c r="J604" s="1058" t="s">
        <v>207</v>
      </c>
      <c r="K604" s="1058" t="s">
        <v>19</v>
      </c>
      <c r="L604" s="279" t="s">
        <v>20</v>
      </c>
      <c r="M604" s="1058" t="s">
        <v>460</v>
      </c>
      <c r="N604" s="203"/>
      <c r="O604" s="512"/>
      <c r="P604" s="512"/>
      <c r="Q604" s="512"/>
      <c r="R604" s="512"/>
      <c r="S604" s="512"/>
      <c r="T604" s="512"/>
      <c r="U604" s="512"/>
      <c r="V604" s="512"/>
      <c r="W604" s="512"/>
    </row>
    <row r="605" s="178" customFormat="1" spans="1:23">
      <c r="A605" s="1075" t="s">
        <v>456</v>
      </c>
      <c r="B605" s="1050" t="s">
        <v>457</v>
      </c>
      <c r="C605" s="789" t="s">
        <v>22</v>
      </c>
      <c r="D605" s="1051">
        <v>130</v>
      </c>
      <c r="E605" s="1066"/>
      <c r="F605" s="986"/>
      <c r="G605" s="986">
        <f t="shared" ref="G605:G621" si="58">G604</f>
        <v>45724</v>
      </c>
      <c r="H605" s="987">
        <f t="shared" ref="H605:H621" si="59">H604</f>
        <v>45737</v>
      </c>
      <c r="I605" s="1058" t="s">
        <v>459</v>
      </c>
      <c r="J605" s="1058" t="s">
        <v>207</v>
      </c>
      <c r="K605" s="1058" t="s">
        <v>19</v>
      </c>
      <c r="L605" s="279" t="s">
        <v>20</v>
      </c>
      <c r="M605" s="1058" t="s">
        <v>461</v>
      </c>
      <c r="N605" s="203"/>
      <c r="O605" s="512"/>
      <c r="P605" s="512"/>
      <c r="Q605" s="512"/>
      <c r="R605" s="512"/>
      <c r="S605" s="512"/>
      <c r="T605" s="512"/>
      <c r="U605" s="512"/>
      <c r="V605" s="512"/>
      <c r="W605" s="512"/>
    </row>
    <row r="606" s="178" customFormat="1" spans="1:23">
      <c r="A606" s="1075" t="s">
        <v>456</v>
      </c>
      <c r="B606" s="1050" t="s">
        <v>457</v>
      </c>
      <c r="C606" s="789" t="s">
        <v>24</v>
      </c>
      <c r="D606" s="1051">
        <v>15</v>
      </c>
      <c r="E606" s="1066"/>
      <c r="F606" s="986"/>
      <c r="G606" s="986">
        <f t="shared" si="58"/>
        <v>45724</v>
      </c>
      <c r="H606" s="987">
        <f t="shared" si="59"/>
        <v>45737</v>
      </c>
      <c r="I606" s="1058" t="s">
        <v>459</v>
      </c>
      <c r="J606" s="1058" t="s">
        <v>207</v>
      </c>
      <c r="K606" s="1058" t="s">
        <v>19</v>
      </c>
      <c r="L606" s="279" t="s">
        <v>20</v>
      </c>
      <c r="M606" s="1058" t="s">
        <v>461</v>
      </c>
      <c r="N606" s="203"/>
      <c r="O606" s="512"/>
      <c r="P606" s="512"/>
      <c r="Q606" s="512"/>
      <c r="R606" s="512"/>
      <c r="S606" s="512"/>
      <c r="T606" s="512"/>
      <c r="U606" s="512"/>
      <c r="V606" s="512"/>
      <c r="W606" s="512"/>
    </row>
    <row r="607" s="178" customFormat="1" spans="1:23">
      <c r="A607" s="1075" t="s">
        <v>456</v>
      </c>
      <c r="B607" s="1050" t="s">
        <v>457</v>
      </c>
      <c r="C607" s="789" t="s">
        <v>25</v>
      </c>
      <c r="D607" s="1051">
        <v>15</v>
      </c>
      <c r="E607" s="1066"/>
      <c r="F607" s="986"/>
      <c r="G607" s="986">
        <f t="shared" si="58"/>
        <v>45724</v>
      </c>
      <c r="H607" s="987">
        <f t="shared" si="59"/>
        <v>45737</v>
      </c>
      <c r="I607" s="1058" t="s">
        <v>459</v>
      </c>
      <c r="J607" s="1058" t="s">
        <v>207</v>
      </c>
      <c r="K607" s="1058" t="s">
        <v>19</v>
      </c>
      <c r="L607" s="279" t="s">
        <v>20</v>
      </c>
      <c r="M607" s="1058" t="s">
        <v>461</v>
      </c>
      <c r="N607" s="203"/>
      <c r="O607" s="512"/>
      <c r="P607" s="512"/>
      <c r="Q607" s="512"/>
      <c r="R607" s="512"/>
      <c r="S607" s="512"/>
      <c r="T607" s="512"/>
      <c r="U607" s="512"/>
      <c r="V607" s="512"/>
      <c r="W607" s="512"/>
    </row>
    <row r="608" s="178" customFormat="1" spans="1:23">
      <c r="A608" s="1075" t="s">
        <v>456</v>
      </c>
      <c r="B608" s="1050" t="s">
        <v>457</v>
      </c>
      <c r="C608" s="789" t="s">
        <v>27</v>
      </c>
      <c r="D608" s="1051">
        <v>15</v>
      </c>
      <c r="E608" s="1066"/>
      <c r="F608" s="986"/>
      <c r="G608" s="986">
        <f t="shared" si="58"/>
        <v>45724</v>
      </c>
      <c r="H608" s="987">
        <f t="shared" si="59"/>
        <v>45737</v>
      </c>
      <c r="I608" s="1058" t="s">
        <v>459</v>
      </c>
      <c r="J608" s="1058" t="s">
        <v>207</v>
      </c>
      <c r="K608" s="1058" t="s">
        <v>19</v>
      </c>
      <c r="L608" s="279" t="s">
        <v>20</v>
      </c>
      <c r="M608" s="1058" t="s">
        <v>461</v>
      </c>
      <c r="N608" s="203"/>
      <c r="O608" s="512"/>
      <c r="P608" s="512"/>
      <c r="Q608" s="512"/>
      <c r="R608" s="512"/>
      <c r="S608" s="512"/>
      <c r="T608" s="512"/>
      <c r="U608" s="512"/>
      <c r="V608" s="512"/>
      <c r="W608" s="512"/>
    </row>
    <row r="609" s="178" customFormat="1" spans="1:23">
      <c r="A609" s="1075" t="s">
        <v>456</v>
      </c>
      <c r="B609" s="1050" t="s">
        <v>457</v>
      </c>
      <c r="C609" s="789" t="s">
        <v>28</v>
      </c>
      <c r="D609" s="1051">
        <v>15</v>
      </c>
      <c r="E609" s="1066"/>
      <c r="F609" s="986"/>
      <c r="G609" s="986">
        <f t="shared" si="58"/>
        <v>45724</v>
      </c>
      <c r="H609" s="987">
        <f t="shared" si="59"/>
        <v>45737</v>
      </c>
      <c r="I609" s="1058" t="s">
        <v>459</v>
      </c>
      <c r="J609" s="1058" t="s">
        <v>207</v>
      </c>
      <c r="K609" s="1058" t="s">
        <v>19</v>
      </c>
      <c r="L609" s="279" t="s">
        <v>20</v>
      </c>
      <c r="M609" s="1058" t="s">
        <v>461</v>
      </c>
      <c r="N609" s="203"/>
      <c r="O609" s="512"/>
      <c r="P609" s="512"/>
      <c r="Q609" s="512"/>
      <c r="R609" s="512"/>
      <c r="S609" s="512"/>
      <c r="T609" s="512"/>
      <c r="U609" s="512"/>
      <c r="V609" s="512"/>
      <c r="W609" s="512"/>
    </row>
    <row r="610" s="178" customFormat="1" spans="1:23">
      <c r="A610" s="1075" t="s">
        <v>456</v>
      </c>
      <c r="B610" s="1050" t="s">
        <v>457</v>
      </c>
      <c r="C610" s="789" t="s">
        <v>67</v>
      </c>
      <c r="D610" s="1051">
        <v>13</v>
      </c>
      <c r="E610" s="1066"/>
      <c r="F610" s="986"/>
      <c r="G610" s="986">
        <f t="shared" si="58"/>
        <v>45724</v>
      </c>
      <c r="H610" s="987">
        <f t="shared" si="59"/>
        <v>45737</v>
      </c>
      <c r="I610" s="1058" t="s">
        <v>459</v>
      </c>
      <c r="J610" s="1058" t="s">
        <v>207</v>
      </c>
      <c r="K610" s="1058" t="s">
        <v>19</v>
      </c>
      <c r="L610" s="279" t="s">
        <v>20</v>
      </c>
      <c r="M610" s="1058" t="s">
        <v>461</v>
      </c>
      <c r="N610" s="203"/>
      <c r="O610" s="512"/>
      <c r="P610" s="512"/>
      <c r="Q610" s="512"/>
      <c r="R610" s="512"/>
      <c r="S610" s="512"/>
      <c r="T610" s="512"/>
      <c r="U610" s="512"/>
      <c r="V610" s="512"/>
      <c r="W610" s="512"/>
    </row>
    <row r="611" s="178" customFormat="1" spans="1:23">
      <c r="A611" s="1075" t="s">
        <v>456</v>
      </c>
      <c r="B611" s="1050" t="s">
        <v>457</v>
      </c>
      <c r="C611" s="789" t="s">
        <v>69</v>
      </c>
      <c r="D611" s="1051">
        <v>13</v>
      </c>
      <c r="E611" s="1066"/>
      <c r="F611" s="986"/>
      <c r="G611" s="986">
        <f t="shared" si="58"/>
        <v>45724</v>
      </c>
      <c r="H611" s="987">
        <f t="shared" si="59"/>
        <v>45737</v>
      </c>
      <c r="I611" s="1058" t="s">
        <v>459</v>
      </c>
      <c r="J611" s="1058" t="s">
        <v>207</v>
      </c>
      <c r="K611" s="1058" t="s">
        <v>19</v>
      </c>
      <c r="L611" s="279" t="s">
        <v>20</v>
      </c>
      <c r="M611" s="1058" t="s">
        <v>461</v>
      </c>
      <c r="N611" s="203"/>
      <c r="O611" s="512"/>
      <c r="P611" s="512"/>
      <c r="Q611" s="512"/>
      <c r="R611" s="512"/>
      <c r="S611" s="512"/>
      <c r="T611" s="512"/>
      <c r="U611" s="512"/>
      <c r="V611" s="512"/>
      <c r="W611" s="512"/>
    </row>
    <row r="612" s="178" customFormat="1" spans="1:23">
      <c r="A612" s="1075" t="s">
        <v>456</v>
      </c>
      <c r="B612" s="1050" t="s">
        <v>457</v>
      </c>
      <c r="C612" s="789" t="s">
        <v>70</v>
      </c>
      <c r="D612" s="1051">
        <v>12</v>
      </c>
      <c r="E612" s="1066"/>
      <c r="F612" s="986"/>
      <c r="G612" s="986">
        <f t="shared" si="58"/>
        <v>45724</v>
      </c>
      <c r="H612" s="987">
        <f t="shared" si="59"/>
        <v>45737</v>
      </c>
      <c r="I612" s="1058" t="s">
        <v>459</v>
      </c>
      <c r="J612" s="1058" t="s">
        <v>207</v>
      </c>
      <c r="K612" s="1058" t="s">
        <v>19</v>
      </c>
      <c r="L612" s="279" t="s">
        <v>20</v>
      </c>
      <c r="M612" s="1058" t="s">
        <v>461</v>
      </c>
      <c r="N612" s="203"/>
      <c r="O612" s="512"/>
      <c r="P612" s="512"/>
      <c r="Q612" s="512"/>
      <c r="R612" s="512"/>
      <c r="S612" s="512"/>
      <c r="T612" s="512"/>
      <c r="U612" s="512"/>
      <c r="V612" s="512"/>
      <c r="W612" s="512"/>
    </row>
    <row r="613" s="178" customFormat="1" spans="1:23">
      <c r="A613" s="1075" t="s">
        <v>456</v>
      </c>
      <c r="B613" s="1050" t="s">
        <v>457</v>
      </c>
      <c r="C613" s="789" t="s">
        <v>71</v>
      </c>
      <c r="D613" s="1051">
        <v>12</v>
      </c>
      <c r="E613" s="1066"/>
      <c r="F613" s="986"/>
      <c r="G613" s="986">
        <f t="shared" si="58"/>
        <v>45724</v>
      </c>
      <c r="H613" s="987">
        <f t="shared" si="59"/>
        <v>45737</v>
      </c>
      <c r="I613" s="1058" t="s">
        <v>459</v>
      </c>
      <c r="J613" s="1058" t="s">
        <v>207</v>
      </c>
      <c r="K613" s="1058" t="s">
        <v>19</v>
      </c>
      <c r="L613" s="279" t="s">
        <v>20</v>
      </c>
      <c r="M613" s="1058" t="s">
        <v>461</v>
      </c>
      <c r="N613" s="203"/>
      <c r="O613" s="512"/>
      <c r="P613" s="512"/>
      <c r="Q613" s="512"/>
      <c r="R613" s="512"/>
      <c r="S613" s="512"/>
      <c r="T613" s="512"/>
      <c r="U613" s="512"/>
      <c r="V613" s="512"/>
      <c r="W613" s="512"/>
    </row>
    <row r="614" s="178" customFormat="1" spans="1:23">
      <c r="A614" s="1075" t="s">
        <v>456</v>
      </c>
      <c r="B614" s="1050" t="s">
        <v>457</v>
      </c>
      <c r="C614" s="789" t="s">
        <v>164</v>
      </c>
      <c r="D614" s="1051">
        <v>1</v>
      </c>
      <c r="E614" s="1066"/>
      <c r="F614" s="986"/>
      <c r="G614" s="986">
        <f t="shared" si="58"/>
        <v>45724</v>
      </c>
      <c r="H614" s="987">
        <f t="shared" si="59"/>
        <v>45737</v>
      </c>
      <c r="I614" s="1058" t="s">
        <v>459</v>
      </c>
      <c r="J614" s="1058" t="s">
        <v>207</v>
      </c>
      <c r="K614" s="1058" t="s">
        <v>19</v>
      </c>
      <c r="L614" s="279" t="s">
        <v>20</v>
      </c>
      <c r="M614" s="1058" t="s">
        <v>461</v>
      </c>
      <c r="N614" s="203"/>
      <c r="O614" s="512"/>
      <c r="P614" s="512"/>
      <c r="Q614" s="512"/>
      <c r="R614" s="512"/>
      <c r="S614" s="512"/>
      <c r="T614" s="512"/>
      <c r="U614" s="512"/>
      <c r="V614" s="512"/>
      <c r="W614" s="512"/>
    </row>
    <row r="615" s="178" customFormat="1" spans="1:23">
      <c r="A615" s="1075" t="s">
        <v>456</v>
      </c>
      <c r="B615" s="1050" t="s">
        <v>457</v>
      </c>
      <c r="C615" s="789" t="s">
        <v>165</v>
      </c>
      <c r="D615" s="1051">
        <v>1</v>
      </c>
      <c r="E615" s="1066"/>
      <c r="F615" s="986"/>
      <c r="G615" s="986">
        <f t="shared" si="58"/>
        <v>45724</v>
      </c>
      <c r="H615" s="987">
        <f t="shared" si="59"/>
        <v>45737</v>
      </c>
      <c r="I615" s="1058" t="s">
        <v>459</v>
      </c>
      <c r="J615" s="1058" t="s">
        <v>207</v>
      </c>
      <c r="K615" s="1058" t="s">
        <v>19</v>
      </c>
      <c r="L615" s="279" t="s">
        <v>20</v>
      </c>
      <c r="M615" s="1058" t="s">
        <v>461</v>
      </c>
      <c r="N615" s="203"/>
      <c r="O615" s="512"/>
      <c r="P615" s="512"/>
      <c r="Q615" s="512"/>
      <c r="R615" s="512"/>
      <c r="S615" s="512"/>
      <c r="T615" s="512"/>
      <c r="U615" s="512"/>
      <c r="V615" s="512"/>
      <c r="W615" s="512"/>
    </row>
    <row r="616" s="178" customFormat="1" spans="1:23">
      <c r="A616" s="1075" t="s">
        <v>456</v>
      </c>
      <c r="B616" s="1050" t="s">
        <v>457</v>
      </c>
      <c r="C616" s="789" t="s">
        <v>462</v>
      </c>
      <c r="D616" s="1051">
        <v>1</v>
      </c>
      <c r="E616" s="1066"/>
      <c r="F616" s="986"/>
      <c r="G616" s="986">
        <f t="shared" si="58"/>
        <v>45724</v>
      </c>
      <c r="H616" s="987">
        <f t="shared" si="59"/>
        <v>45737</v>
      </c>
      <c r="I616" s="1058" t="s">
        <v>459</v>
      </c>
      <c r="J616" s="1058" t="s">
        <v>207</v>
      </c>
      <c r="K616" s="1058" t="s">
        <v>19</v>
      </c>
      <c r="L616" s="279" t="s">
        <v>20</v>
      </c>
      <c r="M616" s="1058" t="s">
        <v>461</v>
      </c>
      <c r="N616" s="203"/>
      <c r="O616" s="512"/>
      <c r="P616" s="512"/>
      <c r="Q616" s="512"/>
      <c r="R616" s="512"/>
      <c r="S616" s="512"/>
      <c r="T616" s="512"/>
      <c r="U616" s="512"/>
      <c r="V616" s="512"/>
      <c r="W616" s="512"/>
    </row>
    <row r="617" s="178" customFormat="1" spans="1:23">
      <c r="A617" s="1075" t="s">
        <v>456</v>
      </c>
      <c r="B617" s="1050" t="s">
        <v>457</v>
      </c>
      <c r="C617" s="789" t="s">
        <v>463</v>
      </c>
      <c r="D617" s="1051">
        <v>1</v>
      </c>
      <c r="E617" s="1066"/>
      <c r="F617" s="986"/>
      <c r="G617" s="986">
        <f t="shared" si="58"/>
        <v>45724</v>
      </c>
      <c r="H617" s="987">
        <f t="shared" si="59"/>
        <v>45737</v>
      </c>
      <c r="I617" s="1058" t="s">
        <v>459</v>
      </c>
      <c r="J617" s="1058" t="s">
        <v>207</v>
      </c>
      <c r="K617" s="1058" t="s">
        <v>19</v>
      </c>
      <c r="L617" s="279" t="s">
        <v>20</v>
      </c>
      <c r="M617" s="1058" t="s">
        <v>461</v>
      </c>
      <c r="N617" s="203"/>
      <c r="O617" s="512"/>
      <c r="P617" s="512"/>
      <c r="Q617" s="512"/>
      <c r="R617" s="512"/>
      <c r="S617" s="512"/>
      <c r="T617" s="512"/>
      <c r="U617" s="512"/>
      <c r="V617" s="512"/>
      <c r="W617" s="512"/>
    </row>
    <row r="618" s="178" customFormat="1" spans="1:23">
      <c r="A618" s="1075" t="s">
        <v>456</v>
      </c>
      <c r="B618" s="1050" t="s">
        <v>457</v>
      </c>
      <c r="C618" s="789" t="s">
        <v>33</v>
      </c>
      <c r="D618" s="1051">
        <v>2</v>
      </c>
      <c r="E618" s="1066"/>
      <c r="F618" s="986"/>
      <c r="G618" s="986">
        <f t="shared" si="58"/>
        <v>45724</v>
      </c>
      <c r="H618" s="987">
        <f t="shared" si="59"/>
        <v>45737</v>
      </c>
      <c r="I618" s="1058" t="s">
        <v>459</v>
      </c>
      <c r="J618" s="1058" t="s">
        <v>207</v>
      </c>
      <c r="K618" s="1058" t="s">
        <v>19</v>
      </c>
      <c r="L618" s="279" t="s">
        <v>20</v>
      </c>
      <c r="M618" s="1058" t="s">
        <v>461</v>
      </c>
      <c r="N618" s="203"/>
      <c r="O618" s="512"/>
      <c r="P618" s="512"/>
      <c r="Q618" s="512"/>
      <c r="R618" s="512"/>
      <c r="S618" s="512"/>
      <c r="T618" s="512"/>
      <c r="U618" s="512"/>
      <c r="V618" s="512"/>
      <c r="W618" s="512"/>
    </row>
    <row r="619" s="178" customFormat="1" spans="1:23">
      <c r="A619" s="1075" t="s">
        <v>456</v>
      </c>
      <c r="B619" s="1050" t="s">
        <v>457</v>
      </c>
      <c r="C619" s="789" t="s">
        <v>34</v>
      </c>
      <c r="D619" s="1051">
        <v>2</v>
      </c>
      <c r="E619" s="1066"/>
      <c r="F619" s="986"/>
      <c r="G619" s="986">
        <f t="shared" si="58"/>
        <v>45724</v>
      </c>
      <c r="H619" s="987">
        <f t="shared" si="59"/>
        <v>45737</v>
      </c>
      <c r="I619" s="1058" t="s">
        <v>459</v>
      </c>
      <c r="J619" s="1058" t="s">
        <v>207</v>
      </c>
      <c r="K619" s="1058" t="s">
        <v>19</v>
      </c>
      <c r="L619" s="279" t="s">
        <v>20</v>
      </c>
      <c r="M619" s="1058" t="s">
        <v>461</v>
      </c>
      <c r="N619" s="203"/>
      <c r="O619" s="512"/>
      <c r="P619" s="512"/>
      <c r="Q619" s="512"/>
      <c r="R619" s="512"/>
      <c r="S619" s="512"/>
      <c r="T619" s="512"/>
      <c r="U619" s="512"/>
      <c r="V619" s="512"/>
      <c r="W619" s="512"/>
    </row>
    <row r="620" s="178" customFormat="1" spans="1:23">
      <c r="A620" s="1075" t="s">
        <v>456</v>
      </c>
      <c r="B620" s="1050" t="s">
        <v>457</v>
      </c>
      <c r="C620" s="789" t="s">
        <v>59</v>
      </c>
      <c r="D620" s="1051">
        <v>1</v>
      </c>
      <c r="E620" s="1066"/>
      <c r="F620" s="986"/>
      <c r="G620" s="986">
        <f t="shared" si="58"/>
        <v>45724</v>
      </c>
      <c r="H620" s="987">
        <f t="shared" si="59"/>
        <v>45737</v>
      </c>
      <c r="I620" s="1058" t="s">
        <v>459</v>
      </c>
      <c r="J620" s="1058" t="s">
        <v>207</v>
      </c>
      <c r="K620" s="1058" t="s">
        <v>19</v>
      </c>
      <c r="L620" s="279" t="s">
        <v>20</v>
      </c>
      <c r="M620" s="1058" t="s">
        <v>461</v>
      </c>
      <c r="N620" s="203"/>
      <c r="O620" s="512"/>
      <c r="P620" s="512"/>
      <c r="Q620" s="512"/>
      <c r="R620" s="512"/>
      <c r="S620" s="512"/>
      <c r="T620" s="512"/>
      <c r="U620" s="512"/>
      <c r="V620" s="512"/>
      <c r="W620" s="512"/>
    </row>
    <row r="621" s="178" customFormat="1" spans="1:23">
      <c r="A621" s="1075" t="s">
        <v>456</v>
      </c>
      <c r="B621" s="1050" t="s">
        <v>457</v>
      </c>
      <c r="C621" s="789" t="s">
        <v>60</v>
      </c>
      <c r="D621" s="1051">
        <v>1</v>
      </c>
      <c r="E621" s="1066"/>
      <c r="F621" s="986"/>
      <c r="G621" s="986">
        <f t="shared" si="58"/>
        <v>45724</v>
      </c>
      <c r="H621" s="987">
        <f t="shared" si="59"/>
        <v>45737</v>
      </c>
      <c r="I621" s="1058" t="s">
        <v>459</v>
      </c>
      <c r="J621" s="1077" t="s">
        <v>207</v>
      </c>
      <c r="K621" s="1077" t="s">
        <v>19</v>
      </c>
      <c r="L621" s="279" t="s">
        <v>20</v>
      </c>
      <c r="M621" s="1058" t="s">
        <v>461</v>
      </c>
      <c r="N621" s="203"/>
      <c r="O621" s="512"/>
      <c r="P621" s="512"/>
      <c r="Q621" s="512"/>
      <c r="R621" s="512"/>
      <c r="S621" s="512"/>
      <c r="T621" s="512"/>
      <c r="U621" s="512"/>
      <c r="V621" s="512"/>
      <c r="W621" s="512"/>
    </row>
    <row r="622" s="178" customFormat="1" spans="1:23">
      <c r="A622" s="1075" t="s">
        <v>464</v>
      </c>
      <c r="B622" s="1076" t="s">
        <v>465</v>
      </c>
      <c r="C622" s="789" t="s">
        <v>91</v>
      </c>
      <c r="D622" s="1051">
        <v>92</v>
      </c>
      <c r="E622" s="792" t="s">
        <v>466</v>
      </c>
      <c r="F622" s="986"/>
      <c r="G622" s="986">
        <f>VLOOKUP(CLEAN(SUBSTITUTE(TRIM(MID(E:E,FIND("/",E:E)+1,LEN(E:E)))," ","")),'Customs Decl. &amp; Local Delivery'!D:I,6,0)</f>
        <v>45724</v>
      </c>
      <c r="H622" s="987">
        <f>VLOOKUP(CLEAN(SUBSTITUTE(TRIM(MID(E:E,FIND("/",E:E)+1,LEN(E:E)))," ","")),'Customs Decl. &amp; Local Delivery'!D:J,7,0)</f>
        <v>45741</v>
      </c>
      <c r="I622" s="1070" t="s">
        <v>467</v>
      </c>
      <c r="J622" s="1078" t="s">
        <v>18</v>
      </c>
      <c r="K622" s="1070" t="s">
        <v>147</v>
      </c>
      <c r="L622" s="279" t="s">
        <v>20</v>
      </c>
      <c r="M622" s="1078" t="s">
        <v>468</v>
      </c>
      <c r="N622" s="203"/>
      <c r="O622" s="512"/>
      <c r="P622" s="512"/>
      <c r="Q622" s="512"/>
      <c r="R622" s="512"/>
      <c r="S622" s="512"/>
      <c r="T622" s="512"/>
      <c r="U622" s="512"/>
      <c r="V622" s="512"/>
      <c r="W622" s="512"/>
    </row>
    <row r="623" s="178" customFormat="1" spans="1:23">
      <c r="A623" s="1075" t="s">
        <v>464</v>
      </c>
      <c r="B623" s="1076" t="s">
        <v>465</v>
      </c>
      <c r="C623" s="789" t="s">
        <v>27</v>
      </c>
      <c r="D623" s="1051">
        <v>93</v>
      </c>
      <c r="E623" s="289"/>
      <c r="F623" s="986"/>
      <c r="G623" s="986">
        <f>G622</f>
        <v>45724</v>
      </c>
      <c r="H623" s="987">
        <f>H622</f>
        <v>45741</v>
      </c>
      <c r="I623" s="1070" t="s">
        <v>467</v>
      </c>
      <c r="J623" s="1078" t="s">
        <v>18</v>
      </c>
      <c r="K623" s="1070" t="s">
        <v>147</v>
      </c>
      <c r="L623" s="279" t="s">
        <v>20</v>
      </c>
      <c r="M623" s="1079" t="s">
        <v>469</v>
      </c>
      <c r="N623" s="203"/>
      <c r="O623" s="512"/>
      <c r="P623" s="512"/>
      <c r="Q623" s="512"/>
      <c r="R623" s="512"/>
      <c r="S623" s="512"/>
      <c r="T623" s="512"/>
      <c r="U623" s="512"/>
      <c r="V623" s="512"/>
      <c r="W623" s="512"/>
    </row>
    <row r="624" s="178" customFormat="1" spans="1:23">
      <c r="A624" s="1075" t="s">
        <v>464</v>
      </c>
      <c r="B624" s="1050" t="s">
        <v>470</v>
      </c>
      <c r="C624" s="789" t="s">
        <v>471</v>
      </c>
      <c r="D624" s="1051">
        <v>120</v>
      </c>
      <c r="E624" s="1055" t="s">
        <v>472</v>
      </c>
      <c r="F624" s="986"/>
      <c r="G624" s="986">
        <f>VLOOKUP(CLEAN(SUBSTITUTE(TRIM(MID(E:E,FIND("/",E:E)+1,LEN(E:E)))," ","")),'Customs Decl. &amp; Local Delivery'!D:I,6,0)</f>
        <v>45724</v>
      </c>
      <c r="H624" s="987">
        <f>VLOOKUP(CLEAN(SUBSTITUTE(TRIM(MID(E:E,FIND("/",E:E)+1,LEN(E:E)))," ","")),'Customs Decl. &amp; Local Delivery'!D:J,7,0)</f>
        <v>45741</v>
      </c>
      <c r="I624" s="1058" t="s">
        <v>473</v>
      </c>
      <c r="J624" s="1053" t="s">
        <v>18</v>
      </c>
      <c r="K624" s="1058" t="s">
        <v>147</v>
      </c>
      <c r="L624" s="279" t="s">
        <v>20</v>
      </c>
      <c r="M624" s="1053" t="s">
        <v>474</v>
      </c>
      <c r="N624" s="203"/>
      <c r="O624" s="512"/>
      <c r="P624" s="512"/>
      <c r="Q624" s="512"/>
      <c r="R624" s="512"/>
      <c r="S624" s="512"/>
      <c r="T624" s="512"/>
      <c r="U624" s="512"/>
      <c r="V624" s="512"/>
      <c r="W624" s="512"/>
    </row>
    <row r="625" s="178" customFormat="1" spans="1:23">
      <c r="A625" s="1075" t="s">
        <v>464</v>
      </c>
      <c r="B625" s="1050" t="s">
        <v>470</v>
      </c>
      <c r="C625" s="789" t="s">
        <v>475</v>
      </c>
      <c r="D625" s="1051">
        <v>120</v>
      </c>
      <c r="E625" s="1056"/>
      <c r="F625" s="986"/>
      <c r="G625" s="986">
        <f>G624</f>
        <v>45724</v>
      </c>
      <c r="H625" s="987">
        <f>H624</f>
        <v>45741</v>
      </c>
      <c r="I625" s="1058" t="s">
        <v>473</v>
      </c>
      <c r="J625" s="1053" t="s">
        <v>18</v>
      </c>
      <c r="K625" s="1058" t="s">
        <v>147</v>
      </c>
      <c r="L625" s="279" t="s">
        <v>20</v>
      </c>
      <c r="M625" s="1053" t="s">
        <v>476</v>
      </c>
      <c r="N625" s="203"/>
      <c r="O625" s="512"/>
      <c r="P625" s="512"/>
      <c r="Q625" s="512"/>
      <c r="R625" s="512"/>
      <c r="S625" s="512"/>
      <c r="T625" s="512"/>
      <c r="U625" s="512"/>
      <c r="V625" s="512"/>
      <c r="W625" s="512"/>
    </row>
    <row r="626" s="178" customFormat="1" ht="15.4" customHeight="1" spans="1:23">
      <c r="A626" s="1058" t="s">
        <v>477</v>
      </c>
      <c r="B626" s="1047" t="s">
        <v>478</v>
      </c>
      <c r="C626" s="1047" t="s">
        <v>318</v>
      </c>
      <c r="D626" s="279">
        <v>48</v>
      </c>
      <c r="E626" s="756" t="s">
        <v>479</v>
      </c>
      <c r="F626" s="986"/>
      <c r="G626" s="986">
        <f>VLOOKUP(CLEAN(SUBSTITUTE(TRIM(MID(E:E,FIND("/",E:E)+1,LEN(E:E)))," ","")),'Customs Decl. &amp; Local Delivery'!D:I,6,0)</f>
        <v>45724</v>
      </c>
      <c r="H626" s="987">
        <f>VLOOKUP(CLEAN(SUBSTITUTE(TRIM(MID(E:E,FIND("/",E:E)+1,LEN(E:E)))," ","")),'Customs Decl. &amp; Local Delivery'!D:J,7,0)</f>
        <v>45741</v>
      </c>
      <c r="I626" s="1058" t="s">
        <v>480</v>
      </c>
      <c r="J626" s="1058" t="s">
        <v>18</v>
      </c>
      <c r="K626" s="1058" t="s">
        <v>321</v>
      </c>
      <c r="L626" s="279" t="s">
        <v>20</v>
      </c>
      <c r="M626" s="1058" t="s">
        <v>481</v>
      </c>
      <c r="N626" s="203"/>
      <c r="O626" s="512"/>
      <c r="P626" s="512"/>
      <c r="Q626" s="512"/>
      <c r="R626" s="512"/>
      <c r="S626" s="512"/>
      <c r="T626" s="512"/>
      <c r="U626" s="512"/>
      <c r="V626" s="512"/>
      <c r="W626" s="512"/>
    </row>
    <row r="627" s="178" customFormat="1" ht="15.4" customHeight="1" spans="1:23">
      <c r="A627" s="699" t="s">
        <v>343</v>
      </c>
      <c r="B627" s="1047" t="s">
        <v>482</v>
      </c>
      <c r="C627" s="789" t="s">
        <v>318</v>
      </c>
      <c r="D627" s="1051">
        <v>96</v>
      </c>
      <c r="E627" s="1069"/>
      <c r="F627" s="986"/>
      <c r="G627" s="986">
        <f>G626</f>
        <v>45724</v>
      </c>
      <c r="H627" s="987">
        <f>H626</f>
        <v>45741</v>
      </c>
      <c r="I627" s="1058" t="s">
        <v>480</v>
      </c>
      <c r="J627" s="699" t="s">
        <v>18</v>
      </c>
      <c r="K627" s="699" t="s">
        <v>147</v>
      </c>
      <c r="L627" s="279" t="s">
        <v>20</v>
      </c>
      <c r="M627" s="699" t="s">
        <v>483</v>
      </c>
      <c r="N627" s="203"/>
      <c r="O627" s="512"/>
      <c r="P627" s="512"/>
      <c r="Q627" s="512"/>
      <c r="R627" s="512"/>
      <c r="S627" s="512"/>
      <c r="T627" s="512"/>
      <c r="U627" s="512"/>
      <c r="V627" s="512"/>
      <c r="W627" s="512"/>
    </row>
    <row r="628" s="178" customFormat="1" ht="15.4" customHeight="1" spans="1:23">
      <c r="A628" s="699" t="s">
        <v>343</v>
      </c>
      <c r="B628" s="1047" t="s">
        <v>482</v>
      </c>
      <c r="C628" s="789" t="s">
        <v>348</v>
      </c>
      <c r="D628" s="1051">
        <v>62</v>
      </c>
      <c r="E628" s="1069"/>
      <c r="F628" s="986"/>
      <c r="G628" s="986">
        <f>G627</f>
        <v>45724</v>
      </c>
      <c r="H628" s="987">
        <f>H627</f>
        <v>45741</v>
      </c>
      <c r="I628" s="1058" t="s">
        <v>480</v>
      </c>
      <c r="J628" s="699" t="s">
        <v>18</v>
      </c>
      <c r="K628" s="699" t="s">
        <v>147</v>
      </c>
      <c r="L628" s="279" t="s">
        <v>20</v>
      </c>
      <c r="M628" s="1058" t="s">
        <v>484</v>
      </c>
      <c r="N628" s="203"/>
      <c r="O628" s="512"/>
      <c r="P628" s="512"/>
      <c r="Q628" s="512"/>
      <c r="R628" s="512"/>
      <c r="S628" s="512"/>
      <c r="T628" s="512"/>
      <c r="U628" s="512"/>
      <c r="V628" s="512"/>
      <c r="W628" s="512"/>
    </row>
    <row r="629" s="178" customFormat="1" ht="15.4" customHeight="1" spans="1:23">
      <c r="A629" s="699" t="s">
        <v>343</v>
      </c>
      <c r="B629" s="1047" t="s">
        <v>482</v>
      </c>
      <c r="C629" s="789" t="s">
        <v>349</v>
      </c>
      <c r="D629" s="1051">
        <v>62</v>
      </c>
      <c r="E629" s="1069"/>
      <c r="F629" s="986"/>
      <c r="G629" s="986">
        <f>G628</f>
        <v>45724</v>
      </c>
      <c r="H629" s="987">
        <f>H628</f>
        <v>45741</v>
      </c>
      <c r="I629" s="1058" t="s">
        <v>480</v>
      </c>
      <c r="J629" s="699" t="s">
        <v>18</v>
      </c>
      <c r="K629" s="699" t="s">
        <v>147</v>
      </c>
      <c r="L629" s="279" t="s">
        <v>20</v>
      </c>
      <c r="M629" s="1080"/>
      <c r="N629" s="203"/>
      <c r="O629" s="512"/>
      <c r="P629" s="512"/>
      <c r="Q629" s="512"/>
      <c r="R629" s="512"/>
      <c r="S629" s="512"/>
      <c r="T629" s="512"/>
      <c r="U629" s="512"/>
      <c r="V629" s="512"/>
      <c r="W629" s="512"/>
    </row>
    <row r="630" s="178" customFormat="1" ht="15.4" customHeight="1" spans="1:23">
      <c r="A630" s="1064" t="s">
        <v>464</v>
      </c>
      <c r="B630" s="1050" t="s">
        <v>485</v>
      </c>
      <c r="C630" s="789" t="s">
        <v>15</v>
      </c>
      <c r="D630" s="1051">
        <v>367</v>
      </c>
      <c r="E630" s="1055" t="s">
        <v>486</v>
      </c>
      <c r="F630" s="986"/>
      <c r="G630" s="986">
        <f>VLOOKUP(CLEAN(SUBSTITUTE(TRIM(MID(E:E,FIND("/",E:E)+1,LEN(E:E)))," ","")),'Customs Decl. &amp; Local Delivery'!D:I,6,0)</f>
        <v>45727</v>
      </c>
      <c r="H630" s="987">
        <f>VLOOKUP(CLEAN(SUBSTITUTE(TRIM(MID(E:E,FIND("/",E:E)+1,LEN(E:E)))," ","")),'Customs Decl. &amp; Local Delivery'!D:J,7,0)</f>
        <v>45747</v>
      </c>
      <c r="I630" s="1058" t="s">
        <v>487</v>
      </c>
      <c r="J630" s="1053" t="s">
        <v>18</v>
      </c>
      <c r="K630" s="1058" t="s">
        <v>147</v>
      </c>
      <c r="L630" s="279" t="s">
        <v>20</v>
      </c>
      <c r="M630" s="1053" t="s">
        <v>488</v>
      </c>
      <c r="N630" s="203"/>
      <c r="O630" s="512"/>
      <c r="P630" s="512"/>
      <c r="Q630" s="512"/>
      <c r="R630" s="512"/>
      <c r="S630" s="512"/>
      <c r="T630" s="512"/>
      <c r="U630" s="512"/>
      <c r="V630" s="512"/>
      <c r="W630" s="512"/>
    </row>
    <row r="631" s="178" customFormat="1" ht="15.4" customHeight="1" spans="1:23">
      <c r="A631" s="1064" t="s">
        <v>464</v>
      </c>
      <c r="B631" s="1050" t="s">
        <v>485</v>
      </c>
      <c r="C631" s="789" t="s">
        <v>70</v>
      </c>
      <c r="D631" s="1051">
        <v>260</v>
      </c>
      <c r="E631" s="1056"/>
      <c r="F631" s="986"/>
      <c r="G631" s="986">
        <f>G630</f>
        <v>45727</v>
      </c>
      <c r="H631" s="987">
        <f>H630</f>
        <v>45747</v>
      </c>
      <c r="I631" s="1058" t="s">
        <v>487</v>
      </c>
      <c r="J631" s="1053" t="s">
        <v>18</v>
      </c>
      <c r="K631" s="1058" t="s">
        <v>147</v>
      </c>
      <c r="L631" s="279" t="s">
        <v>20</v>
      </c>
      <c r="M631" s="718" t="s">
        <v>469</v>
      </c>
      <c r="N631" s="203"/>
      <c r="O631" s="512"/>
      <c r="P631" s="512"/>
      <c r="Q631" s="512"/>
      <c r="R631" s="512"/>
      <c r="S631" s="512"/>
      <c r="T631" s="512"/>
      <c r="U631" s="512"/>
      <c r="V631" s="512"/>
      <c r="W631" s="512"/>
    </row>
    <row r="632" s="178" customFormat="1" ht="15.4" customHeight="1" spans="1:23">
      <c r="A632" s="1064" t="s">
        <v>464</v>
      </c>
      <c r="B632" s="1050" t="s">
        <v>489</v>
      </c>
      <c r="C632" s="789" t="s">
        <v>15</v>
      </c>
      <c r="D632" s="1051">
        <v>50</v>
      </c>
      <c r="E632" s="1055" t="s">
        <v>490</v>
      </c>
      <c r="F632" s="986"/>
      <c r="G632" s="986">
        <f>VLOOKUP(CLEAN(SUBSTITUTE(TRIM(MID(E:E,FIND("/",E:E)+1,LEN(E:E)))," ","")),'Customs Decl. &amp; Local Delivery'!D:I,6,0)</f>
        <v>45727</v>
      </c>
      <c r="H632" s="987">
        <f>VLOOKUP(CLEAN(SUBSTITUTE(TRIM(MID(E:E,FIND("/",E:E)+1,LEN(E:E)))," ","")),'Customs Decl. &amp; Local Delivery'!D:J,7,0)</f>
        <v>45747</v>
      </c>
      <c r="I632" s="1058" t="s">
        <v>491</v>
      </c>
      <c r="J632" s="1053" t="s">
        <v>18</v>
      </c>
      <c r="K632" s="1058" t="s">
        <v>147</v>
      </c>
      <c r="L632" s="279" t="s">
        <v>20</v>
      </c>
      <c r="M632" s="1053" t="s">
        <v>492</v>
      </c>
      <c r="N632" s="203"/>
      <c r="O632" s="512"/>
      <c r="P632" s="512"/>
      <c r="Q632" s="512"/>
      <c r="R632" s="512"/>
      <c r="S632" s="512"/>
      <c r="T632" s="512"/>
      <c r="U632" s="512"/>
      <c r="V632" s="512"/>
      <c r="W632" s="512"/>
    </row>
    <row r="633" s="178" customFormat="1" ht="15.4" customHeight="1" spans="1:23">
      <c r="A633" s="1064" t="s">
        <v>464</v>
      </c>
      <c r="B633" s="1050" t="s">
        <v>489</v>
      </c>
      <c r="C633" s="789" t="s">
        <v>22</v>
      </c>
      <c r="D633" s="1051">
        <v>50</v>
      </c>
      <c r="E633" s="1056"/>
      <c r="F633" s="986"/>
      <c r="G633" s="986">
        <f>G632</f>
        <v>45727</v>
      </c>
      <c r="H633" s="987">
        <f>H632</f>
        <v>45747</v>
      </c>
      <c r="I633" s="1058" t="s">
        <v>491</v>
      </c>
      <c r="J633" s="1053" t="s">
        <v>18</v>
      </c>
      <c r="K633" s="1058" t="s">
        <v>147</v>
      </c>
      <c r="L633" s="279" t="s">
        <v>20</v>
      </c>
      <c r="M633" s="718" t="s">
        <v>469</v>
      </c>
      <c r="N633" s="203"/>
      <c r="O633" s="512"/>
      <c r="P633" s="512"/>
      <c r="Q633" s="512"/>
      <c r="R633" s="512"/>
      <c r="S633" s="512"/>
      <c r="T633" s="512"/>
      <c r="U633" s="512"/>
      <c r="V633" s="512"/>
      <c r="W633" s="512"/>
    </row>
    <row r="634" s="178" customFormat="1" ht="15.4" customHeight="1" spans="1:23">
      <c r="A634" s="1064" t="s">
        <v>464</v>
      </c>
      <c r="B634" s="1050" t="s">
        <v>489</v>
      </c>
      <c r="C634" s="789" t="s">
        <v>24</v>
      </c>
      <c r="D634" s="1051">
        <v>100</v>
      </c>
      <c r="E634" s="1056"/>
      <c r="F634" s="986"/>
      <c r="G634" s="986">
        <f>G633</f>
        <v>45727</v>
      </c>
      <c r="H634" s="987">
        <f>H633</f>
        <v>45747</v>
      </c>
      <c r="I634" s="1058" t="s">
        <v>491</v>
      </c>
      <c r="J634" s="1053" t="s">
        <v>18</v>
      </c>
      <c r="K634" s="1058" t="s">
        <v>147</v>
      </c>
      <c r="L634" s="279" t="s">
        <v>20</v>
      </c>
      <c r="M634" s="1053"/>
      <c r="N634" s="203"/>
      <c r="O634" s="512"/>
      <c r="P634" s="512"/>
      <c r="Q634" s="512"/>
      <c r="R634" s="512"/>
      <c r="S634" s="512"/>
      <c r="T634" s="512"/>
      <c r="U634" s="512"/>
      <c r="V634" s="512"/>
      <c r="W634" s="512"/>
    </row>
    <row r="635" s="178" customFormat="1" ht="15.4" customHeight="1" spans="1:23">
      <c r="A635" s="1064" t="s">
        <v>464</v>
      </c>
      <c r="B635" s="1050" t="s">
        <v>489</v>
      </c>
      <c r="C635" s="789" t="s">
        <v>25</v>
      </c>
      <c r="D635" s="1051">
        <v>100</v>
      </c>
      <c r="E635" s="1056"/>
      <c r="F635" s="986"/>
      <c r="G635" s="986">
        <f>G634</f>
        <v>45727</v>
      </c>
      <c r="H635" s="987">
        <f>H634</f>
        <v>45747</v>
      </c>
      <c r="I635" s="1058" t="s">
        <v>491</v>
      </c>
      <c r="J635" s="1053" t="s">
        <v>18</v>
      </c>
      <c r="K635" s="1058" t="s">
        <v>147</v>
      </c>
      <c r="L635" s="279" t="s">
        <v>20</v>
      </c>
      <c r="M635" s="1053"/>
      <c r="N635" s="203"/>
      <c r="O635" s="512"/>
      <c r="P635" s="512"/>
      <c r="Q635" s="512"/>
      <c r="R635" s="512"/>
      <c r="S635" s="512"/>
      <c r="T635" s="512"/>
      <c r="U635" s="512"/>
      <c r="V635" s="512"/>
      <c r="W635" s="512"/>
    </row>
    <row r="636" s="178" customFormat="1" ht="15.4" customHeight="1" spans="1:23">
      <c r="A636" s="1064" t="s">
        <v>464</v>
      </c>
      <c r="B636" s="1050" t="s">
        <v>489</v>
      </c>
      <c r="C636" s="789" t="s">
        <v>27</v>
      </c>
      <c r="D636" s="1051">
        <v>45</v>
      </c>
      <c r="E636" s="1056"/>
      <c r="F636" s="986"/>
      <c r="G636" s="986">
        <f>G635</f>
        <v>45727</v>
      </c>
      <c r="H636" s="987">
        <f>H635</f>
        <v>45747</v>
      </c>
      <c r="I636" s="1058" t="s">
        <v>491</v>
      </c>
      <c r="J636" s="1053" t="s">
        <v>18</v>
      </c>
      <c r="K636" s="1058" t="s">
        <v>147</v>
      </c>
      <c r="L636" s="279" t="s">
        <v>20</v>
      </c>
      <c r="M636" s="1053"/>
      <c r="N636" s="203"/>
      <c r="O636" s="512"/>
      <c r="P636" s="512"/>
      <c r="Q636" s="512"/>
      <c r="R636" s="512"/>
      <c r="S636" s="512"/>
      <c r="T636" s="512"/>
      <c r="U636" s="512"/>
      <c r="V636" s="512"/>
      <c r="W636" s="512"/>
    </row>
    <row r="637" s="178" customFormat="1" ht="15.4" customHeight="1" spans="1:23">
      <c r="A637" s="1064" t="s">
        <v>464</v>
      </c>
      <c r="B637" s="1050" t="s">
        <v>489</v>
      </c>
      <c r="C637" s="789" t="s">
        <v>28</v>
      </c>
      <c r="D637" s="1051">
        <v>45</v>
      </c>
      <c r="E637" s="1056"/>
      <c r="F637" s="986"/>
      <c r="G637" s="986">
        <f>G636</f>
        <v>45727</v>
      </c>
      <c r="H637" s="987">
        <f>H636</f>
        <v>45747</v>
      </c>
      <c r="I637" s="1058" t="s">
        <v>491</v>
      </c>
      <c r="J637" s="1053" t="s">
        <v>18</v>
      </c>
      <c r="K637" s="1058" t="s">
        <v>147</v>
      </c>
      <c r="L637" s="279" t="s">
        <v>20</v>
      </c>
      <c r="M637" s="1053"/>
      <c r="N637" s="203"/>
      <c r="O637" s="512"/>
      <c r="P637" s="512"/>
      <c r="Q637" s="512"/>
      <c r="R637" s="512"/>
      <c r="S637" s="512"/>
      <c r="T637" s="512"/>
      <c r="U637" s="512"/>
      <c r="V637" s="512"/>
      <c r="W637" s="512"/>
    </row>
    <row r="638" s="178" customFormat="1" ht="15.4" customHeight="1" spans="1:23">
      <c r="A638" s="1064" t="s">
        <v>464</v>
      </c>
      <c r="B638" s="1050" t="s">
        <v>493</v>
      </c>
      <c r="C638" s="789" t="s">
        <v>27</v>
      </c>
      <c r="D638" s="1051">
        <v>139</v>
      </c>
      <c r="E638" s="1055" t="s">
        <v>494</v>
      </c>
      <c r="F638" s="986"/>
      <c r="G638" s="986">
        <f>VLOOKUP(CLEAN(SUBSTITUTE(TRIM(MID(E:E,FIND("/",E:E)+1,LEN(E:E)))," ","")),'Customs Decl. &amp; Local Delivery'!D:I,6,0)</f>
        <v>45727</v>
      </c>
      <c r="H638" s="987">
        <f>VLOOKUP(CLEAN(SUBSTITUTE(TRIM(MID(E:E,FIND("/",E:E)+1,LEN(E:E)))," ","")),'Customs Decl. &amp; Local Delivery'!D:J,7,0)</f>
        <v>45747</v>
      </c>
      <c r="I638" s="1058" t="s">
        <v>495</v>
      </c>
      <c r="J638" s="1053" t="s">
        <v>18</v>
      </c>
      <c r="K638" s="1058" t="s">
        <v>147</v>
      </c>
      <c r="L638" s="279" t="s">
        <v>20</v>
      </c>
      <c r="M638" s="1053" t="s">
        <v>496</v>
      </c>
      <c r="N638" s="203"/>
      <c r="O638" s="512"/>
      <c r="P638" s="512"/>
      <c r="Q638" s="512"/>
      <c r="R638" s="512"/>
      <c r="S638" s="512"/>
      <c r="T638" s="512"/>
      <c r="U638" s="512"/>
      <c r="V638" s="512"/>
      <c r="W638" s="512"/>
    </row>
    <row r="639" s="178" customFormat="1" ht="15.4" customHeight="1" spans="1:23">
      <c r="A639" s="1064" t="s">
        <v>464</v>
      </c>
      <c r="B639" s="1050" t="s">
        <v>493</v>
      </c>
      <c r="C639" s="789" t="s">
        <v>28</v>
      </c>
      <c r="D639" s="1051">
        <v>139</v>
      </c>
      <c r="E639" s="1056"/>
      <c r="F639" s="986"/>
      <c r="G639" s="986">
        <f>G638</f>
        <v>45727</v>
      </c>
      <c r="H639" s="987">
        <f>H638</f>
        <v>45747</v>
      </c>
      <c r="I639" s="1058" t="s">
        <v>495</v>
      </c>
      <c r="J639" s="1053" t="s">
        <v>18</v>
      </c>
      <c r="K639" s="1058" t="s">
        <v>147</v>
      </c>
      <c r="L639" s="279" t="s">
        <v>20</v>
      </c>
      <c r="M639" s="718" t="s">
        <v>469</v>
      </c>
      <c r="N639" s="203"/>
      <c r="O639" s="512"/>
      <c r="P639" s="512"/>
      <c r="Q639" s="512"/>
      <c r="R639" s="512"/>
      <c r="S639" s="512"/>
      <c r="T639" s="512"/>
      <c r="U639" s="512"/>
      <c r="V639" s="512"/>
      <c r="W639" s="512"/>
    </row>
    <row r="640" s="178" customFormat="1" ht="15.4" customHeight="1" spans="1:23">
      <c r="A640" s="1064" t="s">
        <v>464</v>
      </c>
      <c r="B640" s="1050" t="s">
        <v>497</v>
      </c>
      <c r="C640" s="789" t="s">
        <v>91</v>
      </c>
      <c r="D640" s="1051">
        <v>92</v>
      </c>
      <c r="E640" s="1055" t="s">
        <v>498</v>
      </c>
      <c r="F640" s="986"/>
      <c r="G640" s="986">
        <f>VLOOKUP(CLEAN(SUBSTITUTE(TRIM(MID(E:E,FIND("/",E:E)+1,LEN(E:E)))," ","")),'Customs Decl. &amp; Local Delivery'!D:I,6,0)</f>
        <v>45727</v>
      </c>
      <c r="H640" s="987">
        <f>VLOOKUP(CLEAN(SUBSTITUTE(TRIM(MID(E:E,FIND("/",E:E)+1,LEN(E:E)))," ","")),'Customs Decl. &amp; Local Delivery'!D:J,7,0)</f>
        <v>45747</v>
      </c>
      <c r="I640" s="1058" t="s">
        <v>499</v>
      </c>
      <c r="J640" s="1053" t="s">
        <v>18</v>
      </c>
      <c r="K640" s="1058" t="s">
        <v>147</v>
      </c>
      <c r="L640" s="279" t="s">
        <v>20</v>
      </c>
      <c r="M640" s="1053" t="s">
        <v>500</v>
      </c>
      <c r="N640" s="1081"/>
      <c r="O640" s="512"/>
      <c r="P640" s="512"/>
      <c r="Q640" s="512"/>
      <c r="R640" s="512"/>
      <c r="S640" s="512"/>
      <c r="T640" s="512"/>
      <c r="U640" s="512"/>
      <c r="V640" s="512"/>
      <c r="W640" s="512"/>
    </row>
    <row r="641" s="178" customFormat="1" ht="15.4" customHeight="1" spans="1:23">
      <c r="A641" s="1064" t="s">
        <v>464</v>
      </c>
      <c r="B641" s="1050" t="s">
        <v>497</v>
      </c>
      <c r="C641" s="789" t="s">
        <v>15</v>
      </c>
      <c r="D641" s="1051">
        <v>126</v>
      </c>
      <c r="E641" s="1056"/>
      <c r="F641" s="986"/>
      <c r="G641" s="986">
        <f>G640</f>
        <v>45727</v>
      </c>
      <c r="H641" s="987">
        <f>H640</f>
        <v>45747</v>
      </c>
      <c r="I641" s="1058" t="s">
        <v>499</v>
      </c>
      <c r="J641" s="1053" t="s">
        <v>18</v>
      </c>
      <c r="K641" s="1058" t="s">
        <v>147</v>
      </c>
      <c r="L641" s="279" t="s">
        <v>20</v>
      </c>
      <c r="M641" s="718" t="s">
        <v>469</v>
      </c>
      <c r="N641" s="1081"/>
      <c r="O641" s="512"/>
      <c r="P641" s="512"/>
      <c r="Q641" s="512"/>
      <c r="R641" s="512"/>
      <c r="S641" s="512"/>
      <c r="T641" s="512"/>
      <c r="U641" s="512"/>
      <c r="V641" s="512"/>
      <c r="W641" s="512"/>
    </row>
    <row r="642" s="178" customFormat="1" ht="15.4" customHeight="1" spans="1:23">
      <c r="A642" s="1064" t="s">
        <v>464</v>
      </c>
      <c r="B642" s="1050" t="s">
        <v>501</v>
      </c>
      <c r="C642" s="789" t="s">
        <v>15</v>
      </c>
      <c r="D642" s="1051">
        <v>250</v>
      </c>
      <c r="E642" s="1055" t="s">
        <v>502</v>
      </c>
      <c r="F642" s="986"/>
      <c r="G642" s="986">
        <f>VLOOKUP(CLEAN(SUBSTITUTE(TRIM(MID(E:E,FIND("/",E:E)+1,LEN(E:E)))," ","")),'Customs Decl. &amp; Local Delivery'!D:I,6,0)</f>
        <v>45727</v>
      </c>
      <c r="H642" s="987">
        <f>VLOOKUP(CLEAN(SUBSTITUTE(TRIM(MID(E:E,FIND("/",E:E)+1,LEN(E:E)))," ","")),'Customs Decl. &amp; Local Delivery'!D:J,7,0)</f>
        <v>45747</v>
      </c>
      <c r="I642" s="1058" t="s">
        <v>503</v>
      </c>
      <c r="J642" s="1053" t="s">
        <v>18</v>
      </c>
      <c r="K642" s="1058" t="s">
        <v>147</v>
      </c>
      <c r="L642" s="279" t="s">
        <v>20</v>
      </c>
      <c r="M642" s="1058" t="s">
        <v>504</v>
      </c>
      <c r="N642" s="1081"/>
      <c r="O642" s="512"/>
      <c r="P642" s="512"/>
      <c r="Q642" s="512"/>
      <c r="R642" s="512"/>
      <c r="S642" s="512"/>
      <c r="T642" s="512"/>
      <c r="U642" s="512"/>
      <c r="V642" s="512"/>
      <c r="W642" s="512"/>
    </row>
    <row r="643" s="178" customFormat="1" ht="15.4" customHeight="1" spans="1:23">
      <c r="A643" s="1064" t="s">
        <v>464</v>
      </c>
      <c r="B643" s="1050" t="s">
        <v>501</v>
      </c>
      <c r="C643" s="789" t="s">
        <v>22</v>
      </c>
      <c r="D643" s="1051">
        <v>250</v>
      </c>
      <c r="E643" s="1056"/>
      <c r="F643" s="986"/>
      <c r="G643" s="986">
        <f>G642</f>
        <v>45727</v>
      </c>
      <c r="H643" s="987">
        <f>H642</f>
        <v>45747</v>
      </c>
      <c r="I643" s="1058" t="s">
        <v>503</v>
      </c>
      <c r="J643" s="1053" t="s">
        <v>18</v>
      </c>
      <c r="K643" s="1058" t="s">
        <v>147</v>
      </c>
      <c r="L643" s="279" t="s">
        <v>20</v>
      </c>
      <c r="M643" s="718" t="s">
        <v>469</v>
      </c>
      <c r="N643" s="1081"/>
      <c r="O643" s="512"/>
      <c r="P643" s="512"/>
      <c r="Q643" s="512"/>
      <c r="R643" s="512"/>
      <c r="S643" s="512"/>
      <c r="T643" s="512"/>
      <c r="U643" s="512"/>
      <c r="V643" s="512"/>
      <c r="W643" s="512"/>
    </row>
    <row r="644" s="178" customFormat="1" ht="15.4" customHeight="1" spans="1:23">
      <c r="A644" s="1064" t="s">
        <v>464</v>
      </c>
      <c r="B644" s="1050" t="s">
        <v>505</v>
      </c>
      <c r="C644" s="789" t="s">
        <v>67</v>
      </c>
      <c r="D644" s="1051">
        <v>140</v>
      </c>
      <c r="E644" s="1055" t="s">
        <v>506</v>
      </c>
      <c r="F644" s="986"/>
      <c r="G644" s="986">
        <f>VLOOKUP(CLEAN(SUBSTITUTE(TRIM(MID(E:E,FIND("/",E:E)+1,LEN(E:E)))," ","")),'Customs Decl. &amp; Local Delivery'!D:I,6,0)</f>
        <v>45727</v>
      </c>
      <c r="H644" s="987">
        <f>VLOOKUP(CLEAN(SUBSTITUTE(TRIM(MID(E:E,FIND("/",E:E)+1,LEN(E:E)))," ","")),'Customs Decl. &amp; Local Delivery'!D:J,7,0)</f>
        <v>45747</v>
      </c>
      <c r="I644" s="1058" t="s">
        <v>507</v>
      </c>
      <c r="J644" s="1053" t="s">
        <v>18</v>
      </c>
      <c r="K644" s="1058" t="s">
        <v>147</v>
      </c>
      <c r="L644" s="279" t="s">
        <v>20</v>
      </c>
      <c r="M644" s="1053" t="s">
        <v>508</v>
      </c>
      <c r="N644" s="1081"/>
      <c r="O644" s="512"/>
      <c r="P644" s="512"/>
      <c r="Q644" s="512"/>
      <c r="R644" s="512"/>
      <c r="S644" s="512"/>
      <c r="T644" s="512"/>
      <c r="U644" s="512"/>
      <c r="V644" s="512"/>
      <c r="W644" s="512"/>
    </row>
    <row r="645" s="178" customFormat="1" ht="15.4" customHeight="1" spans="1:23">
      <c r="A645" s="1064" t="s">
        <v>464</v>
      </c>
      <c r="B645" s="1050" t="s">
        <v>505</v>
      </c>
      <c r="C645" s="789" t="s">
        <v>69</v>
      </c>
      <c r="D645" s="1051">
        <v>140</v>
      </c>
      <c r="E645" s="1056"/>
      <c r="F645" s="986"/>
      <c r="G645" s="986">
        <f>G644</f>
        <v>45727</v>
      </c>
      <c r="H645" s="987">
        <f>H644</f>
        <v>45747</v>
      </c>
      <c r="I645" s="1058" t="s">
        <v>507</v>
      </c>
      <c r="J645" s="1053" t="s">
        <v>18</v>
      </c>
      <c r="K645" s="1058" t="s">
        <v>147</v>
      </c>
      <c r="L645" s="279" t="s">
        <v>20</v>
      </c>
      <c r="M645" s="718" t="s">
        <v>469</v>
      </c>
      <c r="N645" s="1081"/>
      <c r="O645" s="512"/>
      <c r="P645" s="512"/>
      <c r="Q645" s="512"/>
      <c r="R645" s="512"/>
      <c r="S645" s="512"/>
      <c r="T645" s="512"/>
      <c r="U645" s="512"/>
      <c r="V645" s="512"/>
      <c r="W645" s="512"/>
    </row>
    <row r="646" s="178" customFormat="1" ht="15.4" customHeight="1" spans="1:23">
      <c r="A646" s="1064" t="s">
        <v>464</v>
      </c>
      <c r="B646" s="1050" t="s">
        <v>509</v>
      </c>
      <c r="C646" s="789" t="s">
        <v>471</v>
      </c>
      <c r="D646" s="1051">
        <v>120</v>
      </c>
      <c r="E646" s="1055" t="s">
        <v>510</v>
      </c>
      <c r="F646" s="986"/>
      <c r="G646" s="986">
        <f>VLOOKUP(CLEAN(SUBSTITUTE(TRIM(MID(E:E,FIND("/",E:E)+1,LEN(E:E)))," ","")),'Customs Decl. &amp; Local Delivery'!D:I,6,0)</f>
        <v>45727</v>
      </c>
      <c r="H646" s="987">
        <f>VLOOKUP(CLEAN(SUBSTITUTE(TRIM(MID(E:E,FIND("/",E:E)+1,LEN(E:E)))," ","")),'Customs Decl. &amp; Local Delivery'!D:J,7,0)</f>
        <v>45747</v>
      </c>
      <c r="I646" s="1058" t="s">
        <v>511</v>
      </c>
      <c r="J646" s="1053" t="s">
        <v>18</v>
      </c>
      <c r="K646" s="1058" t="s">
        <v>147</v>
      </c>
      <c r="L646" s="279" t="s">
        <v>20</v>
      </c>
      <c r="M646" s="1053" t="s">
        <v>512</v>
      </c>
      <c r="N646" s="203"/>
      <c r="O646" s="512"/>
      <c r="P646" s="512"/>
      <c r="Q646" s="512"/>
      <c r="R646" s="512"/>
      <c r="S646" s="512"/>
      <c r="T646" s="512"/>
      <c r="U646" s="512"/>
      <c r="V646" s="512"/>
      <c r="W646" s="512"/>
    </row>
    <row r="647" s="178" customFormat="1" ht="15.4" customHeight="1" spans="1:23">
      <c r="A647" s="1064" t="s">
        <v>464</v>
      </c>
      <c r="B647" s="1050" t="s">
        <v>509</v>
      </c>
      <c r="C647" s="789" t="s">
        <v>475</v>
      </c>
      <c r="D647" s="1051">
        <v>120</v>
      </c>
      <c r="E647" s="1056"/>
      <c r="F647" s="986"/>
      <c r="G647" s="986">
        <f>G646</f>
        <v>45727</v>
      </c>
      <c r="H647" s="987">
        <f>H646</f>
        <v>45747</v>
      </c>
      <c r="I647" s="1058" t="s">
        <v>511</v>
      </c>
      <c r="J647" s="1053" t="s">
        <v>18</v>
      </c>
      <c r="K647" s="1058" t="s">
        <v>147</v>
      </c>
      <c r="L647" s="279" t="s">
        <v>20</v>
      </c>
      <c r="M647" s="1053" t="s">
        <v>476</v>
      </c>
      <c r="N647" s="203"/>
      <c r="O647" s="512"/>
      <c r="P647" s="512"/>
      <c r="Q647" s="512"/>
      <c r="R647" s="512"/>
      <c r="S647" s="512"/>
      <c r="T647" s="512"/>
      <c r="U647" s="512"/>
      <c r="V647" s="512"/>
      <c r="W647" s="512"/>
    </row>
    <row r="648" s="178" customFormat="1" ht="15.4" customHeight="1" spans="1:23">
      <c r="A648" s="1064" t="s">
        <v>464</v>
      </c>
      <c r="B648" s="1050" t="s">
        <v>513</v>
      </c>
      <c r="C648" s="789" t="s">
        <v>91</v>
      </c>
      <c r="D648" s="1051">
        <v>92</v>
      </c>
      <c r="E648" s="1055" t="s">
        <v>514</v>
      </c>
      <c r="F648" s="986"/>
      <c r="G648" s="986">
        <f>VLOOKUP(CLEAN(SUBSTITUTE(TRIM(MID(E:E,FIND("/",E:E)+1,LEN(E:E)))," ","")),'Customs Decl. &amp; Local Delivery'!D:I,6,0)</f>
        <v>45727</v>
      </c>
      <c r="H648" s="987">
        <f>VLOOKUP(CLEAN(SUBSTITUTE(TRIM(MID(E:E,FIND("/",E:E)+1,LEN(E:E)))," ","")),'Customs Decl. &amp; Local Delivery'!D:J,7,0)</f>
        <v>45747</v>
      </c>
      <c r="I648" s="1058" t="s">
        <v>515</v>
      </c>
      <c r="J648" s="1053" t="s">
        <v>18</v>
      </c>
      <c r="K648" s="1058" t="s">
        <v>147</v>
      </c>
      <c r="L648" s="279" t="s">
        <v>20</v>
      </c>
      <c r="M648" s="1053" t="s">
        <v>516</v>
      </c>
      <c r="N648" s="203"/>
      <c r="O648" s="512"/>
      <c r="P648" s="512"/>
      <c r="Q648" s="512"/>
      <c r="R648" s="512"/>
      <c r="S648" s="512"/>
      <c r="T648" s="512"/>
      <c r="U648" s="512"/>
      <c r="V648" s="512"/>
      <c r="W648" s="512"/>
    </row>
    <row r="649" s="178" customFormat="1" ht="15.4" customHeight="1" spans="1:23">
      <c r="A649" s="1064" t="s">
        <v>464</v>
      </c>
      <c r="B649" s="1050" t="s">
        <v>513</v>
      </c>
      <c r="C649" s="789" t="s">
        <v>15</v>
      </c>
      <c r="D649" s="1051">
        <v>126</v>
      </c>
      <c r="E649" s="1056"/>
      <c r="F649" s="986"/>
      <c r="G649" s="986">
        <f>G648</f>
        <v>45727</v>
      </c>
      <c r="H649" s="987">
        <f>H648</f>
        <v>45747</v>
      </c>
      <c r="I649" s="1058" t="s">
        <v>515</v>
      </c>
      <c r="J649" s="1053" t="s">
        <v>18</v>
      </c>
      <c r="K649" s="1058" t="s">
        <v>147</v>
      </c>
      <c r="L649" s="279" t="s">
        <v>20</v>
      </c>
      <c r="M649" s="718" t="s">
        <v>469</v>
      </c>
      <c r="N649" s="203"/>
      <c r="O649" s="512"/>
      <c r="P649" s="512"/>
      <c r="Q649" s="512"/>
      <c r="R649" s="512"/>
      <c r="S649" s="512"/>
      <c r="T649" s="512"/>
      <c r="U649" s="512"/>
      <c r="V649" s="512"/>
      <c r="W649" s="512"/>
    </row>
    <row r="650" s="178" customFormat="1" ht="15.4" customHeight="1" spans="1:23">
      <c r="A650" s="1047" t="s">
        <v>456</v>
      </c>
      <c r="B650" s="1065" t="s">
        <v>517</v>
      </c>
      <c r="C650" s="1047" t="s">
        <v>518</v>
      </c>
      <c r="D650" s="279">
        <v>50</v>
      </c>
      <c r="E650" s="1082" t="s">
        <v>519</v>
      </c>
      <c r="F650" s="986"/>
      <c r="G650" s="986">
        <v>45729</v>
      </c>
      <c r="H650" s="987">
        <v>45729</v>
      </c>
      <c r="I650" s="1050" t="s">
        <v>520</v>
      </c>
      <c r="J650" s="1050" t="s">
        <v>521</v>
      </c>
      <c r="K650" s="1047" t="s">
        <v>147</v>
      </c>
      <c r="L650" s="240" t="s">
        <v>20</v>
      </c>
      <c r="M650" s="1065" t="s">
        <v>522</v>
      </c>
      <c r="N650" s="203"/>
      <c r="O650" s="512"/>
      <c r="P650" s="512"/>
      <c r="Q650" s="512"/>
      <c r="R650" s="512"/>
      <c r="S650" s="512"/>
      <c r="T650" s="512"/>
      <c r="U650" s="512"/>
      <c r="V650" s="512"/>
      <c r="W650" s="512"/>
    </row>
    <row r="651" s="178" customFormat="1" ht="15.4" customHeight="1" spans="1:23">
      <c r="A651" s="1047" t="s">
        <v>456</v>
      </c>
      <c r="B651" s="1047" t="s">
        <v>517</v>
      </c>
      <c r="C651" s="1047" t="s">
        <v>523</v>
      </c>
      <c r="D651" s="279">
        <v>50</v>
      </c>
      <c r="E651" s="1083"/>
      <c r="F651" s="986"/>
      <c r="G651" s="986">
        <v>45729</v>
      </c>
      <c r="H651" s="987">
        <v>45729</v>
      </c>
      <c r="I651" s="1050" t="s">
        <v>520</v>
      </c>
      <c r="J651" s="1050" t="s">
        <v>521</v>
      </c>
      <c r="K651" s="1047" t="s">
        <v>147</v>
      </c>
      <c r="L651" s="240" t="s">
        <v>20</v>
      </c>
      <c r="M651" s="1065" t="s">
        <v>522</v>
      </c>
      <c r="N651" s="203"/>
      <c r="O651" s="512"/>
      <c r="P651" s="512"/>
      <c r="Q651" s="512"/>
      <c r="R651" s="512"/>
      <c r="S651" s="512"/>
      <c r="T651" s="512"/>
      <c r="U651" s="512"/>
      <c r="V651" s="512"/>
      <c r="W651" s="512"/>
    </row>
    <row r="652" s="178" customFormat="1" ht="15.4" customHeight="1" spans="1:23">
      <c r="A652" s="1064" t="s">
        <v>464</v>
      </c>
      <c r="B652" s="1050" t="s">
        <v>524</v>
      </c>
      <c r="C652" s="789" t="s">
        <v>27</v>
      </c>
      <c r="D652" s="1051">
        <v>416</v>
      </c>
      <c r="E652" s="1055" t="s">
        <v>525</v>
      </c>
      <c r="F652" s="986"/>
      <c r="G652" s="986">
        <f>VLOOKUP(CLEAN(SUBSTITUTE(TRIM(MID(E:E,FIND("/",E:E)+1,LEN(E:E)))," ","")),'Customs Decl. &amp; Local Delivery'!D:I,6,0)</f>
        <v>45729</v>
      </c>
      <c r="H652" s="987">
        <f>VLOOKUP(CLEAN(SUBSTITUTE(TRIM(MID(E:E,FIND("/",E:E)+1,LEN(E:E)))," ","")),'Customs Decl. &amp; Local Delivery'!D:J,7,0)</f>
        <v>45745</v>
      </c>
      <c r="I652" s="1058" t="s">
        <v>526</v>
      </c>
      <c r="J652" s="1053" t="s">
        <v>18</v>
      </c>
      <c r="K652" s="1058" t="s">
        <v>147</v>
      </c>
      <c r="L652" s="279" t="s">
        <v>20</v>
      </c>
      <c r="M652" s="1053" t="s">
        <v>527</v>
      </c>
      <c r="N652" s="203"/>
      <c r="O652" s="512"/>
      <c r="P652" s="512"/>
      <c r="Q652" s="512"/>
      <c r="R652" s="512"/>
      <c r="S652" s="512"/>
      <c r="T652" s="512"/>
      <c r="U652" s="512"/>
      <c r="V652" s="512"/>
      <c r="W652" s="512"/>
    </row>
    <row r="653" s="178" customFormat="1" ht="15.4" customHeight="1" spans="1:23">
      <c r="A653" s="1064" t="s">
        <v>464</v>
      </c>
      <c r="B653" s="1050" t="s">
        <v>524</v>
      </c>
      <c r="C653" s="789" t="s">
        <v>28</v>
      </c>
      <c r="D653" s="1051">
        <v>16</v>
      </c>
      <c r="E653" s="1056"/>
      <c r="F653" s="986"/>
      <c r="G653" s="986">
        <f>G652</f>
        <v>45729</v>
      </c>
      <c r="H653" s="987">
        <f>H652</f>
        <v>45745</v>
      </c>
      <c r="I653" s="1058" t="s">
        <v>526</v>
      </c>
      <c r="J653" s="1053" t="s">
        <v>18</v>
      </c>
      <c r="K653" s="1058" t="s">
        <v>147</v>
      </c>
      <c r="L653" s="279" t="s">
        <v>20</v>
      </c>
      <c r="M653" s="718" t="s">
        <v>528</v>
      </c>
      <c r="N653" s="203"/>
      <c r="O653" s="512"/>
      <c r="P653" s="512"/>
      <c r="Q653" s="512"/>
      <c r="R653" s="512"/>
      <c r="S653" s="512"/>
      <c r="T653" s="512"/>
      <c r="U653" s="512"/>
      <c r="V653" s="512"/>
      <c r="W653" s="512"/>
    </row>
    <row r="654" s="178" customFormat="1" ht="15.4" customHeight="1" spans="1:23">
      <c r="A654" s="1064" t="s">
        <v>464</v>
      </c>
      <c r="B654" s="1050" t="s">
        <v>524</v>
      </c>
      <c r="C654" s="789" t="s">
        <v>15</v>
      </c>
      <c r="D654" s="1051">
        <v>70</v>
      </c>
      <c r="E654" s="1056"/>
      <c r="F654" s="986"/>
      <c r="G654" s="986">
        <f>G653</f>
        <v>45729</v>
      </c>
      <c r="H654" s="987">
        <f>H653</f>
        <v>45745</v>
      </c>
      <c r="I654" s="1058" t="s">
        <v>526</v>
      </c>
      <c r="J654" s="1053" t="s">
        <v>18</v>
      </c>
      <c r="K654" s="1058" t="s">
        <v>147</v>
      </c>
      <c r="L654" s="279" t="s">
        <v>20</v>
      </c>
      <c r="M654" s="1053"/>
      <c r="N654" s="203"/>
      <c r="O654" s="512"/>
      <c r="P654" s="512"/>
      <c r="Q654" s="512"/>
      <c r="R654" s="512"/>
      <c r="S654" s="512"/>
      <c r="T654" s="512"/>
      <c r="U654" s="512"/>
      <c r="V654" s="512"/>
      <c r="W654" s="512"/>
    </row>
    <row r="655" s="178" customFormat="1" ht="15.4" customHeight="1" spans="1:23">
      <c r="A655" s="1064" t="s">
        <v>464</v>
      </c>
      <c r="B655" s="1076" t="s">
        <v>529</v>
      </c>
      <c r="C655" s="789" t="s">
        <v>52</v>
      </c>
      <c r="D655" s="1051">
        <v>2</v>
      </c>
      <c r="E655" s="1055" t="s">
        <v>530</v>
      </c>
      <c r="F655" s="986"/>
      <c r="G655" s="986">
        <f>VLOOKUP(CLEAN(SUBSTITUTE(TRIM(MID(E:E,FIND("/",E:E)+1,LEN(E:E)))," ","")),'Customs Decl. &amp; Local Delivery'!D:I,6,0)</f>
        <v>45729</v>
      </c>
      <c r="H655" s="987">
        <f>VLOOKUP(CLEAN(SUBSTITUTE(TRIM(MID(E:E,FIND("/",E:E)+1,LEN(E:E)))," ","")),'Customs Decl. &amp; Local Delivery'!D:J,7,0)</f>
        <v>45741</v>
      </c>
      <c r="I655" s="1058" t="s">
        <v>531</v>
      </c>
      <c r="J655" s="1053" t="s">
        <v>161</v>
      </c>
      <c r="K655" s="1053" t="s">
        <v>19</v>
      </c>
      <c r="L655" s="1090" t="s">
        <v>20</v>
      </c>
      <c r="M655" s="1053" t="s">
        <v>532</v>
      </c>
      <c r="N655" s="203"/>
      <c r="O655" s="512"/>
      <c r="P655" s="512"/>
      <c r="Q655" s="512"/>
      <c r="R655" s="512"/>
      <c r="S655" s="512"/>
      <c r="T655" s="512"/>
      <c r="U655" s="512"/>
      <c r="V655" s="512"/>
      <c r="W655" s="512"/>
    </row>
    <row r="656" s="178" customFormat="1" ht="15.4" customHeight="1" spans="1:23">
      <c r="A656" s="1064" t="s">
        <v>464</v>
      </c>
      <c r="B656" s="1076" t="s">
        <v>529</v>
      </c>
      <c r="C656" s="789" t="s">
        <v>56</v>
      </c>
      <c r="D656" s="1051">
        <v>2</v>
      </c>
      <c r="E656" s="1056"/>
      <c r="F656" s="986"/>
      <c r="G656" s="986">
        <f t="shared" ref="G656:G662" si="60">G655</f>
        <v>45729</v>
      </c>
      <c r="H656" s="987">
        <f t="shared" ref="H656:H662" si="61">H655</f>
        <v>45741</v>
      </c>
      <c r="I656" s="1058" t="s">
        <v>531</v>
      </c>
      <c r="J656" s="1053" t="s">
        <v>161</v>
      </c>
      <c r="K656" s="1053" t="s">
        <v>19</v>
      </c>
      <c r="L656" s="279" t="s">
        <v>20</v>
      </c>
      <c r="M656" s="1053" t="s">
        <v>533</v>
      </c>
      <c r="N656" s="203"/>
      <c r="O656" s="512"/>
      <c r="P656" s="512"/>
      <c r="Q656" s="512"/>
      <c r="R656" s="512"/>
      <c r="S656" s="512"/>
      <c r="T656" s="512"/>
      <c r="U656" s="512"/>
      <c r="V656" s="512"/>
      <c r="W656" s="512"/>
    </row>
    <row r="657" s="178" customFormat="1" ht="15.4" customHeight="1" spans="1:23">
      <c r="A657" s="1064" t="s">
        <v>464</v>
      </c>
      <c r="B657" s="1076" t="s">
        <v>529</v>
      </c>
      <c r="C657" s="789" t="s">
        <v>47</v>
      </c>
      <c r="D657" s="1051">
        <v>60</v>
      </c>
      <c r="E657" s="1056"/>
      <c r="F657" s="986"/>
      <c r="G657" s="986">
        <f t="shared" si="60"/>
        <v>45729</v>
      </c>
      <c r="H657" s="987">
        <f t="shared" si="61"/>
        <v>45741</v>
      </c>
      <c r="I657" s="1058" t="s">
        <v>531</v>
      </c>
      <c r="J657" s="1053" t="s">
        <v>161</v>
      </c>
      <c r="K657" s="1053" t="s">
        <v>19</v>
      </c>
      <c r="L657" s="279" t="s">
        <v>20</v>
      </c>
      <c r="M657" s="1053" t="s">
        <v>533</v>
      </c>
      <c r="N657" s="203"/>
      <c r="O657" s="512"/>
      <c r="P657" s="512"/>
      <c r="Q657" s="512"/>
      <c r="R657" s="512"/>
      <c r="S657" s="512"/>
      <c r="T657" s="512"/>
      <c r="U657" s="512"/>
      <c r="V657" s="512"/>
      <c r="W657" s="512"/>
    </row>
    <row r="658" s="178" customFormat="1" ht="15.4" customHeight="1" spans="1:23">
      <c r="A658" s="1064" t="s">
        <v>464</v>
      </c>
      <c r="B658" s="1076" t="s">
        <v>529</v>
      </c>
      <c r="C658" s="789" t="s">
        <v>48</v>
      </c>
      <c r="D658" s="1051">
        <v>60</v>
      </c>
      <c r="E658" s="1056"/>
      <c r="F658" s="986"/>
      <c r="G658" s="986">
        <f t="shared" si="60"/>
        <v>45729</v>
      </c>
      <c r="H658" s="987">
        <f t="shared" si="61"/>
        <v>45741</v>
      </c>
      <c r="I658" s="1058" t="s">
        <v>531</v>
      </c>
      <c r="J658" s="1053" t="s">
        <v>161</v>
      </c>
      <c r="K658" s="1053" t="s">
        <v>19</v>
      </c>
      <c r="L658" s="279" t="s">
        <v>20</v>
      </c>
      <c r="M658" s="1053" t="s">
        <v>533</v>
      </c>
      <c r="N658" s="203"/>
      <c r="O658" s="512"/>
      <c r="P658" s="512"/>
      <c r="Q658" s="512"/>
      <c r="R658" s="512"/>
      <c r="S658" s="512"/>
      <c r="T658" s="512"/>
      <c r="U658" s="512"/>
      <c r="V658" s="512"/>
      <c r="W658" s="512"/>
    </row>
    <row r="659" s="178" customFormat="1" ht="15.4" customHeight="1" spans="1:23">
      <c r="A659" s="1064" t="s">
        <v>464</v>
      </c>
      <c r="B659" s="1076" t="s">
        <v>529</v>
      </c>
      <c r="C659" s="789" t="s">
        <v>49</v>
      </c>
      <c r="D659" s="1051">
        <v>10</v>
      </c>
      <c r="E659" s="1056"/>
      <c r="F659" s="986"/>
      <c r="G659" s="986">
        <f t="shared" si="60"/>
        <v>45729</v>
      </c>
      <c r="H659" s="987">
        <f t="shared" si="61"/>
        <v>45741</v>
      </c>
      <c r="I659" s="1058" t="s">
        <v>531</v>
      </c>
      <c r="J659" s="1053" t="s">
        <v>161</v>
      </c>
      <c r="K659" s="1053" t="s">
        <v>19</v>
      </c>
      <c r="L659" s="279" t="s">
        <v>20</v>
      </c>
      <c r="M659" s="1053" t="s">
        <v>533</v>
      </c>
      <c r="N659" s="203"/>
      <c r="O659" s="512"/>
      <c r="P659" s="512"/>
      <c r="Q659" s="512"/>
      <c r="R659" s="512"/>
      <c r="S659" s="512"/>
      <c r="T659" s="512"/>
      <c r="U659" s="512"/>
      <c r="V659" s="512"/>
      <c r="W659" s="512"/>
    </row>
    <row r="660" s="178" customFormat="1" ht="15.4" customHeight="1" spans="1:23">
      <c r="A660" s="1064" t="s">
        <v>464</v>
      </c>
      <c r="B660" s="1076" t="s">
        <v>529</v>
      </c>
      <c r="C660" s="789" t="s">
        <v>50</v>
      </c>
      <c r="D660" s="1051">
        <v>10</v>
      </c>
      <c r="E660" s="1056"/>
      <c r="F660" s="986"/>
      <c r="G660" s="986">
        <f t="shared" si="60"/>
        <v>45729</v>
      </c>
      <c r="H660" s="987">
        <f t="shared" si="61"/>
        <v>45741</v>
      </c>
      <c r="I660" s="1058" t="s">
        <v>531</v>
      </c>
      <c r="J660" s="1053" t="s">
        <v>161</v>
      </c>
      <c r="K660" s="1053" t="s">
        <v>19</v>
      </c>
      <c r="L660" s="279" t="s">
        <v>20</v>
      </c>
      <c r="M660" s="1053" t="s">
        <v>533</v>
      </c>
      <c r="N660" s="203"/>
      <c r="O660" s="512"/>
      <c r="P660" s="512"/>
      <c r="Q660" s="512"/>
      <c r="R660" s="512"/>
      <c r="S660" s="512"/>
      <c r="T660" s="512"/>
      <c r="U660" s="512"/>
      <c r="V660" s="512"/>
      <c r="W660" s="512"/>
    </row>
    <row r="661" s="178" customFormat="1" ht="15.4" customHeight="1" spans="1:23">
      <c r="A661" s="1064" t="s">
        <v>464</v>
      </c>
      <c r="B661" s="1076" t="s">
        <v>529</v>
      </c>
      <c r="C661" s="789" t="s">
        <v>57</v>
      </c>
      <c r="D661" s="1051">
        <v>61</v>
      </c>
      <c r="E661" s="1056"/>
      <c r="F661" s="986"/>
      <c r="G661" s="986">
        <f t="shared" si="60"/>
        <v>45729</v>
      </c>
      <c r="H661" s="987">
        <f t="shared" si="61"/>
        <v>45741</v>
      </c>
      <c r="I661" s="1058" t="s">
        <v>531</v>
      </c>
      <c r="J661" s="1053" t="s">
        <v>161</v>
      </c>
      <c r="K661" s="1053" t="s">
        <v>19</v>
      </c>
      <c r="L661" s="279" t="s">
        <v>20</v>
      </c>
      <c r="M661" s="1053" t="s">
        <v>533</v>
      </c>
      <c r="N661" s="203"/>
      <c r="O661" s="512"/>
      <c r="P661" s="512"/>
      <c r="Q661" s="512"/>
      <c r="R661" s="512"/>
      <c r="S661" s="512"/>
      <c r="T661" s="512"/>
      <c r="U661" s="512"/>
      <c r="V661" s="512"/>
      <c r="W661" s="512"/>
    </row>
    <row r="662" s="178" customFormat="1" ht="15.4" customHeight="1" spans="1:23">
      <c r="A662" s="1084" t="s">
        <v>464</v>
      </c>
      <c r="B662" s="1076" t="s">
        <v>529</v>
      </c>
      <c r="C662" s="789" t="s">
        <v>58</v>
      </c>
      <c r="D662" s="1051">
        <v>61</v>
      </c>
      <c r="E662" s="1056"/>
      <c r="F662" s="986"/>
      <c r="G662" s="986">
        <f t="shared" si="60"/>
        <v>45729</v>
      </c>
      <c r="H662" s="987">
        <f t="shared" si="61"/>
        <v>45741</v>
      </c>
      <c r="I662" s="1058" t="s">
        <v>531</v>
      </c>
      <c r="J662" s="1053" t="s">
        <v>161</v>
      </c>
      <c r="K662" s="1053" t="s">
        <v>19</v>
      </c>
      <c r="L662" s="279" t="s">
        <v>20</v>
      </c>
      <c r="M662" s="1053" t="s">
        <v>533</v>
      </c>
      <c r="N662" s="203"/>
      <c r="O662" s="512"/>
      <c r="P662" s="512"/>
      <c r="Q662" s="512"/>
      <c r="R662" s="512"/>
      <c r="S662" s="512"/>
      <c r="T662" s="512"/>
      <c r="U662" s="512"/>
      <c r="V662" s="512"/>
      <c r="W662" s="512"/>
    </row>
    <row r="663" s="178" customFormat="1" ht="15.4" customHeight="1" spans="1:23">
      <c r="A663" s="1064" t="s">
        <v>464</v>
      </c>
      <c r="B663" s="1050" t="s">
        <v>534</v>
      </c>
      <c r="C663" s="789" t="s">
        <v>70</v>
      </c>
      <c r="D663" s="1051">
        <v>300</v>
      </c>
      <c r="E663" s="1055" t="s">
        <v>535</v>
      </c>
      <c r="F663" s="986"/>
      <c r="G663" s="986">
        <f>VLOOKUP(CLEAN(SUBSTITUTE(TRIM(MID(E:E,FIND("/",E:E)+1,LEN(E:E)))," ","")),'Customs Decl. &amp; Local Delivery'!D:I,6,0)</f>
        <v>45729</v>
      </c>
      <c r="H663" s="987">
        <f>VLOOKUP(CLEAN(SUBSTITUTE(TRIM(MID(E:E,FIND("/",E:E)+1,LEN(E:E)))," ","")),'Customs Decl. &amp; Local Delivery'!D:J,7,0)</f>
        <v>45745</v>
      </c>
      <c r="I663" s="1058" t="s">
        <v>536</v>
      </c>
      <c r="J663" s="1053" t="s">
        <v>18</v>
      </c>
      <c r="K663" s="1058" t="s">
        <v>147</v>
      </c>
      <c r="L663" s="279" t="s">
        <v>20</v>
      </c>
      <c r="M663" s="1053" t="s">
        <v>537</v>
      </c>
      <c r="N663" s="203"/>
      <c r="O663" s="512"/>
      <c r="P663" s="512"/>
      <c r="Q663" s="512"/>
      <c r="R663" s="512"/>
      <c r="S663" s="512"/>
      <c r="T663" s="512"/>
      <c r="U663" s="512"/>
      <c r="V663" s="512"/>
      <c r="W663" s="512"/>
    </row>
    <row r="664" s="178" customFormat="1" ht="15.4" customHeight="1" spans="1:23">
      <c r="A664" s="1064" t="s">
        <v>464</v>
      </c>
      <c r="B664" s="1050" t="s">
        <v>534</v>
      </c>
      <c r="C664" s="789" t="s">
        <v>71</v>
      </c>
      <c r="D664" s="1051">
        <v>60</v>
      </c>
      <c r="E664" s="1056"/>
      <c r="F664" s="986"/>
      <c r="G664" s="986">
        <f>G663</f>
        <v>45729</v>
      </c>
      <c r="H664" s="987">
        <f>H663</f>
        <v>45745</v>
      </c>
      <c r="I664" s="1058" t="s">
        <v>536</v>
      </c>
      <c r="J664" s="1053" t="s">
        <v>18</v>
      </c>
      <c r="K664" s="1058" t="s">
        <v>147</v>
      </c>
      <c r="L664" s="279" t="s">
        <v>20</v>
      </c>
      <c r="M664" s="718" t="s">
        <v>528</v>
      </c>
      <c r="N664" s="203"/>
      <c r="O664" s="512"/>
      <c r="P664" s="512"/>
      <c r="Q664" s="512"/>
      <c r="R664" s="512"/>
      <c r="S664" s="512"/>
      <c r="T664" s="512"/>
      <c r="U664" s="512"/>
      <c r="V664" s="512"/>
      <c r="W664" s="512"/>
    </row>
    <row r="665" s="178" customFormat="1" ht="15.4" customHeight="1" spans="1:23">
      <c r="A665" s="1064" t="s">
        <v>464</v>
      </c>
      <c r="B665" s="1050" t="s">
        <v>538</v>
      </c>
      <c r="C665" s="789" t="s">
        <v>70</v>
      </c>
      <c r="D665" s="1051">
        <v>140</v>
      </c>
      <c r="E665" s="1055" t="s">
        <v>539</v>
      </c>
      <c r="F665" s="986"/>
      <c r="G665" s="986">
        <f>VLOOKUP(CLEAN(SUBSTITUTE(TRIM(MID(E:E,FIND("/",E:E)+1,LEN(E:E)))," ","")),'Customs Decl. &amp; Local Delivery'!D:I,6,0)</f>
        <v>45729</v>
      </c>
      <c r="H665" s="987">
        <f>VLOOKUP(CLEAN(SUBSTITUTE(TRIM(MID(E:E,FIND("/",E:E)+1,LEN(E:E)))," ","")),'Customs Decl. &amp; Local Delivery'!D:J,7,0)</f>
        <v>45745</v>
      </c>
      <c r="I665" s="1058" t="s">
        <v>540</v>
      </c>
      <c r="J665" s="1053" t="s">
        <v>18</v>
      </c>
      <c r="K665" s="1058" t="s">
        <v>147</v>
      </c>
      <c r="L665" s="279" t="s">
        <v>20</v>
      </c>
      <c r="M665" s="1053" t="s">
        <v>541</v>
      </c>
      <c r="N665" s="203"/>
      <c r="O665" s="512"/>
      <c r="P665" s="512"/>
      <c r="Q665" s="512"/>
      <c r="R665" s="512"/>
      <c r="S665" s="512"/>
      <c r="T665" s="512"/>
      <c r="U665" s="512"/>
      <c r="V665" s="512"/>
      <c r="W665" s="512"/>
    </row>
    <row r="666" s="178" customFormat="1" ht="15.4" customHeight="1" spans="1:23">
      <c r="A666" s="1064" t="s">
        <v>464</v>
      </c>
      <c r="B666" s="1050" t="s">
        <v>538</v>
      </c>
      <c r="C666" s="789" t="s">
        <v>71</v>
      </c>
      <c r="D666" s="1051">
        <v>140</v>
      </c>
      <c r="E666" s="1056"/>
      <c r="F666" s="986"/>
      <c r="G666" s="986">
        <f>G665</f>
        <v>45729</v>
      </c>
      <c r="H666" s="987">
        <f>H665</f>
        <v>45745</v>
      </c>
      <c r="I666" s="1058" t="s">
        <v>540</v>
      </c>
      <c r="J666" s="1053" t="s">
        <v>18</v>
      </c>
      <c r="K666" s="1058" t="s">
        <v>147</v>
      </c>
      <c r="L666" s="279" t="s">
        <v>20</v>
      </c>
      <c r="M666" s="718" t="s">
        <v>528</v>
      </c>
      <c r="N666" s="203"/>
      <c r="O666" s="512"/>
      <c r="P666" s="512"/>
      <c r="Q666" s="512"/>
      <c r="R666" s="512"/>
      <c r="S666" s="512"/>
      <c r="T666" s="512"/>
      <c r="U666" s="512"/>
      <c r="V666" s="512"/>
      <c r="W666" s="512"/>
    </row>
    <row r="667" s="477" customFormat="1" ht="15.4" customHeight="1" spans="1:23">
      <c r="A667" s="1064" t="s">
        <v>464</v>
      </c>
      <c r="B667" s="1050" t="s">
        <v>542</v>
      </c>
      <c r="C667" s="789" t="s">
        <v>52</v>
      </c>
      <c r="D667" s="1051">
        <v>20</v>
      </c>
      <c r="E667" s="1055" t="s">
        <v>543</v>
      </c>
      <c r="F667" s="986"/>
      <c r="G667" s="986">
        <f>VLOOKUP(CLEAN(SUBSTITUTE(TRIM(MID(E:E,FIND("/",E:E)+1,LEN(E:E)))," ","")),'Customs Decl. &amp; Local Delivery'!D:I,6,0)</f>
        <v>45730</v>
      </c>
      <c r="H667" s="987">
        <f>VLOOKUP(CLEAN(SUBSTITUTE(TRIM(MID(E:E,FIND("/",E:E)+1,LEN(E:E)))," ","")),'Customs Decl. &amp; Local Delivery'!D:J,7,0)</f>
        <v>45748</v>
      </c>
      <c r="I667" s="699" t="s">
        <v>544</v>
      </c>
      <c r="J667" s="1053" t="s">
        <v>39</v>
      </c>
      <c r="K667" s="1053" t="s">
        <v>19</v>
      </c>
      <c r="L667" s="279" t="s">
        <v>20</v>
      </c>
      <c r="M667" s="1053" t="s">
        <v>545</v>
      </c>
      <c r="N667" s="512"/>
      <c r="O667" s="512"/>
      <c r="P667" s="512"/>
      <c r="Q667" s="512"/>
      <c r="R667" s="512"/>
      <c r="S667" s="512"/>
      <c r="T667" s="512"/>
      <c r="U667" s="512"/>
      <c r="V667" s="512"/>
      <c r="W667" s="512"/>
    </row>
    <row r="668" s="477" customFormat="1" ht="15.4" customHeight="1" spans="1:23">
      <c r="A668" s="1064" t="s">
        <v>464</v>
      </c>
      <c r="B668" s="1050" t="s">
        <v>542</v>
      </c>
      <c r="C668" s="789" t="s">
        <v>56</v>
      </c>
      <c r="D668" s="1051">
        <v>20</v>
      </c>
      <c r="E668" s="1056"/>
      <c r="F668" s="986"/>
      <c r="G668" s="986">
        <f>G667</f>
        <v>45730</v>
      </c>
      <c r="H668" s="987">
        <f>H667</f>
        <v>45748</v>
      </c>
      <c r="I668" s="699" t="s">
        <v>544</v>
      </c>
      <c r="J668" s="1053" t="s">
        <v>39</v>
      </c>
      <c r="K668" s="1053" t="s">
        <v>19</v>
      </c>
      <c r="L668" s="279" t="s">
        <v>20</v>
      </c>
      <c r="M668" s="1053" t="s">
        <v>546</v>
      </c>
      <c r="N668" s="512"/>
      <c r="O668" s="512"/>
      <c r="P668" s="512"/>
      <c r="Q668" s="512"/>
      <c r="R668" s="512"/>
      <c r="S668" s="512"/>
      <c r="T668" s="512"/>
      <c r="U668" s="512"/>
      <c r="V668" s="512"/>
      <c r="W668" s="512"/>
    </row>
    <row r="669" s="477" customFormat="1" ht="15.4" customHeight="1" spans="1:23">
      <c r="A669" s="1064" t="s">
        <v>464</v>
      </c>
      <c r="B669" s="1050" t="s">
        <v>542</v>
      </c>
      <c r="C669" s="789" t="s">
        <v>49</v>
      </c>
      <c r="D669" s="1051">
        <v>50</v>
      </c>
      <c r="E669" s="1056"/>
      <c r="F669" s="986"/>
      <c r="G669" s="986">
        <f>G668</f>
        <v>45730</v>
      </c>
      <c r="H669" s="987">
        <f>H668</f>
        <v>45748</v>
      </c>
      <c r="I669" s="699" t="s">
        <v>544</v>
      </c>
      <c r="J669" s="1053" t="s">
        <v>39</v>
      </c>
      <c r="K669" s="1053" t="s">
        <v>19</v>
      </c>
      <c r="L669" s="279" t="s">
        <v>20</v>
      </c>
      <c r="M669" s="1053" t="s">
        <v>546</v>
      </c>
      <c r="N669" s="512"/>
      <c r="O669" s="512"/>
      <c r="P669" s="512"/>
      <c r="Q669" s="512"/>
      <c r="R669" s="512"/>
      <c r="S669" s="512"/>
      <c r="T669" s="512"/>
      <c r="U669" s="512"/>
      <c r="V669" s="512"/>
      <c r="W669" s="512"/>
    </row>
    <row r="670" s="477" customFormat="1" ht="15.4" customHeight="1" spans="1:23">
      <c r="A670" s="1064" t="s">
        <v>464</v>
      </c>
      <c r="B670" s="1050" t="s">
        <v>542</v>
      </c>
      <c r="C670" s="789" t="s">
        <v>50</v>
      </c>
      <c r="D670" s="1051">
        <v>50</v>
      </c>
      <c r="E670" s="1056"/>
      <c r="F670" s="986"/>
      <c r="G670" s="986">
        <f>G669</f>
        <v>45730</v>
      </c>
      <c r="H670" s="987">
        <f>H669</f>
        <v>45748</v>
      </c>
      <c r="I670" s="699" t="s">
        <v>544</v>
      </c>
      <c r="J670" s="1053" t="s">
        <v>39</v>
      </c>
      <c r="K670" s="1053" t="s">
        <v>19</v>
      </c>
      <c r="L670" s="279" t="s">
        <v>20</v>
      </c>
      <c r="M670" s="1053" t="s">
        <v>546</v>
      </c>
      <c r="N670" s="512"/>
      <c r="O670" s="512"/>
      <c r="P670" s="512"/>
      <c r="Q670" s="512"/>
      <c r="R670" s="512"/>
      <c r="S670" s="512"/>
      <c r="T670" s="512"/>
      <c r="U670" s="512"/>
      <c r="V670" s="512"/>
      <c r="W670" s="512"/>
    </row>
    <row r="671" s="477" customFormat="1" ht="15.4" customHeight="1" spans="1:23">
      <c r="A671" s="1064" t="s">
        <v>464</v>
      </c>
      <c r="B671" s="1050" t="s">
        <v>542</v>
      </c>
      <c r="C671" s="789" t="s">
        <v>57</v>
      </c>
      <c r="D671" s="1051">
        <v>70</v>
      </c>
      <c r="E671" s="1056"/>
      <c r="F671" s="986"/>
      <c r="G671" s="986">
        <f>G670</f>
        <v>45730</v>
      </c>
      <c r="H671" s="987">
        <f>H670</f>
        <v>45748</v>
      </c>
      <c r="I671" s="699" t="s">
        <v>544</v>
      </c>
      <c r="J671" s="1053" t="s">
        <v>39</v>
      </c>
      <c r="K671" s="1053" t="s">
        <v>19</v>
      </c>
      <c r="L671" s="279" t="s">
        <v>20</v>
      </c>
      <c r="M671" s="1053" t="s">
        <v>546</v>
      </c>
      <c r="N671" s="512"/>
      <c r="O671" s="512"/>
      <c r="P671" s="512"/>
      <c r="Q671" s="512"/>
      <c r="R671" s="512"/>
      <c r="S671" s="512"/>
      <c r="T671" s="512"/>
      <c r="U671" s="512"/>
      <c r="V671" s="512"/>
      <c r="W671" s="512"/>
    </row>
    <row r="672" s="477" customFormat="1" ht="15.4" customHeight="1" spans="1:23">
      <c r="A672" s="1064" t="s">
        <v>464</v>
      </c>
      <c r="B672" s="1050" t="s">
        <v>542</v>
      </c>
      <c r="C672" s="789" t="s">
        <v>58</v>
      </c>
      <c r="D672" s="1051">
        <v>70</v>
      </c>
      <c r="E672" s="1056"/>
      <c r="F672" s="986"/>
      <c r="G672" s="986">
        <f>G671</f>
        <v>45730</v>
      </c>
      <c r="H672" s="987">
        <f>H671</f>
        <v>45748</v>
      </c>
      <c r="I672" s="699" t="s">
        <v>544</v>
      </c>
      <c r="J672" s="1053" t="s">
        <v>39</v>
      </c>
      <c r="K672" s="1053" t="s">
        <v>19</v>
      </c>
      <c r="L672" s="279" t="s">
        <v>20</v>
      </c>
      <c r="M672" s="1053" t="s">
        <v>546</v>
      </c>
      <c r="N672" s="512"/>
      <c r="O672" s="512"/>
      <c r="P672" s="512"/>
      <c r="Q672" s="512"/>
      <c r="R672" s="512"/>
      <c r="S672" s="512"/>
      <c r="T672" s="512"/>
      <c r="U672" s="512"/>
      <c r="V672" s="512"/>
      <c r="W672" s="512"/>
    </row>
    <row r="673" s="178" customFormat="1" ht="15.4" customHeight="1" spans="1:23">
      <c r="A673" s="1064" t="s">
        <v>547</v>
      </c>
      <c r="B673" s="1050" t="s">
        <v>548</v>
      </c>
      <c r="C673" s="789" t="s">
        <v>549</v>
      </c>
      <c r="D673" s="240">
        <v>129</v>
      </c>
      <c r="E673" s="1055" t="s">
        <v>550</v>
      </c>
      <c r="F673" s="986"/>
      <c r="G673" s="986">
        <f>VLOOKUP(CLEAN(SUBSTITUTE(TRIM(MID(E:E,FIND("/",E:E)+1,LEN(E:E)))," ","")),'Customs Decl. &amp; Local Delivery'!D:I,6,0)</f>
        <v>45730</v>
      </c>
      <c r="H673" s="987">
        <f>VLOOKUP(CLEAN(SUBSTITUTE(TRIM(MID(E:E,FIND("/",E:E)+1,LEN(E:E)))," ","")),'Customs Decl. &amp; Local Delivery'!D:J,7,0)</f>
        <v>45748</v>
      </c>
      <c r="I673" s="699" t="s">
        <v>551</v>
      </c>
      <c r="J673" s="1053" t="s">
        <v>39</v>
      </c>
      <c r="K673" s="1058" t="s">
        <v>147</v>
      </c>
      <c r="L673" s="279" t="s">
        <v>20</v>
      </c>
      <c r="M673" s="1058" t="s">
        <v>552</v>
      </c>
      <c r="N673" s="203"/>
      <c r="O673" s="512"/>
      <c r="P673" s="512"/>
      <c r="Q673" s="512"/>
      <c r="R673" s="512"/>
      <c r="S673" s="512"/>
      <c r="T673" s="512"/>
      <c r="U673" s="512"/>
      <c r="V673" s="512"/>
      <c r="W673" s="512"/>
    </row>
    <row r="674" s="178" customFormat="1" ht="15.4" customHeight="1" spans="1:23">
      <c r="A674" s="1064" t="s">
        <v>547</v>
      </c>
      <c r="B674" s="1050" t="s">
        <v>548</v>
      </c>
      <c r="C674" s="789" t="s">
        <v>152</v>
      </c>
      <c r="D674" s="240">
        <v>212</v>
      </c>
      <c r="E674" s="1056"/>
      <c r="F674" s="986"/>
      <c r="G674" s="986">
        <f>G673</f>
        <v>45730</v>
      </c>
      <c r="H674" s="987">
        <f>H673</f>
        <v>45748</v>
      </c>
      <c r="I674" s="699" t="s">
        <v>551</v>
      </c>
      <c r="J674" s="1053" t="s">
        <v>39</v>
      </c>
      <c r="K674" s="1058" t="s">
        <v>147</v>
      </c>
      <c r="L674" s="279" t="s">
        <v>20</v>
      </c>
      <c r="M674" s="1061"/>
      <c r="N674" s="203"/>
      <c r="O674" s="512"/>
      <c r="P674" s="512"/>
      <c r="Q674" s="512"/>
      <c r="R674" s="512"/>
      <c r="S674" s="512"/>
      <c r="T674" s="512"/>
      <c r="U674" s="512"/>
      <c r="V674" s="512"/>
      <c r="W674" s="512"/>
    </row>
    <row r="675" s="178" customFormat="1" ht="15.4" customHeight="1" spans="1:23">
      <c r="A675" s="1064" t="s">
        <v>547</v>
      </c>
      <c r="B675" s="1050" t="s">
        <v>553</v>
      </c>
      <c r="C675" s="789" t="s">
        <v>518</v>
      </c>
      <c r="D675" s="1051">
        <v>60</v>
      </c>
      <c r="E675" s="1055" t="s">
        <v>554</v>
      </c>
      <c r="F675" s="986"/>
      <c r="G675" s="986">
        <f>VLOOKUP(CLEAN(SUBSTITUTE(TRIM(MID(E:E,FIND("/",E:E)+1,LEN(E:E)))," ","")),'Customs Decl. &amp; Local Delivery'!D:I,6,0)</f>
        <v>45730</v>
      </c>
      <c r="H675" s="987">
        <f>VLOOKUP(CLEAN(SUBSTITUTE(TRIM(MID(E:E,FIND("/",E:E)+1,LEN(E:E)))," ","")),'Customs Decl. &amp; Local Delivery'!D:J,7,0)</f>
        <v>45748</v>
      </c>
      <c r="I675" s="699" t="s">
        <v>555</v>
      </c>
      <c r="J675" s="1053" t="s">
        <v>39</v>
      </c>
      <c r="K675" s="1058" t="s">
        <v>147</v>
      </c>
      <c r="L675" s="279" t="s">
        <v>20</v>
      </c>
      <c r="M675" s="1053" t="s">
        <v>556</v>
      </c>
      <c r="N675" s="203"/>
      <c r="O675" s="512"/>
      <c r="P675" s="512"/>
      <c r="Q675" s="512"/>
      <c r="R675" s="512"/>
      <c r="S675" s="512"/>
      <c r="T675" s="512"/>
      <c r="U675" s="512"/>
      <c r="V675" s="512"/>
      <c r="W675" s="512"/>
    </row>
    <row r="676" s="178" customFormat="1" ht="15.4" customHeight="1" spans="1:23">
      <c r="A676" s="1064" t="s">
        <v>547</v>
      </c>
      <c r="B676" s="1050" t="s">
        <v>553</v>
      </c>
      <c r="C676" s="789" t="s">
        <v>155</v>
      </c>
      <c r="D676" s="1051">
        <v>119</v>
      </c>
      <c r="E676" s="1056"/>
      <c r="F676" s="986"/>
      <c r="G676" s="986">
        <f>G675</f>
        <v>45730</v>
      </c>
      <c r="H676" s="987">
        <f>H675</f>
        <v>45748</v>
      </c>
      <c r="I676" s="699" t="s">
        <v>555</v>
      </c>
      <c r="J676" s="1053" t="s">
        <v>39</v>
      </c>
      <c r="K676" s="1058" t="s">
        <v>147</v>
      </c>
      <c r="L676" s="279" t="s">
        <v>20</v>
      </c>
      <c r="M676" s="1073" t="s">
        <v>557</v>
      </c>
      <c r="N676" s="203"/>
      <c r="O676" s="512"/>
      <c r="P676" s="512"/>
      <c r="Q676" s="512"/>
      <c r="R676" s="512"/>
      <c r="S676" s="512"/>
      <c r="T676" s="512"/>
      <c r="U676" s="512"/>
      <c r="V676" s="512"/>
      <c r="W676" s="512"/>
    </row>
    <row r="677" s="178" customFormat="1" ht="15.4" customHeight="1" spans="1:23">
      <c r="A677" s="1064" t="s">
        <v>547</v>
      </c>
      <c r="B677" s="1050" t="s">
        <v>553</v>
      </c>
      <c r="C677" s="789" t="s">
        <v>151</v>
      </c>
      <c r="D677" s="1051">
        <v>109</v>
      </c>
      <c r="E677" s="1056"/>
      <c r="F677" s="986"/>
      <c r="G677" s="986">
        <f>G676</f>
        <v>45730</v>
      </c>
      <c r="H677" s="987">
        <f>H676</f>
        <v>45748</v>
      </c>
      <c r="I677" s="699" t="s">
        <v>555</v>
      </c>
      <c r="J677" s="1053" t="s">
        <v>39</v>
      </c>
      <c r="K677" s="1058" t="s">
        <v>147</v>
      </c>
      <c r="L677" s="279" t="s">
        <v>20</v>
      </c>
      <c r="M677" s="1058" t="s">
        <v>558</v>
      </c>
      <c r="N677" s="203"/>
      <c r="O677" s="512"/>
      <c r="P677" s="512"/>
      <c r="Q677" s="512"/>
      <c r="R677" s="512"/>
      <c r="S677" s="512"/>
      <c r="T677" s="512"/>
      <c r="U677" s="512"/>
      <c r="V677" s="512"/>
      <c r="W677" s="512"/>
    </row>
    <row r="678" s="178" customFormat="1" ht="15.4" customHeight="1" spans="1:23">
      <c r="A678" s="1064" t="s">
        <v>559</v>
      </c>
      <c r="B678" s="1050" t="s">
        <v>560</v>
      </c>
      <c r="C678" s="789" t="s">
        <v>129</v>
      </c>
      <c r="D678" s="279">
        <v>30</v>
      </c>
      <c r="E678" s="1085" t="s">
        <v>561</v>
      </c>
      <c r="F678" s="675"/>
      <c r="G678" s="675">
        <f>VLOOKUP(CLEAN(SUBSTITUTE(TRIM(MID(E:E,FIND("/",E:E)+1,LEN(E:E)))," ","")),'Customs Decl. &amp; Local Delivery'!D:I,6,0)</f>
        <v>45734</v>
      </c>
      <c r="H678" s="676">
        <f>VLOOKUP(CLEAN(SUBSTITUTE(TRIM(MID(E:E,FIND("/",E:E)+1,LEN(E:E)))," ","")),'Customs Decl. &amp; Local Delivery'!D:J,7,0)</f>
        <v>45753</v>
      </c>
      <c r="I678" s="699" t="s">
        <v>562</v>
      </c>
      <c r="J678" s="1053" t="s">
        <v>161</v>
      </c>
      <c r="K678" s="1058" t="s">
        <v>147</v>
      </c>
      <c r="L678" s="279" t="s">
        <v>20</v>
      </c>
      <c r="M678" s="699" t="s">
        <v>563</v>
      </c>
      <c r="N678" s="203"/>
      <c r="O678" s="512"/>
      <c r="P678" s="512"/>
      <c r="Q678" s="512"/>
      <c r="R678" s="512"/>
      <c r="S678" s="512"/>
      <c r="T678" s="512"/>
      <c r="U678" s="512"/>
      <c r="V678" s="512"/>
      <c r="W678" s="512"/>
    </row>
    <row r="679" s="178" customFormat="1" ht="15.4" customHeight="1" spans="1:23">
      <c r="A679" s="1064" t="s">
        <v>559</v>
      </c>
      <c r="B679" s="1050" t="s">
        <v>560</v>
      </c>
      <c r="C679" s="789" t="s">
        <v>133</v>
      </c>
      <c r="D679" s="279">
        <v>30</v>
      </c>
      <c r="E679" s="1069"/>
      <c r="F679" s="675"/>
      <c r="G679" s="675">
        <f>G678</f>
        <v>45734</v>
      </c>
      <c r="H679" s="676">
        <f>H678</f>
        <v>45753</v>
      </c>
      <c r="I679" s="699" t="s">
        <v>562</v>
      </c>
      <c r="J679" s="1053" t="s">
        <v>161</v>
      </c>
      <c r="K679" s="1058" t="s">
        <v>147</v>
      </c>
      <c r="L679" s="279" t="s">
        <v>20</v>
      </c>
      <c r="M679" s="1061"/>
      <c r="N679" s="203"/>
      <c r="O679" s="512"/>
      <c r="P679" s="512"/>
      <c r="Q679" s="512"/>
      <c r="R679" s="512"/>
      <c r="S679" s="512"/>
      <c r="T679" s="512"/>
      <c r="U679" s="512"/>
      <c r="V679" s="512"/>
      <c r="W679" s="512"/>
    </row>
    <row r="680" s="178" customFormat="1" ht="15.4" customHeight="1" spans="1:23">
      <c r="A680" s="1064" t="s">
        <v>559</v>
      </c>
      <c r="B680" s="1050" t="s">
        <v>560</v>
      </c>
      <c r="C680" s="789" t="s">
        <v>15</v>
      </c>
      <c r="D680" s="279">
        <v>200</v>
      </c>
      <c r="E680" s="1069"/>
      <c r="F680" s="675"/>
      <c r="G680" s="675">
        <f>G679</f>
        <v>45734</v>
      </c>
      <c r="H680" s="676">
        <f>H679</f>
        <v>45753</v>
      </c>
      <c r="I680" s="699" t="s">
        <v>562</v>
      </c>
      <c r="J680" s="1053" t="s">
        <v>161</v>
      </c>
      <c r="K680" s="1058" t="s">
        <v>147</v>
      </c>
      <c r="L680" s="279" t="s">
        <v>20</v>
      </c>
      <c r="M680" s="1061"/>
      <c r="N680" s="203"/>
      <c r="O680" s="512"/>
      <c r="P680" s="512"/>
      <c r="Q680" s="512"/>
      <c r="R680" s="512"/>
      <c r="S680" s="512"/>
      <c r="T680" s="512"/>
      <c r="U680" s="512"/>
      <c r="V680" s="512"/>
      <c r="W680" s="512"/>
    </row>
    <row r="681" s="178" customFormat="1" ht="15.4" customHeight="1" spans="1:23">
      <c r="A681" s="1064" t="s">
        <v>559</v>
      </c>
      <c r="B681" s="1050" t="s">
        <v>560</v>
      </c>
      <c r="C681" s="789" t="s">
        <v>22</v>
      </c>
      <c r="D681" s="279">
        <v>200</v>
      </c>
      <c r="E681" s="1069"/>
      <c r="F681" s="675"/>
      <c r="G681" s="675">
        <f>G680</f>
        <v>45734</v>
      </c>
      <c r="H681" s="676">
        <f>H680</f>
        <v>45753</v>
      </c>
      <c r="I681" s="699" t="s">
        <v>562</v>
      </c>
      <c r="J681" s="1053" t="s">
        <v>161</v>
      </c>
      <c r="K681" s="1058" t="s">
        <v>147</v>
      </c>
      <c r="L681" s="279" t="s">
        <v>20</v>
      </c>
      <c r="M681" s="1061"/>
      <c r="N681" s="203"/>
      <c r="O681" s="512"/>
      <c r="P681" s="512"/>
      <c r="Q681" s="512"/>
      <c r="R681" s="512"/>
      <c r="S681" s="512"/>
      <c r="T681" s="512"/>
      <c r="U681" s="512"/>
      <c r="V681" s="512"/>
      <c r="W681" s="512"/>
    </row>
    <row r="682" s="178" customFormat="1" ht="15.4" customHeight="1" spans="1:23">
      <c r="A682" s="1064" t="s">
        <v>559</v>
      </c>
      <c r="B682" s="1050" t="s">
        <v>560</v>
      </c>
      <c r="C682" s="789" t="s">
        <v>70</v>
      </c>
      <c r="D682" s="279">
        <v>10</v>
      </c>
      <c r="E682" s="1069"/>
      <c r="F682" s="675"/>
      <c r="G682" s="675">
        <f>G681</f>
        <v>45734</v>
      </c>
      <c r="H682" s="676">
        <f>H681</f>
        <v>45753</v>
      </c>
      <c r="I682" s="699" t="s">
        <v>562</v>
      </c>
      <c r="J682" s="1053" t="s">
        <v>161</v>
      </c>
      <c r="K682" s="1058" t="s">
        <v>147</v>
      </c>
      <c r="L682" s="279" t="s">
        <v>20</v>
      </c>
      <c r="M682" s="1061"/>
      <c r="N682" s="203"/>
      <c r="O682" s="512"/>
      <c r="P682" s="512"/>
      <c r="Q682" s="512"/>
      <c r="R682" s="512"/>
      <c r="S682" s="512"/>
      <c r="T682" s="512"/>
      <c r="U682" s="512"/>
      <c r="V682" s="512"/>
      <c r="W682" s="512"/>
    </row>
    <row r="683" s="178" customFormat="1" ht="15.4" customHeight="1" spans="1:23">
      <c r="A683" s="1064" t="s">
        <v>559</v>
      </c>
      <c r="B683" s="1050" t="s">
        <v>560</v>
      </c>
      <c r="C683" s="789" t="s">
        <v>71</v>
      </c>
      <c r="D683" s="279">
        <v>10</v>
      </c>
      <c r="E683" s="1069"/>
      <c r="F683" s="675"/>
      <c r="G683" s="675">
        <f>G682</f>
        <v>45734</v>
      </c>
      <c r="H683" s="676">
        <f>H682</f>
        <v>45753</v>
      </c>
      <c r="I683" s="699" t="s">
        <v>562</v>
      </c>
      <c r="J683" s="1053" t="s">
        <v>161</v>
      </c>
      <c r="K683" s="1058" t="s">
        <v>147</v>
      </c>
      <c r="L683" s="279" t="s">
        <v>20</v>
      </c>
      <c r="M683" s="1061"/>
      <c r="N683" s="203"/>
      <c r="O683" s="512"/>
      <c r="P683" s="512"/>
      <c r="Q683" s="512"/>
      <c r="R683" s="512"/>
      <c r="S683" s="512"/>
      <c r="T683" s="512"/>
      <c r="U683" s="512"/>
      <c r="V683" s="512"/>
      <c r="W683" s="512"/>
    </row>
    <row r="684" s="477" customFormat="1" ht="15.4" customHeight="1" spans="1:23">
      <c r="A684" s="749" t="s">
        <v>456</v>
      </c>
      <c r="B684" s="811" t="s">
        <v>309</v>
      </c>
      <c r="C684" s="794" t="s">
        <v>129</v>
      </c>
      <c r="D684" s="240">
        <v>0</v>
      </c>
      <c r="E684" s="811" t="s">
        <v>564</v>
      </c>
      <c r="F684" s="1086"/>
      <c r="G684" s="1087" t="s">
        <v>309</v>
      </c>
      <c r="H684" s="1088" t="s">
        <v>309</v>
      </c>
      <c r="I684" s="1091" t="s">
        <v>309</v>
      </c>
      <c r="J684" s="749" t="s">
        <v>18</v>
      </c>
      <c r="K684" s="780" t="s">
        <v>19</v>
      </c>
      <c r="L684" s="1092"/>
      <c r="M684" s="1093" t="s">
        <v>565</v>
      </c>
      <c r="N684" s="512"/>
      <c r="O684" s="512"/>
      <c r="P684" s="512"/>
      <c r="Q684" s="512"/>
      <c r="R684" s="512"/>
      <c r="S684" s="512"/>
      <c r="T684" s="512"/>
      <c r="U684" s="512"/>
      <c r="V684" s="512"/>
      <c r="W684" s="512"/>
    </row>
    <row r="685" s="477" customFormat="1" ht="15.4" customHeight="1" spans="1:23">
      <c r="A685" s="749" t="s">
        <v>456</v>
      </c>
      <c r="B685" s="811" t="s">
        <v>309</v>
      </c>
      <c r="C685" s="794" t="s">
        <v>133</v>
      </c>
      <c r="D685" s="240">
        <v>0</v>
      </c>
      <c r="E685" s="988"/>
      <c r="F685" s="1086"/>
      <c r="G685" s="1087" t="s">
        <v>309</v>
      </c>
      <c r="H685" s="1088" t="s">
        <v>309</v>
      </c>
      <c r="I685" s="1091" t="s">
        <v>309</v>
      </c>
      <c r="J685" s="749" t="s">
        <v>18</v>
      </c>
      <c r="K685" s="780" t="s">
        <v>19</v>
      </c>
      <c r="L685" s="1092"/>
      <c r="M685" s="1093" t="s">
        <v>566</v>
      </c>
      <c r="N685" s="512"/>
      <c r="O685" s="512"/>
      <c r="P685" s="512"/>
      <c r="Q685" s="512"/>
      <c r="R685" s="512"/>
      <c r="S685" s="512"/>
      <c r="T685" s="512"/>
      <c r="U685" s="512"/>
      <c r="V685" s="512"/>
      <c r="W685" s="512"/>
    </row>
    <row r="686" s="477" customFormat="1" ht="15.4" customHeight="1" spans="1:23">
      <c r="A686" s="749" t="s">
        <v>456</v>
      </c>
      <c r="B686" s="811" t="s">
        <v>309</v>
      </c>
      <c r="C686" s="794" t="s">
        <v>15</v>
      </c>
      <c r="D686" s="240">
        <v>0</v>
      </c>
      <c r="E686" s="988"/>
      <c r="F686" s="1086"/>
      <c r="G686" s="1087" t="s">
        <v>309</v>
      </c>
      <c r="H686" s="1088" t="s">
        <v>309</v>
      </c>
      <c r="I686" s="1091" t="s">
        <v>309</v>
      </c>
      <c r="J686" s="749" t="s">
        <v>18</v>
      </c>
      <c r="K686" s="780" t="s">
        <v>19</v>
      </c>
      <c r="L686" s="1092"/>
      <c r="M686" s="1093" t="s">
        <v>567</v>
      </c>
      <c r="N686" s="512"/>
      <c r="O686" s="512"/>
      <c r="P686" s="512"/>
      <c r="Q686" s="512"/>
      <c r="R686" s="512"/>
      <c r="S686" s="512"/>
      <c r="T686" s="512"/>
      <c r="U686" s="512"/>
      <c r="V686" s="512"/>
      <c r="W686" s="512"/>
    </row>
    <row r="687" s="477" customFormat="1" ht="15.4" customHeight="1" spans="1:23">
      <c r="A687" s="749" t="s">
        <v>456</v>
      </c>
      <c r="B687" s="811" t="s">
        <v>309</v>
      </c>
      <c r="C687" s="794" t="s">
        <v>24</v>
      </c>
      <c r="D687" s="240">
        <v>0</v>
      </c>
      <c r="E687" s="988"/>
      <c r="F687" s="1086"/>
      <c r="G687" s="1087" t="s">
        <v>309</v>
      </c>
      <c r="H687" s="1088" t="s">
        <v>309</v>
      </c>
      <c r="I687" s="1091" t="s">
        <v>309</v>
      </c>
      <c r="J687" s="749" t="s">
        <v>18</v>
      </c>
      <c r="K687" s="780" t="s">
        <v>19</v>
      </c>
      <c r="L687" s="1092"/>
      <c r="M687" s="1093" t="s">
        <v>566</v>
      </c>
      <c r="N687" s="512"/>
      <c r="O687" s="512"/>
      <c r="P687" s="512"/>
      <c r="Q687" s="512"/>
      <c r="R687" s="512"/>
      <c r="S687" s="512"/>
      <c r="T687" s="512"/>
      <c r="U687" s="512"/>
      <c r="V687" s="512"/>
      <c r="W687" s="512"/>
    </row>
    <row r="688" s="477" customFormat="1" ht="15.4" customHeight="1" spans="1:23">
      <c r="A688" s="749" t="s">
        <v>456</v>
      </c>
      <c r="B688" s="811" t="s">
        <v>309</v>
      </c>
      <c r="C688" s="794" t="s">
        <v>25</v>
      </c>
      <c r="D688" s="240">
        <v>0</v>
      </c>
      <c r="E688" s="988"/>
      <c r="F688" s="1086"/>
      <c r="G688" s="1087" t="s">
        <v>309</v>
      </c>
      <c r="H688" s="1088" t="s">
        <v>309</v>
      </c>
      <c r="I688" s="1091" t="s">
        <v>309</v>
      </c>
      <c r="J688" s="749" t="s">
        <v>18</v>
      </c>
      <c r="K688" s="780" t="s">
        <v>19</v>
      </c>
      <c r="L688" s="1092"/>
      <c r="M688" s="1093" t="s">
        <v>566</v>
      </c>
      <c r="N688" s="512"/>
      <c r="O688" s="512"/>
      <c r="P688" s="512"/>
      <c r="Q688" s="512"/>
      <c r="R688" s="512"/>
      <c r="S688" s="512"/>
      <c r="T688" s="512"/>
      <c r="U688" s="512"/>
      <c r="V688" s="512"/>
      <c r="W688" s="512"/>
    </row>
    <row r="689" s="477" customFormat="1" ht="15.4" customHeight="1" spans="1:23">
      <c r="A689" s="749" t="s">
        <v>456</v>
      </c>
      <c r="B689" s="811" t="s">
        <v>309</v>
      </c>
      <c r="C689" s="794" t="s">
        <v>27</v>
      </c>
      <c r="D689" s="240">
        <v>0</v>
      </c>
      <c r="E689" s="988"/>
      <c r="F689" s="1086"/>
      <c r="G689" s="1087" t="s">
        <v>309</v>
      </c>
      <c r="H689" s="1088" t="s">
        <v>309</v>
      </c>
      <c r="I689" s="1091" t="s">
        <v>309</v>
      </c>
      <c r="J689" s="749" t="s">
        <v>18</v>
      </c>
      <c r="K689" s="780" t="s">
        <v>19</v>
      </c>
      <c r="L689" s="1092"/>
      <c r="M689" s="1093" t="s">
        <v>566</v>
      </c>
      <c r="N689" s="512"/>
      <c r="O689" s="512"/>
      <c r="P689" s="512"/>
      <c r="Q689" s="512"/>
      <c r="R689" s="512"/>
      <c r="S689" s="512"/>
      <c r="T689" s="512"/>
      <c r="U689" s="512"/>
      <c r="V689" s="512"/>
      <c r="W689" s="512"/>
    </row>
    <row r="690" s="477" customFormat="1" ht="15.4" customHeight="1" spans="1:23">
      <c r="A690" s="749" t="s">
        <v>456</v>
      </c>
      <c r="B690" s="811" t="s">
        <v>309</v>
      </c>
      <c r="C690" s="794" t="s">
        <v>28</v>
      </c>
      <c r="D690" s="240">
        <v>0</v>
      </c>
      <c r="E690" s="988"/>
      <c r="F690" s="1086"/>
      <c r="G690" s="1087" t="s">
        <v>309</v>
      </c>
      <c r="H690" s="1088" t="s">
        <v>309</v>
      </c>
      <c r="I690" s="1091" t="s">
        <v>309</v>
      </c>
      <c r="J690" s="749" t="s">
        <v>18</v>
      </c>
      <c r="K690" s="780" t="s">
        <v>19</v>
      </c>
      <c r="L690" s="1092"/>
      <c r="M690" s="1093" t="s">
        <v>566</v>
      </c>
      <c r="N690" s="512"/>
      <c r="O690" s="512"/>
      <c r="P690" s="512"/>
      <c r="Q690" s="512"/>
      <c r="R690" s="512"/>
      <c r="S690" s="512"/>
      <c r="T690" s="512"/>
      <c r="U690" s="512"/>
      <c r="V690" s="512"/>
      <c r="W690" s="512"/>
    </row>
    <row r="691" s="477" customFormat="1" ht="15.4" customHeight="1" spans="1:23">
      <c r="A691" s="749" t="s">
        <v>456</v>
      </c>
      <c r="B691" s="811" t="s">
        <v>309</v>
      </c>
      <c r="C691" s="794" t="s">
        <v>67</v>
      </c>
      <c r="D691" s="240">
        <v>0</v>
      </c>
      <c r="E691" s="988"/>
      <c r="F691" s="1086"/>
      <c r="G691" s="1087" t="s">
        <v>309</v>
      </c>
      <c r="H691" s="1088" t="s">
        <v>309</v>
      </c>
      <c r="I691" s="1091" t="s">
        <v>309</v>
      </c>
      <c r="J691" s="749" t="s">
        <v>18</v>
      </c>
      <c r="K691" s="780" t="s">
        <v>19</v>
      </c>
      <c r="L691" s="1092"/>
      <c r="M691" s="1093" t="s">
        <v>566</v>
      </c>
      <c r="N691" s="512"/>
      <c r="O691" s="512"/>
      <c r="P691" s="512"/>
      <c r="Q691" s="512"/>
      <c r="R691" s="512"/>
      <c r="S691" s="512"/>
      <c r="T691" s="512"/>
      <c r="U691" s="512"/>
      <c r="V691" s="512"/>
      <c r="W691" s="512"/>
    </row>
    <row r="692" s="477" customFormat="1" ht="15.4" customHeight="1" spans="1:23">
      <c r="A692" s="749" t="s">
        <v>456</v>
      </c>
      <c r="B692" s="811" t="s">
        <v>309</v>
      </c>
      <c r="C692" s="794" t="s">
        <v>69</v>
      </c>
      <c r="D692" s="240">
        <v>0</v>
      </c>
      <c r="E692" s="988"/>
      <c r="F692" s="1086"/>
      <c r="G692" s="1087" t="s">
        <v>309</v>
      </c>
      <c r="H692" s="1088" t="s">
        <v>309</v>
      </c>
      <c r="I692" s="1091" t="s">
        <v>309</v>
      </c>
      <c r="J692" s="749" t="s">
        <v>18</v>
      </c>
      <c r="K692" s="780" t="s">
        <v>19</v>
      </c>
      <c r="L692" s="1092"/>
      <c r="M692" s="1093" t="s">
        <v>566</v>
      </c>
      <c r="N692" s="512"/>
      <c r="O692" s="512"/>
      <c r="P692" s="512"/>
      <c r="Q692" s="512"/>
      <c r="R692" s="512"/>
      <c r="S692" s="512"/>
      <c r="T692" s="512"/>
      <c r="U692" s="512"/>
      <c r="V692" s="512"/>
      <c r="W692" s="512"/>
    </row>
    <row r="693" s="477" customFormat="1" ht="15.4" customHeight="1" spans="1:23">
      <c r="A693" s="749" t="s">
        <v>456</v>
      </c>
      <c r="B693" s="811" t="s">
        <v>309</v>
      </c>
      <c r="C693" s="794" t="s">
        <v>70</v>
      </c>
      <c r="D693" s="240">
        <v>0</v>
      </c>
      <c r="E693" s="988"/>
      <c r="F693" s="1086"/>
      <c r="G693" s="1087" t="s">
        <v>309</v>
      </c>
      <c r="H693" s="1088" t="s">
        <v>309</v>
      </c>
      <c r="I693" s="1091" t="s">
        <v>309</v>
      </c>
      <c r="J693" s="749" t="s">
        <v>18</v>
      </c>
      <c r="K693" s="780" t="s">
        <v>19</v>
      </c>
      <c r="L693" s="1092"/>
      <c r="M693" s="1093" t="s">
        <v>566</v>
      </c>
      <c r="N693" s="512"/>
      <c r="O693" s="512"/>
      <c r="P693" s="512"/>
      <c r="Q693" s="512"/>
      <c r="R693" s="512"/>
      <c r="S693" s="512"/>
      <c r="T693" s="512"/>
      <c r="U693" s="512"/>
      <c r="V693" s="512"/>
      <c r="W693" s="512"/>
    </row>
    <row r="694" s="477" customFormat="1" ht="15.4" customHeight="1" spans="1:23">
      <c r="A694" s="749" t="s">
        <v>456</v>
      </c>
      <c r="B694" s="811" t="s">
        <v>309</v>
      </c>
      <c r="C694" s="794" t="s">
        <v>71</v>
      </c>
      <c r="D694" s="240">
        <v>0</v>
      </c>
      <c r="E694" s="988"/>
      <c r="F694" s="1086"/>
      <c r="G694" s="1087" t="s">
        <v>309</v>
      </c>
      <c r="H694" s="1088" t="s">
        <v>309</v>
      </c>
      <c r="I694" s="1091" t="s">
        <v>309</v>
      </c>
      <c r="J694" s="749" t="s">
        <v>18</v>
      </c>
      <c r="K694" s="780" t="s">
        <v>19</v>
      </c>
      <c r="L694" s="1092"/>
      <c r="M694" s="1093" t="s">
        <v>566</v>
      </c>
      <c r="N694" s="512"/>
      <c r="O694" s="512"/>
      <c r="P694" s="512"/>
      <c r="Q694" s="512"/>
      <c r="R694" s="512"/>
      <c r="S694" s="512"/>
      <c r="T694" s="512"/>
      <c r="U694" s="512"/>
      <c r="V694" s="512"/>
      <c r="W694" s="512"/>
    </row>
    <row r="695" s="477" customFormat="1" ht="15.4" customHeight="1" spans="1:23">
      <c r="A695" s="749" t="s">
        <v>456</v>
      </c>
      <c r="B695" s="811" t="s">
        <v>309</v>
      </c>
      <c r="C695" s="794" t="s">
        <v>59</v>
      </c>
      <c r="D695" s="240">
        <v>0</v>
      </c>
      <c r="E695" s="988"/>
      <c r="F695" s="1086"/>
      <c r="G695" s="1087" t="s">
        <v>309</v>
      </c>
      <c r="H695" s="1088" t="s">
        <v>309</v>
      </c>
      <c r="I695" s="1091" t="s">
        <v>309</v>
      </c>
      <c r="J695" s="749" t="s">
        <v>18</v>
      </c>
      <c r="K695" s="780" t="s">
        <v>19</v>
      </c>
      <c r="L695" s="1092"/>
      <c r="M695" s="1093" t="s">
        <v>566</v>
      </c>
      <c r="N695" s="512"/>
      <c r="O695" s="512"/>
      <c r="P695" s="512"/>
      <c r="Q695" s="512"/>
      <c r="R695" s="512"/>
      <c r="S695" s="512"/>
      <c r="T695" s="512"/>
      <c r="U695" s="512"/>
      <c r="V695" s="512"/>
      <c r="W695" s="512"/>
    </row>
    <row r="696" s="477" customFormat="1" ht="15.4" customHeight="1" spans="1:23">
      <c r="A696" s="749" t="s">
        <v>456</v>
      </c>
      <c r="B696" s="811" t="s">
        <v>309</v>
      </c>
      <c r="C696" s="794" t="s">
        <v>60</v>
      </c>
      <c r="D696" s="240">
        <v>0</v>
      </c>
      <c r="E696" s="988"/>
      <c r="F696" s="1086"/>
      <c r="G696" s="1087" t="s">
        <v>309</v>
      </c>
      <c r="H696" s="1088" t="s">
        <v>309</v>
      </c>
      <c r="I696" s="1091" t="s">
        <v>309</v>
      </c>
      <c r="J696" s="749" t="s">
        <v>18</v>
      </c>
      <c r="K696" s="780" t="s">
        <v>19</v>
      </c>
      <c r="L696" s="1092"/>
      <c r="M696" s="1093" t="s">
        <v>566</v>
      </c>
      <c r="N696" s="512"/>
      <c r="O696" s="512"/>
      <c r="P696" s="512"/>
      <c r="Q696" s="512"/>
      <c r="R696" s="512"/>
      <c r="S696" s="512"/>
      <c r="T696" s="512"/>
      <c r="U696" s="512"/>
      <c r="V696" s="512"/>
      <c r="W696" s="512"/>
    </row>
    <row r="697" s="477" customFormat="1" spans="1:23">
      <c r="A697" s="1058" t="s">
        <v>456</v>
      </c>
      <c r="B697" s="1047" t="s">
        <v>568</v>
      </c>
      <c r="C697" s="1089" t="s">
        <v>15</v>
      </c>
      <c r="D697" s="266">
        <v>75</v>
      </c>
      <c r="E697" s="1052" t="s">
        <v>569</v>
      </c>
      <c r="F697" s="675"/>
      <c r="G697" s="675">
        <f>VLOOKUP(CLEAN(SUBSTITUTE(TRIM(MID(E:E,FIND("/",E:E)+1,LEN(E:E)))," ","")),'Customs Decl. &amp; Local Delivery'!D:I,6,0)</f>
        <v>45720</v>
      </c>
      <c r="H697" s="676">
        <f>VLOOKUP(CLEAN(SUBSTITUTE(TRIM(MID(E:E,FIND("/",E:E)+1,LEN(E:E)))," ","")),'Customs Decl. &amp; Local Delivery'!D:J,7,0)</f>
        <v>45760</v>
      </c>
      <c r="I697" s="1058" t="s">
        <v>570</v>
      </c>
      <c r="J697" s="1047" t="s">
        <v>215</v>
      </c>
      <c r="K697" s="1047" t="s">
        <v>19</v>
      </c>
      <c r="L697" s="279" t="s">
        <v>20</v>
      </c>
      <c r="M697" s="1060" t="s">
        <v>571</v>
      </c>
      <c r="N697" s="512"/>
      <c r="O697" s="512"/>
      <c r="P697" s="512"/>
      <c r="Q697" s="512"/>
      <c r="R697" s="512"/>
      <c r="S697" s="512"/>
      <c r="T697" s="512"/>
      <c r="U697" s="512"/>
      <c r="V697" s="512"/>
      <c r="W697" s="512"/>
    </row>
    <row r="698" s="477" customFormat="1" spans="1:23">
      <c r="A698" s="1058" t="s">
        <v>456</v>
      </c>
      <c r="B698" s="1047" t="s">
        <v>568</v>
      </c>
      <c r="C698" s="1089" t="s">
        <v>22</v>
      </c>
      <c r="D698" s="266">
        <v>75</v>
      </c>
      <c r="E698" s="1067"/>
      <c r="F698" s="675"/>
      <c r="G698" s="675">
        <f t="shared" ref="G698:G706" si="62">G697</f>
        <v>45720</v>
      </c>
      <c r="H698" s="676">
        <f t="shared" ref="H698:H706" si="63">H697</f>
        <v>45760</v>
      </c>
      <c r="I698" s="1058" t="s">
        <v>570</v>
      </c>
      <c r="J698" s="1047" t="s">
        <v>215</v>
      </c>
      <c r="K698" s="1047" t="s">
        <v>19</v>
      </c>
      <c r="L698" s="279" t="s">
        <v>20</v>
      </c>
      <c r="M698" s="1061" t="s">
        <v>572</v>
      </c>
      <c r="N698" s="512"/>
      <c r="O698" s="512"/>
      <c r="P698" s="512"/>
      <c r="Q698" s="512"/>
      <c r="R698" s="512"/>
      <c r="S698" s="512"/>
      <c r="T698" s="512"/>
      <c r="U698" s="512"/>
      <c r="V698" s="512"/>
      <c r="W698" s="512"/>
    </row>
    <row r="699" s="477" customFormat="1" spans="1:23">
      <c r="A699" s="1058" t="s">
        <v>456</v>
      </c>
      <c r="B699" s="1047" t="s">
        <v>568</v>
      </c>
      <c r="C699" s="1089" t="s">
        <v>67</v>
      </c>
      <c r="D699" s="266">
        <v>50</v>
      </c>
      <c r="E699" s="1067"/>
      <c r="F699" s="675"/>
      <c r="G699" s="675">
        <f t="shared" si="62"/>
        <v>45720</v>
      </c>
      <c r="H699" s="676">
        <f t="shared" si="63"/>
        <v>45760</v>
      </c>
      <c r="I699" s="1058" t="s">
        <v>570</v>
      </c>
      <c r="J699" s="1047" t="s">
        <v>215</v>
      </c>
      <c r="K699" s="1047" t="s">
        <v>19</v>
      </c>
      <c r="L699" s="279" t="s">
        <v>20</v>
      </c>
      <c r="M699" s="1061" t="s">
        <v>572</v>
      </c>
      <c r="N699" s="512"/>
      <c r="O699" s="512"/>
      <c r="P699" s="512"/>
      <c r="Q699" s="512"/>
      <c r="R699" s="512"/>
      <c r="S699" s="512"/>
      <c r="T699" s="512"/>
      <c r="U699" s="512"/>
      <c r="V699" s="512"/>
      <c r="W699" s="512"/>
    </row>
    <row r="700" s="477" customFormat="1" spans="1:23">
      <c r="A700" s="1058" t="s">
        <v>456</v>
      </c>
      <c r="B700" s="1047" t="s">
        <v>568</v>
      </c>
      <c r="C700" s="1089" t="s">
        <v>69</v>
      </c>
      <c r="D700" s="266">
        <v>50</v>
      </c>
      <c r="E700" s="1067"/>
      <c r="F700" s="675"/>
      <c r="G700" s="675">
        <f t="shared" si="62"/>
        <v>45720</v>
      </c>
      <c r="H700" s="676">
        <f t="shared" si="63"/>
        <v>45760</v>
      </c>
      <c r="I700" s="1058" t="s">
        <v>570</v>
      </c>
      <c r="J700" s="1047" t="s">
        <v>215</v>
      </c>
      <c r="K700" s="1047" t="s">
        <v>19</v>
      </c>
      <c r="L700" s="279" t="s">
        <v>20</v>
      </c>
      <c r="M700" s="1061" t="s">
        <v>572</v>
      </c>
      <c r="N700" s="512"/>
      <c r="O700" s="512"/>
      <c r="P700" s="512"/>
      <c r="Q700" s="512"/>
      <c r="R700" s="512"/>
      <c r="S700" s="512"/>
      <c r="T700" s="512"/>
      <c r="U700" s="512"/>
      <c r="V700" s="512"/>
      <c r="W700" s="512"/>
    </row>
    <row r="701" s="477" customFormat="1" spans="1:23">
      <c r="A701" s="1058" t="s">
        <v>456</v>
      </c>
      <c r="B701" s="1047" t="s">
        <v>568</v>
      </c>
      <c r="C701" s="1089" t="s">
        <v>70</v>
      </c>
      <c r="D701" s="266">
        <v>20</v>
      </c>
      <c r="E701" s="1067"/>
      <c r="F701" s="675"/>
      <c r="G701" s="675">
        <f t="shared" si="62"/>
        <v>45720</v>
      </c>
      <c r="H701" s="676">
        <f t="shared" si="63"/>
        <v>45760</v>
      </c>
      <c r="I701" s="1058" t="s">
        <v>570</v>
      </c>
      <c r="J701" s="1047" t="s">
        <v>215</v>
      </c>
      <c r="K701" s="1047" t="s">
        <v>19</v>
      </c>
      <c r="L701" s="279" t="s">
        <v>20</v>
      </c>
      <c r="M701" s="1061" t="s">
        <v>572</v>
      </c>
      <c r="N701" s="512"/>
      <c r="O701" s="512"/>
      <c r="P701" s="512"/>
      <c r="Q701" s="512"/>
      <c r="R701" s="512"/>
      <c r="S701" s="512"/>
      <c r="T701" s="512"/>
      <c r="U701" s="512"/>
      <c r="V701" s="512"/>
      <c r="W701" s="512"/>
    </row>
    <row r="702" s="477" customFormat="1" spans="1:23">
      <c r="A702" s="1058" t="s">
        <v>456</v>
      </c>
      <c r="B702" s="1047" t="s">
        <v>568</v>
      </c>
      <c r="C702" s="1089" t="s">
        <v>71</v>
      </c>
      <c r="D702" s="266">
        <v>20</v>
      </c>
      <c r="E702" s="1067"/>
      <c r="F702" s="675"/>
      <c r="G702" s="675">
        <f t="shared" si="62"/>
        <v>45720</v>
      </c>
      <c r="H702" s="676">
        <f t="shared" si="63"/>
        <v>45760</v>
      </c>
      <c r="I702" s="1058" t="s">
        <v>570</v>
      </c>
      <c r="J702" s="1047" t="s">
        <v>215</v>
      </c>
      <c r="K702" s="1047" t="s">
        <v>19</v>
      </c>
      <c r="L702" s="279" t="s">
        <v>20</v>
      </c>
      <c r="M702" s="1061" t="s">
        <v>572</v>
      </c>
      <c r="N702" s="512"/>
      <c r="O702" s="512"/>
      <c r="P702" s="512"/>
      <c r="Q702" s="512"/>
      <c r="R702" s="512"/>
      <c r="S702" s="512"/>
      <c r="T702" s="512"/>
      <c r="U702" s="512"/>
      <c r="V702" s="512"/>
      <c r="W702" s="512"/>
    </row>
    <row r="703" s="477" customFormat="1" spans="1:23">
      <c r="A703" s="1058" t="s">
        <v>456</v>
      </c>
      <c r="B703" s="1047" t="s">
        <v>568</v>
      </c>
      <c r="C703" s="1089" t="s">
        <v>31</v>
      </c>
      <c r="D703" s="266">
        <v>5</v>
      </c>
      <c r="E703" s="1067"/>
      <c r="F703" s="675"/>
      <c r="G703" s="675">
        <f t="shared" si="62"/>
        <v>45720</v>
      </c>
      <c r="H703" s="676">
        <f t="shared" si="63"/>
        <v>45760</v>
      </c>
      <c r="I703" s="1058" t="s">
        <v>570</v>
      </c>
      <c r="J703" s="1047" t="s">
        <v>215</v>
      </c>
      <c r="K703" s="1047" t="s">
        <v>19</v>
      </c>
      <c r="L703" s="279" t="s">
        <v>20</v>
      </c>
      <c r="M703" s="1061" t="s">
        <v>572</v>
      </c>
      <c r="N703" s="512"/>
      <c r="O703" s="512"/>
      <c r="P703" s="512"/>
      <c r="Q703" s="512"/>
      <c r="R703" s="512"/>
      <c r="S703" s="512"/>
      <c r="T703" s="512"/>
      <c r="U703" s="512"/>
      <c r="V703" s="512"/>
      <c r="W703" s="512"/>
    </row>
    <row r="704" s="477" customFormat="1" spans="1:23">
      <c r="A704" s="1058" t="s">
        <v>456</v>
      </c>
      <c r="B704" s="1047" t="s">
        <v>568</v>
      </c>
      <c r="C704" s="1089" t="s">
        <v>32</v>
      </c>
      <c r="D704" s="266">
        <v>5</v>
      </c>
      <c r="E704" s="1067"/>
      <c r="F704" s="675"/>
      <c r="G704" s="675">
        <f t="shared" si="62"/>
        <v>45720</v>
      </c>
      <c r="H704" s="676">
        <f t="shared" si="63"/>
        <v>45760</v>
      </c>
      <c r="I704" s="1058" t="s">
        <v>570</v>
      </c>
      <c r="J704" s="1047" t="s">
        <v>215</v>
      </c>
      <c r="K704" s="1047" t="s">
        <v>19</v>
      </c>
      <c r="L704" s="279" t="s">
        <v>20</v>
      </c>
      <c r="M704" s="1061" t="s">
        <v>572</v>
      </c>
      <c r="N704" s="512"/>
      <c r="O704" s="512"/>
      <c r="P704" s="512"/>
      <c r="Q704" s="512"/>
      <c r="R704" s="512"/>
      <c r="S704" s="512"/>
      <c r="T704" s="512"/>
      <c r="U704" s="512"/>
      <c r="V704" s="512"/>
      <c r="W704" s="512"/>
    </row>
    <row r="705" s="477" customFormat="1" spans="1:23">
      <c r="A705" s="1058" t="s">
        <v>456</v>
      </c>
      <c r="B705" s="1047" t="s">
        <v>568</v>
      </c>
      <c r="C705" s="1089" t="s">
        <v>33</v>
      </c>
      <c r="D705" s="266">
        <v>3</v>
      </c>
      <c r="E705" s="1067"/>
      <c r="F705" s="675"/>
      <c r="G705" s="675">
        <f t="shared" si="62"/>
        <v>45720</v>
      </c>
      <c r="H705" s="676">
        <f t="shared" si="63"/>
        <v>45760</v>
      </c>
      <c r="I705" s="1058" t="s">
        <v>570</v>
      </c>
      <c r="J705" s="1047" t="s">
        <v>215</v>
      </c>
      <c r="K705" s="1047" t="s">
        <v>19</v>
      </c>
      <c r="L705" s="279" t="s">
        <v>20</v>
      </c>
      <c r="M705" s="1061" t="s">
        <v>572</v>
      </c>
      <c r="N705" s="512"/>
      <c r="O705" s="512"/>
      <c r="P705" s="512"/>
      <c r="Q705" s="512"/>
      <c r="R705" s="512"/>
      <c r="S705" s="512"/>
      <c r="T705" s="512"/>
      <c r="U705" s="512"/>
      <c r="V705" s="512"/>
      <c r="W705" s="512"/>
    </row>
    <row r="706" s="477" customFormat="1" spans="1:23">
      <c r="A706" s="1058" t="s">
        <v>456</v>
      </c>
      <c r="B706" s="1047" t="s">
        <v>568</v>
      </c>
      <c r="C706" s="1089" t="s">
        <v>34</v>
      </c>
      <c r="D706" s="266">
        <v>3</v>
      </c>
      <c r="E706" s="1067"/>
      <c r="F706" s="675"/>
      <c r="G706" s="675">
        <f t="shared" si="62"/>
        <v>45720</v>
      </c>
      <c r="H706" s="676">
        <f t="shared" si="63"/>
        <v>45760</v>
      </c>
      <c r="I706" s="1058" t="s">
        <v>570</v>
      </c>
      <c r="J706" s="1047" t="s">
        <v>215</v>
      </c>
      <c r="K706" s="1047" t="s">
        <v>19</v>
      </c>
      <c r="L706" s="279" t="s">
        <v>20</v>
      </c>
      <c r="M706" s="1061" t="s">
        <v>572</v>
      </c>
      <c r="N706" s="512"/>
      <c r="O706" s="512"/>
      <c r="P706" s="512"/>
      <c r="Q706" s="512"/>
      <c r="R706" s="512"/>
      <c r="S706" s="512"/>
      <c r="T706" s="512"/>
      <c r="U706" s="512"/>
      <c r="V706" s="512"/>
      <c r="W706" s="512"/>
    </row>
    <row r="707" s="178" customFormat="1" ht="15.4" customHeight="1" spans="1:23">
      <c r="A707" s="1047" t="s">
        <v>376</v>
      </c>
      <c r="B707" s="1047" t="s">
        <v>573</v>
      </c>
      <c r="C707" s="789" t="s">
        <v>77</v>
      </c>
      <c r="D707" s="1051">
        <v>48</v>
      </c>
      <c r="E707" s="1052" t="s">
        <v>574</v>
      </c>
      <c r="F707" s="675"/>
      <c r="G707" s="675">
        <f>VLOOKUP(CLEAN(SUBSTITUTE(TRIM(MID(E:E,FIND("/",E:E)+1,LEN(E:E)))," ","")),'Customs Decl. &amp; Local Delivery'!D:I,6,0)</f>
        <v>45723</v>
      </c>
      <c r="H707" s="676">
        <f>VLOOKUP(CLEAN(SUBSTITUTE(TRIM(MID(E:E,FIND("/",E:E)+1,LEN(E:E)))," ","")),'Customs Decl. &amp; Local Delivery'!D:J,7,0)</f>
        <v>45764</v>
      </c>
      <c r="I707" s="1058" t="s">
        <v>575</v>
      </c>
      <c r="J707" s="784" t="s">
        <v>18</v>
      </c>
      <c r="K707" s="784" t="s">
        <v>576</v>
      </c>
      <c r="L707" s="1090" t="s">
        <v>20</v>
      </c>
      <c r="M707" s="1063" t="s">
        <v>577</v>
      </c>
      <c r="N707" s="203"/>
      <c r="O707" s="512"/>
      <c r="P707" s="512"/>
      <c r="Q707" s="512"/>
      <c r="R707" s="512"/>
      <c r="S707" s="512"/>
      <c r="T707" s="512"/>
      <c r="U707" s="512"/>
      <c r="V707" s="512"/>
      <c r="W707" s="512"/>
    </row>
    <row r="708" s="178" customFormat="1" ht="15.4" customHeight="1" spans="1:23">
      <c r="A708" s="1047" t="s">
        <v>376</v>
      </c>
      <c r="B708" s="1047" t="s">
        <v>573</v>
      </c>
      <c r="C708" s="789" t="s">
        <v>15</v>
      </c>
      <c r="D708" s="1051">
        <v>12</v>
      </c>
      <c r="E708" s="1066"/>
      <c r="F708" s="675"/>
      <c r="G708" s="675">
        <f>G707</f>
        <v>45723</v>
      </c>
      <c r="H708" s="676">
        <f>H707</f>
        <v>45764</v>
      </c>
      <c r="I708" s="1058" t="s">
        <v>575</v>
      </c>
      <c r="J708" s="784" t="s">
        <v>18</v>
      </c>
      <c r="K708" s="784" t="s">
        <v>576</v>
      </c>
      <c r="L708" s="279" t="s">
        <v>20</v>
      </c>
      <c r="M708" s="1058"/>
      <c r="N708" s="203"/>
      <c r="O708" s="512"/>
      <c r="P708" s="512"/>
      <c r="Q708" s="512"/>
      <c r="R708" s="512"/>
      <c r="S708" s="512"/>
      <c r="T708" s="512"/>
      <c r="U708" s="512"/>
      <c r="V708" s="512"/>
      <c r="W708" s="512"/>
    </row>
    <row r="709" s="178" customFormat="1" ht="15.4" customHeight="1" spans="1:23">
      <c r="A709" s="1047" t="s">
        <v>376</v>
      </c>
      <c r="B709" s="1047" t="s">
        <v>573</v>
      </c>
      <c r="C709" s="789" t="s">
        <v>24</v>
      </c>
      <c r="D709" s="1051">
        <v>100</v>
      </c>
      <c r="E709" s="1066"/>
      <c r="F709" s="675"/>
      <c r="G709" s="675">
        <f>G708</f>
        <v>45723</v>
      </c>
      <c r="H709" s="676">
        <f>H708</f>
        <v>45764</v>
      </c>
      <c r="I709" s="1058" t="s">
        <v>575</v>
      </c>
      <c r="J709" s="784" t="s">
        <v>18</v>
      </c>
      <c r="K709" s="784" t="s">
        <v>576</v>
      </c>
      <c r="L709" s="279" t="s">
        <v>20</v>
      </c>
      <c r="M709" s="1063" t="s">
        <v>578</v>
      </c>
      <c r="N709" s="203"/>
      <c r="O709" s="512"/>
      <c r="P709" s="512"/>
      <c r="Q709" s="512"/>
      <c r="R709" s="512"/>
      <c r="S709" s="512"/>
      <c r="T709" s="512"/>
      <c r="U709" s="512"/>
      <c r="V709" s="512"/>
      <c r="W709" s="512"/>
    </row>
    <row r="710" s="178" customFormat="1" ht="15.4" customHeight="1" spans="1:23">
      <c r="A710" s="1047" t="s">
        <v>376</v>
      </c>
      <c r="B710" s="1047" t="s">
        <v>573</v>
      </c>
      <c r="C710" s="789" t="s">
        <v>27</v>
      </c>
      <c r="D710" s="1051">
        <v>30</v>
      </c>
      <c r="E710" s="1066"/>
      <c r="F710" s="675"/>
      <c r="G710" s="675">
        <f>G709</f>
        <v>45723</v>
      </c>
      <c r="H710" s="676">
        <f>H709</f>
        <v>45764</v>
      </c>
      <c r="I710" s="1058" t="s">
        <v>575</v>
      </c>
      <c r="J710" s="784" t="s">
        <v>18</v>
      </c>
      <c r="K710" s="784" t="s">
        <v>576</v>
      </c>
      <c r="L710" s="279" t="s">
        <v>20</v>
      </c>
      <c r="M710" s="1058"/>
      <c r="N710" s="203"/>
      <c r="O710" s="512"/>
      <c r="P710" s="512"/>
      <c r="Q710" s="512"/>
      <c r="R710" s="512"/>
      <c r="S710" s="512"/>
      <c r="T710" s="512"/>
      <c r="U710" s="512"/>
      <c r="V710" s="512"/>
      <c r="W710" s="512"/>
    </row>
    <row r="711" s="178" customFormat="1" ht="15.4" customHeight="1" spans="1:23">
      <c r="A711" s="1047" t="s">
        <v>376</v>
      </c>
      <c r="B711" s="1047" t="s">
        <v>573</v>
      </c>
      <c r="C711" s="789" t="s">
        <v>67</v>
      </c>
      <c r="D711" s="1051">
        <v>30</v>
      </c>
      <c r="E711" s="1066"/>
      <c r="F711" s="675"/>
      <c r="G711" s="675">
        <f>G710</f>
        <v>45723</v>
      </c>
      <c r="H711" s="676">
        <f>H710</f>
        <v>45764</v>
      </c>
      <c r="I711" s="1058" t="s">
        <v>575</v>
      </c>
      <c r="J711" s="784" t="s">
        <v>18</v>
      </c>
      <c r="K711" s="784" t="s">
        <v>576</v>
      </c>
      <c r="L711" s="279" t="s">
        <v>20</v>
      </c>
      <c r="M711" s="1058"/>
      <c r="N711" s="203"/>
      <c r="O711" s="512"/>
      <c r="P711" s="512"/>
      <c r="Q711" s="512"/>
      <c r="R711" s="512"/>
      <c r="S711" s="512"/>
      <c r="T711" s="512"/>
      <c r="U711" s="512"/>
      <c r="V711" s="512"/>
      <c r="W711" s="512"/>
    </row>
    <row r="712" s="178" customFormat="1" ht="15.4" customHeight="1" spans="1:23">
      <c r="A712" s="1047" t="s">
        <v>376</v>
      </c>
      <c r="B712" s="1047" t="s">
        <v>573</v>
      </c>
      <c r="C712" s="789" t="s">
        <v>70</v>
      </c>
      <c r="D712" s="1051">
        <v>50</v>
      </c>
      <c r="E712" s="1066"/>
      <c r="F712" s="675"/>
      <c r="G712" s="675">
        <f>G711</f>
        <v>45723</v>
      </c>
      <c r="H712" s="676">
        <f>H711</f>
        <v>45764</v>
      </c>
      <c r="I712" s="1058" t="s">
        <v>575</v>
      </c>
      <c r="J712" s="784" t="s">
        <v>18</v>
      </c>
      <c r="K712" s="784" t="s">
        <v>576</v>
      </c>
      <c r="L712" s="279" t="s">
        <v>20</v>
      </c>
      <c r="M712" s="1058"/>
      <c r="N712" s="203"/>
      <c r="O712" s="512"/>
      <c r="P712" s="512"/>
      <c r="Q712" s="512"/>
      <c r="R712" s="512"/>
      <c r="S712" s="512"/>
      <c r="T712" s="512"/>
      <c r="U712" s="512"/>
      <c r="V712" s="512"/>
      <c r="W712" s="512"/>
    </row>
    <row r="713" s="178" customFormat="1" ht="15.4" customHeight="1" spans="1:23">
      <c r="A713" s="1064" t="s">
        <v>579</v>
      </c>
      <c r="B713" s="789" t="s">
        <v>580</v>
      </c>
      <c r="C713" s="789" t="s">
        <v>77</v>
      </c>
      <c r="D713" s="279">
        <v>48</v>
      </c>
      <c r="E713" s="1085" t="s">
        <v>581</v>
      </c>
      <c r="F713" s="675"/>
      <c r="G713" s="675">
        <f>VLOOKUP(CLEAN(SUBSTITUTE(TRIM(MID(E:E,FIND("/",E:E)+1,LEN(E:E)))," ","")),'Customs Decl. &amp; Local Delivery'!D:I,6,0)</f>
        <v>45733</v>
      </c>
      <c r="H713" s="676">
        <f>VLOOKUP(CLEAN(SUBSTITUTE(TRIM(MID(E:E,FIND("/",E:E)+1,LEN(E:E)))," ","")),'Customs Decl. &amp; Local Delivery'!D:J,7,0)</f>
        <v>45757</v>
      </c>
      <c r="I713" s="699" t="s">
        <v>582</v>
      </c>
      <c r="J713" s="1058" t="s">
        <v>18</v>
      </c>
      <c r="K713" s="1053" t="s">
        <v>147</v>
      </c>
      <c r="L713" s="279" t="s">
        <v>20</v>
      </c>
      <c r="M713" s="1058" t="s">
        <v>583</v>
      </c>
      <c r="N713" s="203"/>
      <c r="O713" s="512"/>
      <c r="P713" s="512"/>
      <c r="Q713" s="512"/>
      <c r="R713" s="512"/>
      <c r="S713" s="512"/>
      <c r="T713" s="512"/>
      <c r="U713" s="512"/>
      <c r="V713" s="512"/>
      <c r="W713" s="512"/>
    </row>
    <row r="714" s="178" customFormat="1" ht="15.4" customHeight="1" spans="1:23">
      <c r="A714" s="1064" t="s">
        <v>579</v>
      </c>
      <c r="B714" s="789" t="s">
        <v>580</v>
      </c>
      <c r="C714" s="789" t="s">
        <v>15</v>
      </c>
      <c r="D714" s="279">
        <v>162</v>
      </c>
      <c r="E714" s="1069"/>
      <c r="F714" s="675"/>
      <c r="G714" s="675">
        <f>G713</f>
        <v>45733</v>
      </c>
      <c r="H714" s="676">
        <f>H713</f>
        <v>45757</v>
      </c>
      <c r="I714" s="1058" t="s">
        <v>582</v>
      </c>
      <c r="J714" s="1058" t="s">
        <v>18</v>
      </c>
      <c r="K714" s="1053" t="s">
        <v>147</v>
      </c>
      <c r="L714" s="279" t="s">
        <v>20</v>
      </c>
      <c r="M714" s="699" t="s">
        <v>563</v>
      </c>
      <c r="N714" s="203"/>
      <c r="O714" s="512"/>
      <c r="P714" s="512"/>
      <c r="Q714" s="512"/>
      <c r="R714" s="512"/>
      <c r="S714" s="512"/>
      <c r="T714" s="512"/>
      <c r="U714" s="512"/>
      <c r="V714" s="512"/>
      <c r="W714" s="512"/>
    </row>
    <row r="715" s="178" customFormat="1" ht="15.4" customHeight="1" spans="1:23">
      <c r="A715" s="1064" t="s">
        <v>579</v>
      </c>
      <c r="B715" s="789" t="s">
        <v>580</v>
      </c>
      <c r="C715" s="789" t="s">
        <v>24</v>
      </c>
      <c r="D715" s="279">
        <v>54</v>
      </c>
      <c r="E715" s="1069"/>
      <c r="F715" s="675"/>
      <c r="G715" s="675">
        <f>G714</f>
        <v>45733</v>
      </c>
      <c r="H715" s="676">
        <f>H714</f>
        <v>45757</v>
      </c>
      <c r="I715" s="1058" t="s">
        <v>582</v>
      </c>
      <c r="J715" s="1058" t="s">
        <v>18</v>
      </c>
      <c r="K715" s="1053" t="s">
        <v>147</v>
      </c>
      <c r="L715" s="279" t="s">
        <v>20</v>
      </c>
      <c r="M715" s="1058"/>
      <c r="N715" s="203"/>
      <c r="O715" s="512"/>
      <c r="P715" s="512"/>
      <c r="Q715" s="512"/>
      <c r="R715" s="512"/>
      <c r="S715" s="512"/>
      <c r="T715" s="512"/>
      <c r="U715" s="512"/>
      <c r="V715" s="512"/>
      <c r="W715" s="512"/>
    </row>
    <row r="716" s="178" customFormat="1" ht="15.4" customHeight="1" spans="1:23">
      <c r="A716" s="1064" t="s">
        <v>579</v>
      </c>
      <c r="B716" s="789" t="s">
        <v>580</v>
      </c>
      <c r="C716" s="789" t="s">
        <v>67</v>
      </c>
      <c r="D716" s="279">
        <v>54</v>
      </c>
      <c r="E716" s="1069"/>
      <c r="F716" s="675"/>
      <c r="G716" s="675">
        <f>G715</f>
        <v>45733</v>
      </c>
      <c r="H716" s="676">
        <f>H715</f>
        <v>45757</v>
      </c>
      <c r="I716" s="1058" t="s">
        <v>582</v>
      </c>
      <c r="J716" s="1058" t="s">
        <v>18</v>
      </c>
      <c r="K716" s="1053" t="s">
        <v>147</v>
      </c>
      <c r="L716" s="279" t="s">
        <v>20</v>
      </c>
      <c r="M716" s="1058"/>
      <c r="N716" s="203"/>
      <c r="O716" s="512"/>
      <c r="P716" s="512"/>
      <c r="Q716" s="512"/>
      <c r="R716" s="512"/>
      <c r="S716" s="512"/>
      <c r="T716" s="512"/>
      <c r="U716" s="512"/>
      <c r="V716" s="512"/>
      <c r="W716" s="512"/>
    </row>
    <row r="717" s="178" customFormat="1" ht="15.4" customHeight="1" spans="1:23">
      <c r="A717" s="1064" t="s">
        <v>464</v>
      </c>
      <c r="B717" s="1050" t="s">
        <v>584</v>
      </c>
      <c r="C717" s="789" t="s">
        <v>67</v>
      </c>
      <c r="D717" s="1051">
        <v>60</v>
      </c>
      <c r="E717" s="1085" t="s">
        <v>585</v>
      </c>
      <c r="F717" s="675"/>
      <c r="G717" s="675">
        <f>VLOOKUP(CLEAN(SUBSTITUTE(TRIM(MID(E:E,FIND("/",E:E)+1,LEN(E:E)))," ","")),'Customs Decl. &amp; Local Delivery'!D:I,6,0)</f>
        <v>45734</v>
      </c>
      <c r="H717" s="676">
        <f>VLOOKUP(CLEAN(SUBSTITUTE(TRIM(MID(E:E,FIND("/",E:E)+1,LEN(E:E)))," ","")),'Customs Decl. &amp; Local Delivery'!D:J,7,0)</f>
        <v>45757</v>
      </c>
      <c r="I717" s="1058" t="s">
        <v>586</v>
      </c>
      <c r="J717" s="1053" t="s">
        <v>18</v>
      </c>
      <c r="K717" s="1058" t="s">
        <v>147</v>
      </c>
      <c r="L717" s="279" t="s">
        <v>20</v>
      </c>
      <c r="M717" s="1053" t="s">
        <v>587</v>
      </c>
      <c r="N717" s="203"/>
      <c r="O717" s="512"/>
      <c r="P717" s="512"/>
      <c r="Q717" s="512"/>
      <c r="R717" s="512"/>
      <c r="S717" s="512"/>
      <c r="T717" s="512"/>
      <c r="U717" s="512"/>
      <c r="V717" s="512"/>
      <c r="W717" s="512"/>
    </row>
    <row r="718" s="178" customFormat="1" ht="15.4" customHeight="1" spans="1:23">
      <c r="A718" s="1064" t="s">
        <v>464</v>
      </c>
      <c r="B718" s="1050" t="s">
        <v>584</v>
      </c>
      <c r="C718" s="789" t="s">
        <v>69</v>
      </c>
      <c r="D718" s="1051">
        <v>60</v>
      </c>
      <c r="E718" s="1069"/>
      <c r="F718" s="675"/>
      <c r="G718" s="675">
        <f>G717</f>
        <v>45734</v>
      </c>
      <c r="H718" s="676">
        <f>H717</f>
        <v>45757</v>
      </c>
      <c r="I718" s="1058" t="s">
        <v>586</v>
      </c>
      <c r="J718" s="1053" t="s">
        <v>18</v>
      </c>
      <c r="K718" s="1058" t="s">
        <v>147</v>
      </c>
      <c r="L718" s="279" t="s">
        <v>20</v>
      </c>
      <c r="M718" s="1058" t="s">
        <v>588</v>
      </c>
      <c r="N718" s="203"/>
      <c r="O718" s="512"/>
      <c r="P718" s="512"/>
      <c r="Q718" s="512"/>
      <c r="R718" s="512"/>
      <c r="S718" s="512"/>
      <c r="T718" s="512"/>
      <c r="U718" s="512"/>
      <c r="V718" s="512"/>
      <c r="W718" s="512"/>
    </row>
    <row r="719" s="178" customFormat="1" ht="15.4" customHeight="1" spans="1:23">
      <c r="A719" s="1064" t="s">
        <v>464</v>
      </c>
      <c r="B719" s="1050" t="s">
        <v>584</v>
      </c>
      <c r="C719" s="789" t="s">
        <v>342</v>
      </c>
      <c r="D719" s="1051">
        <v>50</v>
      </c>
      <c r="E719" s="1069"/>
      <c r="F719" s="675"/>
      <c r="G719" s="675">
        <f>G718</f>
        <v>45734</v>
      </c>
      <c r="H719" s="676">
        <f>H718</f>
        <v>45757</v>
      </c>
      <c r="I719" s="1058" t="s">
        <v>586</v>
      </c>
      <c r="J719" s="1053" t="s">
        <v>18</v>
      </c>
      <c r="K719" s="1058" t="s">
        <v>147</v>
      </c>
      <c r="L719" s="279" t="s">
        <v>20</v>
      </c>
      <c r="M719" s="1053" t="s">
        <v>589</v>
      </c>
      <c r="N719" s="203"/>
      <c r="O719" s="512"/>
      <c r="P719" s="512"/>
      <c r="Q719" s="512"/>
      <c r="R719" s="512"/>
      <c r="S719" s="512"/>
      <c r="T719" s="512"/>
      <c r="U719" s="512"/>
      <c r="V719" s="512"/>
      <c r="W719" s="512"/>
    </row>
    <row r="720" s="178" customFormat="1" ht="15.4" customHeight="1" spans="1:23">
      <c r="A720" s="1064" t="s">
        <v>464</v>
      </c>
      <c r="B720" s="1050" t="s">
        <v>584</v>
      </c>
      <c r="C720" s="789" t="s">
        <v>471</v>
      </c>
      <c r="D720" s="1051">
        <v>10</v>
      </c>
      <c r="E720" s="1069"/>
      <c r="F720" s="675"/>
      <c r="G720" s="675">
        <f>G719</f>
        <v>45734</v>
      </c>
      <c r="H720" s="676">
        <f>H719</f>
        <v>45757</v>
      </c>
      <c r="I720" s="1058" t="s">
        <v>586</v>
      </c>
      <c r="J720" s="1053" t="s">
        <v>18</v>
      </c>
      <c r="K720" s="1058" t="s">
        <v>147</v>
      </c>
      <c r="L720" s="279" t="s">
        <v>20</v>
      </c>
      <c r="M720" s="1053" t="s">
        <v>590</v>
      </c>
      <c r="N720" s="203"/>
      <c r="O720" s="512"/>
      <c r="P720" s="512"/>
      <c r="Q720" s="512"/>
      <c r="R720" s="512"/>
      <c r="S720" s="512"/>
      <c r="T720" s="512"/>
      <c r="U720" s="512"/>
      <c r="V720" s="512"/>
      <c r="W720" s="512"/>
    </row>
    <row r="721" s="178" customFormat="1" ht="15.4" customHeight="1" spans="1:23">
      <c r="A721" s="1064" t="s">
        <v>464</v>
      </c>
      <c r="B721" s="1050" t="s">
        <v>584</v>
      </c>
      <c r="C721" s="789" t="s">
        <v>475</v>
      </c>
      <c r="D721" s="1051">
        <v>10</v>
      </c>
      <c r="E721" s="1069"/>
      <c r="F721" s="675"/>
      <c r="G721" s="675">
        <f>G720</f>
        <v>45734</v>
      </c>
      <c r="H721" s="676">
        <f>H720</f>
        <v>45757</v>
      </c>
      <c r="I721" s="1058" t="s">
        <v>586</v>
      </c>
      <c r="J721" s="1053" t="s">
        <v>18</v>
      </c>
      <c r="K721" s="1058" t="s">
        <v>147</v>
      </c>
      <c r="L721" s="279" t="s">
        <v>20</v>
      </c>
      <c r="M721" s="1053" t="s">
        <v>590</v>
      </c>
      <c r="N721" s="203"/>
      <c r="O721" s="512"/>
      <c r="P721" s="512"/>
      <c r="Q721" s="512"/>
      <c r="R721" s="512"/>
      <c r="S721" s="512"/>
      <c r="T721" s="512"/>
      <c r="U721" s="512"/>
      <c r="V721" s="512"/>
      <c r="W721" s="512"/>
    </row>
    <row r="722" s="178" customFormat="1" ht="15.4" customHeight="1" spans="1:23">
      <c r="A722" s="1064" t="s">
        <v>464</v>
      </c>
      <c r="B722" s="1050" t="s">
        <v>584</v>
      </c>
      <c r="C722" s="789" t="s">
        <v>15</v>
      </c>
      <c r="D722" s="1051">
        <v>70</v>
      </c>
      <c r="E722" s="1069"/>
      <c r="F722" s="675"/>
      <c r="G722" s="675">
        <f>G721</f>
        <v>45734</v>
      </c>
      <c r="H722" s="676">
        <f>H721</f>
        <v>45757</v>
      </c>
      <c r="I722" s="1058" t="s">
        <v>586</v>
      </c>
      <c r="J722" s="1053" t="s">
        <v>18</v>
      </c>
      <c r="K722" s="1058" t="s">
        <v>147</v>
      </c>
      <c r="L722" s="279" t="s">
        <v>20</v>
      </c>
      <c r="M722" s="1053"/>
      <c r="N722" s="203"/>
      <c r="O722" s="512"/>
      <c r="P722" s="512"/>
      <c r="Q722" s="512"/>
      <c r="R722" s="512"/>
      <c r="S722" s="512"/>
      <c r="T722" s="512"/>
      <c r="U722" s="512"/>
      <c r="V722" s="512"/>
      <c r="W722" s="512"/>
    </row>
    <row r="723" s="178" customFormat="1" ht="15.4" customHeight="1" spans="1:23">
      <c r="A723" s="1050" t="s">
        <v>343</v>
      </c>
      <c r="B723" s="1047" t="s">
        <v>482</v>
      </c>
      <c r="C723" s="789" t="s">
        <v>591</v>
      </c>
      <c r="D723" s="1051">
        <v>50</v>
      </c>
      <c r="E723" s="756" t="s">
        <v>592</v>
      </c>
      <c r="F723" s="675"/>
      <c r="G723" s="675">
        <f>VLOOKUP(CLEAN(SUBSTITUTE(TRIM(MID(E:E,FIND("/",E:E)+1,LEN(E:E)))," ","")),'Customs Decl. &amp; Local Delivery'!D:I,6,0)</f>
        <v>45735</v>
      </c>
      <c r="H723" s="676">
        <f>VLOOKUP(CLEAN(SUBSTITUTE(TRIM(MID(E:E,FIND("/",E:E)+1,LEN(E:E)))," ","")),'Customs Decl. &amp; Local Delivery'!D:J,7,0)</f>
        <v>45757</v>
      </c>
      <c r="I723" s="699" t="s">
        <v>593</v>
      </c>
      <c r="J723" s="699" t="s">
        <v>18</v>
      </c>
      <c r="K723" s="699" t="s">
        <v>147</v>
      </c>
      <c r="L723" s="279" t="s">
        <v>20</v>
      </c>
      <c r="M723" s="699" t="s">
        <v>594</v>
      </c>
      <c r="N723" s="203"/>
      <c r="O723" s="512"/>
      <c r="P723" s="512"/>
      <c r="Q723" s="512"/>
      <c r="R723" s="512"/>
      <c r="S723" s="512"/>
      <c r="T723" s="512"/>
      <c r="U723" s="512"/>
      <c r="V723" s="512"/>
      <c r="W723" s="512"/>
    </row>
    <row r="724" s="178" customFormat="1" ht="15.4" customHeight="1" spans="1:23">
      <c r="A724" s="1050" t="s">
        <v>343</v>
      </c>
      <c r="B724" s="1047" t="s">
        <v>482</v>
      </c>
      <c r="C724" s="789" t="s">
        <v>318</v>
      </c>
      <c r="D724" s="1051">
        <v>2</v>
      </c>
      <c r="E724" s="1069"/>
      <c r="F724" s="675"/>
      <c r="G724" s="675">
        <f t="shared" ref="G724:G729" si="64">G723</f>
        <v>45735</v>
      </c>
      <c r="H724" s="676">
        <f t="shared" ref="H724:H729" si="65">H723</f>
        <v>45757</v>
      </c>
      <c r="I724" s="699" t="s">
        <v>593</v>
      </c>
      <c r="J724" s="699" t="s">
        <v>18</v>
      </c>
      <c r="K724" s="699" t="s">
        <v>147</v>
      </c>
      <c r="L724" s="279" t="s">
        <v>20</v>
      </c>
      <c r="M724" s="699" t="s">
        <v>563</v>
      </c>
      <c r="N724" s="203"/>
      <c r="O724" s="512"/>
      <c r="P724" s="512"/>
      <c r="Q724" s="512"/>
      <c r="R724" s="512"/>
      <c r="S724" s="512"/>
      <c r="T724" s="512"/>
      <c r="U724" s="512"/>
      <c r="V724" s="512"/>
      <c r="W724" s="512"/>
    </row>
    <row r="725" s="178" customFormat="1" ht="15.4" customHeight="1" spans="1:23">
      <c r="A725" s="1047" t="s">
        <v>477</v>
      </c>
      <c r="B725" s="1047" t="s">
        <v>478</v>
      </c>
      <c r="C725" s="1047" t="s">
        <v>318</v>
      </c>
      <c r="D725" s="279">
        <f>100-48</f>
        <v>52</v>
      </c>
      <c r="E725" s="1069"/>
      <c r="F725" s="675"/>
      <c r="G725" s="675">
        <f t="shared" si="64"/>
        <v>45735</v>
      </c>
      <c r="H725" s="676">
        <f t="shared" si="65"/>
        <v>45757</v>
      </c>
      <c r="I725" s="1058" t="s">
        <v>593</v>
      </c>
      <c r="J725" s="1058" t="s">
        <v>18</v>
      </c>
      <c r="K725" s="1058" t="s">
        <v>147</v>
      </c>
      <c r="L725" s="279" t="s">
        <v>20</v>
      </c>
      <c r="M725" s="1058"/>
      <c r="N725" s="203"/>
      <c r="O725" s="512"/>
      <c r="P725" s="512"/>
      <c r="Q725" s="512"/>
      <c r="R725" s="512"/>
      <c r="S725" s="512"/>
      <c r="T725" s="512"/>
      <c r="U725" s="512"/>
      <c r="V725" s="512"/>
      <c r="W725" s="512"/>
    </row>
    <row r="726" s="178" customFormat="1" ht="15.4" customHeight="1" spans="1:23">
      <c r="A726" s="1047" t="s">
        <v>13</v>
      </c>
      <c r="B726" s="1047" t="s">
        <v>226</v>
      </c>
      <c r="C726" s="789" t="s">
        <v>67</v>
      </c>
      <c r="D726" s="1094">
        <f>72-48</f>
        <v>24</v>
      </c>
      <c r="E726" s="1069"/>
      <c r="F726" s="675"/>
      <c r="G726" s="675">
        <f t="shared" si="64"/>
        <v>45735</v>
      </c>
      <c r="H726" s="676">
        <f t="shared" si="65"/>
        <v>45757</v>
      </c>
      <c r="I726" s="1058" t="s">
        <v>593</v>
      </c>
      <c r="J726" s="1058" t="s">
        <v>18</v>
      </c>
      <c r="K726" s="1058" t="s">
        <v>147</v>
      </c>
      <c r="L726" s="279" t="s">
        <v>20</v>
      </c>
      <c r="M726" s="1058"/>
      <c r="N726" s="203"/>
      <c r="O726" s="512"/>
      <c r="P726" s="512"/>
      <c r="Q726" s="512"/>
      <c r="R726" s="512"/>
      <c r="S726" s="512"/>
      <c r="T726" s="512"/>
      <c r="U726" s="512"/>
      <c r="V726" s="512"/>
      <c r="W726" s="512"/>
    </row>
    <row r="727" s="178" customFormat="1" ht="15.4" customHeight="1" spans="1:23">
      <c r="A727" s="1047" t="s">
        <v>13</v>
      </c>
      <c r="B727" s="1047" t="s">
        <v>231</v>
      </c>
      <c r="C727" s="789" t="s">
        <v>67</v>
      </c>
      <c r="D727" s="1094">
        <v>44</v>
      </c>
      <c r="E727" s="1069"/>
      <c r="F727" s="675"/>
      <c r="G727" s="675">
        <f t="shared" si="64"/>
        <v>45735</v>
      </c>
      <c r="H727" s="676">
        <f t="shared" si="65"/>
        <v>45757</v>
      </c>
      <c r="I727" s="1058" t="s">
        <v>593</v>
      </c>
      <c r="J727" s="1058" t="s">
        <v>18</v>
      </c>
      <c r="K727" s="1058" t="s">
        <v>147</v>
      </c>
      <c r="L727" s="279" t="s">
        <v>20</v>
      </c>
      <c r="M727" s="1058"/>
      <c r="N727" s="203"/>
      <c r="O727" s="512"/>
      <c r="P727" s="512"/>
      <c r="Q727" s="512"/>
      <c r="R727" s="512"/>
      <c r="S727" s="512"/>
      <c r="T727" s="512"/>
      <c r="U727" s="512"/>
      <c r="V727" s="512"/>
      <c r="W727" s="512"/>
    </row>
    <row r="728" s="178" customFormat="1" ht="15.4" customHeight="1" spans="1:23">
      <c r="A728" s="1047" t="s">
        <v>13</v>
      </c>
      <c r="B728" s="1047" t="s">
        <v>231</v>
      </c>
      <c r="C728" s="789" t="s">
        <v>70</v>
      </c>
      <c r="D728" s="1094">
        <v>15</v>
      </c>
      <c r="E728" s="1069"/>
      <c r="F728" s="675"/>
      <c r="G728" s="675">
        <f t="shared" si="64"/>
        <v>45735</v>
      </c>
      <c r="H728" s="676">
        <f t="shared" si="65"/>
        <v>45757</v>
      </c>
      <c r="I728" s="1058" t="s">
        <v>593</v>
      </c>
      <c r="J728" s="1058" t="s">
        <v>18</v>
      </c>
      <c r="K728" s="1058" t="s">
        <v>147</v>
      </c>
      <c r="L728" s="279" t="s">
        <v>20</v>
      </c>
      <c r="M728" s="1058"/>
      <c r="N728" s="203"/>
      <c r="O728" s="512"/>
      <c r="P728" s="512"/>
      <c r="Q728" s="512"/>
      <c r="R728" s="512"/>
      <c r="S728" s="512"/>
      <c r="T728" s="512"/>
      <c r="U728" s="512"/>
      <c r="V728" s="512"/>
      <c r="W728" s="512"/>
    </row>
    <row r="729" s="178" customFormat="1" ht="15.4" customHeight="1" spans="1:23">
      <c r="A729" s="1064" t="s">
        <v>547</v>
      </c>
      <c r="B729" s="1050" t="s">
        <v>553</v>
      </c>
      <c r="C729" s="789" t="s">
        <v>27</v>
      </c>
      <c r="D729" s="1051">
        <v>240</v>
      </c>
      <c r="E729" s="1069"/>
      <c r="F729" s="675"/>
      <c r="G729" s="675">
        <f t="shared" si="64"/>
        <v>45735</v>
      </c>
      <c r="H729" s="676">
        <f t="shared" si="65"/>
        <v>45757</v>
      </c>
      <c r="I729" s="1058" t="s">
        <v>593</v>
      </c>
      <c r="J729" s="1053" t="s">
        <v>18</v>
      </c>
      <c r="K729" s="1058" t="s">
        <v>147</v>
      </c>
      <c r="L729" s="279" t="s">
        <v>20</v>
      </c>
      <c r="M729" s="1058"/>
      <c r="N729" s="203"/>
      <c r="O729" s="512"/>
      <c r="P729" s="512"/>
      <c r="Q729" s="512"/>
      <c r="R729" s="512"/>
      <c r="S729" s="512"/>
      <c r="T729" s="512"/>
      <c r="U729" s="512"/>
      <c r="V729" s="512"/>
      <c r="W729" s="512"/>
    </row>
    <row r="730" s="178" customFormat="1" ht="15.4" customHeight="1" spans="1:23">
      <c r="A730" s="1075" t="s">
        <v>579</v>
      </c>
      <c r="B730" s="789" t="s">
        <v>595</v>
      </c>
      <c r="C730" s="789" t="s">
        <v>77</v>
      </c>
      <c r="D730" s="279">
        <v>48</v>
      </c>
      <c r="E730" s="1055" t="s">
        <v>596</v>
      </c>
      <c r="F730" s="675"/>
      <c r="G730" s="675">
        <f>VLOOKUP(CLEAN(SUBSTITUTE(TRIM(MID(E:E,FIND("/",E:E)+1,LEN(E:E)))," ","")),'Customs Decl. &amp; Local Delivery'!D:I,6,0)</f>
        <v>45729</v>
      </c>
      <c r="H730" s="676">
        <f>VLOOKUP(CLEAN(SUBSTITUTE(TRIM(MID(E:E,FIND("/",E:E)+1,LEN(E:E)))," ","")),'Customs Decl. &amp; Local Delivery'!D:J,7,0)</f>
        <v>45757</v>
      </c>
      <c r="I730" s="699" t="s">
        <v>597</v>
      </c>
      <c r="J730" s="1058" t="s">
        <v>18</v>
      </c>
      <c r="K730" s="1078" t="s">
        <v>147</v>
      </c>
      <c r="L730" s="279" t="s">
        <v>20</v>
      </c>
      <c r="M730" s="1058" t="s">
        <v>598</v>
      </c>
      <c r="N730" s="1081"/>
      <c r="O730" s="512"/>
      <c r="P730" s="512"/>
      <c r="Q730" s="512"/>
      <c r="R730" s="512"/>
      <c r="S730" s="512"/>
      <c r="T730" s="512"/>
      <c r="U730" s="512"/>
      <c r="V730" s="512"/>
      <c r="W730" s="512"/>
    </row>
    <row r="731" s="178" customFormat="1" ht="15.4" customHeight="1" spans="1:23">
      <c r="A731" s="1075" t="s">
        <v>579</v>
      </c>
      <c r="B731" s="789" t="s">
        <v>595</v>
      </c>
      <c r="C731" s="789" t="s">
        <v>15</v>
      </c>
      <c r="D731" s="279">
        <v>150</v>
      </c>
      <c r="E731" s="1056"/>
      <c r="F731" s="675"/>
      <c r="G731" s="675">
        <f>G730</f>
        <v>45729</v>
      </c>
      <c r="H731" s="676">
        <f>H730</f>
        <v>45757</v>
      </c>
      <c r="I731" s="699" t="s">
        <v>597</v>
      </c>
      <c r="J731" s="1058" t="s">
        <v>18</v>
      </c>
      <c r="K731" s="1078" t="s">
        <v>147</v>
      </c>
      <c r="L731" s="279" t="s">
        <v>20</v>
      </c>
      <c r="M731" s="1063" t="s">
        <v>599</v>
      </c>
      <c r="N731" s="1081"/>
      <c r="O731" s="512"/>
      <c r="P731" s="512"/>
      <c r="Q731" s="512"/>
      <c r="R731" s="512"/>
      <c r="S731" s="512"/>
      <c r="T731" s="512"/>
      <c r="U731" s="512"/>
      <c r="V731" s="512"/>
      <c r="W731" s="512"/>
    </row>
    <row r="732" s="178" customFormat="1" ht="15.4" customHeight="1" spans="1:23">
      <c r="A732" s="1075" t="s">
        <v>579</v>
      </c>
      <c r="B732" s="789" t="s">
        <v>595</v>
      </c>
      <c r="C732" s="789" t="s">
        <v>27</v>
      </c>
      <c r="D732" s="279">
        <v>50</v>
      </c>
      <c r="E732" s="1056"/>
      <c r="F732" s="675"/>
      <c r="G732" s="675">
        <f>G731</f>
        <v>45729</v>
      </c>
      <c r="H732" s="676">
        <f>H731</f>
        <v>45757</v>
      </c>
      <c r="I732" s="699" t="s">
        <v>597</v>
      </c>
      <c r="J732" s="1058" t="s">
        <v>18</v>
      </c>
      <c r="K732" s="1078" t="s">
        <v>147</v>
      </c>
      <c r="L732" s="279" t="s">
        <v>20</v>
      </c>
      <c r="M732" s="1058"/>
      <c r="N732" s="1081"/>
      <c r="O732" s="512"/>
      <c r="P732" s="512"/>
      <c r="Q732" s="512"/>
      <c r="R732" s="512"/>
      <c r="S732" s="512"/>
      <c r="T732" s="512"/>
      <c r="U732" s="512"/>
      <c r="V732" s="512"/>
      <c r="W732" s="512"/>
    </row>
    <row r="733" s="178" customFormat="1" ht="15.4" customHeight="1" spans="1:23">
      <c r="A733" s="1075" t="s">
        <v>579</v>
      </c>
      <c r="B733" s="789" t="s">
        <v>595</v>
      </c>
      <c r="C733" s="789" t="s">
        <v>70</v>
      </c>
      <c r="D733" s="279">
        <v>50</v>
      </c>
      <c r="E733" s="1056"/>
      <c r="F733" s="675"/>
      <c r="G733" s="675">
        <f>G732</f>
        <v>45729</v>
      </c>
      <c r="H733" s="676">
        <f>H732</f>
        <v>45757</v>
      </c>
      <c r="I733" s="699" t="s">
        <v>597</v>
      </c>
      <c r="J733" s="1058" t="s">
        <v>18</v>
      </c>
      <c r="K733" s="1078" t="s">
        <v>147</v>
      </c>
      <c r="L733" s="279" t="s">
        <v>20</v>
      </c>
      <c r="M733" s="1058"/>
      <c r="N733" s="1081"/>
      <c r="O733" s="512"/>
      <c r="P733" s="512"/>
      <c r="Q733" s="512"/>
      <c r="R733" s="512"/>
      <c r="S733" s="512"/>
      <c r="T733" s="512"/>
      <c r="U733" s="512"/>
      <c r="V733" s="512"/>
      <c r="W733" s="512"/>
    </row>
    <row r="734" s="178" customFormat="1" ht="15.4" customHeight="1" spans="1:23">
      <c r="A734" s="1047" t="s">
        <v>394</v>
      </c>
      <c r="B734" s="789" t="s">
        <v>600</v>
      </c>
      <c r="C734" s="1050" t="s">
        <v>91</v>
      </c>
      <c r="D734" s="1051">
        <v>92</v>
      </c>
      <c r="E734" s="1049" t="s">
        <v>601</v>
      </c>
      <c r="F734" s="675"/>
      <c r="G734" s="675">
        <f>VLOOKUP(CLEAN(SUBSTITUTE(TRIM(MID(E:E,FIND("/",E:E)+1,LEN(E:E)))," ","")),'Customs Decl. &amp; Local Delivery'!D:I,6,0)</f>
        <v>45734</v>
      </c>
      <c r="H734" s="676">
        <f>VLOOKUP(CLEAN(SUBSTITUTE(TRIM(MID(E:E,FIND("/",E:E)+1,LEN(E:E)))," ","")),'Customs Decl. &amp; Local Delivery'!D:J,7,0)</f>
        <v>45757</v>
      </c>
      <c r="I734" s="699" t="s">
        <v>602</v>
      </c>
      <c r="J734" s="1096" t="s">
        <v>18</v>
      </c>
      <c r="K734" s="1096" t="s">
        <v>147</v>
      </c>
      <c r="L734" s="1090" t="s">
        <v>20</v>
      </c>
      <c r="M734" s="1053" t="s">
        <v>603</v>
      </c>
      <c r="N734" s="203"/>
      <c r="O734" s="512"/>
      <c r="P734" s="512"/>
      <c r="Q734" s="512"/>
      <c r="R734" s="512"/>
      <c r="S734" s="512"/>
      <c r="T734" s="512"/>
      <c r="U734" s="512"/>
      <c r="V734" s="512"/>
      <c r="W734" s="512"/>
    </row>
    <row r="735" s="178" customFormat="1" ht="15.4" customHeight="1" spans="1:23">
      <c r="A735" s="1047" t="s">
        <v>394</v>
      </c>
      <c r="B735" s="789" t="s">
        <v>600</v>
      </c>
      <c r="C735" s="789" t="s">
        <v>15</v>
      </c>
      <c r="D735" s="1051">
        <v>126</v>
      </c>
      <c r="E735" s="1069"/>
      <c r="F735" s="675"/>
      <c r="G735" s="675">
        <f>G734</f>
        <v>45734</v>
      </c>
      <c r="H735" s="676">
        <f>H734</f>
        <v>45757</v>
      </c>
      <c r="I735" s="1058" t="s">
        <v>602</v>
      </c>
      <c r="J735" s="1096" t="s">
        <v>18</v>
      </c>
      <c r="K735" s="1096" t="s">
        <v>147</v>
      </c>
      <c r="L735" s="1090" t="s">
        <v>20</v>
      </c>
      <c r="M735" s="711" t="s">
        <v>563</v>
      </c>
      <c r="N735" s="203"/>
      <c r="O735" s="512"/>
      <c r="P735" s="512"/>
      <c r="Q735" s="512"/>
      <c r="R735" s="512"/>
      <c r="S735" s="512"/>
      <c r="T735" s="512"/>
      <c r="U735" s="512"/>
      <c r="V735" s="512"/>
      <c r="W735" s="512"/>
    </row>
    <row r="736" s="178" customFormat="1" ht="15.4" customHeight="1" spans="1:23">
      <c r="A736" s="1047" t="s">
        <v>394</v>
      </c>
      <c r="B736" s="789" t="s">
        <v>604</v>
      </c>
      <c r="C736" s="1050" t="s">
        <v>91</v>
      </c>
      <c r="D736" s="1051">
        <v>92</v>
      </c>
      <c r="E736" s="1049" t="s">
        <v>605</v>
      </c>
      <c r="F736" s="675"/>
      <c r="G736" s="675">
        <f>VLOOKUP(CLEAN(SUBSTITUTE(TRIM(MID(E:E,FIND("/",E:E)+1,LEN(E:E)))," ","")),'Customs Decl. &amp; Local Delivery'!D:I,6,0)</f>
        <v>45734</v>
      </c>
      <c r="H736" s="676">
        <f>VLOOKUP(CLEAN(SUBSTITUTE(TRIM(MID(E:E,FIND("/",E:E)+1,LEN(E:E)))," ","")),'Customs Decl. &amp; Local Delivery'!D:J,7,0)</f>
        <v>45757</v>
      </c>
      <c r="I736" s="699" t="s">
        <v>606</v>
      </c>
      <c r="J736" s="1096" t="s">
        <v>18</v>
      </c>
      <c r="K736" s="1096" t="s">
        <v>147</v>
      </c>
      <c r="L736" s="1090" t="s">
        <v>20</v>
      </c>
      <c r="M736" s="1053" t="s">
        <v>607</v>
      </c>
      <c r="N736" s="203"/>
      <c r="O736" s="512"/>
      <c r="P736" s="512"/>
      <c r="Q736" s="512"/>
      <c r="R736" s="512"/>
      <c r="S736" s="512"/>
      <c r="T736" s="512"/>
      <c r="U736" s="512"/>
      <c r="V736" s="512"/>
      <c r="W736" s="512"/>
    </row>
    <row r="737" s="178" customFormat="1" ht="15.4" customHeight="1" spans="1:23">
      <c r="A737" s="1047" t="s">
        <v>394</v>
      </c>
      <c r="B737" s="789" t="s">
        <v>604</v>
      </c>
      <c r="C737" s="789" t="s">
        <v>15</v>
      </c>
      <c r="D737" s="1051">
        <v>126</v>
      </c>
      <c r="E737" s="1069"/>
      <c r="F737" s="675"/>
      <c r="G737" s="675">
        <f>G736</f>
        <v>45734</v>
      </c>
      <c r="H737" s="676">
        <f>H736</f>
        <v>45757</v>
      </c>
      <c r="I737" s="1058" t="s">
        <v>606</v>
      </c>
      <c r="J737" s="1096" t="s">
        <v>18</v>
      </c>
      <c r="K737" s="1096" t="s">
        <v>147</v>
      </c>
      <c r="L737" s="1090" t="s">
        <v>20</v>
      </c>
      <c r="M737" s="711" t="s">
        <v>563</v>
      </c>
      <c r="N737" s="203"/>
      <c r="O737" s="512"/>
      <c r="P737" s="512"/>
      <c r="Q737" s="512"/>
      <c r="R737" s="512"/>
      <c r="S737" s="512"/>
      <c r="T737" s="512"/>
      <c r="U737" s="512"/>
      <c r="V737" s="512"/>
      <c r="W737" s="512"/>
    </row>
    <row r="738" s="178" customFormat="1" ht="15.4" customHeight="1" spans="1:23">
      <c r="A738" s="1047" t="s">
        <v>394</v>
      </c>
      <c r="B738" s="789" t="s">
        <v>608</v>
      </c>
      <c r="C738" s="1050" t="s">
        <v>91</v>
      </c>
      <c r="D738" s="1051">
        <v>92</v>
      </c>
      <c r="E738" s="756" t="s">
        <v>609</v>
      </c>
      <c r="F738" s="675"/>
      <c r="G738" s="675">
        <f>VLOOKUP(CLEAN(SUBSTITUTE(TRIM(MID(E:E,FIND("/",E:E)+1,LEN(E:E)))," ","")),'Customs Decl. &amp; Local Delivery'!D:I,6,0)</f>
        <v>45734</v>
      </c>
      <c r="H738" s="676">
        <f>VLOOKUP(CLEAN(SUBSTITUTE(TRIM(MID(E:E,FIND("/",E:E)+1,LEN(E:E)))," ","")),'Customs Decl. &amp; Local Delivery'!D:J,7,0)</f>
        <v>45757</v>
      </c>
      <c r="I738" s="699" t="s">
        <v>610</v>
      </c>
      <c r="J738" s="1096" t="s">
        <v>18</v>
      </c>
      <c r="K738" s="1096" t="s">
        <v>147</v>
      </c>
      <c r="L738" s="1090" t="s">
        <v>20</v>
      </c>
      <c r="M738" s="1053" t="s">
        <v>611</v>
      </c>
      <c r="N738" s="203"/>
      <c r="O738" s="512"/>
      <c r="P738" s="512"/>
      <c r="Q738" s="512"/>
      <c r="R738" s="512"/>
      <c r="S738" s="512"/>
      <c r="T738" s="512"/>
      <c r="U738" s="512"/>
      <c r="V738" s="512"/>
      <c r="W738" s="512"/>
    </row>
    <row r="739" s="178" customFormat="1" ht="15.4" customHeight="1" spans="1:23">
      <c r="A739" s="1047" t="s">
        <v>394</v>
      </c>
      <c r="B739" s="789" t="s">
        <v>608</v>
      </c>
      <c r="C739" s="789" t="s">
        <v>15</v>
      </c>
      <c r="D739" s="1051">
        <v>126</v>
      </c>
      <c r="E739" s="1069"/>
      <c r="F739" s="675"/>
      <c r="G739" s="675">
        <f>G738</f>
        <v>45734</v>
      </c>
      <c r="H739" s="676">
        <f>H738</f>
        <v>45757</v>
      </c>
      <c r="I739" s="1058" t="s">
        <v>610</v>
      </c>
      <c r="J739" s="1096" t="s">
        <v>18</v>
      </c>
      <c r="K739" s="1096" t="s">
        <v>147</v>
      </c>
      <c r="L739" s="1090" t="s">
        <v>20</v>
      </c>
      <c r="M739" s="711" t="s">
        <v>563</v>
      </c>
      <c r="N739" s="203"/>
      <c r="O739" s="512"/>
      <c r="P739" s="512"/>
      <c r="Q739" s="512"/>
      <c r="R739" s="512"/>
      <c r="S739" s="512"/>
      <c r="T739" s="512"/>
      <c r="U739" s="512"/>
      <c r="V739" s="512"/>
      <c r="W739" s="512"/>
    </row>
    <row r="740" s="178" customFormat="1" ht="15.4" customHeight="1" spans="1:23">
      <c r="A740" s="1047" t="s">
        <v>394</v>
      </c>
      <c r="B740" s="789" t="s">
        <v>612</v>
      </c>
      <c r="C740" s="1050" t="s">
        <v>91</v>
      </c>
      <c r="D740" s="1051">
        <v>92</v>
      </c>
      <c r="E740" s="1049" t="s">
        <v>613</v>
      </c>
      <c r="F740" s="675"/>
      <c r="G740" s="675">
        <f>VLOOKUP(CLEAN(SUBSTITUTE(TRIM(MID(E:E,FIND("/",E:E)+1,LEN(E:E)))," ","")),'Customs Decl. &amp; Local Delivery'!D:I,6,0)</f>
        <v>45734</v>
      </c>
      <c r="H740" s="676">
        <f>VLOOKUP(CLEAN(SUBSTITUTE(TRIM(MID(E:E,FIND("/",E:E)+1,LEN(E:E)))," ","")),'Customs Decl. &amp; Local Delivery'!D:J,7,0)</f>
        <v>45757</v>
      </c>
      <c r="I740" s="699" t="s">
        <v>614</v>
      </c>
      <c r="J740" s="1096" t="s">
        <v>18</v>
      </c>
      <c r="K740" s="1096" t="s">
        <v>147</v>
      </c>
      <c r="L740" s="1090" t="s">
        <v>20</v>
      </c>
      <c r="M740" s="1053" t="s">
        <v>615</v>
      </c>
      <c r="N740" s="203"/>
      <c r="O740" s="512"/>
      <c r="P740" s="512"/>
      <c r="Q740" s="512"/>
      <c r="R740" s="512"/>
      <c r="S740" s="512"/>
      <c r="T740" s="512"/>
      <c r="U740" s="512"/>
      <c r="V740" s="512"/>
      <c r="W740" s="512"/>
    </row>
    <row r="741" s="178" customFormat="1" ht="15.4" customHeight="1" spans="1:23">
      <c r="A741" s="1047" t="s">
        <v>394</v>
      </c>
      <c r="B741" s="789" t="s">
        <v>612</v>
      </c>
      <c r="C741" s="789" t="s">
        <v>15</v>
      </c>
      <c r="D741" s="1051">
        <v>126</v>
      </c>
      <c r="E741" s="1069"/>
      <c r="F741" s="675"/>
      <c r="G741" s="675">
        <f>G740</f>
        <v>45734</v>
      </c>
      <c r="H741" s="676">
        <f>H740</f>
        <v>45757</v>
      </c>
      <c r="I741" s="1058" t="s">
        <v>614</v>
      </c>
      <c r="J741" s="1096" t="s">
        <v>18</v>
      </c>
      <c r="K741" s="1096" t="s">
        <v>147</v>
      </c>
      <c r="L741" s="1090" t="s">
        <v>20</v>
      </c>
      <c r="M741" s="711" t="s">
        <v>563</v>
      </c>
      <c r="N741" s="203"/>
      <c r="O741" s="512"/>
      <c r="P741" s="512"/>
      <c r="Q741" s="512"/>
      <c r="R741" s="512"/>
      <c r="S741" s="512"/>
      <c r="T741" s="512"/>
      <c r="U741" s="512"/>
      <c r="V741" s="512"/>
      <c r="W741" s="512"/>
    </row>
    <row r="742" s="178" customFormat="1" ht="15.4" customHeight="1" spans="1:23">
      <c r="A742" s="1047" t="s">
        <v>394</v>
      </c>
      <c r="B742" s="789" t="s">
        <v>616</v>
      </c>
      <c r="C742" s="1050" t="s">
        <v>91</v>
      </c>
      <c r="D742" s="1051">
        <v>92</v>
      </c>
      <c r="E742" s="756" t="s">
        <v>617</v>
      </c>
      <c r="F742" s="675"/>
      <c r="G742" s="675">
        <f>VLOOKUP(CLEAN(SUBSTITUTE(TRIM(MID(E:E,FIND("/",E:E)+1,LEN(E:E)))," ","")),'Customs Decl. &amp; Local Delivery'!D:I,6,0)</f>
        <v>45734</v>
      </c>
      <c r="H742" s="676">
        <f>VLOOKUP(CLEAN(SUBSTITUTE(TRIM(MID(E:E,FIND("/",E:E)+1,LEN(E:E)))," ","")),'Customs Decl. &amp; Local Delivery'!D:J,7,0)</f>
        <v>45757</v>
      </c>
      <c r="I742" s="699" t="s">
        <v>618</v>
      </c>
      <c r="J742" s="1096" t="s">
        <v>18</v>
      </c>
      <c r="K742" s="1096" t="s">
        <v>147</v>
      </c>
      <c r="L742" s="1090" t="s">
        <v>20</v>
      </c>
      <c r="M742" s="1053" t="s">
        <v>619</v>
      </c>
      <c r="N742" s="203"/>
      <c r="O742" s="512"/>
      <c r="P742" s="512"/>
      <c r="Q742" s="512"/>
      <c r="R742" s="512"/>
      <c r="S742" s="512"/>
      <c r="T742" s="512"/>
      <c r="U742" s="512"/>
      <c r="V742" s="512"/>
      <c r="W742" s="512"/>
    </row>
    <row r="743" s="178" customFormat="1" ht="15.4" customHeight="1" spans="1:23">
      <c r="A743" s="1047" t="s">
        <v>394</v>
      </c>
      <c r="B743" s="789" t="s">
        <v>616</v>
      </c>
      <c r="C743" s="789" t="s">
        <v>15</v>
      </c>
      <c r="D743" s="1051">
        <v>126</v>
      </c>
      <c r="E743" s="1069"/>
      <c r="F743" s="675"/>
      <c r="G743" s="675">
        <f>G742</f>
        <v>45734</v>
      </c>
      <c r="H743" s="676">
        <f>H742</f>
        <v>45757</v>
      </c>
      <c r="I743" s="1058" t="s">
        <v>618</v>
      </c>
      <c r="J743" s="1096" t="s">
        <v>18</v>
      </c>
      <c r="K743" s="1096" t="s">
        <v>147</v>
      </c>
      <c r="L743" s="1090" t="s">
        <v>20</v>
      </c>
      <c r="M743" s="711" t="s">
        <v>563</v>
      </c>
      <c r="N743" s="203"/>
      <c r="O743" s="512"/>
      <c r="P743" s="512"/>
      <c r="Q743" s="512"/>
      <c r="R743" s="512"/>
      <c r="S743" s="512"/>
      <c r="T743" s="512"/>
      <c r="U743" s="512"/>
      <c r="V743" s="512"/>
      <c r="W743" s="512"/>
    </row>
    <row r="744" s="178" customFormat="1" ht="15.4" customHeight="1" spans="1:23">
      <c r="A744" s="1064" t="s">
        <v>579</v>
      </c>
      <c r="B744" s="789" t="s">
        <v>620</v>
      </c>
      <c r="C744" s="789" t="s">
        <v>77</v>
      </c>
      <c r="D744" s="279">
        <v>48</v>
      </c>
      <c r="E744" s="1085" t="s">
        <v>621</v>
      </c>
      <c r="F744" s="675"/>
      <c r="G744" s="675">
        <f>VLOOKUP(CLEAN(SUBSTITUTE(TRIM(MID(E:E,FIND("/",E:E)+1,LEN(E:E)))," ","")),'Customs Decl. &amp; Local Delivery'!D:I,6,0)</f>
        <v>45734</v>
      </c>
      <c r="H744" s="676">
        <f>VLOOKUP(CLEAN(SUBSTITUTE(TRIM(MID(E:E,FIND("/",E:E)+1,LEN(E:E)))," ","")),'Customs Decl. &amp; Local Delivery'!D:J,7,0)</f>
        <v>45757</v>
      </c>
      <c r="I744" s="699" t="s">
        <v>622</v>
      </c>
      <c r="J744" s="1058" t="s">
        <v>18</v>
      </c>
      <c r="K744" s="1053" t="s">
        <v>576</v>
      </c>
      <c r="L744" s="1090" t="s">
        <v>20</v>
      </c>
      <c r="M744" s="1063" t="s">
        <v>623</v>
      </c>
      <c r="N744" s="203"/>
      <c r="O744" s="512"/>
      <c r="P744" s="512"/>
      <c r="Q744" s="512"/>
      <c r="R744" s="512"/>
      <c r="S744" s="512"/>
      <c r="T744" s="512"/>
      <c r="U744" s="512"/>
      <c r="V744" s="512"/>
      <c r="W744" s="512"/>
    </row>
    <row r="745" s="178" customFormat="1" ht="15.4" customHeight="1" spans="1:23">
      <c r="A745" s="1064" t="s">
        <v>579</v>
      </c>
      <c r="B745" s="789" t="s">
        <v>620</v>
      </c>
      <c r="C745" s="789" t="s">
        <v>15</v>
      </c>
      <c r="D745" s="279">
        <v>162</v>
      </c>
      <c r="E745" s="1069"/>
      <c r="F745" s="675"/>
      <c r="G745" s="675">
        <f>G744</f>
        <v>45734</v>
      </c>
      <c r="H745" s="676">
        <f>H744</f>
        <v>45757</v>
      </c>
      <c r="I745" s="1058" t="s">
        <v>622</v>
      </c>
      <c r="J745" s="1058" t="s">
        <v>18</v>
      </c>
      <c r="K745" s="1053" t="s">
        <v>576</v>
      </c>
      <c r="L745" s="279" t="s">
        <v>20</v>
      </c>
      <c r="M745" s="711" t="s">
        <v>563</v>
      </c>
      <c r="N745" s="203"/>
      <c r="O745" s="512"/>
      <c r="P745" s="512"/>
      <c r="Q745" s="512"/>
      <c r="R745" s="512"/>
      <c r="S745" s="512"/>
      <c r="T745" s="512"/>
      <c r="U745" s="512"/>
      <c r="V745" s="512"/>
      <c r="W745" s="512"/>
    </row>
    <row r="746" s="178" customFormat="1" ht="15.4" customHeight="1" spans="1:23">
      <c r="A746" s="1075" t="s">
        <v>579</v>
      </c>
      <c r="B746" s="1052" t="s">
        <v>620</v>
      </c>
      <c r="C746" s="789" t="s">
        <v>24</v>
      </c>
      <c r="D746" s="279">
        <v>54</v>
      </c>
      <c r="E746" s="1069"/>
      <c r="F746" s="675"/>
      <c r="G746" s="675">
        <f>G745</f>
        <v>45734</v>
      </c>
      <c r="H746" s="676">
        <f>H745</f>
        <v>45757</v>
      </c>
      <c r="I746" s="699" t="s">
        <v>622</v>
      </c>
      <c r="J746" s="1058" t="s">
        <v>18</v>
      </c>
      <c r="K746" s="1053" t="s">
        <v>576</v>
      </c>
      <c r="L746" s="279" t="s">
        <v>20</v>
      </c>
      <c r="M746" s="1097" t="s">
        <v>624</v>
      </c>
      <c r="N746" s="203"/>
      <c r="O746" s="512"/>
      <c r="P746" s="512"/>
      <c r="Q746" s="512"/>
      <c r="R746" s="512"/>
      <c r="S746" s="512"/>
      <c r="T746" s="512"/>
      <c r="U746" s="512"/>
      <c r="V746" s="512"/>
      <c r="W746" s="512"/>
    </row>
    <row r="747" s="178" customFormat="1" ht="15.4" customHeight="1" spans="1:23">
      <c r="A747" s="1075" t="s">
        <v>579</v>
      </c>
      <c r="B747" s="789" t="s">
        <v>620</v>
      </c>
      <c r="C747" s="789" t="s">
        <v>67</v>
      </c>
      <c r="D747" s="279">
        <v>54</v>
      </c>
      <c r="E747" s="1069"/>
      <c r="F747" s="675"/>
      <c r="G747" s="675">
        <f>G746</f>
        <v>45734</v>
      </c>
      <c r="H747" s="676">
        <f>H746</f>
        <v>45757</v>
      </c>
      <c r="I747" s="1058" t="s">
        <v>622</v>
      </c>
      <c r="J747" s="1058" t="s">
        <v>18</v>
      </c>
      <c r="K747" s="1053" t="s">
        <v>576</v>
      </c>
      <c r="L747" s="279" t="s">
        <v>20</v>
      </c>
      <c r="M747" s="1058"/>
      <c r="N747" s="203"/>
      <c r="O747" s="512"/>
      <c r="P747" s="512"/>
      <c r="Q747" s="512"/>
      <c r="R747" s="512"/>
      <c r="S747" s="512"/>
      <c r="T747" s="512"/>
      <c r="U747" s="512"/>
      <c r="V747" s="512"/>
      <c r="W747" s="512"/>
    </row>
    <row r="748" s="178" customFormat="1" spans="1:23">
      <c r="A748" s="1064" t="s">
        <v>579</v>
      </c>
      <c r="B748" s="789" t="s">
        <v>625</v>
      </c>
      <c r="C748" s="1095" t="s">
        <v>77</v>
      </c>
      <c r="D748" s="279">
        <v>48</v>
      </c>
      <c r="E748" s="1085" t="s">
        <v>626</v>
      </c>
      <c r="F748" s="675"/>
      <c r="G748" s="675">
        <f>VLOOKUP(CLEAN(SUBSTITUTE(TRIM(MID(E:E,FIND("/",E:E)+1,LEN(E:E)))," ","")),'Customs Decl. &amp; Local Delivery'!D:I,6,0)</f>
        <v>45734</v>
      </c>
      <c r="H748" s="676">
        <f>VLOOKUP(CLEAN(SUBSTITUTE(TRIM(MID(E:E,FIND("/",E:E)+1,LEN(E:E)))," ","")),'Customs Decl. &amp; Local Delivery'!D:J,7,0)</f>
        <v>45757</v>
      </c>
      <c r="I748" s="699" t="s">
        <v>627</v>
      </c>
      <c r="J748" s="1058" t="s">
        <v>18</v>
      </c>
      <c r="K748" s="1053" t="s">
        <v>147</v>
      </c>
      <c r="L748" s="1090" t="s">
        <v>20</v>
      </c>
      <c r="M748" s="1058" t="s">
        <v>628</v>
      </c>
      <c r="N748" s="203"/>
      <c r="O748" s="512"/>
      <c r="P748" s="512"/>
      <c r="Q748" s="512"/>
      <c r="R748" s="512"/>
      <c r="S748" s="512"/>
      <c r="T748" s="512"/>
      <c r="U748" s="512"/>
      <c r="V748" s="512"/>
      <c r="W748" s="512"/>
    </row>
    <row r="749" s="178" customFormat="1" spans="1:23">
      <c r="A749" s="1064" t="s">
        <v>579</v>
      </c>
      <c r="B749" s="789" t="s">
        <v>625</v>
      </c>
      <c r="C749" s="1095" t="s">
        <v>15</v>
      </c>
      <c r="D749" s="279">
        <v>150</v>
      </c>
      <c r="E749" s="708"/>
      <c r="F749" s="675"/>
      <c r="G749" s="675">
        <f>G748</f>
        <v>45734</v>
      </c>
      <c r="H749" s="676">
        <f>H748</f>
        <v>45757</v>
      </c>
      <c r="I749" s="699" t="s">
        <v>627</v>
      </c>
      <c r="J749" s="1058" t="s">
        <v>18</v>
      </c>
      <c r="K749" s="1053" t="s">
        <v>147</v>
      </c>
      <c r="L749" s="279" t="s">
        <v>20</v>
      </c>
      <c r="M749" s="1063" t="s">
        <v>629</v>
      </c>
      <c r="N749" s="203"/>
      <c r="O749" s="512"/>
      <c r="P749" s="512"/>
      <c r="Q749" s="512"/>
      <c r="R749" s="512"/>
      <c r="S749" s="512"/>
      <c r="T749" s="512"/>
      <c r="U749" s="512"/>
      <c r="V749" s="512"/>
      <c r="W749" s="512"/>
    </row>
    <row r="750" s="178" customFormat="1" spans="1:23">
      <c r="A750" s="1064" t="s">
        <v>579</v>
      </c>
      <c r="B750" s="789" t="s">
        <v>625</v>
      </c>
      <c r="C750" s="1095" t="s">
        <v>27</v>
      </c>
      <c r="D750" s="279">
        <v>50</v>
      </c>
      <c r="E750" s="708"/>
      <c r="F750" s="675"/>
      <c r="G750" s="675">
        <f>G749</f>
        <v>45734</v>
      </c>
      <c r="H750" s="676">
        <f>H749</f>
        <v>45757</v>
      </c>
      <c r="I750" s="699" t="s">
        <v>627</v>
      </c>
      <c r="J750" s="1058" t="s">
        <v>18</v>
      </c>
      <c r="K750" s="1053" t="s">
        <v>147</v>
      </c>
      <c r="L750" s="279" t="s">
        <v>20</v>
      </c>
      <c r="M750" s="1058"/>
      <c r="N750" s="203"/>
      <c r="O750" s="512"/>
      <c r="P750" s="512"/>
      <c r="Q750" s="512"/>
      <c r="R750" s="512"/>
      <c r="S750" s="512"/>
      <c r="T750" s="512"/>
      <c r="U750" s="512"/>
      <c r="V750" s="512"/>
      <c r="W750" s="512"/>
    </row>
    <row r="751" s="178" customFormat="1" spans="1:23">
      <c r="A751" s="1064" t="s">
        <v>579</v>
      </c>
      <c r="B751" s="789" t="s">
        <v>625</v>
      </c>
      <c r="C751" s="1095" t="s">
        <v>70</v>
      </c>
      <c r="D751" s="279">
        <v>50</v>
      </c>
      <c r="E751" s="708"/>
      <c r="F751" s="675"/>
      <c r="G751" s="675">
        <f>G750</f>
        <v>45734</v>
      </c>
      <c r="H751" s="676">
        <f>H750</f>
        <v>45757</v>
      </c>
      <c r="I751" s="699" t="s">
        <v>627</v>
      </c>
      <c r="J751" s="1058" t="s">
        <v>18</v>
      </c>
      <c r="K751" s="1053" t="s">
        <v>147</v>
      </c>
      <c r="L751" s="279" t="s">
        <v>20</v>
      </c>
      <c r="M751" s="1058"/>
      <c r="N751" s="203"/>
      <c r="O751" s="512"/>
      <c r="P751" s="512"/>
      <c r="Q751" s="512"/>
      <c r="R751" s="512"/>
      <c r="S751" s="512"/>
      <c r="T751" s="512"/>
      <c r="U751" s="512"/>
      <c r="V751" s="512"/>
      <c r="W751" s="512"/>
    </row>
    <row r="752" s="178" customFormat="1" ht="30.75" customHeight="1" spans="1:23">
      <c r="A752" s="1047" t="s">
        <v>376</v>
      </c>
      <c r="B752" s="1047" t="s">
        <v>630</v>
      </c>
      <c r="C752" s="1047" t="s">
        <v>631</v>
      </c>
      <c r="D752" s="279">
        <v>51</v>
      </c>
      <c r="E752" s="756" t="s">
        <v>632</v>
      </c>
      <c r="F752" s="675"/>
      <c r="G752" s="675">
        <f>VLOOKUP(CLEAN(SUBSTITUTE(TRIM(MID(E:E,FIND("/",E:E)+1,LEN(E:E)))," ","")),'Customs Decl. &amp; Local Delivery'!D:I,6,0)</f>
        <v>45745</v>
      </c>
      <c r="H752" s="676">
        <f>VLOOKUP(CLEAN(SUBSTITUTE(TRIM(MID(E:E,FIND("/",E:E)+1,LEN(E:E)))," ","")),'Customs Decl. &amp; Local Delivery'!D:J,7,0)</f>
        <v>45760</v>
      </c>
      <c r="I752" s="699" t="s">
        <v>633</v>
      </c>
      <c r="J752" s="784" t="s">
        <v>18</v>
      </c>
      <c r="K752" s="784" t="s">
        <v>147</v>
      </c>
      <c r="L752" s="279" t="s">
        <v>20</v>
      </c>
      <c r="M752" s="1058" t="s">
        <v>634</v>
      </c>
      <c r="N752" s="203"/>
      <c r="O752" s="512"/>
      <c r="P752" s="512"/>
      <c r="Q752" s="512"/>
      <c r="R752" s="512"/>
      <c r="S752" s="512"/>
      <c r="T752" s="512"/>
      <c r="U752" s="512"/>
      <c r="V752" s="512"/>
      <c r="W752" s="512"/>
    </row>
    <row r="753" s="473" customFormat="1" spans="1:23">
      <c r="A753" s="784" t="s">
        <v>635</v>
      </c>
      <c r="B753" s="1050" t="s">
        <v>636</v>
      </c>
      <c r="C753" s="1095" t="s">
        <v>24</v>
      </c>
      <c r="D753" s="279">
        <v>96</v>
      </c>
      <c r="E753" s="1049" t="s">
        <v>637</v>
      </c>
      <c r="F753" s="675"/>
      <c r="G753" s="675">
        <f>VLOOKUP(CLEAN(SUBSTITUTE(TRIM(MID(E:E,FIND("/",E:E)+1,LEN(E:E)))," ","")),'Customs Decl. &amp; Local Delivery'!D:I,6,0)</f>
        <v>45740</v>
      </c>
      <c r="H753" s="676">
        <f>VLOOKUP(CLEAN(SUBSTITUTE(TRIM(MID(E:E,FIND("/",E:E)+1,LEN(E:E)))," ","")),'Customs Decl. &amp; Local Delivery'!D:J,7,0)</f>
        <v>45762</v>
      </c>
      <c r="I753" s="1098" t="s">
        <v>638</v>
      </c>
      <c r="J753" s="784" t="s">
        <v>18</v>
      </c>
      <c r="K753" s="982" t="s">
        <v>64</v>
      </c>
      <c r="L753" s="244" t="s">
        <v>20</v>
      </c>
      <c r="M753" s="1063" t="s">
        <v>639</v>
      </c>
      <c r="N753" s="203"/>
      <c r="O753" s="512"/>
      <c r="P753" s="512"/>
      <c r="Q753" s="512"/>
      <c r="R753" s="512"/>
      <c r="S753" s="512"/>
      <c r="T753" s="512"/>
      <c r="U753" s="512"/>
      <c r="V753" s="512"/>
      <c r="W753" s="512"/>
    </row>
    <row r="754" s="473" customFormat="1" spans="1:23">
      <c r="A754" s="784" t="s">
        <v>635</v>
      </c>
      <c r="B754" s="1050" t="s">
        <v>636</v>
      </c>
      <c r="C754" s="1095" t="s">
        <v>27</v>
      </c>
      <c r="D754" s="279">
        <v>48</v>
      </c>
      <c r="E754" s="708"/>
      <c r="F754" s="675"/>
      <c r="G754" s="675">
        <f>G753</f>
        <v>45740</v>
      </c>
      <c r="H754" s="676">
        <f>H753</f>
        <v>45762</v>
      </c>
      <c r="I754" s="1098" t="s">
        <v>638</v>
      </c>
      <c r="J754" s="784" t="s">
        <v>18</v>
      </c>
      <c r="K754" s="982" t="s">
        <v>64</v>
      </c>
      <c r="L754" s="240" t="s">
        <v>20</v>
      </c>
      <c r="M754" s="1061" t="s">
        <v>640</v>
      </c>
      <c r="N754" s="203"/>
      <c r="O754" s="512"/>
      <c r="P754" s="512"/>
      <c r="Q754" s="512"/>
      <c r="R754" s="512"/>
      <c r="S754" s="512"/>
      <c r="T754" s="512"/>
      <c r="U754" s="512"/>
      <c r="V754" s="512"/>
      <c r="W754" s="512"/>
    </row>
    <row r="755" s="473" customFormat="1" spans="1:23">
      <c r="A755" s="784" t="s">
        <v>635</v>
      </c>
      <c r="B755" s="1050" t="s">
        <v>636</v>
      </c>
      <c r="C755" s="1095" t="s">
        <v>67</v>
      </c>
      <c r="D755" s="279">
        <v>48</v>
      </c>
      <c r="E755" s="708"/>
      <c r="F755" s="675"/>
      <c r="G755" s="675">
        <f>G754</f>
        <v>45740</v>
      </c>
      <c r="H755" s="676">
        <f>H754</f>
        <v>45762</v>
      </c>
      <c r="I755" s="1098" t="s">
        <v>638</v>
      </c>
      <c r="J755" s="784" t="s">
        <v>18</v>
      </c>
      <c r="K755" s="982" t="s">
        <v>64</v>
      </c>
      <c r="L755" s="240" t="s">
        <v>20</v>
      </c>
      <c r="M755" s="1058" t="s">
        <v>641</v>
      </c>
      <c r="N755" s="203"/>
      <c r="O755" s="512"/>
      <c r="P755" s="512"/>
      <c r="Q755" s="512"/>
      <c r="R755" s="512"/>
      <c r="S755" s="512"/>
      <c r="T755" s="512"/>
      <c r="U755" s="512"/>
      <c r="V755" s="512"/>
      <c r="W755" s="512"/>
    </row>
    <row r="756" s="473" customFormat="1" spans="1:23">
      <c r="A756" s="784" t="s">
        <v>635</v>
      </c>
      <c r="B756" s="1050" t="s">
        <v>636</v>
      </c>
      <c r="C756" s="1095" t="s">
        <v>77</v>
      </c>
      <c r="D756" s="279">
        <v>48</v>
      </c>
      <c r="E756" s="708"/>
      <c r="F756" s="675"/>
      <c r="G756" s="675">
        <f>G755</f>
        <v>45740</v>
      </c>
      <c r="H756" s="676">
        <f>H755</f>
        <v>45762</v>
      </c>
      <c r="I756" s="1098" t="s">
        <v>638</v>
      </c>
      <c r="J756" s="784" t="s">
        <v>18</v>
      </c>
      <c r="K756" s="982" t="s">
        <v>64</v>
      </c>
      <c r="L756" s="240" t="s">
        <v>20</v>
      </c>
      <c r="M756" s="1058"/>
      <c r="N756" s="203"/>
      <c r="O756" s="512"/>
      <c r="P756" s="512"/>
      <c r="Q756" s="512"/>
      <c r="R756" s="512"/>
      <c r="S756" s="512"/>
      <c r="T756" s="512"/>
      <c r="U756" s="512"/>
      <c r="V756" s="512"/>
      <c r="W756" s="512"/>
    </row>
    <row r="757" s="473" customFormat="1" spans="1:23">
      <c r="A757" s="784" t="s">
        <v>635</v>
      </c>
      <c r="B757" s="1050" t="s">
        <v>642</v>
      </c>
      <c r="C757" s="1095" t="s">
        <v>24</v>
      </c>
      <c r="D757" s="279">
        <v>96</v>
      </c>
      <c r="E757" s="1049" t="s">
        <v>643</v>
      </c>
      <c r="F757" s="675"/>
      <c r="G757" s="675">
        <f>VLOOKUP(CLEAN(SUBSTITUTE(TRIM(MID(E:E,FIND("/",E:E)+1,LEN(E:E)))," ","")),'Customs Decl. &amp; Local Delivery'!D:I,6,0)</f>
        <v>45740</v>
      </c>
      <c r="H757" s="676">
        <f>VLOOKUP(CLEAN(SUBSTITUTE(TRIM(MID(E:E,FIND("/",E:E)+1,LEN(E:E)))," ","")),'Customs Decl. &amp; Local Delivery'!D:J,7,0)</f>
        <v>45762</v>
      </c>
      <c r="I757" s="1098" t="s">
        <v>638</v>
      </c>
      <c r="J757" s="784" t="s">
        <v>18</v>
      </c>
      <c r="K757" s="982" t="s">
        <v>64</v>
      </c>
      <c r="L757" s="240" t="s">
        <v>20</v>
      </c>
      <c r="M757" s="1063" t="s">
        <v>644</v>
      </c>
      <c r="N757" s="203"/>
      <c r="O757" s="512"/>
      <c r="P757" s="512"/>
      <c r="Q757" s="512"/>
      <c r="R757" s="512"/>
      <c r="S757" s="512"/>
      <c r="T757" s="512"/>
      <c r="U757" s="512"/>
      <c r="V757" s="512"/>
      <c r="W757" s="512"/>
    </row>
    <row r="758" s="473" customFormat="1" spans="1:23">
      <c r="A758" s="784" t="s">
        <v>635</v>
      </c>
      <c r="B758" s="1050" t="s">
        <v>642</v>
      </c>
      <c r="C758" s="1095" t="s">
        <v>27</v>
      </c>
      <c r="D758" s="279">
        <v>48</v>
      </c>
      <c r="E758" s="708"/>
      <c r="F758" s="675"/>
      <c r="G758" s="675">
        <f>G757</f>
        <v>45740</v>
      </c>
      <c r="H758" s="676">
        <f>H757</f>
        <v>45762</v>
      </c>
      <c r="I758" s="1098" t="s">
        <v>638</v>
      </c>
      <c r="J758" s="784" t="s">
        <v>18</v>
      </c>
      <c r="K758" s="982" t="s">
        <v>64</v>
      </c>
      <c r="L758" s="240" t="s">
        <v>20</v>
      </c>
      <c r="M758" s="1061" t="s">
        <v>640</v>
      </c>
      <c r="N758" s="203"/>
      <c r="O758" s="512"/>
      <c r="P758" s="512"/>
      <c r="Q758" s="512"/>
      <c r="R758" s="512"/>
      <c r="S758" s="512"/>
      <c r="T758" s="512"/>
      <c r="U758" s="512"/>
      <c r="V758" s="512"/>
      <c r="W758" s="512"/>
    </row>
    <row r="759" s="473" customFormat="1" spans="1:23">
      <c r="A759" s="784" t="s">
        <v>635</v>
      </c>
      <c r="B759" s="1050" t="s">
        <v>642</v>
      </c>
      <c r="C759" s="1095" t="s">
        <v>67</v>
      </c>
      <c r="D759" s="279">
        <v>48</v>
      </c>
      <c r="E759" s="708"/>
      <c r="F759" s="675"/>
      <c r="G759" s="675">
        <f>G758</f>
        <v>45740</v>
      </c>
      <c r="H759" s="676">
        <f>H758</f>
        <v>45762</v>
      </c>
      <c r="I759" s="1098" t="s">
        <v>638</v>
      </c>
      <c r="J759" s="784" t="s">
        <v>18</v>
      </c>
      <c r="K759" s="982" t="s">
        <v>64</v>
      </c>
      <c r="L759" s="240" t="s">
        <v>20</v>
      </c>
      <c r="M759" s="1058" t="s">
        <v>645</v>
      </c>
      <c r="N759" s="203"/>
      <c r="O759" s="512"/>
      <c r="P759" s="512"/>
      <c r="Q759" s="512"/>
      <c r="R759" s="512"/>
      <c r="S759" s="512"/>
      <c r="T759" s="512"/>
      <c r="U759" s="512"/>
      <c r="V759" s="512"/>
      <c r="W759" s="512"/>
    </row>
    <row r="760" s="473" customFormat="1" spans="1:23">
      <c r="A760" s="784" t="s">
        <v>635</v>
      </c>
      <c r="B760" s="1050" t="s">
        <v>642</v>
      </c>
      <c r="C760" s="1095" t="s">
        <v>77</v>
      </c>
      <c r="D760" s="279">
        <v>48</v>
      </c>
      <c r="E760" s="708"/>
      <c r="F760" s="675"/>
      <c r="G760" s="675">
        <f>G759</f>
        <v>45740</v>
      </c>
      <c r="H760" s="676">
        <f>H759</f>
        <v>45762</v>
      </c>
      <c r="I760" s="1098" t="s">
        <v>638</v>
      </c>
      <c r="J760" s="784" t="s">
        <v>18</v>
      </c>
      <c r="K760" s="982" t="s">
        <v>64</v>
      </c>
      <c r="L760" s="240" t="s">
        <v>20</v>
      </c>
      <c r="M760" s="1058"/>
      <c r="N760" s="203"/>
      <c r="O760" s="512"/>
      <c r="P760" s="512"/>
      <c r="Q760" s="512"/>
      <c r="R760" s="512"/>
      <c r="S760" s="512"/>
      <c r="T760" s="512"/>
      <c r="U760" s="512"/>
      <c r="V760" s="512"/>
      <c r="W760" s="512"/>
    </row>
    <row r="761" s="473" customFormat="1" spans="1:23">
      <c r="A761" s="784" t="s">
        <v>635</v>
      </c>
      <c r="B761" s="1050" t="s">
        <v>646</v>
      </c>
      <c r="C761" s="1095" t="s">
        <v>24</v>
      </c>
      <c r="D761" s="279">
        <v>64</v>
      </c>
      <c r="E761" s="1049" t="s">
        <v>647</v>
      </c>
      <c r="F761" s="675"/>
      <c r="G761" s="675">
        <f>VLOOKUP(CLEAN(SUBSTITUTE(TRIM(MID(E:E,FIND("/",E:E)+1,LEN(E:E)))," ","")),'Customs Decl. &amp; Local Delivery'!D:I,6,0)</f>
        <v>45740</v>
      </c>
      <c r="H761" s="676">
        <f>VLOOKUP(CLEAN(SUBSTITUTE(TRIM(MID(E:E,FIND("/",E:E)+1,LEN(E:E)))," ","")),'Customs Decl. &amp; Local Delivery'!D:J,7,0)</f>
        <v>45762</v>
      </c>
      <c r="I761" s="1064" t="s">
        <v>638</v>
      </c>
      <c r="J761" s="784" t="s">
        <v>18</v>
      </c>
      <c r="K761" s="982" t="s">
        <v>64</v>
      </c>
      <c r="L761" s="240" t="s">
        <v>20</v>
      </c>
      <c r="M761" s="1063" t="s">
        <v>648</v>
      </c>
      <c r="N761" s="203"/>
      <c r="O761" s="512"/>
      <c r="P761" s="512"/>
      <c r="Q761" s="512"/>
      <c r="R761" s="512"/>
      <c r="S761" s="512"/>
      <c r="T761" s="512"/>
      <c r="U761" s="512"/>
      <c r="V761" s="512"/>
      <c r="W761" s="512"/>
    </row>
    <row r="762" s="473" customFormat="1" spans="1:23">
      <c r="A762" s="784" t="s">
        <v>635</v>
      </c>
      <c r="B762" s="1050" t="s">
        <v>646</v>
      </c>
      <c r="C762" s="1095" t="s">
        <v>27</v>
      </c>
      <c r="D762" s="279">
        <v>42</v>
      </c>
      <c r="E762" s="708"/>
      <c r="F762" s="675"/>
      <c r="G762" s="675">
        <f>G761</f>
        <v>45740</v>
      </c>
      <c r="H762" s="676">
        <f>H761</f>
        <v>45762</v>
      </c>
      <c r="I762" s="1098" t="s">
        <v>638</v>
      </c>
      <c r="J762" s="784" t="s">
        <v>18</v>
      </c>
      <c r="K762" s="982" t="s">
        <v>64</v>
      </c>
      <c r="L762" s="240" t="s">
        <v>20</v>
      </c>
      <c r="M762" s="1061" t="s">
        <v>640</v>
      </c>
      <c r="N762" s="203"/>
      <c r="O762" s="512"/>
      <c r="P762" s="512"/>
      <c r="Q762" s="512"/>
      <c r="R762" s="512"/>
      <c r="S762" s="512"/>
      <c r="T762" s="512"/>
      <c r="U762" s="512"/>
      <c r="V762" s="512"/>
      <c r="W762" s="512"/>
    </row>
    <row r="763" s="473" customFormat="1" spans="1:23">
      <c r="A763" s="784" t="s">
        <v>635</v>
      </c>
      <c r="B763" s="1050" t="s">
        <v>646</v>
      </c>
      <c r="C763" s="1095" t="s">
        <v>67</v>
      </c>
      <c r="D763" s="279">
        <v>42</v>
      </c>
      <c r="E763" s="708"/>
      <c r="F763" s="675"/>
      <c r="G763" s="675">
        <f>G762</f>
        <v>45740</v>
      </c>
      <c r="H763" s="676">
        <f>H762</f>
        <v>45762</v>
      </c>
      <c r="I763" s="1098" t="s">
        <v>638</v>
      </c>
      <c r="J763" s="784" t="s">
        <v>18</v>
      </c>
      <c r="K763" s="982" t="s">
        <v>64</v>
      </c>
      <c r="L763" s="240" t="s">
        <v>20</v>
      </c>
      <c r="M763" s="1053" t="s">
        <v>649</v>
      </c>
      <c r="N763" s="203"/>
      <c r="O763" s="512"/>
      <c r="P763" s="512"/>
      <c r="Q763" s="512"/>
      <c r="R763" s="512"/>
      <c r="S763" s="512"/>
      <c r="T763" s="512"/>
      <c r="U763" s="512"/>
      <c r="V763" s="512"/>
      <c r="W763" s="512"/>
    </row>
    <row r="764" s="473" customFormat="1" spans="1:23">
      <c r="A764" s="784" t="s">
        <v>635</v>
      </c>
      <c r="B764" s="1050" t="s">
        <v>646</v>
      </c>
      <c r="C764" s="1095" t="s">
        <v>70</v>
      </c>
      <c r="D764" s="279">
        <v>42</v>
      </c>
      <c r="E764" s="708"/>
      <c r="F764" s="675"/>
      <c r="G764" s="675">
        <f>G763</f>
        <v>45740</v>
      </c>
      <c r="H764" s="676">
        <f>H763</f>
        <v>45762</v>
      </c>
      <c r="I764" s="1098" t="s">
        <v>638</v>
      </c>
      <c r="J764" s="784" t="s">
        <v>18</v>
      </c>
      <c r="K764" s="982" t="s">
        <v>64</v>
      </c>
      <c r="L764" s="240" t="s">
        <v>20</v>
      </c>
      <c r="M764" s="1058"/>
      <c r="N764" s="203"/>
      <c r="O764" s="512"/>
      <c r="P764" s="512"/>
      <c r="Q764" s="512"/>
      <c r="R764" s="512"/>
      <c r="S764" s="512"/>
      <c r="T764" s="512"/>
      <c r="U764" s="512"/>
      <c r="V764" s="512"/>
      <c r="W764" s="512"/>
    </row>
    <row r="765" s="473" customFormat="1" spans="1:23">
      <c r="A765" s="784" t="s">
        <v>635</v>
      </c>
      <c r="B765" s="1050" t="s">
        <v>646</v>
      </c>
      <c r="C765" s="1095" t="s">
        <v>91</v>
      </c>
      <c r="D765" s="279">
        <v>64</v>
      </c>
      <c r="E765" s="708"/>
      <c r="F765" s="675"/>
      <c r="G765" s="675">
        <f>G764</f>
        <v>45740</v>
      </c>
      <c r="H765" s="676">
        <f>H764</f>
        <v>45762</v>
      </c>
      <c r="I765" s="1098" t="s">
        <v>638</v>
      </c>
      <c r="J765" s="784" t="s">
        <v>18</v>
      </c>
      <c r="K765" s="982" t="s">
        <v>64</v>
      </c>
      <c r="L765" s="240" t="s">
        <v>20</v>
      </c>
      <c r="M765" s="1064"/>
      <c r="N765" s="203"/>
      <c r="O765" s="512"/>
      <c r="P765" s="512"/>
      <c r="Q765" s="512"/>
      <c r="R765" s="512"/>
      <c r="S765" s="512"/>
      <c r="T765" s="512"/>
      <c r="U765" s="512"/>
      <c r="V765" s="512"/>
      <c r="W765" s="512"/>
    </row>
    <row r="766" s="178" customFormat="1" ht="30.75" customHeight="1" spans="1:23">
      <c r="A766" s="1047" t="s">
        <v>394</v>
      </c>
      <c r="B766" s="789" t="s">
        <v>650</v>
      </c>
      <c r="C766" s="1047" t="s">
        <v>651</v>
      </c>
      <c r="D766" s="240">
        <v>45</v>
      </c>
      <c r="E766" s="756" t="s">
        <v>652</v>
      </c>
      <c r="F766" s="675"/>
      <c r="G766" s="675">
        <f>VLOOKUP(CLEAN(SUBSTITUTE(TRIM(MID(E:E,FIND("/",E:E)+1,LEN(E:E)))," ","")),'Customs Decl. &amp; Local Delivery'!D:I,6,0)</f>
        <v>45745</v>
      </c>
      <c r="H766" s="676">
        <f>VLOOKUP(CLEAN(SUBSTITUTE(TRIM(MID(E:E,FIND("/",E:E)+1,LEN(E:E)))," ","")),'Customs Decl. &amp; Local Delivery'!D:J,7,0)</f>
        <v>45760</v>
      </c>
      <c r="I766" s="1058" t="s">
        <v>653</v>
      </c>
      <c r="J766" s="1096" t="s">
        <v>18</v>
      </c>
      <c r="K766" s="1053" t="s">
        <v>654</v>
      </c>
      <c r="L766" s="279" t="s">
        <v>20</v>
      </c>
      <c r="M766" s="1099" t="s">
        <v>655</v>
      </c>
      <c r="N766" s="512"/>
      <c r="O766" s="512"/>
      <c r="P766" s="512"/>
      <c r="Q766" s="512"/>
      <c r="R766" s="512"/>
      <c r="S766" s="512"/>
      <c r="T766" s="512"/>
      <c r="U766" s="512"/>
      <c r="V766" s="512"/>
      <c r="W766" s="512"/>
    </row>
    <row r="767" s="178" customFormat="1" spans="1:23">
      <c r="A767" s="1064" t="s">
        <v>656</v>
      </c>
      <c r="B767" s="1050" t="s">
        <v>657</v>
      </c>
      <c r="C767" s="1095" t="s">
        <v>91</v>
      </c>
      <c r="D767" s="279">
        <v>92</v>
      </c>
      <c r="E767" s="1085" t="s">
        <v>658</v>
      </c>
      <c r="F767" s="675"/>
      <c r="G767" s="675">
        <f>VLOOKUP(CLEAN(SUBSTITUTE(TRIM(MID(E:E,FIND("/",E:E)+1,LEN(E:E)))," ","")),'Customs Decl. &amp; Local Delivery'!D:I,6,0)</f>
        <v>45737</v>
      </c>
      <c r="H767" s="676">
        <f>VLOOKUP(CLEAN(SUBSTITUTE(TRIM(MID(E:E,FIND("/",E:E)+1,LEN(E:E)))," ","")),'Customs Decl. &amp; Local Delivery'!D:J,7,0)</f>
        <v>45762</v>
      </c>
      <c r="I767" s="711" t="s">
        <v>659</v>
      </c>
      <c r="J767" s="1058" t="s">
        <v>18</v>
      </c>
      <c r="K767" s="1053" t="s">
        <v>147</v>
      </c>
      <c r="L767" s="1090" t="s">
        <v>20</v>
      </c>
      <c r="M767" s="1053" t="s">
        <v>660</v>
      </c>
      <c r="N767" s="203"/>
      <c r="O767" s="512"/>
      <c r="P767" s="512"/>
      <c r="Q767" s="512"/>
      <c r="R767" s="512"/>
      <c r="S767" s="512"/>
      <c r="T767" s="512"/>
      <c r="U767" s="512"/>
      <c r="V767" s="512"/>
      <c r="W767" s="512"/>
    </row>
    <row r="768" s="178" customFormat="1" spans="1:23">
      <c r="A768" s="1064" t="s">
        <v>656</v>
      </c>
      <c r="B768" s="1050" t="s">
        <v>657</v>
      </c>
      <c r="C768" s="1095" t="s">
        <v>15</v>
      </c>
      <c r="D768" s="279">
        <v>15</v>
      </c>
      <c r="E768" s="708"/>
      <c r="F768" s="675"/>
      <c r="G768" s="675">
        <f>G767</f>
        <v>45737</v>
      </c>
      <c r="H768" s="676">
        <f>H767</f>
        <v>45762</v>
      </c>
      <c r="I768" s="1063" t="s">
        <v>659</v>
      </c>
      <c r="J768" s="1058" t="s">
        <v>18</v>
      </c>
      <c r="K768" s="1053" t="s">
        <v>147</v>
      </c>
      <c r="L768" s="279" t="s">
        <v>20</v>
      </c>
      <c r="M768" s="711" t="s">
        <v>661</v>
      </c>
      <c r="N768" s="203"/>
      <c r="O768" s="512"/>
      <c r="P768" s="512"/>
      <c r="Q768" s="512"/>
      <c r="R768" s="512"/>
      <c r="S768" s="512"/>
      <c r="T768" s="512"/>
      <c r="U768" s="512"/>
      <c r="V768" s="512"/>
      <c r="W768" s="512"/>
    </row>
    <row r="769" s="178" customFormat="1" spans="1:23">
      <c r="A769" s="1064" t="s">
        <v>656</v>
      </c>
      <c r="B769" s="1050" t="s">
        <v>657</v>
      </c>
      <c r="C769" s="1095" t="s">
        <v>24</v>
      </c>
      <c r="D769" s="279">
        <v>15</v>
      </c>
      <c r="E769" s="708"/>
      <c r="F769" s="675"/>
      <c r="G769" s="675">
        <f>G768</f>
        <v>45737</v>
      </c>
      <c r="H769" s="676">
        <f>H768</f>
        <v>45762</v>
      </c>
      <c r="I769" s="1063" t="s">
        <v>659</v>
      </c>
      <c r="J769" s="1058" t="s">
        <v>18</v>
      </c>
      <c r="K769" s="1053" t="s">
        <v>147</v>
      </c>
      <c r="L769" s="279" t="s">
        <v>20</v>
      </c>
      <c r="M769" s="1053"/>
      <c r="N769" s="203"/>
      <c r="O769" s="512"/>
      <c r="P769" s="512"/>
      <c r="Q769" s="512"/>
      <c r="R769" s="512"/>
      <c r="S769" s="512"/>
      <c r="T769" s="512"/>
      <c r="U769" s="512"/>
      <c r="V769" s="512"/>
      <c r="W769" s="512"/>
    </row>
    <row r="770" s="178" customFormat="1" spans="1:23">
      <c r="A770" s="1064" t="s">
        <v>656</v>
      </c>
      <c r="B770" s="1050" t="s">
        <v>657</v>
      </c>
      <c r="C770" s="1095" t="s">
        <v>27</v>
      </c>
      <c r="D770" s="279">
        <v>15</v>
      </c>
      <c r="E770" s="708"/>
      <c r="F770" s="675"/>
      <c r="G770" s="675">
        <f>G769</f>
        <v>45737</v>
      </c>
      <c r="H770" s="676">
        <f>H769</f>
        <v>45762</v>
      </c>
      <c r="I770" s="1063" t="s">
        <v>659</v>
      </c>
      <c r="J770" s="1058" t="s">
        <v>18</v>
      </c>
      <c r="K770" s="1053" t="s">
        <v>147</v>
      </c>
      <c r="L770" s="279" t="s">
        <v>20</v>
      </c>
      <c r="M770" s="1053"/>
      <c r="N770" s="203"/>
      <c r="O770" s="512"/>
      <c r="P770" s="512"/>
      <c r="Q770" s="512"/>
      <c r="R770" s="512"/>
      <c r="S770" s="512"/>
      <c r="T770" s="512"/>
      <c r="U770" s="512"/>
      <c r="V770" s="512"/>
      <c r="W770" s="512"/>
    </row>
    <row r="771" s="178" customFormat="1" spans="1:23">
      <c r="A771" s="1064" t="s">
        <v>656</v>
      </c>
      <c r="B771" s="1050" t="s">
        <v>657</v>
      </c>
      <c r="C771" s="1095" t="s">
        <v>67</v>
      </c>
      <c r="D771" s="279">
        <v>15</v>
      </c>
      <c r="E771" s="708"/>
      <c r="F771" s="675"/>
      <c r="G771" s="675">
        <f>G770</f>
        <v>45737</v>
      </c>
      <c r="H771" s="676">
        <f>H770</f>
        <v>45762</v>
      </c>
      <c r="I771" s="1063" t="s">
        <v>659</v>
      </c>
      <c r="J771" s="1058" t="s">
        <v>18</v>
      </c>
      <c r="K771" s="1053" t="s">
        <v>147</v>
      </c>
      <c r="L771" s="279" t="s">
        <v>20</v>
      </c>
      <c r="M771" s="1053"/>
      <c r="N771" s="203"/>
      <c r="O771" s="512"/>
      <c r="P771" s="512"/>
      <c r="Q771" s="512"/>
      <c r="R771" s="512"/>
      <c r="S771" s="512"/>
      <c r="T771" s="512"/>
      <c r="U771" s="512"/>
      <c r="V771" s="512"/>
      <c r="W771" s="512"/>
    </row>
    <row r="772" s="178" customFormat="1" spans="1:23">
      <c r="A772" s="1064" t="s">
        <v>656</v>
      </c>
      <c r="B772" s="1050" t="s">
        <v>657</v>
      </c>
      <c r="C772" s="1095" t="s">
        <v>70</v>
      </c>
      <c r="D772" s="279">
        <v>15</v>
      </c>
      <c r="E772" s="708"/>
      <c r="F772" s="675"/>
      <c r="G772" s="675">
        <f>G771</f>
        <v>45737</v>
      </c>
      <c r="H772" s="676">
        <f>H771</f>
        <v>45762</v>
      </c>
      <c r="I772" s="1063" t="s">
        <v>659</v>
      </c>
      <c r="J772" s="1058" t="s">
        <v>18</v>
      </c>
      <c r="K772" s="1053" t="s">
        <v>147</v>
      </c>
      <c r="L772" s="279" t="s">
        <v>20</v>
      </c>
      <c r="M772" s="1053"/>
      <c r="N772" s="203"/>
      <c r="O772" s="512"/>
      <c r="P772" s="512"/>
      <c r="Q772" s="512"/>
      <c r="R772" s="512"/>
      <c r="S772" s="512"/>
      <c r="T772" s="512"/>
      <c r="U772" s="512"/>
      <c r="V772" s="512"/>
      <c r="W772" s="512"/>
    </row>
    <row r="773" s="178" customFormat="1" ht="15.4" customHeight="1" spans="1:23">
      <c r="A773" s="1064" t="s">
        <v>656</v>
      </c>
      <c r="B773" s="789" t="s">
        <v>662</v>
      </c>
      <c r="C773" s="789" t="s">
        <v>91</v>
      </c>
      <c r="D773" s="279">
        <v>92</v>
      </c>
      <c r="E773" s="1085" t="s">
        <v>663</v>
      </c>
      <c r="F773" s="675"/>
      <c r="G773" s="675">
        <f>VLOOKUP(CLEAN(SUBSTITUTE(TRIM(MID(E:E,FIND("/",E:E)+1,LEN(E:E)))," ","")),'Customs Decl. &amp; Local Delivery'!D:I,6,0)</f>
        <v>45737</v>
      </c>
      <c r="H773" s="676">
        <f>VLOOKUP(CLEAN(SUBSTITUTE(TRIM(MID(E:E,FIND("/",E:E)+1,LEN(E:E)))," ","")),'Customs Decl. &amp; Local Delivery'!D:J,7,0)</f>
        <v>45762</v>
      </c>
      <c r="I773" s="699" t="s">
        <v>664</v>
      </c>
      <c r="J773" s="1058" t="s">
        <v>18</v>
      </c>
      <c r="K773" s="1053" t="s">
        <v>147</v>
      </c>
      <c r="L773" s="279" t="s">
        <v>20</v>
      </c>
      <c r="M773" s="1053" t="s">
        <v>665</v>
      </c>
      <c r="N773" s="1081"/>
      <c r="O773" s="512"/>
      <c r="P773" s="512"/>
      <c r="Q773" s="512"/>
      <c r="R773" s="512"/>
      <c r="S773" s="512"/>
      <c r="T773" s="512"/>
      <c r="U773" s="512"/>
      <c r="V773" s="512"/>
      <c r="W773" s="512"/>
    </row>
    <row r="774" s="178" customFormat="1" ht="15.4" customHeight="1" spans="1:23">
      <c r="A774" s="1064" t="s">
        <v>656</v>
      </c>
      <c r="B774" s="789" t="s">
        <v>662</v>
      </c>
      <c r="C774" s="789" t="s">
        <v>15</v>
      </c>
      <c r="D774" s="279">
        <v>15</v>
      </c>
      <c r="E774" s="1069"/>
      <c r="F774" s="675"/>
      <c r="G774" s="675">
        <f>G773</f>
        <v>45737</v>
      </c>
      <c r="H774" s="676">
        <f>H773</f>
        <v>45762</v>
      </c>
      <c r="I774" s="699" t="s">
        <v>664</v>
      </c>
      <c r="J774" s="1058" t="s">
        <v>18</v>
      </c>
      <c r="K774" s="1053" t="s">
        <v>147</v>
      </c>
      <c r="L774" s="279" t="s">
        <v>20</v>
      </c>
      <c r="M774" s="699" t="s">
        <v>661</v>
      </c>
      <c r="N774" s="1081"/>
      <c r="O774" s="512"/>
      <c r="P774" s="512"/>
      <c r="Q774" s="512"/>
      <c r="R774" s="512"/>
      <c r="S774" s="512"/>
      <c r="T774" s="512"/>
      <c r="U774" s="512"/>
      <c r="V774" s="512"/>
      <c r="W774" s="512"/>
    </row>
    <row r="775" s="178" customFormat="1" ht="15.4" customHeight="1" spans="1:23">
      <c r="A775" s="1064" t="s">
        <v>656</v>
      </c>
      <c r="B775" s="789" t="s">
        <v>662</v>
      </c>
      <c r="C775" s="789" t="s">
        <v>24</v>
      </c>
      <c r="D775" s="279">
        <v>15</v>
      </c>
      <c r="E775" s="1069"/>
      <c r="F775" s="675"/>
      <c r="G775" s="675">
        <f>G774</f>
        <v>45737</v>
      </c>
      <c r="H775" s="676">
        <f>H774</f>
        <v>45762</v>
      </c>
      <c r="I775" s="699" t="s">
        <v>664</v>
      </c>
      <c r="J775" s="1058" t="s">
        <v>18</v>
      </c>
      <c r="K775" s="1053" t="s">
        <v>147</v>
      </c>
      <c r="L775" s="279" t="s">
        <v>20</v>
      </c>
      <c r="M775" s="1058" t="s">
        <v>666</v>
      </c>
      <c r="N775" s="1081"/>
      <c r="O775" s="512"/>
      <c r="P775" s="512"/>
      <c r="Q775" s="512"/>
      <c r="R775" s="512"/>
      <c r="S775" s="512"/>
      <c r="T775" s="512"/>
      <c r="U775" s="512"/>
      <c r="V775" s="512"/>
      <c r="W775" s="512"/>
    </row>
    <row r="776" s="178" customFormat="1" ht="15.4" customHeight="1" spans="1:23">
      <c r="A776" s="1064" t="s">
        <v>656</v>
      </c>
      <c r="B776" s="789" t="s">
        <v>662</v>
      </c>
      <c r="C776" s="789" t="s">
        <v>27</v>
      </c>
      <c r="D776" s="279">
        <v>15</v>
      </c>
      <c r="E776" s="1069"/>
      <c r="F776" s="675"/>
      <c r="G776" s="675">
        <f>G775</f>
        <v>45737</v>
      </c>
      <c r="H776" s="676">
        <f>H775</f>
        <v>45762</v>
      </c>
      <c r="I776" s="699" t="s">
        <v>664</v>
      </c>
      <c r="J776" s="1058" t="s">
        <v>18</v>
      </c>
      <c r="K776" s="1053" t="s">
        <v>147</v>
      </c>
      <c r="L776" s="279" t="s">
        <v>20</v>
      </c>
      <c r="M776" s="1053"/>
      <c r="N776" s="1081"/>
      <c r="O776" s="512"/>
      <c r="P776" s="512"/>
      <c r="Q776" s="512"/>
      <c r="R776" s="512"/>
      <c r="S776" s="512"/>
      <c r="T776" s="512"/>
      <c r="U776" s="512"/>
      <c r="V776" s="512"/>
      <c r="W776" s="512"/>
    </row>
    <row r="777" s="178" customFormat="1" ht="15.4" customHeight="1" spans="1:23">
      <c r="A777" s="1064" t="s">
        <v>656</v>
      </c>
      <c r="B777" s="789" t="s">
        <v>662</v>
      </c>
      <c r="C777" s="789" t="s">
        <v>67</v>
      </c>
      <c r="D777" s="279">
        <v>15</v>
      </c>
      <c r="E777" s="1069"/>
      <c r="F777" s="675"/>
      <c r="G777" s="675">
        <f>G776</f>
        <v>45737</v>
      </c>
      <c r="H777" s="676">
        <f>H776</f>
        <v>45762</v>
      </c>
      <c r="I777" s="699" t="s">
        <v>664</v>
      </c>
      <c r="J777" s="1058" t="s">
        <v>18</v>
      </c>
      <c r="K777" s="1053" t="s">
        <v>147</v>
      </c>
      <c r="L777" s="279" t="s">
        <v>20</v>
      </c>
      <c r="M777" s="1053"/>
      <c r="N777" s="1081"/>
      <c r="O777" s="512"/>
      <c r="P777" s="512"/>
      <c r="Q777" s="512"/>
      <c r="R777" s="512"/>
      <c r="S777" s="512"/>
      <c r="T777" s="512"/>
      <c r="U777" s="512"/>
      <c r="V777" s="512"/>
      <c r="W777" s="512"/>
    </row>
    <row r="778" s="178" customFormat="1" ht="15.4" customHeight="1" spans="1:23">
      <c r="A778" s="1064" t="s">
        <v>656</v>
      </c>
      <c r="B778" s="789" t="s">
        <v>662</v>
      </c>
      <c r="C778" s="789" t="s">
        <v>70</v>
      </c>
      <c r="D778" s="279">
        <v>15</v>
      </c>
      <c r="E778" s="1069"/>
      <c r="F778" s="675"/>
      <c r="G778" s="675">
        <f>G777</f>
        <v>45737</v>
      </c>
      <c r="H778" s="676">
        <f>H777</f>
        <v>45762</v>
      </c>
      <c r="I778" s="699" t="s">
        <v>664</v>
      </c>
      <c r="J778" s="1058" t="s">
        <v>18</v>
      </c>
      <c r="K778" s="1053" t="s">
        <v>147</v>
      </c>
      <c r="L778" s="279" t="s">
        <v>20</v>
      </c>
      <c r="M778" s="1053"/>
      <c r="N778" s="1081"/>
      <c r="O778" s="512"/>
      <c r="P778" s="512"/>
      <c r="Q778" s="512"/>
      <c r="R778" s="512"/>
      <c r="S778" s="512"/>
      <c r="T778" s="512"/>
      <c r="U778" s="512"/>
      <c r="V778" s="512"/>
      <c r="W778" s="512"/>
    </row>
    <row r="779" s="178" customFormat="1" spans="1:23">
      <c r="A779" s="1064" t="s">
        <v>559</v>
      </c>
      <c r="B779" s="1050" t="s">
        <v>667</v>
      </c>
      <c r="C779" s="1095" t="s">
        <v>15</v>
      </c>
      <c r="D779" s="279">
        <v>40</v>
      </c>
      <c r="E779" s="1085" t="s">
        <v>668</v>
      </c>
      <c r="F779" s="675"/>
      <c r="G779" s="675">
        <f>VLOOKUP(CLEAN(SUBSTITUTE(TRIM(MID(E:E,FIND("/",E:E)+1,LEN(E:E)))," ","")),'Customs Decl. &amp; Local Delivery'!D:I,6,0)</f>
        <v>45737</v>
      </c>
      <c r="H779" s="676">
        <f>VLOOKUP(CLEAN(SUBSTITUTE(TRIM(MID(E:E,FIND("/",E:E)+1,LEN(E:E)))," ","")),'Customs Decl. &amp; Local Delivery'!D:J,7,0)</f>
        <v>45766</v>
      </c>
      <c r="I779" s="711" t="s">
        <v>669</v>
      </c>
      <c r="J779" s="1053" t="s">
        <v>161</v>
      </c>
      <c r="K779" s="1058" t="s">
        <v>147</v>
      </c>
      <c r="L779" s="1090" t="s">
        <v>20</v>
      </c>
      <c r="M779" s="711" t="s">
        <v>661</v>
      </c>
      <c r="N779" s="203"/>
      <c r="O779" s="512"/>
      <c r="P779" s="512"/>
      <c r="Q779" s="512"/>
      <c r="R779" s="512"/>
      <c r="S779" s="512"/>
      <c r="T779" s="512"/>
      <c r="U779" s="512"/>
      <c r="V779" s="512"/>
      <c r="W779" s="512"/>
    </row>
    <row r="780" s="178" customFormat="1" spans="1:23">
      <c r="A780" s="1064" t="s">
        <v>559</v>
      </c>
      <c r="B780" s="1050" t="s">
        <v>667</v>
      </c>
      <c r="C780" s="1095" t="s">
        <v>22</v>
      </c>
      <c r="D780" s="279">
        <v>40</v>
      </c>
      <c r="E780" s="708"/>
      <c r="F780" s="675"/>
      <c r="G780" s="675">
        <f t="shared" ref="G780:G788" si="66">G779</f>
        <v>45737</v>
      </c>
      <c r="H780" s="676">
        <f t="shared" ref="H780:H788" si="67">H779</f>
        <v>45766</v>
      </c>
      <c r="I780" s="1063" t="s">
        <v>669</v>
      </c>
      <c r="J780" s="1053" t="s">
        <v>161</v>
      </c>
      <c r="K780" s="1058" t="s">
        <v>147</v>
      </c>
      <c r="L780" s="279" t="s">
        <v>20</v>
      </c>
      <c r="M780" s="1058"/>
      <c r="N780" s="203"/>
      <c r="O780" s="512"/>
      <c r="P780" s="512"/>
      <c r="Q780" s="512"/>
      <c r="R780" s="512"/>
      <c r="S780" s="512"/>
      <c r="T780" s="512"/>
      <c r="U780" s="512"/>
      <c r="V780" s="512"/>
      <c r="W780" s="512"/>
    </row>
    <row r="781" s="178" customFormat="1" spans="1:23">
      <c r="A781" s="1064" t="s">
        <v>559</v>
      </c>
      <c r="B781" s="1050" t="s">
        <v>667</v>
      </c>
      <c r="C781" s="1095" t="s">
        <v>27</v>
      </c>
      <c r="D781" s="279">
        <v>10</v>
      </c>
      <c r="E781" s="708"/>
      <c r="F781" s="675"/>
      <c r="G781" s="675">
        <f t="shared" si="66"/>
        <v>45737</v>
      </c>
      <c r="H781" s="676">
        <f t="shared" si="67"/>
        <v>45766</v>
      </c>
      <c r="I781" s="1063" t="s">
        <v>669</v>
      </c>
      <c r="J781" s="1053" t="s">
        <v>161</v>
      </c>
      <c r="K781" s="1058" t="s">
        <v>147</v>
      </c>
      <c r="L781" s="279" t="s">
        <v>20</v>
      </c>
      <c r="M781" s="1058"/>
      <c r="N781" s="203"/>
      <c r="O781" s="512"/>
      <c r="P781" s="512"/>
      <c r="Q781" s="512"/>
      <c r="R781" s="512"/>
      <c r="S781" s="512"/>
      <c r="T781" s="512"/>
      <c r="U781" s="512"/>
      <c r="V781" s="512"/>
      <c r="W781" s="512"/>
    </row>
    <row r="782" s="178" customFormat="1" spans="1:23">
      <c r="A782" s="1064" t="s">
        <v>559</v>
      </c>
      <c r="B782" s="1050" t="s">
        <v>667</v>
      </c>
      <c r="C782" s="1095" t="s">
        <v>28</v>
      </c>
      <c r="D782" s="279">
        <v>10</v>
      </c>
      <c r="E782" s="708"/>
      <c r="F782" s="675"/>
      <c r="G782" s="675">
        <f t="shared" si="66"/>
        <v>45737</v>
      </c>
      <c r="H782" s="676">
        <f t="shared" si="67"/>
        <v>45766</v>
      </c>
      <c r="I782" s="1063" t="s">
        <v>669</v>
      </c>
      <c r="J782" s="1053" t="s">
        <v>161</v>
      </c>
      <c r="K782" s="1058" t="s">
        <v>147</v>
      </c>
      <c r="L782" s="279" t="s">
        <v>20</v>
      </c>
      <c r="M782" s="1058"/>
      <c r="N782" s="203"/>
      <c r="O782" s="512"/>
      <c r="P782" s="512"/>
      <c r="Q782" s="512"/>
      <c r="R782" s="512"/>
      <c r="S782" s="512"/>
      <c r="T782" s="512"/>
      <c r="U782" s="512"/>
      <c r="V782" s="512"/>
      <c r="W782" s="512"/>
    </row>
    <row r="783" s="178" customFormat="1" spans="1:23">
      <c r="A783" s="1064" t="s">
        <v>559</v>
      </c>
      <c r="B783" s="1050" t="s">
        <v>667</v>
      </c>
      <c r="C783" s="1095" t="s">
        <v>135</v>
      </c>
      <c r="D783" s="279">
        <v>10</v>
      </c>
      <c r="E783" s="708"/>
      <c r="F783" s="675"/>
      <c r="G783" s="675">
        <f t="shared" si="66"/>
        <v>45737</v>
      </c>
      <c r="H783" s="676">
        <f t="shared" si="67"/>
        <v>45766</v>
      </c>
      <c r="I783" s="1063" t="s">
        <v>669</v>
      </c>
      <c r="J783" s="1053" t="s">
        <v>161</v>
      </c>
      <c r="K783" s="1058" t="s">
        <v>147</v>
      </c>
      <c r="L783" s="279" t="s">
        <v>20</v>
      </c>
      <c r="M783" s="1058"/>
      <c r="N783" s="203"/>
      <c r="O783" s="512"/>
      <c r="P783" s="512"/>
      <c r="Q783" s="512"/>
      <c r="R783" s="512"/>
      <c r="S783" s="512"/>
      <c r="T783" s="512"/>
      <c r="U783" s="512"/>
      <c r="V783" s="512"/>
      <c r="W783" s="512"/>
    </row>
    <row r="784" s="178" customFormat="1" spans="1:23">
      <c r="A784" s="1064" t="s">
        <v>559</v>
      </c>
      <c r="B784" s="1050" t="s">
        <v>667</v>
      </c>
      <c r="C784" s="1095" t="s">
        <v>136</v>
      </c>
      <c r="D784" s="279">
        <v>10</v>
      </c>
      <c r="E784" s="708"/>
      <c r="F784" s="675"/>
      <c r="G784" s="675">
        <f t="shared" si="66"/>
        <v>45737</v>
      </c>
      <c r="H784" s="676">
        <f t="shared" si="67"/>
        <v>45766</v>
      </c>
      <c r="I784" s="1063" t="s">
        <v>669</v>
      </c>
      <c r="J784" s="1053" t="s">
        <v>161</v>
      </c>
      <c r="K784" s="1058" t="s">
        <v>147</v>
      </c>
      <c r="L784" s="279" t="s">
        <v>20</v>
      </c>
      <c r="M784" s="1058"/>
      <c r="N784" s="203"/>
      <c r="O784" s="512"/>
      <c r="P784" s="512"/>
      <c r="Q784" s="512"/>
      <c r="R784" s="512"/>
      <c r="S784" s="512"/>
      <c r="T784" s="512"/>
      <c r="U784" s="512"/>
      <c r="V784" s="512"/>
      <c r="W784" s="512"/>
    </row>
    <row r="785" s="178" customFormat="1" spans="1:23">
      <c r="A785" s="1064" t="s">
        <v>559</v>
      </c>
      <c r="B785" s="1050" t="s">
        <v>667</v>
      </c>
      <c r="C785" s="1095" t="s">
        <v>67</v>
      </c>
      <c r="D785" s="279">
        <v>80</v>
      </c>
      <c r="E785" s="708"/>
      <c r="F785" s="675"/>
      <c r="G785" s="675">
        <f t="shared" si="66"/>
        <v>45737</v>
      </c>
      <c r="H785" s="676">
        <f t="shared" si="67"/>
        <v>45766</v>
      </c>
      <c r="I785" s="1063" t="s">
        <v>669</v>
      </c>
      <c r="J785" s="1053" t="s">
        <v>161</v>
      </c>
      <c r="K785" s="1058" t="s">
        <v>147</v>
      </c>
      <c r="L785" s="279" t="s">
        <v>20</v>
      </c>
      <c r="M785" s="1058"/>
      <c r="N785" s="203"/>
      <c r="O785" s="512"/>
      <c r="P785" s="512"/>
      <c r="Q785" s="512"/>
      <c r="R785" s="512"/>
      <c r="S785" s="512"/>
      <c r="T785" s="512"/>
      <c r="U785" s="512"/>
      <c r="V785" s="512"/>
      <c r="W785" s="512"/>
    </row>
    <row r="786" s="178" customFormat="1" spans="1:23">
      <c r="A786" s="1064" t="s">
        <v>559</v>
      </c>
      <c r="B786" s="1050" t="s">
        <v>667</v>
      </c>
      <c r="C786" s="1095" t="s">
        <v>69</v>
      </c>
      <c r="D786" s="279">
        <v>80</v>
      </c>
      <c r="E786" s="708"/>
      <c r="F786" s="675"/>
      <c r="G786" s="675">
        <f t="shared" si="66"/>
        <v>45737</v>
      </c>
      <c r="H786" s="676">
        <f t="shared" si="67"/>
        <v>45766</v>
      </c>
      <c r="I786" s="1063" t="s">
        <v>669</v>
      </c>
      <c r="J786" s="1053" t="s">
        <v>161</v>
      </c>
      <c r="K786" s="1058" t="s">
        <v>147</v>
      </c>
      <c r="L786" s="279" t="s">
        <v>20</v>
      </c>
      <c r="M786" s="1058"/>
      <c r="N786" s="203"/>
      <c r="O786" s="512"/>
      <c r="P786" s="512"/>
      <c r="Q786" s="512"/>
      <c r="R786" s="512"/>
      <c r="S786" s="512"/>
      <c r="T786" s="512"/>
      <c r="U786" s="512"/>
      <c r="V786" s="512"/>
      <c r="W786" s="512"/>
    </row>
    <row r="787" s="178" customFormat="1" spans="1:23">
      <c r="A787" s="1064" t="s">
        <v>559</v>
      </c>
      <c r="B787" s="1050" t="s">
        <v>667</v>
      </c>
      <c r="C787" s="1095" t="s">
        <v>70</v>
      </c>
      <c r="D787" s="279">
        <v>10</v>
      </c>
      <c r="E787" s="708"/>
      <c r="F787" s="675"/>
      <c r="G787" s="675">
        <f t="shared" si="66"/>
        <v>45737</v>
      </c>
      <c r="H787" s="676">
        <f t="shared" si="67"/>
        <v>45766</v>
      </c>
      <c r="I787" s="1063" t="s">
        <v>669</v>
      </c>
      <c r="J787" s="1053" t="s">
        <v>161</v>
      </c>
      <c r="K787" s="1058" t="s">
        <v>147</v>
      </c>
      <c r="L787" s="279" t="s">
        <v>20</v>
      </c>
      <c r="M787" s="1058"/>
      <c r="N787" s="203"/>
      <c r="O787" s="512"/>
      <c r="P787" s="512"/>
      <c r="Q787" s="512"/>
      <c r="R787" s="512"/>
      <c r="S787" s="512"/>
      <c r="T787" s="512"/>
      <c r="U787" s="512"/>
      <c r="V787" s="512"/>
      <c r="W787" s="512"/>
    </row>
    <row r="788" s="178" customFormat="1" spans="1:23">
      <c r="A788" s="1064" t="s">
        <v>559</v>
      </c>
      <c r="B788" s="1050" t="s">
        <v>667</v>
      </c>
      <c r="C788" s="1095" t="s">
        <v>71</v>
      </c>
      <c r="D788" s="279">
        <v>10</v>
      </c>
      <c r="E788" s="708"/>
      <c r="F788" s="675"/>
      <c r="G788" s="675">
        <f t="shared" si="66"/>
        <v>45737</v>
      </c>
      <c r="H788" s="676">
        <f t="shared" si="67"/>
        <v>45766</v>
      </c>
      <c r="I788" s="1063" t="s">
        <v>669</v>
      </c>
      <c r="J788" s="1053" t="s">
        <v>161</v>
      </c>
      <c r="K788" s="1058" t="s">
        <v>147</v>
      </c>
      <c r="L788" s="279" t="s">
        <v>20</v>
      </c>
      <c r="M788" s="1058"/>
      <c r="N788" s="203"/>
      <c r="O788" s="512"/>
      <c r="P788" s="512"/>
      <c r="Q788" s="512"/>
      <c r="R788" s="512"/>
      <c r="S788" s="512"/>
      <c r="T788" s="512"/>
      <c r="U788" s="512"/>
      <c r="V788" s="512"/>
      <c r="W788" s="512"/>
    </row>
    <row r="789" s="178" customFormat="1" ht="15.4" customHeight="1" spans="1:23">
      <c r="A789" s="1064" t="s">
        <v>579</v>
      </c>
      <c r="B789" s="789" t="s">
        <v>670</v>
      </c>
      <c r="C789" s="789" t="s">
        <v>77</v>
      </c>
      <c r="D789" s="279">
        <v>48</v>
      </c>
      <c r="E789" s="1085" t="s">
        <v>671</v>
      </c>
      <c r="F789" s="675"/>
      <c r="G789" s="675">
        <f>VLOOKUP(CLEAN(SUBSTITUTE(TRIM(MID(E:E,FIND("/",E:E)+1,LEN(E:E)))," ","")),'Customs Decl. &amp; Local Delivery'!D:I,6,0)</f>
        <v>45737</v>
      </c>
      <c r="H789" s="676">
        <f>VLOOKUP(CLEAN(SUBSTITUTE(TRIM(MID(E:E,FIND("/",E:E)+1,LEN(E:E)))," ","")),'Customs Decl. &amp; Local Delivery'!D:J,7,0)</f>
        <v>45762</v>
      </c>
      <c r="I789" s="699" t="s">
        <v>672</v>
      </c>
      <c r="J789" s="1058" t="s">
        <v>18</v>
      </c>
      <c r="K789" s="1053" t="s">
        <v>576</v>
      </c>
      <c r="L789" s="279" t="s">
        <v>20</v>
      </c>
      <c r="M789" s="1058" t="s">
        <v>673</v>
      </c>
      <c r="N789" s="1081"/>
      <c r="O789" s="512"/>
      <c r="P789" s="512"/>
      <c r="Q789" s="512"/>
      <c r="R789" s="512"/>
      <c r="S789" s="512"/>
      <c r="T789" s="512"/>
      <c r="U789" s="512"/>
      <c r="V789" s="512"/>
      <c r="W789" s="512"/>
    </row>
    <row r="790" s="178" customFormat="1" ht="15.4" customHeight="1" spans="1:23">
      <c r="A790" s="1064" t="s">
        <v>579</v>
      </c>
      <c r="B790" s="789" t="s">
        <v>670</v>
      </c>
      <c r="C790" s="789" t="s">
        <v>15</v>
      </c>
      <c r="D790" s="279">
        <v>150</v>
      </c>
      <c r="E790" s="1069"/>
      <c r="F790" s="675"/>
      <c r="G790" s="675">
        <f>G789</f>
        <v>45737</v>
      </c>
      <c r="H790" s="676">
        <f>H789</f>
        <v>45762</v>
      </c>
      <c r="I790" s="699" t="s">
        <v>672</v>
      </c>
      <c r="J790" s="1058" t="s">
        <v>18</v>
      </c>
      <c r="K790" s="1053" t="s">
        <v>576</v>
      </c>
      <c r="L790" s="279" t="s">
        <v>20</v>
      </c>
      <c r="M790" s="699" t="s">
        <v>661</v>
      </c>
      <c r="N790" s="1081"/>
      <c r="O790" s="512"/>
      <c r="P790" s="512"/>
      <c r="Q790" s="512"/>
      <c r="R790" s="512"/>
      <c r="S790" s="512"/>
      <c r="T790" s="512"/>
      <c r="U790" s="512"/>
      <c r="V790" s="512"/>
      <c r="W790" s="512"/>
    </row>
    <row r="791" s="178" customFormat="1" ht="15.4" customHeight="1" spans="1:23">
      <c r="A791" s="1064" t="s">
        <v>579</v>
      </c>
      <c r="B791" s="789" t="s">
        <v>670</v>
      </c>
      <c r="C791" s="789" t="s">
        <v>27</v>
      </c>
      <c r="D791" s="279">
        <v>50</v>
      </c>
      <c r="E791" s="1069"/>
      <c r="F791" s="675"/>
      <c r="G791" s="675">
        <f>G790</f>
        <v>45737</v>
      </c>
      <c r="H791" s="676">
        <f>H790</f>
        <v>45762</v>
      </c>
      <c r="I791" s="699" t="s">
        <v>672</v>
      </c>
      <c r="J791" s="1058" t="s">
        <v>18</v>
      </c>
      <c r="K791" s="1053" t="s">
        <v>576</v>
      </c>
      <c r="L791" s="279" t="s">
        <v>20</v>
      </c>
      <c r="M791" s="588"/>
      <c r="N791" s="1081"/>
      <c r="O791" s="512"/>
      <c r="P791" s="512"/>
      <c r="Q791" s="512"/>
      <c r="R791" s="512"/>
      <c r="S791" s="512"/>
      <c r="T791" s="512"/>
      <c r="U791" s="512"/>
      <c r="V791" s="512"/>
      <c r="W791" s="512"/>
    </row>
    <row r="792" s="178" customFormat="1" ht="15.4" customHeight="1" spans="1:23">
      <c r="A792" s="1064" t="s">
        <v>579</v>
      </c>
      <c r="B792" s="789" t="s">
        <v>670</v>
      </c>
      <c r="C792" s="789" t="s">
        <v>70</v>
      </c>
      <c r="D792" s="279">
        <v>50</v>
      </c>
      <c r="E792" s="1069"/>
      <c r="F792" s="675"/>
      <c r="G792" s="675">
        <f>G791</f>
        <v>45737</v>
      </c>
      <c r="H792" s="676">
        <f>H791</f>
        <v>45762</v>
      </c>
      <c r="I792" s="699" t="s">
        <v>672</v>
      </c>
      <c r="J792" s="1058" t="s">
        <v>18</v>
      </c>
      <c r="K792" s="1053" t="s">
        <v>576</v>
      </c>
      <c r="L792" s="279" t="s">
        <v>20</v>
      </c>
      <c r="M792" s="1058"/>
      <c r="N792" s="1081"/>
      <c r="O792" s="512"/>
      <c r="P792" s="512"/>
      <c r="Q792" s="512"/>
      <c r="R792" s="512"/>
      <c r="S792" s="512"/>
      <c r="T792" s="512"/>
      <c r="U792" s="512"/>
      <c r="V792" s="512"/>
      <c r="W792" s="512"/>
    </row>
    <row r="793" s="477" customFormat="1" ht="15.4" customHeight="1" spans="1:23">
      <c r="A793" s="1075" t="s">
        <v>674</v>
      </c>
      <c r="B793" s="789" t="s">
        <v>675</v>
      </c>
      <c r="C793" s="789" t="s">
        <v>52</v>
      </c>
      <c r="D793" s="1051">
        <v>10</v>
      </c>
      <c r="E793" s="1085" t="s">
        <v>676</v>
      </c>
      <c r="F793" s="675"/>
      <c r="G793" s="675">
        <f>VLOOKUP(CLEAN(SUBSTITUTE(TRIM(MID(E:E,FIND("/",E:E)+1,LEN(E:E)))," ","")),'Customs Decl. &amp; Local Delivery'!D:I,6,0)</f>
        <v>45737</v>
      </c>
      <c r="H793" s="676">
        <f>VLOOKUP(CLEAN(SUBSTITUTE(TRIM(MID(E:E,FIND("/",E:E)+1,LEN(E:E)))," ","")),'Customs Decl. &amp; Local Delivery'!D:J,7,0)</f>
        <v>45766</v>
      </c>
      <c r="I793" s="699" t="s">
        <v>677</v>
      </c>
      <c r="J793" s="1078" t="s">
        <v>161</v>
      </c>
      <c r="K793" s="1078" t="s">
        <v>19</v>
      </c>
      <c r="L793" s="279" t="s">
        <v>20</v>
      </c>
      <c r="M793" s="1078" t="s">
        <v>678</v>
      </c>
      <c r="N793" s="512"/>
      <c r="O793" s="512"/>
      <c r="P793" s="512"/>
      <c r="Q793" s="512"/>
      <c r="R793" s="512"/>
      <c r="S793" s="512"/>
      <c r="T793" s="512"/>
      <c r="U793" s="512"/>
      <c r="V793" s="512"/>
      <c r="W793" s="512"/>
    </row>
    <row r="794" s="477" customFormat="1" ht="15.4" customHeight="1" spans="1:23">
      <c r="A794" s="1075" t="s">
        <v>674</v>
      </c>
      <c r="B794" s="789" t="s">
        <v>675</v>
      </c>
      <c r="C794" s="789" t="s">
        <v>56</v>
      </c>
      <c r="D794" s="1051">
        <v>10</v>
      </c>
      <c r="E794" s="1069"/>
      <c r="F794" s="675"/>
      <c r="G794" s="675">
        <f t="shared" ref="G794:G814" si="68">G793</f>
        <v>45737</v>
      </c>
      <c r="H794" s="676">
        <f t="shared" ref="H794:H814" si="69">H793</f>
        <v>45766</v>
      </c>
      <c r="I794" s="1058" t="s">
        <v>677</v>
      </c>
      <c r="J794" s="1078" t="s">
        <v>161</v>
      </c>
      <c r="K794" s="1078" t="s">
        <v>19</v>
      </c>
      <c r="L794" s="279" t="s">
        <v>20</v>
      </c>
      <c r="M794" s="1078" t="s">
        <v>679</v>
      </c>
      <c r="N794" s="512"/>
      <c r="O794" s="512"/>
      <c r="P794" s="512"/>
      <c r="Q794" s="512"/>
      <c r="R794" s="512"/>
      <c r="S794" s="512"/>
      <c r="T794" s="512"/>
      <c r="U794" s="512"/>
      <c r="V794" s="512"/>
      <c r="W794" s="512"/>
    </row>
    <row r="795" s="477" customFormat="1" ht="15.4" customHeight="1" spans="1:23">
      <c r="A795" s="1075" t="s">
        <v>674</v>
      </c>
      <c r="B795" s="789" t="s">
        <v>675</v>
      </c>
      <c r="C795" s="789" t="s">
        <v>36</v>
      </c>
      <c r="D795" s="1051">
        <v>5</v>
      </c>
      <c r="E795" s="1069"/>
      <c r="F795" s="675"/>
      <c r="G795" s="675">
        <f t="shared" si="68"/>
        <v>45737</v>
      </c>
      <c r="H795" s="676">
        <f t="shared" si="69"/>
        <v>45766</v>
      </c>
      <c r="I795" s="1058" t="s">
        <v>677</v>
      </c>
      <c r="J795" s="1078" t="s">
        <v>161</v>
      </c>
      <c r="K795" s="1078" t="s">
        <v>19</v>
      </c>
      <c r="L795" s="279" t="s">
        <v>20</v>
      </c>
      <c r="M795" s="1078" t="s">
        <v>679</v>
      </c>
      <c r="N795" s="512"/>
      <c r="O795" s="512"/>
      <c r="P795" s="512"/>
      <c r="Q795" s="512"/>
      <c r="R795" s="512"/>
      <c r="S795" s="512"/>
      <c r="T795" s="512"/>
      <c r="U795" s="512"/>
      <c r="V795" s="512"/>
      <c r="W795" s="512"/>
    </row>
    <row r="796" s="477" customFormat="1" ht="15.4" customHeight="1" spans="1:23">
      <c r="A796" s="1064" t="s">
        <v>674</v>
      </c>
      <c r="B796" s="789" t="s">
        <v>675</v>
      </c>
      <c r="C796" s="789" t="s">
        <v>41</v>
      </c>
      <c r="D796" s="1051">
        <v>5</v>
      </c>
      <c r="E796" s="1069"/>
      <c r="F796" s="675"/>
      <c r="G796" s="675">
        <f t="shared" si="68"/>
        <v>45737</v>
      </c>
      <c r="H796" s="676">
        <f t="shared" si="69"/>
        <v>45766</v>
      </c>
      <c r="I796" s="699" t="s">
        <v>677</v>
      </c>
      <c r="J796" s="1053" t="s">
        <v>161</v>
      </c>
      <c r="K796" s="1053" t="s">
        <v>19</v>
      </c>
      <c r="L796" s="279" t="s">
        <v>20</v>
      </c>
      <c r="M796" s="1053" t="s">
        <v>679</v>
      </c>
      <c r="N796" s="512"/>
      <c r="O796" s="512"/>
      <c r="P796" s="512"/>
      <c r="Q796" s="512"/>
      <c r="R796" s="512"/>
      <c r="S796" s="512"/>
      <c r="T796" s="512"/>
      <c r="U796" s="512"/>
      <c r="V796" s="512"/>
      <c r="W796" s="512"/>
    </row>
    <row r="797" s="477" customFormat="1" ht="15.4" customHeight="1" spans="1:23">
      <c r="A797" s="1064" t="s">
        <v>674</v>
      </c>
      <c r="B797" s="789" t="s">
        <v>675</v>
      </c>
      <c r="C797" s="789" t="s">
        <v>43</v>
      </c>
      <c r="D797" s="1051">
        <v>15</v>
      </c>
      <c r="E797" s="1069"/>
      <c r="F797" s="675"/>
      <c r="G797" s="675">
        <f t="shared" si="68"/>
        <v>45737</v>
      </c>
      <c r="H797" s="676">
        <f t="shared" si="69"/>
        <v>45766</v>
      </c>
      <c r="I797" s="1058" t="s">
        <v>677</v>
      </c>
      <c r="J797" s="1053" t="s">
        <v>161</v>
      </c>
      <c r="K797" s="1053" t="s">
        <v>19</v>
      </c>
      <c r="L797" s="279" t="s">
        <v>20</v>
      </c>
      <c r="M797" s="1053" t="s">
        <v>679</v>
      </c>
      <c r="N797" s="512"/>
      <c r="O797" s="512"/>
      <c r="P797" s="512"/>
      <c r="Q797" s="512"/>
      <c r="R797" s="512"/>
      <c r="S797" s="512"/>
      <c r="T797" s="512"/>
      <c r="U797" s="512"/>
      <c r="V797" s="512"/>
      <c r="W797" s="512"/>
    </row>
    <row r="798" s="477" customFormat="1" ht="15.4" customHeight="1" spans="1:23">
      <c r="A798" s="1064" t="s">
        <v>674</v>
      </c>
      <c r="B798" s="789" t="s">
        <v>675</v>
      </c>
      <c r="C798" s="789" t="s">
        <v>45</v>
      </c>
      <c r="D798" s="1051">
        <v>15</v>
      </c>
      <c r="E798" s="1069"/>
      <c r="F798" s="675"/>
      <c r="G798" s="675">
        <f t="shared" si="68"/>
        <v>45737</v>
      </c>
      <c r="H798" s="676">
        <f t="shared" si="69"/>
        <v>45766</v>
      </c>
      <c r="I798" s="1058" t="s">
        <v>677</v>
      </c>
      <c r="J798" s="1053" t="s">
        <v>161</v>
      </c>
      <c r="K798" s="1053" t="s">
        <v>19</v>
      </c>
      <c r="L798" s="279" t="s">
        <v>20</v>
      </c>
      <c r="M798" s="1053" t="s">
        <v>679</v>
      </c>
      <c r="N798" s="512"/>
      <c r="O798" s="512"/>
      <c r="P798" s="512"/>
      <c r="Q798" s="512"/>
      <c r="R798" s="512"/>
      <c r="S798" s="512"/>
      <c r="T798" s="512"/>
      <c r="U798" s="512"/>
      <c r="V798" s="512"/>
      <c r="W798" s="512"/>
    </row>
    <row r="799" s="477" customFormat="1" ht="15.4" customHeight="1" spans="1:23">
      <c r="A799" s="1064" t="s">
        <v>674</v>
      </c>
      <c r="B799" s="789" t="s">
        <v>675</v>
      </c>
      <c r="C799" s="789" t="s">
        <v>47</v>
      </c>
      <c r="D799" s="1051">
        <v>15</v>
      </c>
      <c r="E799" s="1069"/>
      <c r="F799" s="675"/>
      <c r="G799" s="675">
        <f t="shared" si="68"/>
        <v>45737</v>
      </c>
      <c r="H799" s="676">
        <f t="shared" si="69"/>
        <v>45766</v>
      </c>
      <c r="I799" s="699" t="s">
        <v>677</v>
      </c>
      <c r="J799" s="1053" t="s">
        <v>161</v>
      </c>
      <c r="K799" s="1053" t="s">
        <v>19</v>
      </c>
      <c r="L799" s="279" t="s">
        <v>20</v>
      </c>
      <c r="M799" s="1053" t="s">
        <v>679</v>
      </c>
      <c r="N799" s="512"/>
      <c r="O799" s="512"/>
      <c r="P799" s="512"/>
      <c r="Q799" s="512"/>
      <c r="R799" s="512"/>
      <c r="S799" s="512"/>
      <c r="T799" s="512"/>
      <c r="U799" s="512"/>
      <c r="V799" s="512"/>
      <c r="W799" s="512"/>
    </row>
    <row r="800" s="477" customFormat="1" ht="15.4" customHeight="1" spans="1:23">
      <c r="A800" s="1064" t="s">
        <v>674</v>
      </c>
      <c r="B800" s="789" t="s">
        <v>675</v>
      </c>
      <c r="C800" s="789" t="s">
        <v>48</v>
      </c>
      <c r="D800" s="1051">
        <v>15</v>
      </c>
      <c r="E800" s="1069"/>
      <c r="F800" s="675"/>
      <c r="G800" s="675">
        <f t="shared" si="68"/>
        <v>45737</v>
      </c>
      <c r="H800" s="676">
        <f t="shared" si="69"/>
        <v>45766</v>
      </c>
      <c r="I800" s="1058" t="s">
        <v>677</v>
      </c>
      <c r="J800" s="1053" t="s">
        <v>161</v>
      </c>
      <c r="K800" s="1053" t="s">
        <v>19</v>
      </c>
      <c r="L800" s="279" t="s">
        <v>20</v>
      </c>
      <c r="M800" s="1053" t="s">
        <v>679</v>
      </c>
      <c r="N800" s="512"/>
      <c r="O800" s="512"/>
      <c r="P800" s="512"/>
      <c r="Q800" s="512"/>
      <c r="R800" s="512"/>
      <c r="S800" s="512"/>
      <c r="T800" s="512"/>
      <c r="U800" s="512"/>
      <c r="V800" s="512"/>
      <c r="W800" s="512"/>
    </row>
    <row r="801" s="477" customFormat="1" ht="15.4" customHeight="1" spans="1:23">
      <c r="A801" s="1064" t="s">
        <v>674</v>
      </c>
      <c r="B801" s="789" t="s">
        <v>675</v>
      </c>
      <c r="C801" s="789" t="s">
        <v>49</v>
      </c>
      <c r="D801" s="1051">
        <v>30</v>
      </c>
      <c r="E801" s="1069"/>
      <c r="F801" s="675"/>
      <c r="G801" s="675">
        <f t="shared" si="68"/>
        <v>45737</v>
      </c>
      <c r="H801" s="676">
        <f t="shared" si="69"/>
        <v>45766</v>
      </c>
      <c r="I801" s="1058" t="s">
        <v>677</v>
      </c>
      <c r="J801" s="1053" t="s">
        <v>161</v>
      </c>
      <c r="K801" s="1053" t="s">
        <v>19</v>
      </c>
      <c r="L801" s="279" t="s">
        <v>20</v>
      </c>
      <c r="M801" s="1053" t="s">
        <v>679</v>
      </c>
      <c r="N801" s="512"/>
      <c r="O801" s="512"/>
      <c r="P801" s="512"/>
      <c r="Q801" s="512"/>
      <c r="R801" s="512"/>
      <c r="S801" s="512"/>
      <c r="T801" s="512"/>
      <c r="U801" s="512"/>
      <c r="V801" s="512"/>
      <c r="W801" s="512"/>
    </row>
    <row r="802" s="477" customFormat="1" ht="15.4" customHeight="1" spans="1:23">
      <c r="A802" s="1064" t="s">
        <v>674</v>
      </c>
      <c r="B802" s="789" t="s">
        <v>675</v>
      </c>
      <c r="C802" s="789" t="s">
        <v>50</v>
      </c>
      <c r="D802" s="1051">
        <v>30</v>
      </c>
      <c r="E802" s="1069"/>
      <c r="F802" s="675"/>
      <c r="G802" s="675">
        <f t="shared" si="68"/>
        <v>45737</v>
      </c>
      <c r="H802" s="676">
        <f t="shared" si="69"/>
        <v>45766</v>
      </c>
      <c r="I802" s="699" t="s">
        <v>677</v>
      </c>
      <c r="J802" s="1053" t="s">
        <v>161</v>
      </c>
      <c r="K802" s="1053" t="s">
        <v>19</v>
      </c>
      <c r="L802" s="279" t="s">
        <v>20</v>
      </c>
      <c r="M802" s="1053" t="s">
        <v>679</v>
      </c>
      <c r="N802" s="512"/>
      <c r="O802" s="512"/>
      <c r="P802" s="512"/>
      <c r="Q802" s="512"/>
      <c r="R802" s="512"/>
      <c r="S802" s="512"/>
      <c r="T802" s="512"/>
      <c r="U802" s="512"/>
      <c r="V802" s="512"/>
      <c r="W802" s="512"/>
    </row>
    <row r="803" s="477" customFormat="1" ht="15.4" customHeight="1" spans="1:23">
      <c r="A803" s="1064" t="s">
        <v>674</v>
      </c>
      <c r="B803" s="789" t="s">
        <v>675</v>
      </c>
      <c r="C803" s="789" t="s">
        <v>57</v>
      </c>
      <c r="D803" s="1051">
        <v>5</v>
      </c>
      <c r="E803" s="1069"/>
      <c r="F803" s="675"/>
      <c r="G803" s="675">
        <f t="shared" si="68"/>
        <v>45737</v>
      </c>
      <c r="H803" s="676">
        <f t="shared" si="69"/>
        <v>45766</v>
      </c>
      <c r="I803" s="1058" t="s">
        <v>677</v>
      </c>
      <c r="J803" s="1053" t="s">
        <v>161</v>
      </c>
      <c r="K803" s="1053" t="s">
        <v>19</v>
      </c>
      <c r="L803" s="279" t="s">
        <v>20</v>
      </c>
      <c r="M803" s="1053" t="s">
        <v>679</v>
      </c>
      <c r="N803" s="512"/>
      <c r="O803" s="512"/>
      <c r="P803" s="512"/>
      <c r="Q803" s="512"/>
      <c r="R803" s="512"/>
      <c r="S803" s="512"/>
      <c r="T803" s="512"/>
      <c r="U803" s="512"/>
      <c r="V803" s="512"/>
      <c r="W803" s="512"/>
    </row>
    <row r="804" s="477" customFormat="1" ht="15.4" customHeight="1" spans="1:23">
      <c r="A804" s="1064" t="s">
        <v>674</v>
      </c>
      <c r="B804" s="789" t="s">
        <v>675</v>
      </c>
      <c r="C804" s="789" t="s">
        <v>58</v>
      </c>
      <c r="D804" s="1051">
        <v>5</v>
      </c>
      <c r="E804" s="1069"/>
      <c r="F804" s="675"/>
      <c r="G804" s="675">
        <f t="shared" si="68"/>
        <v>45737</v>
      </c>
      <c r="H804" s="676">
        <f t="shared" si="69"/>
        <v>45766</v>
      </c>
      <c r="I804" s="1058" t="s">
        <v>677</v>
      </c>
      <c r="J804" s="1053" t="s">
        <v>161</v>
      </c>
      <c r="K804" s="1053" t="s">
        <v>19</v>
      </c>
      <c r="L804" s="279" t="s">
        <v>20</v>
      </c>
      <c r="M804" s="1053" t="s">
        <v>679</v>
      </c>
      <c r="N804" s="512"/>
      <c r="O804" s="512"/>
      <c r="P804" s="512"/>
      <c r="Q804" s="512"/>
      <c r="R804" s="512"/>
      <c r="S804" s="512"/>
      <c r="T804" s="512"/>
      <c r="U804" s="512"/>
      <c r="V804" s="512"/>
      <c r="W804" s="512"/>
    </row>
    <row r="805" s="477" customFormat="1" ht="15.4" customHeight="1" spans="1:23">
      <c r="A805" s="1064" t="s">
        <v>674</v>
      </c>
      <c r="B805" s="789" t="s">
        <v>675</v>
      </c>
      <c r="C805" s="789" t="s">
        <v>164</v>
      </c>
      <c r="D805" s="1051">
        <v>5</v>
      </c>
      <c r="E805" s="1069"/>
      <c r="F805" s="675"/>
      <c r="G805" s="675">
        <f t="shared" si="68"/>
        <v>45737</v>
      </c>
      <c r="H805" s="676">
        <f t="shared" si="69"/>
        <v>45766</v>
      </c>
      <c r="I805" s="699" t="s">
        <v>677</v>
      </c>
      <c r="J805" s="1053" t="s">
        <v>161</v>
      </c>
      <c r="K805" s="1053" t="s">
        <v>19</v>
      </c>
      <c r="L805" s="279" t="s">
        <v>20</v>
      </c>
      <c r="M805" s="1053" t="s">
        <v>679</v>
      </c>
      <c r="N805" s="512"/>
      <c r="O805" s="512"/>
      <c r="P805" s="512"/>
      <c r="Q805" s="512"/>
      <c r="R805" s="512"/>
      <c r="S805" s="512"/>
      <c r="T805" s="512"/>
      <c r="U805" s="512"/>
      <c r="V805" s="512"/>
      <c r="W805" s="512"/>
    </row>
    <row r="806" s="477" customFormat="1" ht="15.4" customHeight="1" spans="1:23">
      <c r="A806" s="1064" t="s">
        <v>674</v>
      </c>
      <c r="B806" s="789" t="s">
        <v>675</v>
      </c>
      <c r="C806" s="789" t="s">
        <v>165</v>
      </c>
      <c r="D806" s="1051">
        <v>5</v>
      </c>
      <c r="E806" s="1069"/>
      <c r="F806" s="675"/>
      <c r="G806" s="675">
        <f t="shared" si="68"/>
        <v>45737</v>
      </c>
      <c r="H806" s="676">
        <f t="shared" si="69"/>
        <v>45766</v>
      </c>
      <c r="I806" s="1058" t="s">
        <v>677</v>
      </c>
      <c r="J806" s="1053" t="s">
        <v>161</v>
      </c>
      <c r="K806" s="1053" t="s">
        <v>19</v>
      </c>
      <c r="L806" s="279" t="s">
        <v>20</v>
      </c>
      <c r="M806" s="1053" t="s">
        <v>679</v>
      </c>
      <c r="N806" s="512"/>
      <c r="O806" s="512"/>
      <c r="P806" s="512"/>
      <c r="Q806" s="512"/>
      <c r="R806" s="512"/>
      <c r="S806" s="512"/>
      <c r="T806" s="512"/>
      <c r="U806" s="512"/>
      <c r="V806" s="512"/>
      <c r="W806" s="512"/>
    </row>
    <row r="807" s="477" customFormat="1" ht="15.4" customHeight="1" spans="1:23">
      <c r="A807" s="1064" t="s">
        <v>674</v>
      </c>
      <c r="B807" s="789" t="s">
        <v>675</v>
      </c>
      <c r="C807" s="789" t="s">
        <v>29</v>
      </c>
      <c r="D807" s="1051">
        <v>20</v>
      </c>
      <c r="E807" s="1069"/>
      <c r="F807" s="675"/>
      <c r="G807" s="675">
        <f t="shared" si="68"/>
        <v>45737</v>
      </c>
      <c r="H807" s="676">
        <f t="shared" si="69"/>
        <v>45766</v>
      </c>
      <c r="I807" s="1058" t="s">
        <v>677</v>
      </c>
      <c r="J807" s="1053" t="s">
        <v>161</v>
      </c>
      <c r="K807" s="1053" t="s">
        <v>19</v>
      </c>
      <c r="L807" s="279" t="s">
        <v>20</v>
      </c>
      <c r="M807" s="1053" t="s">
        <v>679</v>
      </c>
      <c r="N807" s="512"/>
      <c r="O807" s="512"/>
      <c r="P807" s="512"/>
      <c r="Q807" s="512"/>
      <c r="R807" s="512"/>
      <c r="S807" s="512"/>
      <c r="T807" s="512"/>
      <c r="U807" s="512"/>
      <c r="V807" s="512"/>
      <c r="W807" s="512"/>
    </row>
    <row r="808" s="477" customFormat="1" ht="15.4" customHeight="1" spans="1:23">
      <c r="A808" s="1064" t="s">
        <v>674</v>
      </c>
      <c r="B808" s="789" t="s">
        <v>675</v>
      </c>
      <c r="C808" s="789" t="s">
        <v>30</v>
      </c>
      <c r="D808" s="1051">
        <v>20</v>
      </c>
      <c r="E808" s="1069"/>
      <c r="F808" s="675"/>
      <c r="G808" s="675">
        <f t="shared" si="68"/>
        <v>45737</v>
      </c>
      <c r="H808" s="676">
        <f t="shared" si="69"/>
        <v>45766</v>
      </c>
      <c r="I808" s="699" t="s">
        <v>677</v>
      </c>
      <c r="J808" s="1053" t="s">
        <v>161</v>
      </c>
      <c r="K808" s="1053" t="s">
        <v>19</v>
      </c>
      <c r="L808" s="279" t="s">
        <v>20</v>
      </c>
      <c r="M808" s="1053" t="s">
        <v>679</v>
      </c>
      <c r="N808" s="512"/>
      <c r="O808" s="512"/>
      <c r="P808" s="512"/>
      <c r="Q808" s="512"/>
      <c r="R808" s="512"/>
      <c r="S808" s="512"/>
      <c r="T808" s="512"/>
      <c r="U808" s="512"/>
      <c r="V808" s="512"/>
      <c r="W808" s="512"/>
    </row>
    <row r="809" s="477" customFormat="1" ht="15.4" customHeight="1" spans="1:23">
      <c r="A809" s="1064" t="s">
        <v>674</v>
      </c>
      <c r="B809" s="789" t="s">
        <v>675</v>
      </c>
      <c r="C809" s="789" t="s">
        <v>31</v>
      </c>
      <c r="D809" s="1051">
        <v>2</v>
      </c>
      <c r="E809" s="1069"/>
      <c r="F809" s="675"/>
      <c r="G809" s="675">
        <f t="shared" si="68"/>
        <v>45737</v>
      </c>
      <c r="H809" s="676">
        <f t="shared" si="69"/>
        <v>45766</v>
      </c>
      <c r="I809" s="1058" t="s">
        <v>677</v>
      </c>
      <c r="J809" s="1053" t="s">
        <v>161</v>
      </c>
      <c r="K809" s="1053" t="s">
        <v>19</v>
      </c>
      <c r="L809" s="279" t="s">
        <v>20</v>
      </c>
      <c r="M809" s="1053" t="s">
        <v>679</v>
      </c>
      <c r="N809" s="512"/>
      <c r="O809" s="512"/>
      <c r="P809" s="512"/>
      <c r="Q809" s="512"/>
      <c r="R809" s="512"/>
      <c r="S809" s="512"/>
      <c r="T809" s="512"/>
      <c r="U809" s="512"/>
      <c r="V809" s="512"/>
      <c r="W809" s="512"/>
    </row>
    <row r="810" s="477" customFormat="1" ht="15.4" customHeight="1" spans="1:23">
      <c r="A810" s="1064" t="s">
        <v>674</v>
      </c>
      <c r="B810" s="789" t="s">
        <v>675</v>
      </c>
      <c r="C810" s="789" t="s">
        <v>32</v>
      </c>
      <c r="D810" s="1051">
        <v>2</v>
      </c>
      <c r="E810" s="1069"/>
      <c r="F810" s="675"/>
      <c r="G810" s="675">
        <f t="shared" si="68"/>
        <v>45737</v>
      </c>
      <c r="H810" s="676">
        <f t="shared" si="69"/>
        <v>45766</v>
      </c>
      <c r="I810" s="1058" t="s">
        <v>677</v>
      </c>
      <c r="J810" s="1053" t="s">
        <v>161</v>
      </c>
      <c r="K810" s="1053" t="s">
        <v>19</v>
      </c>
      <c r="L810" s="279" t="s">
        <v>20</v>
      </c>
      <c r="M810" s="1053" t="s">
        <v>679</v>
      </c>
      <c r="N810" s="512"/>
      <c r="O810" s="512"/>
      <c r="P810" s="512"/>
      <c r="Q810" s="512"/>
      <c r="R810" s="512"/>
      <c r="S810" s="512"/>
      <c r="T810" s="512"/>
      <c r="U810" s="512"/>
      <c r="V810" s="512"/>
      <c r="W810" s="512"/>
    </row>
    <row r="811" s="477" customFormat="1" ht="15.4" customHeight="1" spans="1:23">
      <c r="A811" s="1064" t="s">
        <v>674</v>
      </c>
      <c r="B811" s="789" t="s">
        <v>675</v>
      </c>
      <c r="C811" s="789" t="s">
        <v>33</v>
      </c>
      <c r="D811" s="1051">
        <v>2</v>
      </c>
      <c r="E811" s="1069"/>
      <c r="F811" s="675"/>
      <c r="G811" s="675">
        <f t="shared" si="68"/>
        <v>45737</v>
      </c>
      <c r="H811" s="676">
        <f t="shared" si="69"/>
        <v>45766</v>
      </c>
      <c r="I811" s="699" t="s">
        <v>677</v>
      </c>
      <c r="J811" s="1053" t="s">
        <v>161</v>
      </c>
      <c r="K811" s="1053" t="s">
        <v>19</v>
      </c>
      <c r="L811" s="279" t="s">
        <v>20</v>
      </c>
      <c r="M811" s="1053" t="s">
        <v>679</v>
      </c>
      <c r="N811" s="512"/>
      <c r="O811" s="512"/>
      <c r="P811" s="512"/>
      <c r="Q811" s="512"/>
      <c r="R811" s="512"/>
      <c r="S811" s="512"/>
      <c r="T811" s="512"/>
      <c r="U811" s="512"/>
      <c r="V811" s="512"/>
      <c r="W811" s="512"/>
    </row>
    <row r="812" s="477" customFormat="1" ht="15.4" customHeight="1" spans="1:23">
      <c r="A812" s="1064" t="s">
        <v>674</v>
      </c>
      <c r="B812" s="789" t="s">
        <v>675</v>
      </c>
      <c r="C812" s="789" t="s">
        <v>34</v>
      </c>
      <c r="D812" s="1051">
        <v>2</v>
      </c>
      <c r="E812" s="1069"/>
      <c r="F812" s="675"/>
      <c r="G812" s="675">
        <f t="shared" si="68"/>
        <v>45737</v>
      </c>
      <c r="H812" s="676">
        <f t="shared" si="69"/>
        <v>45766</v>
      </c>
      <c r="I812" s="1058" t="s">
        <v>677</v>
      </c>
      <c r="J812" s="1053" t="s">
        <v>161</v>
      </c>
      <c r="K812" s="1053" t="s">
        <v>19</v>
      </c>
      <c r="L812" s="279" t="s">
        <v>20</v>
      </c>
      <c r="M812" s="1053" t="s">
        <v>679</v>
      </c>
      <c r="N812" s="512"/>
      <c r="O812" s="512"/>
      <c r="P812" s="512"/>
      <c r="Q812" s="512"/>
      <c r="R812" s="512"/>
      <c r="S812" s="512"/>
      <c r="T812" s="512"/>
      <c r="U812" s="512"/>
      <c r="V812" s="512"/>
      <c r="W812" s="512"/>
    </row>
    <row r="813" s="477" customFormat="1" ht="15.4" customHeight="1" spans="1:23">
      <c r="A813" s="1064" t="s">
        <v>674</v>
      </c>
      <c r="B813" s="789" t="s">
        <v>675</v>
      </c>
      <c r="C813" s="789" t="s">
        <v>59</v>
      </c>
      <c r="D813" s="1051">
        <v>2</v>
      </c>
      <c r="E813" s="1069"/>
      <c r="F813" s="675"/>
      <c r="G813" s="675">
        <f t="shared" si="68"/>
        <v>45737</v>
      </c>
      <c r="H813" s="676">
        <f t="shared" si="69"/>
        <v>45766</v>
      </c>
      <c r="I813" s="1058" t="s">
        <v>677</v>
      </c>
      <c r="J813" s="1053" t="s">
        <v>161</v>
      </c>
      <c r="K813" s="1053" t="s">
        <v>19</v>
      </c>
      <c r="L813" s="279" t="s">
        <v>20</v>
      </c>
      <c r="M813" s="1053" t="s">
        <v>679</v>
      </c>
      <c r="N813" s="512"/>
      <c r="O813" s="512"/>
      <c r="P813" s="512"/>
      <c r="Q813" s="512"/>
      <c r="R813" s="512"/>
      <c r="S813" s="512"/>
      <c r="T813" s="512"/>
      <c r="U813" s="512"/>
      <c r="V813" s="512"/>
      <c r="W813" s="512"/>
    </row>
    <row r="814" s="477" customFormat="1" ht="15.4" customHeight="1" spans="1:23">
      <c r="A814" s="1064" t="s">
        <v>674</v>
      </c>
      <c r="B814" s="789" t="s">
        <v>675</v>
      </c>
      <c r="C814" s="789" t="s">
        <v>60</v>
      </c>
      <c r="D814" s="1051">
        <v>2</v>
      </c>
      <c r="E814" s="1069"/>
      <c r="F814" s="675"/>
      <c r="G814" s="675">
        <f t="shared" si="68"/>
        <v>45737</v>
      </c>
      <c r="H814" s="676">
        <f t="shared" si="69"/>
        <v>45766</v>
      </c>
      <c r="I814" s="699" t="s">
        <v>677</v>
      </c>
      <c r="J814" s="1053" t="s">
        <v>161</v>
      </c>
      <c r="K814" s="1053" t="s">
        <v>19</v>
      </c>
      <c r="L814" s="279" t="s">
        <v>20</v>
      </c>
      <c r="M814" s="1053" t="s">
        <v>679</v>
      </c>
      <c r="N814" s="512"/>
      <c r="O814" s="512"/>
      <c r="P814" s="512"/>
      <c r="Q814" s="512"/>
      <c r="R814" s="512"/>
      <c r="S814" s="512"/>
      <c r="T814" s="512"/>
      <c r="U814" s="512"/>
      <c r="V814" s="512"/>
      <c r="W814" s="512"/>
    </row>
    <row r="815" s="178" customFormat="1" ht="30.75" customHeight="1" spans="1:23">
      <c r="A815" s="1047" t="s">
        <v>394</v>
      </c>
      <c r="B815" s="789" t="s">
        <v>680</v>
      </c>
      <c r="C815" s="1047" t="s">
        <v>651</v>
      </c>
      <c r="D815" s="240">
        <v>45</v>
      </c>
      <c r="E815" s="1049" t="s">
        <v>681</v>
      </c>
      <c r="F815" s="675"/>
      <c r="G815" s="675">
        <f>VLOOKUP(CLEAN(SUBSTITUTE(TRIM(MID(E:E,FIND("/",E:E)+1,LEN(E:E)))," ","")),'Customs Decl. &amp; Local Delivery'!D:I,6,0)</f>
        <v>45745</v>
      </c>
      <c r="H815" s="676">
        <f>VLOOKUP(CLEAN(SUBSTITUTE(TRIM(MID(E:E,FIND("/",E:E)+1,LEN(E:E)))," ","")),'Customs Decl. &amp; Local Delivery'!D:J,7,0)</f>
        <v>45760</v>
      </c>
      <c r="I815" s="1063" t="s">
        <v>682</v>
      </c>
      <c r="J815" s="1096" t="s">
        <v>18</v>
      </c>
      <c r="K815" s="1103" t="s">
        <v>683</v>
      </c>
      <c r="L815" s="1090" t="s">
        <v>20</v>
      </c>
      <c r="M815" s="1099" t="s">
        <v>684</v>
      </c>
      <c r="N815" s="512"/>
      <c r="O815" s="512"/>
      <c r="P815" s="512"/>
      <c r="Q815" s="512"/>
      <c r="R815" s="512"/>
      <c r="S815" s="512"/>
      <c r="T815" s="512"/>
      <c r="U815" s="512"/>
      <c r="V815" s="512"/>
      <c r="W815" s="512"/>
    </row>
    <row r="816" s="178" customFormat="1" ht="30.75" customHeight="1" spans="1:23">
      <c r="A816" s="1047" t="s">
        <v>376</v>
      </c>
      <c r="B816" s="1047" t="s">
        <v>685</v>
      </c>
      <c r="C816" s="1047" t="s">
        <v>651</v>
      </c>
      <c r="D816" s="240">
        <v>45</v>
      </c>
      <c r="E816" s="1049" t="s">
        <v>686</v>
      </c>
      <c r="F816" s="675"/>
      <c r="G816" s="675">
        <f>VLOOKUP(CLEAN(SUBSTITUTE(TRIM(MID(E:E,FIND("/",E:E)+1,LEN(E:E)))," ","")),'Customs Decl. &amp; Local Delivery'!D:I,6,0)</f>
        <v>45745</v>
      </c>
      <c r="H816" s="676">
        <f>VLOOKUP(CLEAN(SUBSTITUTE(TRIM(MID(E:E,FIND("/",E:E)+1,LEN(E:E)))," ","")),'Customs Decl. &amp; Local Delivery'!D:J,7,0)</f>
        <v>45768</v>
      </c>
      <c r="I816" s="711" t="s">
        <v>687</v>
      </c>
      <c r="J816" s="784" t="s">
        <v>18</v>
      </c>
      <c r="K816" s="1104" t="s">
        <v>147</v>
      </c>
      <c r="L816" s="1090" t="s">
        <v>20</v>
      </c>
      <c r="M816" s="1063" t="s">
        <v>688</v>
      </c>
      <c r="N816" s="512"/>
      <c r="O816" s="512"/>
      <c r="P816" s="512"/>
      <c r="Q816" s="512"/>
      <c r="R816" s="512"/>
      <c r="S816" s="512"/>
      <c r="T816" s="512"/>
      <c r="U816" s="512"/>
      <c r="V816" s="512"/>
      <c r="W816" s="512"/>
    </row>
    <row r="817" s="178" customFormat="1" ht="30.75" customHeight="1" spans="1:23">
      <c r="A817" s="1047" t="s">
        <v>376</v>
      </c>
      <c r="B817" s="1047" t="s">
        <v>689</v>
      </c>
      <c r="C817" s="1047" t="s">
        <v>651</v>
      </c>
      <c r="D817" s="240">
        <v>45</v>
      </c>
      <c r="E817" s="1049" t="s">
        <v>690</v>
      </c>
      <c r="F817" s="675"/>
      <c r="G817" s="675">
        <f>VLOOKUP(CLEAN(SUBSTITUTE(TRIM(MID(E:E,FIND("/",E:E)+1,LEN(E:E)))," ","")),'Customs Decl. &amp; Local Delivery'!D:I,6,0)</f>
        <v>45745</v>
      </c>
      <c r="H817" s="676">
        <f>VLOOKUP(CLEAN(SUBSTITUTE(TRIM(MID(E:E,FIND("/",E:E)+1,LEN(E:E)))," ","")),'Customs Decl. &amp; Local Delivery'!D:J,7,0)</f>
        <v>45768</v>
      </c>
      <c r="I817" s="711" t="s">
        <v>691</v>
      </c>
      <c r="J817" s="784" t="s">
        <v>18</v>
      </c>
      <c r="K817" s="1105" t="s">
        <v>654</v>
      </c>
      <c r="L817" s="1090" t="s">
        <v>20</v>
      </c>
      <c r="M817" s="1063" t="s">
        <v>692</v>
      </c>
      <c r="N817" s="203"/>
      <c r="O817" s="512"/>
      <c r="P817" s="512"/>
      <c r="Q817" s="512"/>
      <c r="R817" s="512"/>
      <c r="S817" s="512"/>
      <c r="T817" s="512"/>
      <c r="U817" s="512"/>
      <c r="V817" s="512"/>
      <c r="W817" s="512"/>
    </row>
    <row r="818" s="178" customFormat="1" ht="30.75" customHeight="1" spans="1:23">
      <c r="A818" s="1047" t="s">
        <v>376</v>
      </c>
      <c r="B818" s="1047" t="s">
        <v>693</v>
      </c>
      <c r="C818" s="1047" t="s">
        <v>651</v>
      </c>
      <c r="D818" s="240">
        <v>45</v>
      </c>
      <c r="E818" s="1049" t="s">
        <v>694</v>
      </c>
      <c r="F818" s="675"/>
      <c r="G818" s="675">
        <f>VLOOKUP(CLEAN(SUBSTITUTE(TRIM(MID(E:E,FIND("/",E:E)+1,LEN(E:E)))," ","")),'Customs Decl. &amp; Local Delivery'!D:I,6,0)</f>
        <v>45745</v>
      </c>
      <c r="H818" s="676">
        <f>VLOOKUP(CLEAN(SUBSTITUTE(TRIM(MID(E:E,FIND("/",E:E)+1,LEN(E:E)))," ","")),'Customs Decl. &amp; Local Delivery'!D:J,7,0)</f>
        <v>45768</v>
      </c>
      <c r="I818" s="1063" t="s">
        <v>695</v>
      </c>
      <c r="J818" s="784" t="s">
        <v>18</v>
      </c>
      <c r="K818" s="1104" t="s">
        <v>147</v>
      </c>
      <c r="L818" s="1090" t="s">
        <v>20</v>
      </c>
      <c r="M818" s="1063" t="s">
        <v>688</v>
      </c>
      <c r="N818" s="203"/>
      <c r="O818" s="512"/>
      <c r="P818" s="512"/>
      <c r="Q818" s="512"/>
      <c r="R818" s="512"/>
      <c r="S818" s="512"/>
      <c r="T818" s="512"/>
      <c r="U818" s="512"/>
      <c r="V818" s="512"/>
      <c r="W818" s="512"/>
    </row>
    <row r="819" s="178" customFormat="1" ht="30.75" customHeight="1" spans="1:23">
      <c r="A819" s="1047" t="s">
        <v>394</v>
      </c>
      <c r="B819" s="789" t="s">
        <v>696</v>
      </c>
      <c r="C819" s="1047" t="s">
        <v>651</v>
      </c>
      <c r="D819" s="240">
        <v>45</v>
      </c>
      <c r="E819" s="756" t="s">
        <v>697</v>
      </c>
      <c r="F819" s="675"/>
      <c r="G819" s="675">
        <f>VLOOKUP(CLEAN(SUBSTITUTE(TRIM(MID(E:E,FIND("/",E:E)+1,LEN(E:E)))," ","")),'Customs Decl. &amp; Local Delivery'!D:I,6,0)</f>
        <v>45745</v>
      </c>
      <c r="H819" s="676">
        <f>VLOOKUP(CLEAN(SUBSTITUTE(TRIM(MID(E:E,FIND("/",E:E)+1,LEN(E:E)))," ","")),'Customs Decl. &amp; Local Delivery'!D:J,7,0)</f>
        <v>45768</v>
      </c>
      <c r="I819" s="1058" t="s">
        <v>698</v>
      </c>
      <c r="J819" s="1096" t="s">
        <v>18</v>
      </c>
      <c r="K819" s="1053" t="s">
        <v>654</v>
      </c>
      <c r="L819" s="279" t="s">
        <v>20</v>
      </c>
      <c r="M819" s="1099" t="s">
        <v>699</v>
      </c>
      <c r="N819" s="203"/>
      <c r="O819" s="512"/>
      <c r="P819" s="512"/>
      <c r="Q819" s="512"/>
      <c r="R819" s="512"/>
      <c r="S819" s="512"/>
      <c r="T819" s="512"/>
      <c r="U819" s="512"/>
      <c r="V819" s="512"/>
      <c r="W819" s="512"/>
    </row>
    <row r="820" s="178" customFormat="1" ht="15.4" customHeight="1" spans="1:23">
      <c r="A820" s="1053" t="s">
        <v>400</v>
      </c>
      <c r="B820" s="1050" t="s">
        <v>401</v>
      </c>
      <c r="C820" s="1054" t="s">
        <v>15</v>
      </c>
      <c r="D820" s="263">
        <v>8</v>
      </c>
      <c r="E820" s="1055" t="s">
        <v>700</v>
      </c>
      <c r="F820" s="675"/>
      <c r="G820" s="675">
        <f>VLOOKUP(CLEAN(SUBSTITUTE(TRIM(MID(E:E,FIND("/",E:E)+1,LEN(E:E)))," ","")),'Customs Decl. &amp; Local Delivery'!D:I,6,0)</f>
        <v>45746</v>
      </c>
      <c r="H820" s="676">
        <f>VLOOKUP(CLEAN(SUBSTITUTE(TRIM(MID(E:E,FIND("/",E:E)+1,LEN(E:E)))," ","")),'Customs Decl. &amp; Local Delivery'!D:J,7,0)</f>
        <v>45765</v>
      </c>
      <c r="I820" s="699" t="s">
        <v>701</v>
      </c>
      <c r="J820" s="1058" t="s">
        <v>18</v>
      </c>
      <c r="K820" s="1070" t="s">
        <v>147</v>
      </c>
      <c r="L820" s="279" t="s">
        <v>20</v>
      </c>
      <c r="M820" s="1053" t="s">
        <v>702</v>
      </c>
      <c r="N820" s="203"/>
      <c r="O820" s="512"/>
      <c r="P820" s="512"/>
      <c r="Q820" s="512"/>
      <c r="R820" s="512"/>
      <c r="S820" s="512"/>
      <c r="T820" s="512"/>
      <c r="U820" s="512"/>
      <c r="V820" s="512"/>
      <c r="W820" s="512"/>
    </row>
    <row r="821" s="178" customFormat="1" ht="15.4" customHeight="1" spans="1:23">
      <c r="A821" s="1053" t="s">
        <v>400</v>
      </c>
      <c r="B821" s="1050" t="s">
        <v>401</v>
      </c>
      <c r="C821" s="1054" t="s">
        <v>70</v>
      </c>
      <c r="D821" s="263">
        <v>1</v>
      </c>
      <c r="E821" s="1100"/>
      <c r="F821" s="675"/>
      <c r="G821" s="675">
        <f>G820</f>
        <v>45746</v>
      </c>
      <c r="H821" s="676">
        <f>H820</f>
        <v>45765</v>
      </c>
      <c r="I821" s="699" t="s">
        <v>701</v>
      </c>
      <c r="J821" s="1053" t="s">
        <v>18</v>
      </c>
      <c r="K821" s="1070" t="s">
        <v>147</v>
      </c>
      <c r="L821" s="279" t="s">
        <v>20</v>
      </c>
      <c r="M821" s="1053" t="s">
        <v>703</v>
      </c>
      <c r="N821" s="1081"/>
      <c r="O821" s="512"/>
      <c r="P821" s="512"/>
      <c r="Q821" s="512"/>
      <c r="R821" s="512"/>
      <c r="S821" s="512"/>
      <c r="T821" s="512"/>
      <c r="U821" s="512"/>
      <c r="V821" s="512"/>
      <c r="W821" s="512"/>
    </row>
    <row r="822" s="970" customFormat="1" ht="15.4" customHeight="1" spans="1:23">
      <c r="A822" s="1047" t="s">
        <v>13</v>
      </c>
      <c r="B822" s="1047" t="s">
        <v>231</v>
      </c>
      <c r="C822" s="789" t="s">
        <v>67</v>
      </c>
      <c r="D822" s="1094">
        <f>72-44</f>
        <v>28</v>
      </c>
      <c r="E822" s="1100"/>
      <c r="F822" s="675"/>
      <c r="G822" s="675">
        <f>G821</f>
        <v>45746</v>
      </c>
      <c r="H822" s="676">
        <f>H821</f>
        <v>45765</v>
      </c>
      <c r="I822" s="699" t="s">
        <v>701</v>
      </c>
      <c r="J822" s="1053" t="s">
        <v>18</v>
      </c>
      <c r="K822" s="1070" t="s">
        <v>147</v>
      </c>
      <c r="L822" s="279" t="s">
        <v>20</v>
      </c>
      <c r="M822" s="1058" t="s">
        <v>704</v>
      </c>
      <c r="N822" s="203"/>
      <c r="O822" s="512"/>
      <c r="P822" s="512"/>
      <c r="Q822" s="512"/>
      <c r="R822" s="512"/>
      <c r="S822" s="512"/>
      <c r="T822" s="512"/>
      <c r="U822" s="512"/>
      <c r="V822" s="512"/>
      <c r="W822" s="512"/>
    </row>
    <row r="823" s="178" customFormat="1" ht="30.75" customHeight="1" spans="1:23">
      <c r="A823" s="749" t="s">
        <v>705</v>
      </c>
      <c r="B823" s="811" t="s">
        <v>706</v>
      </c>
      <c r="C823" s="794" t="s">
        <v>349</v>
      </c>
      <c r="D823" s="351">
        <v>218</v>
      </c>
      <c r="E823" s="1085" t="s">
        <v>707</v>
      </c>
      <c r="F823" s="675"/>
      <c r="G823" s="675">
        <f>VLOOKUP(CLEAN(SUBSTITUTE(TRIM(MID(E:E,FIND("/",E:E)+1,LEN(E:E)))," ","")),'Customs Decl. &amp; Local Delivery'!D:I,6,0)</f>
        <v>45747</v>
      </c>
      <c r="H823" s="676">
        <f>VLOOKUP(CLEAN(SUBSTITUTE(TRIM(MID(E:E,FIND("/",E:E)+1,LEN(E:E)))," ","")),'Customs Decl. &amp; Local Delivery'!D:J,7,0)</f>
        <v>45762</v>
      </c>
      <c r="I823" s="1047" t="s">
        <v>708</v>
      </c>
      <c r="J823" s="1058" t="s">
        <v>18</v>
      </c>
      <c r="K823" s="718" t="s">
        <v>147</v>
      </c>
      <c r="L823" s="279" t="s">
        <v>20</v>
      </c>
      <c r="M823" s="718" t="s">
        <v>709</v>
      </c>
      <c r="N823" s="1081"/>
      <c r="O823" s="325"/>
      <c r="P823" s="325"/>
      <c r="Q823" s="325"/>
      <c r="R823" s="325"/>
      <c r="S823" s="325"/>
      <c r="T823" s="325"/>
      <c r="U823" s="325"/>
      <c r="V823" s="325"/>
      <c r="W823" s="325"/>
    </row>
    <row r="824" s="178" customFormat="1" ht="30.75" customHeight="1" spans="1:23">
      <c r="A824" s="784" t="s">
        <v>710</v>
      </c>
      <c r="B824" s="1050" t="s">
        <v>711</v>
      </c>
      <c r="C824" s="1047" t="s">
        <v>318</v>
      </c>
      <c r="D824" s="279">
        <v>312</v>
      </c>
      <c r="E824" s="1049" t="s">
        <v>712</v>
      </c>
      <c r="F824" s="675"/>
      <c r="G824" s="675">
        <f>VLOOKUP(CLEAN(SUBSTITUTE(TRIM(MID(E:E,FIND("/",E:E)+1,LEN(E:E)))," ","")),'Customs Decl. &amp; Local Delivery'!D:I,6,0)</f>
        <v>45744</v>
      </c>
      <c r="H824" s="676">
        <f>VLOOKUP(CLEAN(SUBSTITUTE(TRIM(MID(E:E,FIND("/",E:E)+1,LEN(E:E)))," ","")),'Customs Decl. &amp; Local Delivery'!D:J,7,0)</f>
        <v>45771</v>
      </c>
      <c r="I824" s="1063" t="s">
        <v>713</v>
      </c>
      <c r="J824" s="1058" t="s">
        <v>18</v>
      </c>
      <c r="K824" s="1106" t="s">
        <v>321</v>
      </c>
      <c r="L824" s="1090" t="s">
        <v>20</v>
      </c>
      <c r="M824" s="1063" t="s">
        <v>714</v>
      </c>
      <c r="N824" s="203"/>
      <c r="O824" s="512"/>
      <c r="P824" s="512"/>
      <c r="Q824" s="512"/>
      <c r="R824" s="512"/>
      <c r="S824" s="512"/>
      <c r="T824" s="512"/>
      <c r="U824" s="512"/>
      <c r="V824" s="512"/>
      <c r="W824" s="512"/>
    </row>
    <row r="825" s="178" customFormat="1" ht="15.4" customHeight="1" spans="1:23">
      <c r="A825" s="718" t="s">
        <v>656</v>
      </c>
      <c r="B825" s="1050" t="s">
        <v>715</v>
      </c>
      <c r="C825" s="789" t="s">
        <v>69</v>
      </c>
      <c r="D825" s="279">
        <v>148</v>
      </c>
      <c r="E825" s="1085" t="s">
        <v>716</v>
      </c>
      <c r="F825" s="675"/>
      <c r="G825" s="675">
        <f>VLOOKUP(CLEAN(SUBSTITUTE(TRIM(MID(E:E,FIND("/",E:E)+1,LEN(E:E)))," ","")),'Customs Decl. &amp; Local Delivery'!D:I,6,0)</f>
        <v>45744</v>
      </c>
      <c r="H825" s="676">
        <f>VLOOKUP(CLEAN(SUBSTITUTE(TRIM(MID(E:E,FIND("/",E:E)+1,LEN(E:E)))," ","")),'Customs Decl. &amp; Local Delivery'!D:J,7,0)</f>
        <v>45771</v>
      </c>
      <c r="I825" s="1063" t="s">
        <v>717</v>
      </c>
      <c r="J825" s="1058" t="s">
        <v>18</v>
      </c>
      <c r="K825" s="1053" t="s">
        <v>147</v>
      </c>
      <c r="L825" s="1090" t="s">
        <v>20</v>
      </c>
      <c r="M825" s="1053" t="s">
        <v>718</v>
      </c>
      <c r="N825" s="203"/>
      <c r="O825" s="512"/>
      <c r="P825" s="512"/>
      <c r="Q825" s="512"/>
      <c r="R825" s="512"/>
      <c r="S825" s="512"/>
      <c r="T825" s="512"/>
      <c r="U825" s="512"/>
      <c r="V825" s="512"/>
      <c r="W825" s="512"/>
    </row>
    <row r="826" s="178" customFormat="1" ht="15.4" customHeight="1" spans="1:23">
      <c r="A826" s="718" t="s">
        <v>656</v>
      </c>
      <c r="B826" s="1050" t="s">
        <v>715</v>
      </c>
      <c r="C826" s="789" t="s">
        <v>71</v>
      </c>
      <c r="D826" s="279">
        <f>100-68</f>
        <v>32</v>
      </c>
      <c r="E826" s="1069"/>
      <c r="F826" s="675"/>
      <c r="G826" s="675">
        <f>G825</f>
        <v>45744</v>
      </c>
      <c r="H826" s="676">
        <f>H825</f>
        <v>45771</v>
      </c>
      <c r="I826" s="1058" t="s">
        <v>717</v>
      </c>
      <c r="J826" s="1058" t="s">
        <v>18</v>
      </c>
      <c r="K826" s="1053" t="s">
        <v>147</v>
      </c>
      <c r="L826" s="1090" t="s">
        <v>20</v>
      </c>
      <c r="M826" s="1053"/>
      <c r="N826" s="203"/>
      <c r="O826" s="512"/>
      <c r="P826" s="512"/>
      <c r="Q826" s="512"/>
      <c r="R826" s="512"/>
      <c r="S826" s="512"/>
      <c r="T826" s="512"/>
      <c r="U826" s="512"/>
      <c r="V826" s="512"/>
      <c r="W826" s="512"/>
    </row>
    <row r="827" s="477" customFormat="1" ht="15.4" customHeight="1" spans="1:23">
      <c r="A827" s="718" t="s">
        <v>656</v>
      </c>
      <c r="B827" s="1101" t="s">
        <v>719</v>
      </c>
      <c r="C827" s="1089" t="s">
        <v>24</v>
      </c>
      <c r="D827" s="248">
        <v>150</v>
      </c>
      <c r="E827" s="792" t="s">
        <v>720</v>
      </c>
      <c r="F827" s="675"/>
      <c r="G827" s="675">
        <f>VLOOKUP(CLEAN(SUBSTITUTE(TRIM(MID(E:E,FIND("/",E:E)+1,LEN(E:E)))," ","")),'Customs Decl. &amp; Local Delivery'!D:I,6,0)</f>
        <v>45744</v>
      </c>
      <c r="H827" s="676">
        <f>VLOOKUP(CLEAN(SUBSTITUTE(TRIM(MID(E:E,FIND("/",E:E)+1,LEN(E:E)))," ","")),'Customs Decl. &amp; Local Delivery'!D:J,7,0)</f>
        <v>45771</v>
      </c>
      <c r="I827" s="1107" t="s">
        <v>721</v>
      </c>
      <c r="J827" s="1058" t="s">
        <v>18</v>
      </c>
      <c r="K827" s="1105" t="s">
        <v>19</v>
      </c>
      <c r="L827" s="1090" t="s">
        <v>20</v>
      </c>
      <c r="M827" s="718" t="s">
        <v>722</v>
      </c>
      <c r="N827" s="512"/>
      <c r="O827" s="512"/>
      <c r="P827" s="512"/>
      <c r="Q827" s="512"/>
      <c r="R827" s="512"/>
      <c r="S827" s="512"/>
      <c r="T827" s="512"/>
      <c r="U827" s="512"/>
      <c r="V827" s="512"/>
      <c r="W827" s="512"/>
    </row>
    <row r="828" s="178" customFormat="1" ht="15.4" customHeight="1" spans="1:23">
      <c r="A828" s="718" t="s">
        <v>656</v>
      </c>
      <c r="B828" s="1101" t="s">
        <v>719</v>
      </c>
      <c r="C828" s="1089" t="s">
        <v>24</v>
      </c>
      <c r="D828" s="248">
        <f>745-150</f>
        <v>595</v>
      </c>
      <c r="E828" s="1102"/>
      <c r="F828" s="675"/>
      <c r="G828" s="675">
        <f>G827</f>
        <v>45744</v>
      </c>
      <c r="H828" s="676">
        <f>H827</f>
        <v>45771</v>
      </c>
      <c r="I828" s="689" t="s">
        <v>721</v>
      </c>
      <c r="J828" s="1058" t="s">
        <v>18</v>
      </c>
      <c r="K828" s="1105" t="s">
        <v>147</v>
      </c>
      <c r="L828" s="1090" t="s">
        <v>20</v>
      </c>
      <c r="M828" s="1053" t="s">
        <v>723</v>
      </c>
      <c r="N828" s="203"/>
      <c r="O828" s="512"/>
      <c r="P828" s="512"/>
      <c r="Q828" s="512"/>
      <c r="R828" s="512"/>
      <c r="S828" s="512"/>
      <c r="T828" s="512"/>
      <c r="U828" s="512"/>
      <c r="V828" s="512"/>
      <c r="W828" s="512"/>
    </row>
    <row r="829" s="477" customFormat="1" ht="15.4" customHeight="1" spans="1:23">
      <c r="A829" s="1064" t="s">
        <v>674</v>
      </c>
      <c r="B829" s="789" t="s">
        <v>724</v>
      </c>
      <c r="C829" s="789" t="s">
        <v>52</v>
      </c>
      <c r="D829" s="1051">
        <v>15</v>
      </c>
      <c r="E829" s="1085" t="s">
        <v>725</v>
      </c>
      <c r="F829" s="675"/>
      <c r="G829" s="675">
        <f>VLOOKUP(CLEAN(SUBSTITUTE(TRIM(MID(E:E,FIND("/",E:E)+1,LEN(E:E)))," ","")),'Customs Decl. &amp; Local Delivery'!D:I,6,0)</f>
        <v>45744</v>
      </c>
      <c r="H829" s="676">
        <f>VLOOKUP(CLEAN(SUBSTITUTE(TRIM(MID(E:E,FIND("/",E:E)+1,LEN(E:E)))," ","")),'Customs Decl. &amp; Local Delivery'!D:J,7,0)</f>
        <v>45777</v>
      </c>
      <c r="I829" s="1064" t="s">
        <v>726</v>
      </c>
      <c r="J829" s="1064" t="s">
        <v>161</v>
      </c>
      <c r="K829" s="1064" t="s">
        <v>19</v>
      </c>
      <c r="L829" s="1090" t="s">
        <v>20</v>
      </c>
      <c r="M829" s="1053" t="s">
        <v>727</v>
      </c>
      <c r="N829" s="512"/>
      <c r="O829" s="512"/>
      <c r="P829" s="512"/>
      <c r="Q829" s="512"/>
      <c r="R829" s="512"/>
      <c r="S829" s="512"/>
      <c r="T829" s="512"/>
      <c r="U829" s="512"/>
      <c r="V829" s="512"/>
      <c r="W829" s="512"/>
    </row>
    <row r="830" s="477" customFormat="1" ht="15.4" customHeight="1" spans="1:23">
      <c r="A830" s="1064" t="s">
        <v>674</v>
      </c>
      <c r="B830" s="789" t="s">
        <v>724</v>
      </c>
      <c r="C830" s="789" t="s">
        <v>56</v>
      </c>
      <c r="D830" s="1051">
        <v>15</v>
      </c>
      <c r="E830" s="1069"/>
      <c r="F830" s="675"/>
      <c r="G830" s="675">
        <f t="shared" ref="G830:G840" si="70">G829</f>
        <v>45744</v>
      </c>
      <c r="H830" s="676">
        <f t="shared" ref="H830:H840" si="71">H829</f>
        <v>45777</v>
      </c>
      <c r="I830" s="1064" t="s">
        <v>726</v>
      </c>
      <c r="J830" s="1064" t="s">
        <v>161</v>
      </c>
      <c r="K830" s="1064" t="s">
        <v>19</v>
      </c>
      <c r="L830" s="279" t="s">
        <v>20</v>
      </c>
      <c r="M830" s="1053" t="s">
        <v>728</v>
      </c>
      <c r="N830" s="512"/>
      <c r="O830" s="512"/>
      <c r="P830" s="512"/>
      <c r="Q830" s="512"/>
      <c r="R830" s="512"/>
      <c r="S830" s="512"/>
      <c r="T830" s="512"/>
      <c r="U830" s="512"/>
      <c r="V830" s="512"/>
      <c r="W830" s="512"/>
    </row>
    <row r="831" s="477" customFormat="1" ht="15.4" customHeight="1" spans="1:23">
      <c r="A831" s="1064" t="s">
        <v>674</v>
      </c>
      <c r="B831" s="789" t="s">
        <v>724</v>
      </c>
      <c r="C831" s="789" t="s">
        <v>36</v>
      </c>
      <c r="D831" s="1051">
        <v>10</v>
      </c>
      <c r="E831" s="1069"/>
      <c r="F831" s="675"/>
      <c r="G831" s="675">
        <f t="shared" si="70"/>
        <v>45744</v>
      </c>
      <c r="H831" s="676">
        <f t="shared" si="71"/>
        <v>45777</v>
      </c>
      <c r="I831" s="1064" t="s">
        <v>726</v>
      </c>
      <c r="J831" s="1064" t="s">
        <v>161</v>
      </c>
      <c r="K831" s="1064" t="s">
        <v>19</v>
      </c>
      <c r="L831" s="279" t="s">
        <v>20</v>
      </c>
      <c r="M831" s="1053" t="s">
        <v>728</v>
      </c>
      <c r="N831" s="512"/>
      <c r="O831" s="512"/>
      <c r="P831" s="512"/>
      <c r="Q831" s="512"/>
      <c r="R831" s="512"/>
      <c r="S831" s="512"/>
      <c r="T831" s="512"/>
      <c r="U831" s="512"/>
      <c r="V831" s="512"/>
      <c r="W831" s="512"/>
    </row>
    <row r="832" s="477" customFormat="1" ht="15.4" customHeight="1" spans="1:23">
      <c r="A832" s="1064" t="s">
        <v>674</v>
      </c>
      <c r="B832" s="789" t="s">
        <v>724</v>
      </c>
      <c r="C832" s="789" t="s">
        <v>41</v>
      </c>
      <c r="D832" s="1051">
        <v>10</v>
      </c>
      <c r="E832" s="1069"/>
      <c r="F832" s="675"/>
      <c r="G832" s="675">
        <f t="shared" si="70"/>
        <v>45744</v>
      </c>
      <c r="H832" s="676">
        <f t="shared" si="71"/>
        <v>45777</v>
      </c>
      <c r="I832" s="1064" t="s">
        <v>726</v>
      </c>
      <c r="J832" s="1064" t="s">
        <v>161</v>
      </c>
      <c r="K832" s="1064" t="s">
        <v>19</v>
      </c>
      <c r="L832" s="279" t="s">
        <v>20</v>
      </c>
      <c r="M832" s="1053" t="s">
        <v>728</v>
      </c>
      <c r="N832" s="512"/>
      <c r="O832" s="512"/>
      <c r="P832" s="512"/>
      <c r="Q832" s="512"/>
      <c r="R832" s="512"/>
      <c r="S832" s="512"/>
      <c r="T832" s="512"/>
      <c r="U832" s="512"/>
      <c r="V832" s="512"/>
      <c r="W832" s="512"/>
    </row>
    <row r="833" s="477" customFormat="1" ht="15.4" customHeight="1" spans="1:23">
      <c r="A833" s="1064" t="s">
        <v>674</v>
      </c>
      <c r="B833" s="789" t="s">
        <v>724</v>
      </c>
      <c r="C833" s="789" t="s">
        <v>43</v>
      </c>
      <c r="D833" s="1051">
        <v>10</v>
      </c>
      <c r="E833" s="1069"/>
      <c r="F833" s="675"/>
      <c r="G833" s="675">
        <f t="shared" si="70"/>
        <v>45744</v>
      </c>
      <c r="H833" s="676">
        <f t="shared" si="71"/>
        <v>45777</v>
      </c>
      <c r="I833" s="1064" t="s">
        <v>726</v>
      </c>
      <c r="J833" s="1064" t="s">
        <v>161</v>
      </c>
      <c r="K833" s="1064" t="s">
        <v>19</v>
      </c>
      <c r="L833" s="279" t="s">
        <v>20</v>
      </c>
      <c r="M833" s="1053" t="s">
        <v>728</v>
      </c>
      <c r="N833" s="512"/>
      <c r="O833" s="512"/>
      <c r="P833" s="512"/>
      <c r="Q833" s="512"/>
      <c r="R833" s="512"/>
      <c r="S833" s="512"/>
      <c r="T833" s="512"/>
      <c r="U833" s="512"/>
      <c r="V833" s="512"/>
      <c r="W833" s="512"/>
    </row>
    <row r="834" s="477" customFormat="1" ht="15.4" customHeight="1" spans="1:23">
      <c r="A834" s="1064" t="s">
        <v>674</v>
      </c>
      <c r="B834" s="789" t="s">
        <v>724</v>
      </c>
      <c r="C834" s="789" t="s">
        <v>45</v>
      </c>
      <c r="D834" s="1051">
        <v>10</v>
      </c>
      <c r="E834" s="1069"/>
      <c r="F834" s="675"/>
      <c r="G834" s="675">
        <f t="shared" si="70"/>
        <v>45744</v>
      </c>
      <c r="H834" s="676">
        <f t="shared" si="71"/>
        <v>45777</v>
      </c>
      <c r="I834" s="1064" t="s">
        <v>726</v>
      </c>
      <c r="J834" s="1064" t="s">
        <v>161</v>
      </c>
      <c r="K834" s="1064" t="s">
        <v>19</v>
      </c>
      <c r="L834" s="279" t="s">
        <v>20</v>
      </c>
      <c r="M834" s="1053" t="s">
        <v>728</v>
      </c>
      <c r="N834" s="512"/>
      <c r="O834" s="512"/>
      <c r="P834" s="512"/>
      <c r="Q834" s="512"/>
      <c r="R834" s="512"/>
      <c r="S834" s="512"/>
      <c r="T834" s="512"/>
      <c r="U834" s="512"/>
      <c r="V834" s="512"/>
      <c r="W834" s="512"/>
    </row>
    <row r="835" s="477" customFormat="1" ht="15.4" customHeight="1" spans="1:23">
      <c r="A835" s="1064" t="s">
        <v>674</v>
      </c>
      <c r="B835" s="789" t="s">
        <v>724</v>
      </c>
      <c r="C835" s="789" t="s">
        <v>47</v>
      </c>
      <c r="D835" s="1051">
        <v>20</v>
      </c>
      <c r="E835" s="1069"/>
      <c r="F835" s="675"/>
      <c r="G835" s="675">
        <f t="shared" si="70"/>
        <v>45744</v>
      </c>
      <c r="H835" s="676">
        <f t="shared" si="71"/>
        <v>45777</v>
      </c>
      <c r="I835" s="1064" t="s">
        <v>726</v>
      </c>
      <c r="J835" s="1064" t="s">
        <v>161</v>
      </c>
      <c r="K835" s="1064" t="s">
        <v>19</v>
      </c>
      <c r="L835" s="279" t="s">
        <v>20</v>
      </c>
      <c r="M835" s="1053" t="s">
        <v>728</v>
      </c>
      <c r="N835" s="512"/>
      <c r="O835" s="512"/>
      <c r="P835" s="512"/>
      <c r="Q835" s="512"/>
      <c r="R835" s="512"/>
      <c r="S835" s="512"/>
      <c r="T835" s="512"/>
      <c r="U835" s="512"/>
      <c r="V835" s="512"/>
      <c r="W835" s="512"/>
    </row>
    <row r="836" s="477" customFormat="1" ht="15.4" customHeight="1" spans="1:23">
      <c r="A836" s="1064" t="s">
        <v>674</v>
      </c>
      <c r="B836" s="789" t="s">
        <v>724</v>
      </c>
      <c r="C836" s="789" t="s">
        <v>48</v>
      </c>
      <c r="D836" s="1051">
        <v>20</v>
      </c>
      <c r="E836" s="1069"/>
      <c r="F836" s="675"/>
      <c r="G836" s="675">
        <f t="shared" si="70"/>
        <v>45744</v>
      </c>
      <c r="H836" s="676">
        <f t="shared" si="71"/>
        <v>45777</v>
      </c>
      <c r="I836" s="1064" t="s">
        <v>726</v>
      </c>
      <c r="J836" s="1064" t="s">
        <v>161</v>
      </c>
      <c r="K836" s="1064" t="s">
        <v>19</v>
      </c>
      <c r="L836" s="279" t="s">
        <v>20</v>
      </c>
      <c r="M836" s="1053" t="s">
        <v>728</v>
      </c>
      <c r="N836" s="512"/>
      <c r="O836" s="512"/>
      <c r="P836" s="512"/>
      <c r="Q836" s="512"/>
      <c r="R836" s="512"/>
      <c r="S836" s="512"/>
      <c r="T836" s="512"/>
      <c r="U836" s="512"/>
      <c r="V836" s="512"/>
      <c r="W836" s="512"/>
    </row>
    <row r="837" s="477" customFormat="1" ht="15.4" customHeight="1" spans="1:23">
      <c r="A837" s="1064" t="s">
        <v>674</v>
      </c>
      <c r="B837" s="789" t="s">
        <v>724</v>
      </c>
      <c r="C837" s="789" t="s">
        <v>729</v>
      </c>
      <c r="D837" s="1051">
        <v>10</v>
      </c>
      <c r="E837" s="1069"/>
      <c r="F837" s="675"/>
      <c r="G837" s="675">
        <f t="shared" si="70"/>
        <v>45744</v>
      </c>
      <c r="H837" s="676">
        <f t="shared" si="71"/>
        <v>45777</v>
      </c>
      <c r="I837" s="1064" t="s">
        <v>726</v>
      </c>
      <c r="J837" s="1064" t="s">
        <v>161</v>
      </c>
      <c r="K837" s="1064" t="s">
        <v>19</v>
      </c>
      <c r="L837" s="279" t="s">
        <v>20</v>
      </c>
      <c r="M837" s="1053" t="s">
        <v>728</v>
      </c>
      <c r="N837" s="512"/>
      <c r="O837" s="512"/>
      <c r="P837" s="512"/>
      <c r="Q837" s="512"/>
      <c r="R837" s="512"/>
      <c r="S837" s="512"/>
      <c r="T837" s="512"/>
      <c r="U837" s="512"/>
      <c r="V837" s="512"/>
      <c r="W837" s="512"/>
    </row>
    <row r="838" s="477" customFormat="1" ht="15.4" customHeight="1" spans="1:23">
      <c r="A838" s="1064" t="s">
        <v>674</v>
      </c>
      <c r="B838" s="789" t="s">
        <v>724</v>
      </c>
      <c r="C838" s="789" t="s">
        <v>730</v>
      </c>
      <c r="D838" s="1051">
        <v>10</v>
      </c>
      <c r="E838" s="1069"/>
      <c r="F838" s="675"/>
      <c r="G838" s="675">
        <f t="shared" si="70"/>
        <v>45744</v>
      </c>
      <c r="H838" s="676">
        <f t="shared" si="71"/>
        <v>45777</v>
      </c>
      <c r="I838" s="1064" t="s">
        <v>726</v>
      </c>
      <c r="J838" s="1064" t="s">
        <v>161</v>
      </c>
      <c r="K838" s="1064" t="s">
        <v>19</v>
      </c>
      <c r="L838" s="279" t="s">
        <v>20</v>
      </c>
      <c r="M838" s="1053" t="s">
        <v>728</v>
      </c>
      <c r="N838" s="512"/>
      <c r="O838" s="512"/>
      <c r="P838" s="512"/>
      <c r="Q838" s="512"/>
      <c r="R838" s="512"/>
      <c r="S838" s="512"/>
      <c r="T838" s="512"/>
      <c r="U838" s="512"/>
      <c r="V838" s="512"/>
      <c r="W838" s="512"/>
    </row>
    <row r="839" s="477" customFormat="1" ht="15.4" customHeight="1" spans="1:23">
      <c r="A839" s="1064" t="s">
        <v>674</v>
      </c>
      <c r="B839" s="789" t="s">
        <v>724</v>
      </c>
      <c r="C839" s="789" t="s">
        <v>57</v>
      </c>
      <c r="D839" s="1051">
        <v>80</v>
      </c>
      <c r="E839" s="1069"/>
      <c r="F839" s="675"/>
      <c r="G839" s="675">
        <f t="shared" si="70"/>
        <v>45744</v>
      </c>
      <c r="H839" s="676">
        <f t="shared" si="71"/>
        <v>45777</v>
      </c>
      <c r="I839" s="1064" t="s">
        <v>726</v>
      </c>
      <c r="J839" s="1064" t="s">
        <v>161</v>
      </c>
      <c r="K839" s="1064" t="s">
        <v>19</v>
      </c>
      <c r="L839" s="279" t="s">
        <v>20</v>
      </c>
      <c r="M839" s="1053" t="s">
        <v>728</v>
      </c>
      <c r="N839" s="512"/>
      <c r="O839" s="512"/>
      <c r="P839" s="512"/>
      <c r="Q839" s="512"/>
      <c r="R839" s="512"/>
      <c r="S839" s="512"/>
      <c r="T839" s="512"/>
      <c r="U839" s="512"/>
      <c r="V839" s="512"/>
      <c r="W839" s="512"/>
    </row>
    <row r="840" s="477" customFormat="1" ht="15.4" customHeight="1" spans="1:23">
      <c r="A840" s="1064" t="s">
        <v>674</v>
      </c>
      <c r="B840" s="789" t="s">
        <v>724</v>
      </c>
      <c r="C840" s="789" t="s">
        <v>58</v>
      </c>
      <c r="D840" s="1051">
        <v>80</v>
      </c>
      <c r="E840" s="1069"/>
      <c r="F840" s="675"/>
      <c r="G840" s="675">
        <f t="shared" si="70"/>
        <v>45744</v>
      </c>
      <c r="H840" s="676">
        <f t="shared" si="71"/>
        <v>45777</v>
      </c>
      <c r="I840" s="1064" t="s">
        <v>726</v>
      </c>
      <c r="J840" s="1064" t="s">
        <v>161</v>
      </c>
      <c r="K840" s="1064" t="s">
        <v>19</v>
      </c>
      <c r="L840" s="279" t="s">
        <v>20</v>
      </c>
      <c r="M840" s="1053" t="s">
        <v>728</v>
      </c>
      <c r="N840" s="512"/>
      <c r="O840" s="512"/>
      <c r="P840" s="512"/>
      <c r="Q840" s="512"/>
      <c r="R840" s="512"/>
      <c r="S840" s="512"/>
      <c r="T840" s="512"/>
      <c r="U840" s="512"/>
      <c r="V840" s="512"/>
      <c r="W840" s="512"/>
    </row>
    <row r="841" s="178" customFormat="1" ht="15.4" customHeight="1" spans="1:23">
      <c r="A841" s="1064" t="s">
        <v>547</v>
      </c>
      <c r="B841" s="1050" t="s">
        <v>731</v>
      </c>
      <c r="C841" s="789" t="s">
        <v>518</v>
      </c>
      <c r="D841" s="279">
        <v>20</v>
      </c>
      <c r="E841" s="1085" t="s">
        <v>732</v>
      </c>
      <c r="F841" s="675"/>
      <c r="G841" s="675">
        <f>VLOOKUP(CLEAN(SUBSTITUTE(TRIM(MID(E:E,FIND("/",E:E)+1,LEN(E:E)))," ","")),'Customs Decl. &amp; Local Delivery'!D:I,6,0)</f>
        <v>45744</v>
      </c>
      <c r="H841" s="676">
        <f>VLOOKUP(CLEAN(SUBSTITUTE(TRIM(MID(E:E,FIND("/",E:E)+1,LEN(E:E)))," ","")),'Customs Decl. &amp; Local Delivery'!D:J,7,0)</f>
        <v>45781</v>
      </c>
      <c r="I841" s="1064" t="s">
        <v>733</v>
      </c>
      <c r="J841" s="687" t="s">
        <v>39</v>
      </c>
      <c r="K841" s="784" t="s">
        <v>147</v>
      </c>
      <c r="L841" s="1090" t="s">
        <v>20</v>
      </c>
      <c r="M841" s="1064" t="s">
        <v>734</v>
      </c>
      <c r="N841" s="203"/>
      <c r="O841" s="512"/>
      <c r="P841" s="512"/>
      <c r="Q841" s="512"/>
      <c r="R841" s="512"/>
      <c r="S841" s="512"/>
      <c r="T841" s="512"/>
      <c r="U841" s="512"/>
      <c r="V841" s="512"/>
      <c r="W841" s="512"/>
    </row>
    <row r="842" s="178" customFormat="1" ht="15.4" customHeight="1" spans="1:23">
      <c r="A842" s="1064" t="s">
        <v>547</v>
      </c>
      <c r="B842" s="1050" t="s">
        <v>731</v>
      </c>
      <c r="C842" s="789" t="s">
        <v>735</v>
      </c>
      <c r="D842" s="279">
        <v>45</v>
      </c>
      <c r="E842" s="1069"/>
      <c r="F842" s="675"/>
      <c r="G842" s="675">
        <f t="shared" ref="G842:G848" si="72">G841</f>
        <v>45744</v>
      </c>
      <c r="H842" s="676">
        <f t="shared" ref="H842:H848" si="73">H841</f>
        <v>45781</v>
      </c>
      <c r="I842" s="1098" t="s">
        <v>733</v>
      </c>
      <c r="J842" s="687" t="s">
        <v>39</v>
      </c>
      <c r="K842" s="784" t="s">
        <v>147</v>
      </c>
      <c r="L842" s="279" t="s">
        <v>20</v>
      </c>
      <c r="M842" s="1064"/>
      <c r="N842" s="203"/>
      <c r="O842" s="512"/>
      <c r="P842" s="512"/>
      <c r="Q842" s="512"/>
      <c r="R842" s="512"/>
      <c r="S842" s="512"/>
      <c r="T842" s="512"/>
      <c r="U842" s="512"/>
      <c r="V842" s="512"/>
      <c r="W842" s="512"/>
    </row>
    <row r="843" s="178" customFormat="1" ht="15.4" customHeight="1" spans="1:23">
      <c r="A843" s="1064" t="s">
        <v>547</v>
      </c>
      <c r="B843" s="1050" t="s">
        <v>731</v>
      </c>
      <c r="C843" s="789" t="s">
        <v>549</v>
      </c>
      <c r="D843" s="279">
        <v>47</v>
      </c>
      <c r="E843" s="1069"/>
      <c r="F843" s="675"/>
      <c r="G843" s="675">
        <f t="shared" si="72"/>
        <v>45744</v>
      </c>
      <c r="H843" s="676">
        <f t="shared" si="73"/>
        <v>45781</v>
      </c>
      <c r="I843" s="1064" t="s">
        <v>733</v>
      </c>
      <c r="J843" s="687" t="s">
        <v>39</v>
      </c>
      <c r="K843" s="784" t="s">
        <v>147</v>
      </c>
      <c r="L843" s="279" t="s">
        <v>20</v>
      </c>
      <c r="M843" s="1064"/>
      <c r="N843" s="203"/>
      <c r="O843" s="512"/>
      <c r="P843" s="512"/>
      <c r="Q843" s="512"/>
      <c r="R843" s="512"/>
      <c r="S843" s="512"/>
      <c r="T843" s="512"/>
      <c r="U843" s="512"/>
      <c r="V843" s="512"/>
      <c r="W843" s="512"/>
    </row>
    <row r="844" s="178" customFormat="1" ht="15.4" customHeight="1" spans="1:23">
      <c r="A844" s="1064" t="s">
        <v>547</v>
      </c>
      <c r="B844" s="1050" t="s">
        <v>731</v>
      </c>
      <c r="C844" s="789" t="s">
        <v>152</v>
      </c>
      <c r="D844" s="279">
        <v>105</v>
      </c>
      <c r="E844" s="1069"/>
      <c r="F844" s="675"/>
      <c r="G844" s="675">
        <f t="shared" si="72"/>
        <v>45744</v>
      </c>
      <c r="H844" s="676">
        <f t="shared" si="73"/>
        <v>45781</v>
      </c>
      <c r="I844" s="1064" t="s">
        <v>733</v>
      </c>
      <c r="J844" s="687" t="s">
        <v>39</v>
      </c>
      <c r="K844" s="784" t="s">
        <v>147</v>
      </c>
      <c r="L844" s="279" t="s">
        <v>20</v>
      </c>
      <c r="M844" s="1064"/>
      <c r="N844" s="203"/>
      <c r="O844" s="512"/>
      <c r="P844" s="512"/>
      <c r="Q844" s="512"/>
      <c r="R844" s="512"/>
      <c r="S844" s="512"/>
      <c r="T844" s="512"/>
      <c r="U844" s="512"/>
      <c r="V844" s="512"/>
      <c r="W844" s="512"/>
    </row>
    <row r="845" s="178" customFormat="1" ht="15.4" customHeight="1" spans="1:23">
      <c r="A845" s="1064" t="s">
        <v>547</v>
      </c>
      <c r="B845" s="1050" t="s">
        <v>731</v>
      </c>
      <c r="C845" s="789" t="s">
        <v>549</v>
      </c>
      <c r="D845" s="279">
        <v>20</v>
      </c>
      <c r="E845" s="1069"/>
      <c r="F845" s="675"/>
      <c r="G845" s="675">
        <f t="shared" si="72"/>
        <v>45744</v>
      </c>
      <c r="H845" s="676">
        <f t="shared" si="73"/>
        <v>45781</v>
      </c>
      <c r="I845" s="1064" t="s">
        <v>733</v>
      </c>
      <c r="J845" s="687" t="s">
        <v>39</v>
      </c>
      <c r="K845" s="784" t="s">
        <v>147</v>
      </c>
      <c r="L845" s="279" t="s">
        <v>20</v>
      </c>
      <c r="M845" s="1064"/>
      <c r="N845" s="203"/>
      <c r="O845" s="512"/>
      <c r="P845" s="512"/>
      <c r="Q845" s="512"/>
      <c r="R845" s="512"/>
      <c r="S845" s="512"/>
      <c r="T845" s="512"/>
      <c r="U845" s="512"/>
      <c r="V845" s="512"/>
      <c r="W845" s="512"/>
    </row>
    <row r="846" s="178" customFormat="1" ht="15.4" customHeight="1" spans="1:23">
      <c r="A846" s="1064" t="s">
        <v>547</v>
      </c>
      <c r="B846" s="1050" t="s">
        <v>731</v>
      </c>
      <c r="C846" s="789" t="s">
        <v>152</v>
      </c>
      <c r="D846" s="279">
        <v>20</v>
      </c>
      <c r="E846" s="1069"/>
      <c r="F846" s="675"/>
      <c r="G846" s="675">
        <f t="shared" si="72"/>
        <v>45744</v>
      </c>
      <c r="H846" s="676">
        <f t="shared" si="73"/>
        <v>45781</v>
      </c>
      <c r="I846" s="1064" t="s">
        <v>733</v>
      </c>
      <c r="J846" s="687" t="s">
        <v>39</v>
      </c>
      <c r="K846" s="784" t="s">
        <v>147</v>
      </c>
      <c r="L846" s="279" t="s">
        <v>20</v>
      </c>
      <c r="M846" s="1064"/>
      <c r="N846" s="203"/>
      <c r="O846" s="512"/>
      <c r="P846" s="512"/>
      <c r="Q846" s="512"/>
      <c r="R846" s="512"/>
      <c r="S846" s="512"/>
      <c r="T846" s="512"/>
      <c r="U846" s="512"/>
      <c r="V846" s="512"/>
      <c r="W846" s="512"/>
    </row>
    <row r="847" s="178" customFormat="1" ht="15.4" customHeight="1" spans="1:23">
      <c r="A847" s="1064" t="s">
        <v>547</v>
      </c>
      <c r="B847" s="1050" t="s">
        <v>731</v>
      </c>
      <c r="C847" s="789" t="s">
        <v>52</v>
      </c>
      <c r="D847" s="279">
        <v>60</v>
      </c>
      <c r="E847" s="1069"/>
      <c r="F847" s="675"/>
      <c r="G847" s="675">
        <f t="shared" si="72"/>
        <v>45744</v>
      </c>
      <c r="H847" s="676">
        <f t="shared" si="73"/>
        <v>45781</v>
      </c>
      <c r="I847" s="1064" t="s">
        <v>733</v>
      </c>
      <c r="J847" s="687" t="s">
        <v>39</v>
      </c>
      <c r="K847" s="784" t="s">
        <v>147</v>
      </c>
      <c r="L847" s="279" t="s">
        <v>20</v>
      </c>
      <c r="M847" s="1064"/>
      <c r="N847" s="203"/>
      <c r="O847" s="512"/>
      <c r="P847" s="512"/>
      <c r="Q847" s="512"/>
      <c r="R847" s="512"/>
      <c r="S847" s="512"/>
      <c r="T847" s="512"/>
      <c r="U847" s="512"/>
      <c r="V847" s="512"/>
      <c r="W847" s="512"/>
    </row>
    <row r="848" s="178" customFormat="1" ht="15.4" customHeight="1" spans="1:23">
      <c r="A848" s="1064" t="s">
        <v>547</v>
      </c>
      <c r="B848" s="1050" t="s">
        <v>731</v>
      </c>
      <c r="C848" s="789" t="s">
        <v>56</v>
      </c>
      <c r="D848" s="279">
        <v>60</v>
      </c>
      <c r="E848" s="1069"/>
      <c r="F848" s="675"/>
      <c r="G848" s="675">
        <f t="shared" si="72"/>
        <v>45744</v>
      </c>
      <c r="H848" s="676">
        <f t="shared" si="73"/>
        <v>45781</v>
      </c>
      <c r="I848" s="1064" t="s">
        <v>733</v>
      </c>
      <c r="J848" s="687" t="s">
        <v>39</v>
      </c>
      <c r="K848" s="784" t="s">
        <v>147</v>
      </c>
      <c r="L848" s="279" t="s">
        <v>20</v>
      </c>
      <c r="M848" s="1064"/>
      <c r="N848" s="203"/>
      <c r="O848" s="512"/>
      <c r="P848" s="512"/>
      <c r="Q848" s="512"/>
      <c r="R848" s="512"/>
      <c r="S848" s="512"/>
      <c r="T848" s="512"/>
      <c r="U848" s="512"/>
      <c r="V848" s="512"/>
      <c r="W848" s="512"/>
    </row>
    <row r="849" s="178" customFormat="1" ht="15.4" customHeight="1" spans="1:23">
      <c r="A849" s="784" t="s">
        <v>736</v>
      </c>
      <c r="B849" s="1050" t="s">
        <v>737</v>
      </c>
      <c r="C849" s="1050" t="s">
        <v>104</v>
      </c>
      <c r="D849" s="279">
        <v>30</v>
      </c>
      <c r="E849" s="1108" t="s">
        <v>738</v>
      </c>
      <c r="F849" s="675"/>
      <c r="G849" s="675">
        <f>VLOOKUP(CLEAN(SUBSTITUTE(TRIM(MID(E:E,FIND("/",E:E)+1,LEN(E:E)))," ","")),'Customs Decl. &amp; Local Delivery'!D:I,6,0)</f>
        <v>45748</v>
      </c>
      <c r="H849" s="676">
        <f>VLOOKUP(CLEAN(SUBSTITUTE(TRIM(MID(E:E,FIND("/",E:E)+1,LEN(E:E)))," ","")),'Customs Decl. &amp; Local Delivery'!D:J,7,0)</f>
        <v>45770</v>
      </c>
      <c r="I849" s="1058" t="s">
        <v>739</v>
      </c>
      <c r="J849" s="784" t="s">
        <v>207</v>
      </c>
      <c r="K849" s="784" t="s">
        <v>107</v>
      </c>
      <c r="L849" s="279" t="s">
        <v>20</v>
      </c>
      <c r="M849" s="1111" t="s">
        <v>740</v>
      </c>
      <c r="N849" s="203"/>
      <c r="O849" s="512"/>
      <c r="P849" s="512"/>
      <c r="Q849" s="512"/>
      <c r="R849" s="512"/>
      <c r="S849" s="512"/>
      <c r="T849" s="512"/>
      <c r="U849" s="512"/>
      <c r="V849" s="512"/>
      <c r="W849" s="512"/>
    </row>
    <row r="850" s="178" customFormat="1" ht="15.4" customHeight="1" spans="1:23">
      <c r="A850" s="784" t="s">
        <v>736</v>
      </c>
      <c r="B850" s="1050" t="s">
        <v>737</v>
      </c>
      <c r="C850" s="1050" t="s">
        <v>109</v>
      </c>
      <c r="D850" s="279">
        <v>30</v>
      </c>
      <c r="E850" s="988"/>
      <c r="F850" s="675"/>
      <c r="G850" s="675">
        <f t="shared" ref="G850:G862" si="74">G849</f>
        <v>45748</v>
      </c>
      <c r="H850" s="676">
        <f t="shared" ref="H850:H862" si="75">H849</f>
        <v>45770</v>
      </c>
      <c r="I850" s="1058" t="s">
        <v>739</v>
      </c>
      <c r="J850" s="784" t="s">
        <v>207</v>
      </c>
      <c r="K850" s="784" t="s">
        <v>107</v>
      </c>
      <c r="L850" s="279" t="s">
        <v>20</v>
      </c>
      <c r="M850" s="784" t="s">
        <v>741</v>
      </c>
      <c r="N850" s="203"/>
      <c r="O850" s="512"/>
      <c r="P850" s="512"/>
      <c r="Q850" s="512"/>
      <c r="R850" s="512"/>
      <c r="S850" s="512"/>
      <c r="T850" s="512"/>
      <c r="U850" s="512"/>
      <c r="V850" s="512"/>
      <c r="W850" s="512"/>
    </row>
    <row r="851" s="178" customFormat="1" ht="15.4" customHeight="1" spans="1:23">
      <c r="A851" s="784" t="s">
        <v>736</v>
      </c>
      <c r="B851" s="1050" t="s">
        <v>737</v>
      </c>
      <c r="C851" s="1050" t="s">
        <v>111</v>
      </c>
      <c r="D851" s="279">
        <v>60</v>
      </c>
      <c r="E851" s="988"/>
      <c r="F851" s="675"/>
      <c r="G851" s="675">
        <f t="shared" si="74"/>
        <v>45748</v>
      </c>
      <c r="H851" s="676">
        <f t="shared" si="75"/>
        <v>45770</v>
      </c>
      <c r="I851" s="1058" t="s">
        <v>739</v>
      </c>
      <c r="J851" s="784" t="s">
        <v>207</v>
      </c>
      <c r="K851" s="784" t="s">
        <v>107</v>
      </c>
      <c r="L851" s="279" t="s">
        <v>20</v>
      </c>
      <c r="M851" s="784"/>
      <c r="N851" s="203"/>
      <c r="O851" s="512"/>
      <c r="P851" s="512"/>
      <c r="Q851" s="512"/>
      <c r="R851" s="512"/>
      <c r="S851" s="512"/>
      <c r="T851" s="512"/>
      <c r="U851" s="512"/>
      <c r="V851" s="512"/>
      <c r="W851" s="512"/>
    </row>
    <row r="852" s="178" customFormat="1" ht="15.4" customHeight="1" spans="1:23">
      <c r="A852" s="784" t="s">
        <v>736</v>
      </c>
      <c r="B852" s="1050" t="s">
        <v>737</v>
      </c>
      <c r="C852" s="1050" t="s">
        <v>112</v>
      </c>
      <c r="D852" s="279">
        <v>60</v>
      </c>
      <c r="E852" s="988"/>
      <c r="F852" s="675"/>
      <c r="G852" s="675">
        <f t="shared" si="74"/>
        <v>45748</v>
      </c>
      <c r="H852" s="676">
        <f t="shared" si="75"/>
        <v>45770</v>
      </c>
      <c r="I852" s="1058" t="s">
        <v>739</v>
      </c>
      <c r="J852" s="784" t="s">
        <v>207</v>
      </c>
      <c r="K852" s="784" t="s">
        <v>107</v>
      </c>
      <c r="L852" s="279" t="s">
        <v>20</v>
      </c>
      <c r="M852" s="784" t="s">
        <v>742</v>
      </c>
      <c r="N852" s="203"/>
      <c r="O852" s="512"/>
      <c r="P852" s="512"/>
      <c r="Q852" s="512"/>
      <c r="R852" s="512"/>
      <c r="S852" s="512"/>
      <c r="T852" s="512"/>
      <c r="U852" s="512"/>
      <c r="V852" s="512"/>
      <c r="W852" s="512"/>
    </row>
    <row r="853" s="178" customFormat="1" ht="15.4" customHeight="1" spans="1:23">
      <c r="A853" s="784" t="s">
        <v>736</v>
      </c>
      <c r="B853" s="1050" t="s">
        <v>737</v>
      </c>
      <c r="C853" s="1050" t="s">
        <v>114</v>
      </c>
      <c r="D853" s="279">
        <v>20</v>
      </c>
      <c r="E853" s="988"/>
      <c r="F853" s="675"/>
      <c r="G853" s="675">
        <f t="shared" si="74"/>
        <v>45748</v>
      </c>
      <c r="H853" s="676">
        <f t="shared" si="75"/>
        <v>45770</v>
      </c>
      <c r="I853" s="1058" t="s">
        <v>739</v>
      </c>
      <c r="J853" s="784" t="s">
        <v>207</v>
      </c>
      <c r="K853" s="784" t="s">
        <v>107</v>
      </c>
      <c r="L853" s="279" t="s">
        <v>20</v>
      </c>
      <c r="M853" s="1064"/>
      <c r="N853" s="203"/>
      <c r="O853" s="512"/>
      <c r="P853" s="512"/>
      <c r="Q853" s="512"/>
      <c r="R853" s="512"/>
      <c r="S853" s="512"/>
      <c r="T853" s="512"/>
      <c r="U853" s="512"/>
      <c r="V853" s="512"/>
      <c r="W853" s="512"/>
    </row>
    <row r="854" s="178" customFormat="1" ht="15.4" customHeight="1" spans="1:23">
      <c r="A854" s="784" t="s">
        <v>736</v>
      </c>
      <c r="B854" s="1050" t="s">
        <v>737</v>
      </c>
      <c r="C854" s="1050" t="s">
        <v>115</v>
      </c>
      <c r="D854" s="279">
        <v>20</v>
      </c>
      <c r="E854" s="988"/>
      <c r="F854" s="675"/>
      <c r="G854" s="675">
        <f t="shared" si="74"/>
        <v>45748</v>
      </c>
      <c r="H854" s="676">
        <f t="shared" si="75"/>
        <v>45770</v>
      </c>
      <c r="I854" s="1058" t="s">
        <v>739</v>
      </c>
      <c r="J854" s="784" t="s">
        <v>207</v>
      </c>
      <c r="K854" s="784" t="s">
        <v>107</v>
      </c>
      <c r="L854" s="279" t="s">
        <v>20</v>
      </c>
      <c r="M854" s="1075" t="s">
        <v>743</v>
      </c>
      <c r="N854" s="203"/>
      <c r="O854" s="512"/>
      <c r="P854" s="512"/>
      <c r="Q854" s="512"/>
      <c r="R854" s="512"/>
      <c r="S854" s="512"/>
      <c r="T854" s="512"/>
      <c r="U854" s="512"/>
      <c r="V854" s="512"/>
      <c r="W854" s="512"/>
    </row>
    <row r="855" s="178" customFormat="1" ht="15.4" customHeight="1" spans="1:23">
      <c r="A855" s="784" t="s">
        <v>736</v>
      </c>
      <c r="B855" s="1050" t="s">
        <v>737</v>
      </c>
      <c r="C855" s="1050" t="s">
        <v>116</v>
      </c>
      <c r="D855" s="279">
        <v>20</v>
      </c>
      <c r="E855" s="988"/>
      <c r="F855" s="675"/>
      <c r="G855" s="675">
        <f t="shared" si="74"/>
        <v>45748</v>
      </c>
      <c r="H855" s="676">
        <f t="shared" si="75"/>
        <v>45770</v>
      </c>
      <c r="I855" s="1058" t="s">
        <v>739</v>
      </c>
      <c r="J855" s="784" t="s">
        <v>207</v>
      </c>
      <c r="K855" s="784" t="s">
        <v>107</v>
      </c>
      <c r="L855" s="279" t="s">
        <v>20</v>
      </c>
      <c r="M855" s="1064"/>
      <c r="N855" s="203"/>
      <c r="O855" s="512"/>
      <c r="P855" s="512"/>
      <c r="Q855" s="512"/>
      <c r="R855" s="512"/>
      <c r="S855" s="512"/>
      <c r="T855" s="512"/>
      <c r="U855" s="512"/>
      <c r="V855" s="512"/>
      <c r="W855" s="512"/>
    </row>
    <row r="856" s="178" customFormat="1" ht="15.4" customHeight="1" spans="1:23">
      <c r="A856" s="784" t="s">
        <v>736</v>
      </c>
      <c r="B856" s="1050" t="s">
        <v>737</v>
      </c>
      <c r="C856" s="1050" t="s">
        <v>117</v>
      </c>
      <c r="D856" s="279">
        <v>20</v>
      </c>
      <c r="E856" s="988"/>
      <c r="F856" s="675"/>
      <c r="G856" s="675">
        <f t="shared" si="74"/>
        <v>45748</v>
      </c>
      <c r="H856" s="676">
        <f t="shared" si="75"/>
        <v>45770</v>
      </c>
      <c r="I856" s="1058" t="s">
        <v>739</v>
      </c>
      <c r="J856" s="784" t="s">
        <v>207</v>
      </c>
      <c r="K856" s="784" t="s">
        <v>107</v>
      </c>
      <c r="L856" s="279" t="s">
        <v>20</v>
      </c>
      <c r="M856" s="1064"/>
      <c r="N856" s="203"/>
      <c r="O856" s="512"/>
      <c r="P856" s="512"/>
      <c r="Q856" s="512"/>
      <c r="R856" s="512"/>
      <c r="S856" s="512"/>
      <c r="T856" s="512"/>
      <c r="U856" s="512"/>
      <c r="V856" s="512"/>
      <c r="W856" s="512"/>
    </row>
    <row r="857" s="178" customFormat="1" ht="15.4" customHeight="1" spans="1:23">
      <c r="A857" s="784" t="s">
        <v>736</v>
      </c>
      <c r="B857" s="1050" t="s">
        <v>737</v>
      </c>
      <c r="C857" s="1050" t="s">
        <v>118</v>
      </c>
      <c r="D857" s="279">
        <v>25</v>
      </c>
      <c r="E857" s="988"/>
      <c r="F857" s="675"/>
      <c r="G857" s="675">
        <f t="shared" si="74"/>
        <v>45748</v>
      </c>
      <c r="H857" s="676">
        <f t="shared" si="75"/>
        <v>45770</v>
      </c>
      <c r="I857" s="1058" t="s">
        <v>739</v>
      </c>
      <c r="J857" s="784" t="s">
        <v>207</v>
      </c>
      <c r="K857" s="784" t="s">
        <v>107</v>
      </c>
      <c r="L857" s="279" t="s">
        <v>20</v>
      </c>
      <c r="M857" s="1064"/>
      <c r="N857" s="203"/>
      <c r="O857" s="512"/>
      <c r="P857" s="512"/>
      <c r="Q857" s="512"/>
      <c r="R857" s="512"/>
      <c r="S857" s="512"/>
      <c r="T857" s="512"/>
      <c r="U857" s="512"/>
      <c r="V857" s="512"/>
      <c r="W857" s="512"/>
    </row>
    <row r="858" s="178" customFormat="1" ht="15.4" customHeight="1" spans="1:23">
      <c r="A858" s="784" t="s">
        <v>736</v>
      </c>
      <c r="B858" s="1050" t="s">
        <v>737</v>
      </c>
      <c r="C858" s="1050" t="s">
        <v>119</v>
      </c>
      <c r="D858" s="279">
        <v>25</v>
      </c>
      <c r="E858" s="988"/>
      <c r="F858" s="675"/>
      <c r="G858" s="675">
        <f t="shared" si="74"/>
        <v>45748</v>
      </c>
      <c r="H858" s="676">
        <f t="shared" si="75"/>
        <v>45770</v>
      </c>
      <c r="I858" s="1058" t="s">
        <v>739</v>
      </c>
      <c r="J858" s="784" t="s">
        <v>207</v>
      </c>
      <c r="K858" s="784" t="s">
        <v>107</v>
      </c>
      <c r="L858" s="279" t="s">
        <v>20</v>
      </c>
      <c r="M858" s="1064"/>
      <c r="N858" s="203"/>
      <c r="O858" s="512"/>
      <c r="P858" s="512"/>
      <c r="Q858" s="512"/>
      <c r="R858" s="512"/>
      <c r="S858" s="512"/>
      <c r="T858" s="512"/>
      <c r="U858" s="512"/>
      <c r="V858" s="512"/>
      <c r="W858" s="512"/>
    </row>
    <row r="859" s="178" customFormat="1" ht="15.4" customHeight="1" spans="1:23">
      <c r="A859" s="784" t="s">
        <v>736</v>
      </c>
      <c r="B859" s="1050" t="s">
        <v>737</v>
      </c>
      <c r="C859" s="1050" t="s">
        <v>120</v>
      </c>
      <c r="D859" s="279">
        <v>10</v>
      </c>
      <c r="E859" s="988"/>
      <c r="F859" s="675"/>
      <c r="G859" s="675">
        <f t="shared" si="74"/>
        <v>45748</v>
      </c>
      <c r="H859" s="676">
        <f t="shared" si="75"/>
        <v>45770</v>
      </c>
      <c r="I859" s="1058" t="s">
        <v>739</v>
      </c>
      <c r="J859" s="784" t="s">
        <v>207</v>
      </c>
      <c r="K859" s="784" t="s">
        <v>107</v>
      </c>
      <c r="L859" s="279" t="s">
        <v>20</v>
      </c>
      <c r="M859" s="1064"/>
      <c r="N859" s="203"/>
      <c r="O859" s="512"/>
      <c r="P859" s="512"/>
      <c r="Q859" s="512"/>
      <c r="R859" s="512"/>
      <c r="S859" s="512"/>
      <c r="T859" s="512"/>
      <c r="U859" s="512"/>
      <c r="V859" s="512"/>
      <c r="W859" s="512"/>
    </row>
    <row r="860" s="178" customFormat="1" ht="15.4" customHeight="1" spans="1:23">
      <c r="A860" s="784" t="s">
        <v>736</v>
      </c>
      <c r="B860" s="1050" t="s">
        <v>737</v>
      </c>
      <c r="C860" s="1050" t="s">
        <v>121</v>
      </c>
      <c r="D860" s="279">
        <v>10</v>
      </c>
      <c r="E860" s="988"/>
      <c r="F860" s="675"/>
      <c r="G860" s="675">
        <f t="shared" si="74"/>
        <v>45748</v>
      </c>
      <c r="H860" s="676">
        <f t="shared" si="75"/>
        <v>45770</v>
      </c>
      <c r="I860" s="1058" t="s">
        <v>739</v>
      </c>
      <c r="J860" s="784" t="s">
        <v>207</v>
      </c>
      <c r="K860" s="784" t="s">
        <v>107</v>
      </c>
      <c r="L860" s="279" t="s">
        <v>20</v>
      </c>
      <c r="M860" s="1064"/>
      <c r="N860" s="203"/>
      <c r="O860" s="512"/>
      <c r="P860" s="512"/>
      <c r="Q860" s="512"/>
      <c r="R860" s="512"/>
      <c r="S860" s="512"/>
      <c r="T860" s="512"/>
      <c r="U860" s="512"/>
      <c r="V860" s="512"/>
      <c r="W860" s="512"/>
    </row>
    <row r="861" s="178" customFormat="1" ht="15.4" customHeight="1" spans="1:23">
      <c r="A861" s="784" t="s">
        <v>736</v>
      </c>
      <c r="B861" s="1050" t="s">
        <v>309</v>
      </c>
      <c r="C861" s="1047" t="s">
        <v>744</v>
      </c>
      <c r="D861" s="279">
        <v>5</v>
      </c>
      <c r="E861" s="988"/>
      <c r="F861" s="675"/>
      <c r="G861" s="675">
        <f t="shared" si="74"/>
        <v>45748</v>
      </c>
      <c r="H861" s="676">
        <f t="shared" si="75"/>
        <v>45770</v>
      </c>
      <c r="I861" s="1058" t="s">
        <v>739</v>
      </c>
      <c r="J861" s="784" t="s">
        <v>207</v>
      </c>
      <c r="K861" s="784" t="s">
        <v>107</v>
      </c>
      <c r="L861" s="279" t="s">
        <v>20</v>
      </c>
      <c r="M861" s="1058" t="s">
        <v>745</v>
      </c>
      <c r="N861" s="203"/>
      <c r="O861" s="512"/>
      <c r="P861" s="512"/>
      <c r="Q861" s="512"/>
      <c r="R861" s="512"/>
      <c r="S861" s="512"/>
      <c r="T861" s="512"/>
      <c r="U861" s="512"/>
      <c r="V861" s="512"/>
      <c r="W861" s="512"/>
    </row>
    <row r="862" s="178" customFormat="1" ht="15.4" customHeight="1" spans="1:23">
      <c r="A862" s="784" t="s">
        <v>736</v>
      </c>
      <c r="B862" s="1050" t="s">
        <v>309</v>
      </c>
      <c r="C862" s="1047" t="s">
        <v>746</v>
      </c>
      <c r="D862" s="279">
        <v>5</v>
      </c>
      <c r="E862" s="988"/>
      <c r="F862" s="675"/>
      <c r="G862" s="675">
        <f t="shared" si="74"/>
        <v>45748</v>
      </c>
      <c r="H862" s="676">
        <f t="shared" si="75"/>
        <v>45770</v>
      </c>
      <c r="I862" s="1058" t="s">
        <v>739</v>
      </c>
      <c r="J862" s="784" t="s">
        <v>207</v>
      </c>
      <c r="K862" s="784" t="s">
        <v>107</v>
      </c>
      <c r="L862" s="279" t="s">
        <v>20</v>
      </c>
      <c r="M862" s="1058" t="s">
        <v>747</v>
      </c>
      <c r="N862" s="203"/>
      <c r="O862" s="512"/>
      <c r="P862" s="512"/>
      <c r="Q862" s="512"/>
      <c r="R862" s="512"/>
      <c r="S862" s="512"/>
      <c r="T862" s="512"/>
      <c r="U862" s="512"/>
      <c r="V862" s="512"/>
      <c r="W862" s="512"/>
    </row>
    <row r="863" s="178" customFormat="1" ht="15.4" customHeight="1" spans="1:23">
      <c r="A863" s="1064" t="s">
        <v>559</v>
      </c>
      <c r="B863" s="1050" t="s">
        <v>748</v>
      </c>
      <c r="C863" s="789" t="s">
        <v>129</v>
      </c>
      <c r="D863" s="279">
        <v>10</v>
      </c>
      <c r="E863" s="1085" t="s">
        <v>749</v>
      </c>
      <c r="F863" s="675"/>
      <c r="G863" s="675">
        <f>VLOOKUP(CLEAN(SUBSTITUTE(TRIM(MID(E:E,FIND("/",E:E)+1,LEN(E:E)))," ","")),'Customs Decl. &amp; Local Delivery'!D:I,6,0)</f>
        <v>45750</v>
      </c>
      <c r="H863" s="676">
        <f>VLOOKUP(CLEAN(SUBSTITUTE(TRIM(MID(E:E,FIND("/",E:E)+1,LEN(E:E)))," ","")),'Customs Decl. &amp; Local Delivery'!D:J,7,0)</f>
        <v>45763</v>
      </c>
      <c r="I863" s="1047" t="s">
        <v>750</v>
      </c>
      <c r="J863" s="1064" t="s">
        <v>39</v>
      </c>
      <c r="K863" s="784" t="s">
        <v>147</v>
      </c>
      <c r="L863" s="279" t="s">
        <v>20</v>
      </c>
      <c r="M863" s="784" t="s">
        <v>751</v>
      </c>
      <c r="N863" s="203"/>
      <c r="O863" s="512"/>
      <c r="P863" s="512"/>
      <c r="Q863" s="512"/>
      <c r="R863" s="512"/>
      <c r="S863" s="512"/>
      <c r="T863" s="512"/>
      <c r="U863" s="512"/>
      <c r="V863" s="512"/>
      <c r="W863" s="512"/>
    </row>
    <row r="864" s="178" customFormat="1" ht="15.4" customHeight="1" spans="1:23">
      <c r="A864" s="1064" t="s">
        <v>559</v>
      </c>
      <c r="B864" s="1050" t="s">
        <v>748</v>
      </c>
      <c r="C864" s="789" t="s">
        <v>133</v>
      </c>
      <c r="D864" s="279">
        <v>10</v>
      </c>
      <c r="E864" s="1109"/>
      <c r="F864" s="675"/>
      <c r="G864" s="675">
        <f>G863</f>
        <v>45750</v>
      </c>
      <c r="H864" s="676">
        <f>H863</f>
        <v>45763</v>
      </c>
      <c r="I864" s="1047" t="s">
        <v>750</v>
      </c>
      <c r="J864" s="1064" t="s">
        <v>39</v>
      </c>
      <c r="K864" s="784" t="s">
        <v>147</v>
      </c>
      <c r="L864" s="279" t="s">
        <v>20</v>
      </c>
      <c r="M864" s="1064" t="s">
        <v>752</v>
      </c>
      <c r="N864" s="203"/>
      <c r="O864" s="512"/>
      <c r="P864" s="512"/>
      <c r="Q864" s="512"/>
      <c r="R864" s="512"/>
      <c r="S864" s="512"/>
      <c r="T864" s="512"/>
      <c r="U864" s="512"/>
      <c r="V864" s="512"/>
      <c r="W864" s="512"/>
    </row>
    <row r="865" s="178" customFormat="1" ht="15.4" customHeight="1" spans="1:23">
      <c r="A865" s="1064" t="s">
        <v>559</v>
      </c>
      <c r="B865" s="1050" t="s">
        <v>748</v>
      </c>
      <c r="C865" s="789" t="s">
        <v>15</v>
      </c>
      <c r="D865" s="279">
        <v>50</v>
      </c>
      <c r="E865" s="1109"/>
      <c r="F865" s="675"/>
      <c r="G865" s="675">
        <f>G864</f>
        <v>45750</v>
      </c>
      <c r="H865" s="676">
        <f>H864</f>
        <v>45763</v>
      </c>
      <c r="I865" s="1047" t="s">
        <v>750</v>
      </c>
      <c r="J865" s="1064" t="s">
        <v>39</v>
      </c>
      <c r="K865" s="784" t="s">
        <v>147</v>
      </c>
      <c r="L865" s="279" t="s">
        <v>20</v>
      </c>
      <c r="M865" s="1064"/>
      <c r="N865" s="203"/>
      <c r="O865" s="512"/>
      <c r="P865" s="512"/>
      <c r="Q865" s="512"/>
      <c r="R865" s="512"/>
      <c r="S865" s="512"/>
      <c r="T865" s="512"/>
      <c r="U865" s="512"/>
      <c r="V865" s="512"/>
      <c r="W865" s="512"/>
    </row>
    <row r="866" s="178" customFormat="1" ht="15.4" customHeight="1" spans="1:23">
      <c r="A866" s="1064" t="s">
        <v>559</v>
      </c>
      <c r="B866" s="1050" t="s">
        <v>748</v>
      </c>
      <c r="C866" s="789" t="s">
        <v>22</v>
      </c>
      <c r="D866" s="279">
        <v>50</v>
      </c>
      <c r="E866" s="1109"/>
      <c r="F866" s="675"/>
      <c r="G866" s="675">
        <f>G865</f>
        <v>45750</v>
      </c>
      <c r="H866" s="676">
        <f>H865</f>
        <v>45763</v>
      </c>
      <c r="I866" s="1047" t="s">
        <v>750</v>
      </c>
      <c r="J866" s="1064" t="s">
        <v>39</v>
      </c>
      <c r="K866" s="784" t="s">
        <v>147</v>
      </c>
      <c r="L866" s="279" t="s">
        <v>20</v>
      </c>
      <c r="M866" s="1064"/>
      <c r="N866" s="203"/>
      <c r="O866" s="512"/>
      <c r="P866" s="512"/>
      <c r="Q866" s="512"/>
      <c r="R866" s="512"/>
      <c r="S866" s="512"/>
      <c r="T866" s="512"/>
      <c r="U866" s="512"/>
      <c r="V866" s="512"/>
      <c r="W866" s="512"/>
    </row>
    <row r="867" s="178" customFormat="1" ht="15.4" customHeight="1" spans="1:23">
      <c r="A867" s="1064" t="s">
        <v>559</v>
      </c>
      <c r="B867" s="1050" t="s">
        <v>748</v>
      </c>
      <c r="C867" s="789" t="s">
        <v>24</v>
      </c>
      <c r="D867" s="279">
        <v>160</v>
      </c>
      <c r="E867" s="988"/>
      <c r="F867" s="675"/>
      <c r="G867" s="675">
        <f>G866</f>
        <v>45750</v>
      </c>
      <c r="H867" s="676">
        <f>H866</f>
        <v>45763</v>
      </c>
      <c r="I867" s="1047" t="s">
        <v>750</v>
      </c>
      <c r="J867" s="1064" t="s">
        <v>39</v>
      </c>
      <c r="K867" s="784" t="s">
        <v>147</v>
      </c>
      <c r="L867" s="279" t="s">
        <v>20</v>
      </c>
      <c r="M867" s="1064"/>
      <c r="N867" s="203"/>
      <c r="O867" s="512"/>
      <c r="P867" s="512"/>
      <c r="Q867" s="512"/>
      <c r="R867" s="512"/>
      <c r="S867" s="512"/>
      <c r="T867" s="512"/>
      <c r="U867" s="512"/>
      <c r="V867" s="512"/>
      <c r="W867" s="512"/>
    </row>
    <row r="868" s="178" customFormat="1" ht="15.4" customHeight="1" spans="1:23">
      <c r="A868" s="1064" t="s">
        <v>559</v>
      </c>
      <c r="B868" s="1050" t="s">
        <v>748</v>
      </c>
      <c r="C868" s="789" t="s">
        <v>25</v>
      </c>
      <c r="D868" s="279">
        <v>160</v>
      </c>
      <c r="E868" s="1109"/>
      <c r="F868" s="675"/>
      <c r="G868" s="675">
        <f>G867</f>
        <v>45750</v>
      </c>
      <c r="H868" s="676">
        <f>H867</f>
        <v>45763</v>
      </c>
      <c r="I868" s="1047" t="s">
        <v>750</v>
      </c>
      <c r="J868" s="1064" t="s">
        <v>39</v>
      </c>
      <c r="K868" s="784" t="s">
        <v>147</v>
      </c>
      <c r="L868" s="279" t="s">
        <v>20</v>
      </c>
      <c r="M868" s="1064"/>
      <c r="N868" s="203"/>
      <c r="O868" s="512"/>
      <c r="P868" s="512"/>
      <c r="Q868" s="512"/>
      <c r="R868" s="512"/>
      <c r="S868" s="512"/>
      <c r="T868" s="512"/>
      <c r="U868" s="512"/>
      <c r="V868" s="512"/>
      <c r="W868" s="512"/>
    </row>
    <row r="869" s="178" customFormat="1" ht="15.4" customHeight="1" spans="1:23">
      <c r="A869" s="1064" t="s">
        <v>559</v>
      </c>
      <c r="B869" s="1050" t="s">
        <v>753</v>
      </c>
      <c r="C869" s="789" t="s">
        <v>15</v>
      </c>
      <c r="D869" s="279">
        <v>250</v>
      </c>
      <c r="E869" s="1085" t="s">
        <v>754</v>
      </c>
      <c r="F869" s="675"/>
      <c r="G869" s="675">
        <f>VLOOKUP(CLEAN(SUBSTITUTE(TRIM(MID(E:E,FIND("/",E:E)+1,LEN(E:E)))," ","")),'Customs Decl. &amp; Local Delivery'!D:I,6,0)</f>
        <v>45750</v>
      </c>
      <c r="H869" s="676">
        <f>VLOOKUP(CLEAN(SUBSTITUTE(TRIM(MID(E:E,FIND("/",E:E)+1,LEN(E:E)))," ","")),'Customs Decl. &amp; Local Delivery'!D:J,7,0)</f>
        <v>45763</v>
      </c>
      <c r="I869" s="1047" t="s">
        <v>755</v>
      </c>
      <c r="J869" s="1064" t="s">
        <v>39</v>
      </c>
      <c r="K869" s="784" t="s">
        <v>147</v>
      </c>
      <c r="L869" s="279" t="s">
        <v>20</v>
      </c>
      <c r="M869" s="784" t="s">
        <v>751</v>
      </c>
      <c r="N869" s="203"/>
      <c r="O869" s="325"/>
      <c r="P869" s="325"/>
      <c r="Q869" s="325"/>
      <c r="R869" s="325"/>
      <c r="S869" s="325"/>
      <c r="T869" s="325"/>
      <c r="U869" s="325"/>
      <c r="V869" s="325"/>
      <c r="W869" s="325"/>
    </row>
    <row r="870" s="178" customFormat="1" ht="15.4" customHeight="1" spans="1:23">
      <c r="A870" s="1064" t="s">
        <v>559</v>
      </c>
      <c r="B870" s="1050" t="s">
        <v>753</v>
      </c>
      <c r="C870" s="789" t="s">
        <v>22</v>
      </c>
      <c r="D870" s="279">
        <v>250</v>
      </c>
      <c r="E870" s="1109"/>
      <c r="F870" s="675"/>
      <c r="G870" s="675">
        <f>G869</f>
        <v>45750</v>
      </c>
      <c r="H870" s="676">
        <f>H869</f>
        <v>45763</v>
      </c>
      <c r="I870" s="1075" t="s">
        <v>755</v>
      </c>
      <c r="J870" s="1064" t="s">
        <v>39</v>
      </c>
      <c r="K870" s="784" t="s">
        <v>147</v>
      </c>
      <c r="L870" s="279" t="s">
        <v>20</v>
      </c>
      <c r="M870" s="1064"/>
      <c r="N870" s="203"/>
      <c r="O870" s="325"/>
      <c r="P870" s="325"/>
      <c r="Q870" s="325"/>
      <c r="R870" s="325"/>
      <c r="S870" s="325"/>
      <c r="T870" s="325"/>
      <c r="U870" s="325"/>
      <c r="V870" s="325"/>
      <c r="W870" s="325"/>
    </row>
    <row r="871" s="178" customFormat="1" ht="15.4" customHeight="1" spans="1:23">
      <c r="A871" s="1064" t="s">
        <v>656</v>
      </c>
      <c r="B871" s="1050" t="s">
        <v>756</v>
      </c>
      <c r="C871" s="1110" t="s">
        <v>757</v>
      </c>
      <c r="D871" s="279">
        <v>25</v>
      </c>
      <c r="E871" s="1085" t="s">
        <v>758</v>
      </c>
      <c r="F871" s="675"/>
      <c r="G871" s="675">
        <f>VLOOKUP(CLEAN(SUBSTITUTE(TRIM(MID(E:E,FIND("/",E:E)+1,LEN(E:E)))," ","")),'Customs Decl. &amp; Local Delivery'!D:I,6,0)</f>
        <v>45750</v>
      </c>
      <c r="H871" s="676">
        <f>VLOOKUP(CLEAN(SUBSTITUTE(TRIM(MID(E:E,FIND("/",E:E)+1,LEN(E:E)))," ","")),'Customs Decl. &amp; Local Delivery'!D:J,7,0)</f>
        <v>45770</v>
      </c>
      <c r="I871" s="1047" t="s">
        <v>759</v>
      </c>
      <c r="J871" s="784" t="s">
        <v>18</v>
      </c>
      <c r="K871" s="1064" t="s">
        <v>147</v>
      </c>
      <c r="L871" s="279" t="s">
        <v>20</v>
      </c>
      <c r="M871" s="1064" t="s">
        <v>760</v>
      </c>
      <c r="N871" s="203"/>
      <c r="O871" s="512"/>
      <c r="P871" s="512"/>
      <c r="Q871" s="512"/>
      <c r="R871" s="512"/>
      <c r="S871" s="512"/>
      <c r="T871" s="512"/>
      <c r="U871" s="512"/>
      <c r="V871" s="512"/>
      <c r="W871" s="512"/>
    </row>
    <row r="872" s="178" customFormat="1" ht="15.4" customHeight="1" spans="1:23">
      <c r="A872" s="1064" t="s">
        <v>656</v>
      </c>
      <c r="B872" s="1050" t="s">
        <v>756</v>
      </c>
      <c r="C872" s="789" t="s">
        <v>761</v>
      </c>
      <c r="D872" s="279">
        <v>7</v>
      </c>
      <c r="E872" s="988"/>
      <c r="F872" s="675"/>
      <c r="G872" s="675">
        <f>G871</f>
        <v>45750</v>
      </c>
      <c r="H872" s="676">
        <f>H871</f>
        <v>45770</v>
      </c>
      <c r="I872" s="1047" t="s">
        <v>759</v>
      </c>
      <c r="J872" s="784" t="s">
        <v>18</v>
      </c>
      <c r="K872" s="1064" t="s">
        <v>147</v>
      </c>
      <c r="L872" s="279" t="s">
        <v>20</v>
      </c>
      <c r="M872" s="1064" t="s">
        <v>762</v>
      </c>
      <c r="N872" s="203"/>
      <c r="O872" s="512"/>
      <c r="P872" s="512"/>
      <c r="Q872" s="512"/>
      <c r="R872" s="512"/>
      <c r="S872" s="512"/>
      <c r="T872" s="512"/>
      <c r="U872" s="512"/>
      <c r="V872" s="512"/>
      <c r="W872" s="512"/>
    </row>
    <row r="873" s="178" customFormat="1" ht="15.4" customHeight="1" spans="1:23">
      <c r="A873" s="1064" t="s">
        <v>656</v>
      </c>
      <c r="B873" s="1050" t="s">
        <v>756</v>
      </c>
      <c r="C873" s="789" t="s">
        <v>59</v>
      </c>
      <c r="D873" s="279">
        <v>34</v>
      </c>
      <c r="E873" s="988"/>
      <c r="F873" s="675"/>
      <c r="G873" s="675">
        <f>G872</f>
        <v>45750</v>
      </c>
      <c r="H873" s="676">
        <f>H872</f>
        <v>45770</v>
      </c>
      <c r="I873" s="1047" t="s">
        <v>759</v>
      </c>
      <c r="J873" s="784" t="s">
        <v>18</v>
      </c>
      <c r="K873" s="1064" t="s">
        <v>147</v>
      </c>
      <c r="L873" s="279" t="s">
        <v>20</v>
      </c>
      <c r="M873" s="1064"/>
      <c r="N873" s="203"/>
      <c r="O873" s="512"/>
      <c r="P873" s="512"/>
      <c r="Q873" s="512"/>
      <c r="R873" s="512"/>
      <c r="S873" s="512"/>
      <c r="T873" s="512"/>
      <c r="U873" s="512"/>
      <c r="V873" s="512"/>
      <c r="W873" s="512"/>
    </row>
    <row r="874" s="178" customFormat="1" ht="15.4" customHeight="1" spans="1:23">
      <c r="A874" s="1064" t="s">
        <v>656</v>
      </c>
      <c r="B874" s="1050" t="s">
        <v>756</v>
      </c>
      <c r="C874" s="789" t="s">
        <v>60</v>
      </c>
      <c r="D874" s="279">
        <v>34</v>
      </c>
      <c r="E874" s="988"/>
      <c r="F874" s="675"/>
      <c r="G874" s="675">
        <f>G873</f>
        <v>45750</v>
      </c>
      <c r="H874" s="676">
        <f>H873</f>
        <v>45770</v>
      </c>
      <c r="I874" s="1047" t="s">
        <v>759</v>
      </c>
      <c r="J874" s="784" t="s">
        <v>18</v>
      </c>
      <c r="K874" s="1064" t="s">
        <v>147</v>
      </c>
      <c r="L874" s="279" t="s">
        <v>20</v>
      </c>
      <c r="M874" s="1064"/>
      <c r="N874" s="203"/>
      <c r="O874" s="512"/>
      <c r="P874" s="512"/>
      <c r="Q874" s="512"/>
      <c r="R874" s="512"/>
      <c r="S874" s="512"/>
      <c r="T874" s="512"/>
      <c r="U874" s="512"/>
      <c r="V874" s="512"/>
      <c r="W874" s="512"/>
    </row>
    <row r="875" s="178" customFormat="1" ht="15.4" customHeight="1" spans="1:23">
      <c r="A875" s="1064" t="s">
        <v>656</v>
      </c>
      <c r="B875" s="1050" t="s">
        <v>763</v>
      </c>
      <c r="C875" s="789" t="s">
        <v>761</v>
      </c>
      <c r="D875" s="279">
        <v>43</v>
      </c>
      <c r="E875" s="1085" t="s">
        <v>764</v>
      </c>
      <c r="F875" s="675"/>
      <c r="G875" s="675">
        <f>VLOOKUP(CLEAN(SUBSTITUTE(TRIM(MID(E:E,FIND("/",E:E)+1,LEN(E:E)))," ","")),'Customs Decl. &amp; Local Delivery'!D:I,6,0)</f>
        <v>45750</v>
      </c>
      <c r="H875" s="676">
        <f>VLOOKUP(CLEAN(SUBSTITUTE(TRIM(MID(E:E,FIND("/",E:E)+1,LEN(E:E)))," ","")),'Customs Decl. &amp; Local Delivery'!D:J,7,0)</f>
        <v>45770</v>
      </c>
      <c r="I875" s="1047" t="s">
        <v>765</v>
      </c>
      <c r="J875" s="784" t="s">
        <v>18</v>
      </c>
      <c r="K875" s="1064" t="s">
        <v>147</v>
      </c>
      <c r="L875" s="279" t="s">
        <v>20</v>
      </c>
      <c r="M875" s="1064" t="s">
        <v>766</v>
      </c>
      <c r="N875" s="203"/>
      <c r="O875" s="512"/>
      <c r="P875" s="512"/>
      <c r="Q875" s="512"/>
      <c r="R875" s="512"/>
      <c r="S875" s="512"/>
      <c r="T875" s="512"/>
      <c r="U875" s="512"/>
      <c r="V875" s="512"/>
      <c r="W875" s="512"/>
    </row>
    <row r="876" s="178" customFormat="1" ht="15.4" customHeight="1" spans="1:23">
      <c r="A876" s="1064" t="s">
        <v>656</v>
      </c>
      <c r="B876" s="1050" t="s">
        <v>763</v>
      </c>
      <c r="C876" s="789" t="s">
        <v>342</v>
      </c>
      <c r="D876" s="279">
        <v>50</v>
      </c>
      <c r="E876" s="988"/>
      <c r="F876" s="675"/>
      <c r="G876" s="675">
        <f t="shared" ref="G876:G881" si="76">G875</f>
        <v>45750</v>
      </c>
      <c r="H876" s="676">
        <f t="shared" ref="H876:H881" si="77">H875</f>
        <v>45770</v>
      </c>
      <c r="I876" s="1047" t="s">
        <v>765</v>
      </c>
      <c r="J876" s="784" t="s">
        <v>18</v>
      </c>
      <c r="K876" s="1064" t="s">
        <v>147</v>
      </c>
      <c r="L876" s="279" t="s">
        <v>20</v>
      </c>
      <c r="M876" s="1064"/>
      <c r="N876" s="203"/>
      <c r="O876" s="512"/>
      <c r="P876" s="512"/>
      <c r="Q876" s="512"/>
      <c r="R876" s="512"/>
      <c r="S876" s="512"/>
      <c r="T876" s="512"/>
      <c r="U876" s="512"/>
      <c r="V876" s="512"/>
      <c r="W876" s="512"/>
    </row>
    <row r="877" s="178" customFormat="1" ht="15.4" customHeight="1" spans="1:23">
      <c r="A877" s="1064" t="s">
        <v>656</v>
      </c>
      <c r="B877" s="1050" t="s">
        <v>763</v>
      </c>
      <c r="C877" s="789" t="s">
        <v>69</v>
      </c>
      <c r="D877" s="279">
        <v>2</v>
      </c>
      <c r="E877" s="988"/>
      <c r="F877" s="675"/>
      <c r="G877" s="675">
        <f t="shared" si="76"/>
        <v>45750</v>
      </c>
      <c r="H877" s="676">
        <f t="shared" si="77"/>
        <v>45770</v>
      </c>
      <c r="I877" s="1047" t="s">
        <v>765</v>
      </c>
      <c r="J877" s="784" t="s">
        <v>18</v>
      </c>
      <c r="K877" s="1064" t="s">
        <v>147</v>
      </c>
      <c r="L877" s="279" t="s">
        <v>20</v>
      </c>
      <c r="M877" s="1064"/>
      <c r="N877" s="203"/>
      <c r="O877" s="512"/>
      <c r="P877" s="512"/>
      <c r="Q877" s="512"/>
      <c r="R877" s="512"/>
      <c r="S877" s="512"/>
      <c r="T877" s="512"/>
      <c r="U877" s="512"/>
      <c r="V877" s="512"/>
      <c r="W877" s="512"/>
    </row>
    <row r="878" s="178" customFormat="1" ht="15.4" customHeight="1" spans="1:23">
      <c r="A878" s="1064" t="s">
        <v>656</v>
      </c>
      <c r="B878" s="1050" t="s">
        <v>763</v>
      </c>
      <c r="C878" s="789" t="s">
        <v>71</v>
      </c>
      <c r="D878" s="279">
        <v>68</v>
      </c>
      <c r="E878" s="988"/>
      <c r="F878" s="675"/>
      <c r="G878" s="675">
        <f t="shared" si="76"/>
        <v>45750</v>
      </c>
      <c r="H878" s="676">
        <f t="shared" si="77"/>
        <v>45770</v>
      </c>
      <c r="I878" s="1047" t="s">
        <v>765</v>
      </c>
      <c r="J878" s="784" t="s">
        <v>18</v>
      </c>
      <c r="K878" s="1064" t="s">
        <v>147</v>
      </c>
      <c r="L878" s="279" t="s">
        <v>20</v>
      </c>
      <c r="M878" s="1064"/>
      <c r="N878" s="203"/>
      <c r="O878" s="512"/>
      <c r="P878" s="512"/>
      <c r="Q878" s="512"/>
      <c r="R878" s="512"/>
      <c r="S878" s="512"/>
      <c r="T878" s="512"/>
      <c r="U878" s="512"/>
      <c r="V878" s="512"/>
      <c r="W878" s="512"/>
    </row>
    <row r="879" s="178" customFormat="1" ht="15.4" customHeight="1" spans="1:23">
      <c r="A879" s="1064" t="s">
        <v>656</v>
      </c>
      <c r="B879" s="1050" t="s">
        <v>763</v>
      </c>
      <c r="C879" s="789" t="s">
        <v>767</v>
      </c>
      <c r="D879" s="279">
        <v>5</v>
      </c>
      <c r="E879" s="988"/>
      <c r="F879" s="675"/>
      <c r="G879" s="675">
        <f t="shared" si="76"/>
        <v>45750</v>
      </c>
      <c r="H879" s="676">
        <f t="shared" si="77"/>
        <v>45770</v>
      </c>
      <c r="I879" s="1047" t="s">
        <v>765</v>
      </c>
      <c r="J879" s="784" t="s">
        <v>18</v>
      </c>
      <c r="K879" s="1064" t="s">
        <v>147</v>
      </c>
      <c r="L879" s="279" t="s">
        <v>20</v>
      </c>
      <c r="M879" s="1064"/>
      <c r="N879" s="203"/>
      <c r="O879" s="512"/>
      <c r="P879" s="512"/>
      <c r="Q879" s="512"/>
      <c r="R879" s="512"/>
      <c r="S879" s="512"/>
      <c r="T879" s="512"/>
      <c r="U879" s="512"/>
      <c r="V879" s="512"/>
      <c r="W879" s="512"/>
    </row>
    <row r="880" s="178" customFormat="1" ht="15.4" customHeight="1" spans="1:23">
      <c r="A880" s="1064" t="s">
        <v>656</v>
      </c>
      <c r="B880" s="1050" t="s">
        <v>763</v>
      </c>
      <c r="C880" s="789" t="s">
        <v>768</v>
      </c>
      <c r="D880" s="279">
        <v>5</v>
      </c>
      <c r="E880" s="988"/>
      <c r="F880" s="675"/>
      <c r="G880" s="675">
        <f t="shared" si="76"/>
        <v>45750</v>
      </c>
      <c r="H880" s="676">
        <f t="shared" si="77"/>
        <v>45770</v>
      </c>
      <c r="I880" s="1047" t="s">
        <v>765</v>
      </c>
      <c r="J880" s="784" t="s">
        <v>18</v>
      </c>
      <c r="K880" s="1064" t="s">
        <v>147</v>
      </c>
      <c r="L880" s="279" t="s">
        <v>20</v>
      </c>
      <c r="M880" s="1064"/>
      <c r="N880" s="203"/>
      <c r="O880" s="512"/>
      <c r="P880" s="512"/>
      <c r="Q880" s="512"/>
      <c r="R880" s="512"/>
      <c r="S880" s="512"/>
      <c r="T880" s="512"/>
      <c r="U880" s="512"/>
      <c r="V880" s="512"/>
      <c r="W880" s="512"/>
    </row>
    <row r="881" s="178" customFormat="1" ht="15.4" customHeight="1" spans="1:23">
      <c r="A881" s="1064" t="s">
        <v>656</v>
      </c>
      <c r="B881" s="1050" t="s">
        <v>763</v>
      </c>
      <c r="C881" s="789" t="s">
        <v>769</v>
      </c>
      <c r="D881" s="279">
        <v>10</v>
      </c>
      <c r="E881" s="988"/>
      <c r="F881" s="675"/>
      <c r="G881" s="675">
        <f t="shared" si="76"/>
        <v>45750</v>
      </c>
      <c r="H881" s="676">
        <f t="shared" si="77"/>
        <v>45770</v>
      </c>
      <c r="I881" s="1047" t="s">
        <v>765</v>
      </c>
      <c r="J881" s="784" t="s">
        <v>18</v>
      </c>
      <c r="K881" s="1064" t="s">
        <v>147</v>
      </c>
      <c r="L881" s="279" t="s">
        <v>20</v>
      </c>
      <c r="M881" s="1064"/>
      <c r="N881" s="203"/>
      <c r="O881" s="512"/>
      <c r="P881" s="512"/>
      <c r="Q881" s="512"/>
      <c r="R881" s="512"/>
      <c r="S881" s="512"/>
      <c r="T881" s="512"/>
      <c r="U881" s="512"/>
      <c r="V881" s="512"/>
      <c r="W881" s="512"/>
    </row>
    <row r="882" s="178" customFormat="1" ht="15.4" customHeight="1" spans="1:23">
      <c r="A882" s="1064" t="s">
        <v>579</v>
      </c>
      <c r="B882" s="789" t="s">
        <v>770</v>
      </c>
      <c r="C882" s="789" t="s">
        <v>77</v>
      </c>
      <c r="D882" s="279">
        <v>48</v>
      </c>
      <c r="E882" s="1085" t="s">
        <v>771</v>
      </c>
      <c r="F882" s="675"/>
      <c r="G882" s="675">
        <f>VLOOKUP(CLEAN(SUBSTITUTE(TRIM(MID(E:E,FIND("/",E:E)+1,LEN(E:E)))," ","")),'Customs Decl. &amp; Local Delivery'!D:I,6,0)</f>
        <v>45752</v>
      </c>
      <c r="H882" s="676">
        <f>VLOOKUP(CLEAN(SUBSTITUTE(TRIM(MID(E:E,FIND("/",E:E)+1,LEN(E:E)))," ","")),'Customs Decl. &amp; Local Delivery'!D:J,7,0)</f>
        <v>45769</v>
      </c>
      <c r="I882" s="1064" t="s">
        <v>772</v>
      </c>
      <c r="J882" s="784" t="s">
        <v>18</v>
      </c>
      <c r="K882" s="1064" t="s">
        <v>147</v>
      </c>
      <c r="L882" s="279" t="s">
        <v>20</v>
      </c>
      <c r="M882" s="690" t="s">
        <v>773</v>
      </c>
      <c r="N882" s="1112"/>
      <c r="O882" s="512"/>
      <c r="P882" s="512"/>
      <c r="Q882" s="512"/>
      <c r="R882" s="512"/>
      <c r="S882" s="512"/>
      <c r="T882" s="512"/>
      <c r="U882" s="512"/>
      <c r="V882" s="512"/>
      <c r="W882" s="512"/>
    </row>
    <row r="883" s="178" customFormat="1" ht="15.4" customHeight="1" spans="1:23">
      <c r="A883" s="1064" t="s">
        <v>579</v>
      </c>
      <c r="B883" s="789" t="s">
        <v>770</v>
      </c>
      <c r="C883" s="789" t="s">
        <v>15</v>
      </c>
      <c r="D883" s="279">
        <v>162</v>
      </c>
      <c r="E883" s="988"/>
      <c r="F883" s="675"/>
      <c r="G883" s="675">
        <f>G882</f>
        <v>45752</v>
      </c>
      <c r="H883" s="676">
        <f>H882</f>
        <v>45769</v>
      </c>
      <c r="I883" s="1064" t="s">
        <v>772</v>
      </c>
      <c r="J883" s="784" t="s">
        <v>18</v>
      </c>
      <c r="K883" s="1064" t="s">
        <v>147</v>
      </c>
      <c r="L883" s="279" t="s">
        <v>20</v>
      </c>
      <c r="M883" s="1064"/>
      <c r="N883" s="1112"/>
      <c r="O883" s="512"/>
      <c r="P883" s="512"/>
      <c r="Q883" s="512"/>
      <c r="R883" s="512"/>
      <c r="S883" s="512"/>
      <c r="T883" s="512"/>
      <c r="U883" s="512"/>
      <c r="V883" s="512"/>
      <c r="W883" s="512"/>
    </row>
    <row r="884" s="178" customFormat="1" ht="15.4" customHeight="1" spans="1:23">
      <c r="A884" s="1064" t="s">
        <v>579</v>
      </c>
      <c r="B884" s="789" t="s">
        <v>770</v>
      </c>
      <c r="C884" s="789" t="s">
        <v>24</v>
      </c>
      <c r="D884" s="279">
        <v>54</v>
      </c>
      <c r="E884" s="988"/>
      <c r="F884" s="675"/>
      <c r="G884" s="675">
        <f>G883</f>
        <v>45752</v>
      </c>
      <c r="H884" s="676">
        <f>H883</f>
        <v>45769</v>
      </c>
      <c r="I884" s="1064" t="s">
        <v>772</v>
      </c>
      <c r="J884" s="784" t="s">
        <v>18</v>
      </c>
      <c r="K884" s="1064" t="s">
        <v>147</v>
      </c>
      <c r="L884" s="279" t="s">
        <v>20</v>
      </c>
      <c r="M884" s="1064"/>
      <c r="N884" s="1112"/>
      <c r="O884" s="512"/>
      <c r="P884" s="512"/>
      <c r="Q884" s="512"/>
      <c r="R884" s="512"/>
      <c r="S884" s="512"/>
      <c r="T884" s="512"/>
      <c r="U884" s="512"/>
      <c r="V884" s="512"/>
      <c r="W884" s="512"/>
    </row>
    <row r="885" s="178" customFormat="1" ht="15.4" customHeight="1" spans="1:23">
      <c r="A885" s="1064" t="s">
        <v>579</v>
      </c>
      <c r="B885" s="789" t="s">
        <v>770</v>
      </c>
      <c r="C885" s="789" t="s">
        <v>67</v>
      </c>
      <c r="D885" s="279">
        <v>54</v>
      </c>
      <c r="E885" s="988"/>
      <c r="F885" s="675"/>
      <c r="G885" s="675">
        <f>G884</f>
        <v>45752</v>
      </c>
      <c r="H885" s="676">
        <f>H884</f>
        <v>45769</v>
      </c>
      <c r="I885" s="1064" t="s">
        <v>772</v>
      </c>
      <c r="J885" s="784" t="s">
        <v>18</v>
      </c>
      <c r="K885" s="1064" t="s">
        <v>147</v>
      </c>
      <c r="L885" s="279" t="s">
        <v>20</v>
      </c>
      <c r="M885" s="1064"/>
      <c r="N885" s="1112"/>
      <c r="O885" s="512"/>
      <c r="P885" s="512"/>
      <c r="Q885" s="512"/>
      <c r="R885" s="512"/>
      <c r="S885" s="512"/>
      <c r="T885" s="512"/>
      <c r="U885" s="512"/>
      <c r="V885" s="512"/>
      <c r="W885" s="512"/>
    </row>
    <row r="886" s="178" customFormat="1" ht="30.75" customHeight="1" spans="1:23">
      <c r="A886" s="1064" t="s">
        <v>656</v>
      </c>
      <c r="B886" s="1050" t="s">
        <v>774</v>
      </c>
      <c r="C886" s="789" t="s">
        <v>15</v>
      </c>
      <c r="D886" s="279">
        <v>870</v>
      </c>
      <c r="E886" s="1085" t="s">
        <v>775</v>
      </c>
      <c r="F886" s="675"/>
      <c r="G886" s="675">
        <f>VLOOKUP(CLEAN(SUBSTITUTE(TRIM(MID(E:E,FIND("/",E:E)+1,LEN(E:E)))," ","")),'Customs Decl. &amp; Local Delivery'!D:I,6,0)</f>
        <v>45750</v>
      </c>
      <c r="H886" s="676">
        <f>VLOOKUP(CLEAN(SUBSTITUTE(TRIM(MID(E:E,FIND("/",E:E)+1,LEN(E:E)))," ","")),'Customs Decl. &amp; Local Delivery'!D:J,7,0)</f>
        <v>45770</v>
      </c>
      <c r="I886" s="1065" t="s">
        <v>776</v>
      </c>
      <c r="J886" s="784" t="s">
        <v>18</v>
      </c>
      <c r="K886" s="1064" t="s">
        <v>147</v>
      </c>
      <c r="L886" s="1090" t="s">
        <v>20</v>
      </c>
      <c r="M886" s="1064" t="s">
        <v>777</v>
      </c>
      <c r="N886" s="203"/>
      <c r="O886" s="512"/>
      <c r="P886" s="512"/>
      <c r="Q886" s="512"/>
      <c r="R886" s="512"/>
      <c r="S886" s="512"/>
      <c r="T886" s="512"/>
      <c r="U886" s="512"/>
      <c r="V886" s="512"/>
      <c r="W886" s="512"/>
    </row>
    <row r="887" s="477" customFormat="1" ht="15.4" customHeight="1" spans="1:23">
      <c r="A887" s="749" t="s">
        <v>778</v>
      </c>
      <c r="B887" s="1101" t="s">
        <v>779</v>
      </c>
      <c r="C887" s="794" t="s">
        <v>129</v>
      </c>
      <c r="D887" s="266">
        <v>55</v>
      </c>
      <c r="E887" s="1085" t="s">
        <v>780</v>
      </c>
      <c r="F887" s="675"/>
      <c r="G887" s="675">
        <f>VLOOKUP(CLEAN(SUBSTITUTE(TRIM(MID(E:E,FIND("/",E:E)+1,LEN(E:E)))," ","")),'Customs Decl. &amp; Local Delivery'!D:I,6,0)</f>
        <v>45750</v>
      </c>
      <c r="H887" s="676">
        <f>VLOOKUP(CLEAN(SUBSTITUTE(TRIM(MID(E:E,FIND("/",E:E)+1,LEN(E:E)))," ","")),'Customs Decl. &amp; Local Delivery'!D:J,7,0)</f>
        <v>45773</v>
      </c>
      <c r="I887" s="780" t="s">
        <v>781</v>
      </c>
      <c r="J887" s="749" t="s">
        <v>207</v>
      </c>
      <c r="K887" s="780" t="s">
        <v>19</v>
      </c>
      <c r="L887" s="1090" t="s">
        <v>20</v>
      </c>
      <c r="M887" s="687" t="s">
        <v>782</v>
      </c>
      <c r="N887" s="203"/>
      <c r="O887" s="512"/>
      <c r="P887" s="512"/>
      <c r="Q887" s="512"/>
      <c r="R887" s="512"/>
      <c r="S887" s="512"/>
      <c r="T887" s="512"/>
      <c r="U887" s="512"/>
      <c r="V887" s="512"/>
      <c r="W887" s="512"/>
    </row>
    <row r="888" s="477" customFormat="1" ht="15.4" customHeight="1" spans="1:23">
      <c r="A888" s="749" t="s">
        <v>778</v>
      </c>
      <c r="B888" s="1101" t="s">
        <v>779</v>
      </c>
      <c r="C888" s="794" t="s">
        <v>133</v>
      </c>
      <c r="D888" s="266">
        <v>55</v>
      </c>
      <c r="E888" s="988"/>
      <c r="F888" s="675"/>
      <c r="G888" s="675">
        <f t="shared" ref="G888:G907" si="78">G887</f>
        <v>45750</v>
      </c>
      <c r="H888" s="676">
        <f t="shared" ref="H888:H907" si="79">H887</f>
        <v>45773</v>
      </c>
      <c r="I888" s="780" t="s">
        <v>781</v>
      </c>
      <c r="J888" s="749" t="s">
        <v>207</v>
      </c>
      <c r="K888" s="780" t="s">
        <v>19</v>
      </c>
      <c r="L888" s="279" t="s">
        <v>20</v>
      </c>
      <c r="M888" s="718" t="s">
        <v>783</v>
      </c>
      <c r="N888" s="203"/>
      <c r="O888" s="512"/>
      <c r="P888" s="512"/>
      <c r="Q888" s="512"/>
      <c r="R888" s="512"/>
      <c r="S888" s="512"/>
      <c r="T888" s="512"/>
      <c r="U888" s="512"/>
      <c r="V888" s="512"/>
      <c r="W888" s="512"/>
    </row>
    <row r="889" s="477" customFormat="1" ht="15.4" customHeight="1" spans="1:23">
      <c r="A889" s="749" t="s">
        <v>778</v>
      </c>
      <c r="B889" s="1101" t="s">
        <v>779</v>
      </c>
      <c r="C889" s="794" t="s">
        <v>15</v>
      </c>
      <c r="D889" s="266">
        <v>10</v>
      </c>
      <c r="E889" s="988"/>
      <c r="F889" s="675"/>
      <c r="G889" s="675">
        <f t="shared" si="78"/>
        <v>45750</v>
      </c>
      <c r="H889" s="676">
        <f t="shared" si="79"/>
        <v>45773</v>
      </c>
      <c r="I889" s="780" t="s">
        <v>781</v>
      </c>
      <c r="J889" s="749" t="s">
        <v>207</v>
      </c>
      <c r="K889" s="780" t="s">
        <v>19</v>
      </c>
      <c r="L889" s="279" t="s">
        <v>20</v>
      </c>
      <c r="M889" s="718" t="s">
        <v>783</v>
      </c>
      <c r="N889" s="203"/>
      <c r="O889" s="512"/>
      <c r="P889" s="512"/>
      <c r="Q889" s="512"/>
      <c r="R889" s="512"/>
      <c r="S889" s="512"/>
      <c r="T889" s="512"/>
      <c r="U889" s="512"/>
      <c r="V889" s="512"/>
      <c r="W889" s="512"/>
    </row>
    <row r="890" s="477" customFormat="1" ht="15.4" customHeight="1" spans="1:23">
      <c r="A890" s="749" t="s">
        <v>778</v>
      </c>
      <c r="B890" s="1101" t="s">
        <v>779</v>
      </c>
      <c r="C890" s="794" t="s">
        <v>22</v>
      </c>
      <c r="D890" s="266">
        <v>10</v>
      </c>
      <c r="E890" s="988"/>
      <c r="F890" s="675"/>
      <c r="G890" s="675">
        <f t="shared" si="78"/>
        <v>45750</v>
      </c>
      <c r="H890" s="676">
        <f t="shared" si="79"/>
        <v>45773</v>
      </c>
      <c r="I890" s="780" t="s">
        <v>781</v>
      </c>
      <c r="J890" s="749" t="s">
        <v>207</v>
      </c>
      <c r="K890" s="780" t="s">
        <v>19</v>
      </c>
      <c r="L890" s="279" t="s">
        <v>20</v>
      </c>
      <c r="M890" s="718" t="s">
        <v>783</v>
      </c>
      <c r="N890" s="1081"/>
      <c r="O890" s="512"/>
      <c r="P890" s="512"/>
      <c r="Q890" s="512"/>
      <c r="R890" s="512"/>
      <c r="S890" s="512"/>
      <c r="T890" s="512"/>
      <c r="U890" s="512"/>
      <c r="V890" s="512"/>
      <c r="W890" s="512"/>
    </row>
    <row r="891" s="477" customFormat="1" ht="15.4" customHeight="1" spans="1:23">
      <c r="A891" s="749" t="s">
        <v>778</v>
      </c>
      <c r="B891" s="1101" t="s">
        <v>779</v>
      </c>
      <c r="C891" s="794" t="s">
        <v>24</v>
      </c>
      <c r="D891" s="266">
        <v>10</v>
      </c>
      <c r="E891" s="988"/>
      <c r="F891" s="675"/>
      <c r="G891" s="675">
        <f t="shared" si="78"/>
        <v>45750</v>
      </c>
      <c r="H891" s="676">
        <f t="shared" si="79"/>
        <v>45773</v>
      </c>
      <c r="I891" s="780" t="s">
        <v>781</v>
      </c>
      <c r="J891" s="749" t="s">
        <v>207</v>
      </c>
      <c r="K891" s="780" t="s">
        <v>19</v>
      </c>
      <c r="L891" s="279" t="s">
        <v>20</v>
      </c>
      <c r="M891" s="718" t="s">
        <v>783</v>
      </c>
      <c r="N891" s="1081"/>
      <c r="O891" s="512"/>
      <c r="P891" s="512"/>
      <c r="Q891" s="512"/>
      <c r="R891" s="512"/>
      <c r="S891" s="512"/>
      <c r="T891" s="512"/>
      <c r="U891" s="512"/>
      <c r="V891" s="512"/>
      <c r="W891" s="512"/>
    </row>
    <row r="892" s="477" customFormat="1" ht="15.4" customHeight="1" spans="1:23">
      <c r="A892" s="749" t="s">
        <v>778</v>
      </c>
      <c r="B892" s="1101" t="s">
        <v>779</v>
      </c>
      <c r="C892" s="794" t="s">
        <v>25</v>
      </c>
      <c r="D892" s="266">
        <v>10</v>
      </c>
      <c r="E892" s="988"/>
      <c r="F892" s="675"/>
      <c r="G892" s="675">
        <f t="shared" si="78"/>
        <v>45750</v>
      </c>
      <c r="H892" s="676">
        <f t="shared" si="79"/>
        <v>45773</v>
      </c>
      <c r="I892" s="780" t="s">
        <v>781</v>
      </c>
      <c r="J892" s="749" t="s">
        <v>207</v>
      </c>
      <c r="K892" s="780" t="s">
        <v>19</v>
      </c>
      <c r="L892" s="279" t="s">
        <v>20</v>
      </c>
      <c r="M892" s="718" t="s">
        <v>783</v>
      </c>
      <c r="N892" s="1081"/>
      <c r="O892" s="512"/>
      <c r="P892" s="512"/>
      <c r="Q892" s="512"/>
      <c r="R892" s="512"/>
      <c r="S892" s="512"/>
      <c r="T892" s="512"/>
      <c r="U892" s="512"/>
      <c r="V892" s="512"/>
      <c r="W892" s="512"/>
    </row>
    <row r="893" s="477" customFormat="1" ht="15.4" customHeight="1" spans="1:23">
      <c r="A893" s="749" t="s">
        <v>778</v>
      </c>
      <c r="B893" s="1101" t="s">
        <v>779</v>
      </c>
      <c r="C893" s="794" t="s">
        <v>135</v>
      </c>
      <c r="D893" s="266">
        <v>2</v>
      </c>
      <c r="E893" s="988"/>
      <c r="F893" s="675"/>
      <c r="G893" s="675">
        <f t="shared" si="78"/>
        <v>45750</v>
      </c>
      <c r="H893" s="676">
        <f t="shared" si="79"/>
        <v>45773</v>
      </c>
      <c r="I893" s="780" t="s">
        <v>781</v>
      </c>
      <c r="J893" s="749" t="s">
        <v>207</v>
      </c>
      <c r="K893" s="780" t="s">
        <v>19</v>
      </c>
      <c r="L893" s="279" t="s">
        <v>20</v>
      </c>
      <c r="M893" s="718" t="s">
        <v>783</v>
      </c>
      <c r="N893" s="1081"/>
      <c r="O893" s="512"/>
      <c r="P893" s="512"/>
      <c r="Q893" s="512"/>
      <c r="R893" s="512"/>
      <c r="S893" s="512"/>
      <c r="T893" s="512"/>
      <c r="U893" s="512"/>
      <c r="V893" s="512"/>
      <c r="W893" s="512"/>
    </row>
    <row r="894" s="477" customFormat="1" ht="15.4" customHeight="1" spans="1:23">
      <c r="A894" s="749" t="s">
        <v>778</v>
      </c>
      <c r="B894" s="1101" t="s">
        <v>779</v>
      </c>
      <c r="C894" s="794" t="s">
        <v>136</v>
      </c>
      <c r="D894" s="266">
        <v>2</v>
      </c>
      <c r="E894" s="988"/>
      <c r="F894" s="675"/>
      <c r="G894" s="675">
        <f t="shared" si="78"/>
        <v>45750</v>
      </c>
      <c r="H894" s="676">
        <f t="shared" si="79"/>
        <v>45773</v>
      </c>
      <c r="I894" s="780" t="s">
        <v>781</v>
      </c>
      <c r="J894" s="749" t="s">
        <v>207</v>
      </c>
      <c r="K894" s="780" t="s">
        <v>19</v>
      </c>
      <c r="L894" s="279" t="s">
        <v>20</v>
      </c>
      <c r="M894" s="718" t="s">
        <v>783</v>
      </c>
      <c r="N894" s="1081"/>
      <c r="O894" s="512"/>
      <c r="P894" s="512"/>
      <c r="Q894" s="512"/>
      <c r="R894" s="512"/>
      <c r="S894" s="512"/>
      <c r="T894" s="512"/>
      <c r="U894" s="512"/>
      <c r="V894" s="512"/>
      <c r="W894" s="512"/>
    </row>
    <row r="895" s="477" customFormat="1" ht="15.4" customHeight="1" spans="1:23">
      <c r="A895" s="749" t="s">
        <v>778</v>
      </c>
      <c r="B895" s="1101" t="s">
        <v>779</v>
      </c>
      <c r="C895" s="794" t="s">
        <v>67</v>
      </c>
      <c r="D895" s="266">
        <v>45</v>
      </c>
      <c r="E895" s="988"/>
      <c r="F895" s="675"/>
      <c r="G895" s="675">
        <f t="shared" si="78"/>
        <v>45750</v>
      </c>
      <c r="H895" s="676">
        <f t="shared" si="79"/>
        <v>45773</v>
      </c>
      <c r="I895" s="780" t="s">
        <v>781</v>
      </c>
      <c r="J895" s="749" t="s">
        <v>207</v>
      </c>
      <c r="K895" s="780" t="s">
        <v>19</v>
      </c>
      <c r="L895" s="279" t="s">
        <v>20</v>
      </c>
      <c r="M895" s="718" t="s">
        <v>783</v>
      </c>
      <c r="N895" s="1081"/>
      <c r="O895" s="512"/>
      <c r="P895" s="512"/>
      <c r="Q895" s="512"/>
      <c r="R895" s="512"/>
      <c r="S895" s="512"/>
      <c r="T895" s="512"/>
      <c r="U895" s="512"/>
      <c r="V895" s="512"/>
      <c r="W895" s="512"/>
    </row>
    <row r="896" s="477" customFormat="1" ht="15.4" customHeight="1" spans="1:23">
      <c r="A896" s="749" t="s">
        <v>778</v>
      </c>
      <c r="B896" s="1101" t="s">
        <v>779</v>
      </c>
      <c r="C896" s="794" t="s">
        <v>69</v>
      </c>
      <c r="D896" s="266">
        <v>45</v>
      </c>
      <c r="E896" s="988"/>
      <c r="F896" s="675"/>
      <c r="G896" s="675">
        <f t="shared" si="78"/>
        <v>45750</v>
      </c>
      <c r="H896" s="676">
        <f t="shared" si="79"/>
        <v>45773</v>
      </c>
      <c r="I896" s="780" t="s">
        <v>781</v>
      </c>
      <c r="J896" s="749" t="s">
        <v>207</v>
      </c>
      <c r="K896" s="780" t="s">
        <v>19</v>
      </c>
      <c r="L896" s="279" t="s">
        <v>20</v>
      </c>
      <c r="M896" s="718" t="s">
        <v>783</v>
      </c>
      <c r="N896" s="1081"/>
      <c r="O896" s="512"/>
      <c r="P896" s="512"/>
      <c r="Q896" s="512"/>
      <c r="R896" s="512"/>
      <c r="S896" s="512"/>
      <c r="T896" s="512"/>
      <c r="U896" s="512"/>
      <c r="V896" s="512"/>
      <c r="W896" s="512"/>
    </row>
    <row r="897" s="477" customFormat="1" ht="15.4" customHeight="1" spans="1:23">
      <c r="A897" s="749" t="s">
        <v>778</v>
      </c>
      <c r="B897" s="1101" t="s">
        <v>779</v>
      </c>
      <c r="C897" s="794" t="s">
        <v>70</v>
      </c>
      <c r="D897" s="266">
        <v>10</v>
      </c>
      <c r="E897" s="988"/>
      <c r="F897" s="675"/>
      <c r="G897" s="675">
        <f t="shared" si="78"/>
        <v>45750</v>
      </c>
      <c r="H897" s="676">
        <f t="shared" si="79"/>
        <v>45773</v>
      </c>
      <c r="I897" s="780" t="s">
        <v>781</v>
      </c>
      <c r="J897" s="749" t="s">
        <v>207</v>
      </c>
      <c r="K897" s="780" t="s">
        <v>19</v>
      </c>
      <c r="L897" s="279" t="s">
        <v>20</v>
      </c>
      <c r="M897" s="718" t="s">
        <v>783</v>
      </c>
      <c r="N897" s="1081"/>
      <c r="O897" s="512"/>
      <c r="P897" s="512"/>
      <c r="Q897" s="512"/>
      <c r="R897" s="512"/>
      <c r="S897" s="512"/>
      <c r="T897" s="512"/>
      <c r="U897" s="512"/>
      <c r="V897" s="512"/>
      <c r="W897" s="512"/>
    </row>
    <row r="898" s="477" customFormat="1" ht="15.4" customHeight="1" spans="1:23">
      <c r="A898" s="749" t="s">
        <v>778</v>
      </c>
      <c r="B898" s="1101" t="s">
        <v>779</v>
      </c>
      <c r="C898" s="794" t="s">
        <v>71</v>
      </c>
      <c r="D898" s="266">
        <v>10</v>
      </c>
      <c r="E898" s="988"/>
      <c r="F898" s="675"/>
      <c r="G898" s="675">
        <f t="shared" si="78"/>
        <v>45750</v>
      </c>
      <c r="H898" s="676">
        <f t="shared" si="79"/>
        <v>45773</v>
      </c>
      <c r="I898" s="780" t="s">
        <v>781</v>
      </c>
      <c r="J898" s="749" t="s">
        <v>207</v>
      </c>
      <c r="K898" s="780" t="s">
        <v>19</v>
      </c>
      <c r="L898" s="279" t="s">
        <v>20</v>
      </c>
      <c r="M898" s="718" t="s">
        <v>783</v>
      </c>
      <c r="N898" s="1081"/>
      <c r="O898" s="512"/>
      <c r="P898" s="512"/>
      <c r="Q898" s="512"/>
      <c r="R898" s="512"/>
      <c r="S898" s="512"/>
      <c r="T898" s="512"/>
      <c r="U898" s="512"/>
      <c r="V898" s="512"/>
      <c r="W898" s="512"/>
    </row>
    <row r="899" s="477" customFormat="1" ht="15.4" customHeight="1" spans="1:23">
      <c r="A899" s="749" t="s">
        <v>778</v>
      </c>
      <c r="B899" s="1101" t="s">
        <v>779</v>
      </c>
      <c r="C899" s="794" t="s">
        <v>761</v>
      </c>
      <c r="D899" s="266">
        <v>2</v>
      </c>
      <c r="E899" s="988"/>
      <c r="F899" s="675"/>
      <c r="G899" s="675">
        <f t="shared" si="78"/>
        <v>45750</v>
      </c>
      <c r="H899" s="676">
        <f t="shared" si="79"/>
        <v>45773</v>
      </c>
      <c r="I899" s="780" t="s">
        <v>781</v>
      </c>
      <c r="J899" s="749" t="s">
        <v>207</v>
      </c>
      <c r="K899" s="780" t="s">
        <v>19</v>
      </c>
      <c r="L899" s="279" t="s">
        <v>20</v>
      </c>
      <c r="M899" s="718" t="s">
        <v>783</v>
      </c>
      <c r="N899" s="1081"/>
      <c r="O899" s="512"/>
      <c r="P899" s="512"/>
      <c r="Q899" s="512"/>
      <c r="R899" s="512"/>
      <c r="S899" s="512"/>
      <c r="T899" s="512"/>
      <c r="U899" s="512"/>
      <c r="V899" s="512"/>
      <c r="W899" s="512"/>
    </row>
    <row r="900" s="477" customFormat="1" ht="15.4" customHeight="1" spans="1:23">
      <c r="A900" s="749" t="s">
        <v>778</v>
      </c>
      <c r="B900" s="1101" t="s">
        <v>779</v>
      </c>
      <c r="C900" s="794" t="s">
        <v>342</v>
      </c>
      <c r="D900" s="266">
        <v>2</v>
      </c>
      <c r="E900" s="1109"/>
      <c r="F900" s="675"/>
      <c r="G900" s="675">
        <f t="shared" si="78"/>
        <v>45750</v>
      </c>
      <c r="H900" s="676">
        <f t="shared" si="79"/>
        <v>45773</v>
      </c>
      <c r="I900" s="780" t="s">
        <v>781</v>
      </c>
      <c r="J900" s="749" t="s">
        <v>207</v>
      </c>
      <c r="K900" s="780" t="s">
        <v>19</v>
      </c>
      <c r="L900" s="279" t="s">
        <v>20</v>
      </c>
      <c r="M900" s="718" t="s">
        <v>783</v>
      </c>
      <c r="N900" s="1081"/>
      <c r="O900" s="512"/>
      <c r="P900" s="512"/>
      <c r="Q900" s="512"/>
      <c r="R900" s="512"/>
      <c r="S900" s="512"/>
      <c r="T900" s="512"/>
      <c r="U900" s="512"/>
      <c r="V900" s="512"/>
      <c r="W900" s="512"/>
    </row>
    <row r="901" s="477" customFormat="1" ht="15.4" customHeight="1" spans="1:23">
      <c r="A901" s="749" t="s">
        <v>778</v>
      </c>
      <c r="B901" s="1101" t="s">
        <v>779</v>
      </c>
      <c r="C901" s="794" t="s">
        <v>91</v>
      </c>
      <c r="D901" s="266">
        <v>2</v>
      </c>
      <c r="E901" s="1109"/>
      <c r="F901" s="675"/>
      <c r="G901" s="675">
        <f t="shared" si="78"/>
        <v>45750</v>
      </c>
      <c r="H901" s="676">
        <f t="shared" si="79"/>
        <v>45773</v>
      </c>
      <c r="I901" s="780" t="s">
        <v>781</v>
      </c>
      <c r="J901" s="749" t="s">
        <v>207</v>
      </c>
      <c r="K901" s="780" t="s">
        <v>19</v>
      </c>
      <c r="L901" s="279" t="s">
        <v>20</v>
      </c>
      <c r="M901" s="718" t="s">
        <v>783</v>
      </c>
      <c r="N901" s="1081"/>
      <c r="O901" s="512"/>
      <c r="P901" s="512"/>
      <c r="Q901" s="512"/>
      <c r="R901" s="512"/>
      <c r="S901" s="512"/>
      <c r="T901" s="512"/>
      <c r="U901" s="512"/>
      <c r="V901" s="512"/>
      <c r="W901" s="512"/>
    </row>
    <row r="902" s="477" customFormat="1" ht="15.4" customHeight="1" spans="1:23">
      <c r="A902" s="749" t="s">
        <v>778</v>
      </c>
      <c r="B902" s="1101" t="s">
        <v>779</v>
      </c>
      <c r="C902" s="794" t="s">
        <v>77</v>
      </c>
      <c r="D902" s="266">
        <v>2</v>
      </c>
      <c r="E902" s="1109"/>
      <c r="F902" s="675"/>
      <c r="G902" s="675">
        <f t="shared" si="78"/>
        <v>45750</v>
      </c>
      <c r="H902" s="676">
        <f t="shared" si="79"/>
        <v>45773</v>
      </c>
      <c r="I902" s="780" t="s">
        <v>781</v>
      </c>
      <c r="J902" s="749" t="s">
        <v>207</v>
      </c>
      <c r="K902" s="780" t="s">
        <v>19</v>
      </c>
      <c r="L902" s="279" t="s">
        <v>20</v>
      </c>
      <c r="M902" s="718" t="s">
        <v>783</v>
      </c>
      <c r="N902" s="1081"/>
      <c r="O902" s="512"/>
      <c r="P902" s="512"/>
      <c r="Q902" s="512"/>
      <c r="R902" s="512"/>
      <c r="S902" s="512"/>
      <c r="T902" s="512"/>
      <c r="U902" s="512"/>
      <c r="V902" s="512"/>
      <c r="W902" s="512"/>
    </row>
    <row r="903" s="477" customFormat="1" ht="15.4" customHeight="1" spans="1:23">
      <c r="A903" s="749" t="s">
        <v>778</v>
      </c>
      <c r="B903" s="1101" t="s">
        <v>779</v>
      </c>
      <c r="C903" s="794" t="s">
        <v>784</v>
      </c>
      <c r="D903" s="266">
        <v>1</v>
      </c>
      <c r="E903" s="988"/>
      <c r="F903" s="675"/>
      <c r="G903" s="675">
        <f t="shared" si="78"/>
        <v>45750</v>
      </c>
      <c r="H903" s="676">
        <f t="shared" si="79"/>
        <v>45773</v>
      </c>
      <c r="I903" s="780" t="s">
        <v>781</v>
      </c>
      <c r="J903" s="749" t="s">
        <v>207</v>
      </c>
      <c r="K903" s="780" t="s">
        <v>19</v>
      </c>
      <c r="L903" s="279" t="s">
        <v>20</v>
      </c>
      <c r="M903" s="718" t="s">
        <v>783</v>
      </c>
      <c r="N903" s="203"/>
      <c r="O903" s="512"/>
      <c r="P903" s="512"/>
      <c r="Q903" s="512"/>
      <c r="R903" s="512"/>
      <c r="S903" s="512"/>
      <c r="T903" s="512"/>
      <c r="U903" s="512"/>
      <c r="V903" s="512"/>
      <c r="W903" s="512"/>
    </row>
    <row r="904" s="477" customFormat="1" ht="15.4" customHeight="1" spans="1:23">
      <c r="A904" s="749" t="s">
        <v>778</v>
      </c>
      <c r="B904" s="1101" t="s">
        <v>779</v>
      </c>
      <c r="C904" s="794" t="s">
        <v>785</v>
      </c>
      <c r="D904" s="266">
        <v>1</v>
      </c>
      <c r="E904" s="988"/>
      <c r="F904" s="675"/>
      <c r="G904" s="675">
        <f t="shared" si="78"/>
        <v>45750</v>
      </c>
      <c r="H904" s="676">
        <f t="shared" si="79"/>
        <v>45773</v>
      </c>
      <c r="I904" s="780" t="s">
        <v>781</v>
      </c>
      <c r="J904" s="749" t="s">
        <v>207</v>
      </c>
      <c r="K904" s="780" t="s">
        <v>19</v>
      </c>
      <c r="L904" s="279" t="s">
        <v>20</v>
      </c>
      <c r="M904" s="718" t="s">
        <v>783</v>
      </c>
      <c r="N904" s="203"/>
      <c r="O904" s="512"/>
      <c r="P904" s="512"/>
      <c r="Q904" s="512"/>
      <c r="R904" s="512"/>
      <c r="S904" s="512"/>
      <c r="T904" s="512"/>
      <c r="U904" s="512"/>
      <c r="V904" s="512"/>
      <c r="W904" s="512"/>
    </row>
    <row r="905" s="477" customFormat="1" ht="15.4" customHeight="1" spans="1:23">
      <c r="A905" s="749" t="s">
        <v>778</v>
      </c>
      <c r="B905" s="1101" t="s">
        <v>779</v>
      </c>
      <c r="C905" s="794" t="s">
        <v>786</v>
      </c>
      <c r="D905" s="266">
        <v>1</v>
      </c>
      <c r="E905" s="988"/>
      <c r="F905" s="675"/>
      <c r="G905" s="675">
        <f t="shared" si="78"/>
        <v>45750</v>
      </c>
      <c r="H905" s="676">
        <f t="shared" si="79"/>
        <v>45773</v>
      </c>
      <c r="I905" s="780" t="s">
        <v>781</v>
      </c>
      <c r="J905" s="749" t="s">
        <v>207</v>
      </c>
      <c r="K905" s="780" t="s">
        <v>19</v>
      </c>
      <c r="L905" s="279" t="s">
        <v>20</v>
      </c>
      <c r="M905" s="718" t="s">
        <v>783</v>
      </c>
      <c r="N905" s="203"/>
      <c r="O905" s="512"/>
      <c r="P905" s="512"/>
      <c r="Q905" s="512"/>
      <c r="R905" s="512"/>
      <c r="S905" s="512"/>
      <c r="T905" s="512"/>
      <c r="U905" s="512"/>
      <c r="V905" s="512"/>
      <c r="W905" s="512"/>
    </row>
    <row r="906" s="477" customFormat="1" ht="15.4" customHeight="1" spans="1:23">
      <c r="A906" s="749" t="s">
        <v>778</v>
      </c>
      <c r="B906" s="1101" t="s">
        <v>779</v>
      </c>
      <c r="C906" s="794" t="s">
        <v>787</v>
      </c>
      <c r="D906" s="266">
        <v>1</v>
      </c>
      <c r="E906" s="988"/>
      <c r="F906" s="675"/>
      <c r="G906" s="675">
        <f t="shared" si="78"/>
        <v>45750</v>
      </c>
      <c r="H906" s="676">
        <f t="shared" si="79"/>
        <v>45773</v>
      </c>
      <c r="I906" s="780" t="s">
        <v>781</v>
      </c>
      <c r="J906" s="749" t="s">
        <v>207</v>
      </c>
      <c r="K906" s="780" t="s">
        <v>19</v>
      </c>
      <c r="L906" s="279" t="s">
        <v>20</v>
      </c>
      <c r="M906" s="718" t="s">
        <v>783</v>
      </c>
      <c r="N906" s="203"/>
      <c r="O906" s="512"/>
      <c r="P906" s="512"/>
      <c r="Q906" s="512"/>
      <c r="R906" s="512"/>
      <c r="S906" s="512"/>
      <c r="T906" s="512"/>
      <c r="U906" s="512"/>
      <c r="V906" s="512"/>
      <c r="W906" s="512"/>
    </row>
    <row r="907" s="477" customFormat="1" ht="15.4" customHeight="1" spans="1:23">
      <c r="A907" s="749" t="s">
        <v>778</v>
      </c>
      <c r="B907" s="1101" t="s">
        <v>779</v>
      </c>
      <c r="C907" s="794" t="s">
        <v>788</v>
      </c>
      <c r="D907" s="266">
        <v>4</v>
      </c>
      <c r="E907" s="988"/>
      <c r="F907" s="675"/>
      <c r="G907" s="675">
        <f t="shared" si="78"/>
        <v>45750</v>
      </c>
      <c r="H907" s="676">
        <f t="shared" si="79"/>
        <v>45773</v>
      </c>
      <c r="I907" s="780" t="s">
        <v>781</v>
      </c>
      <c r="J907" s="749" t="s">
        <v>207</v>
      </c>
      <c r="K907" s="780" t="s">
        <v>19</v>
      </c>
      <c r="L907" s="279" t="s">
        <v>20</v>
      </c>
      <c r="M907" s="718" t="s">
        <v>783</v>
      </c>
      <c r="N907" s="203"/>
      <c r="O907" s="512"/>
      <c r="P907" s="512"/>
      <c r="Q907" s="512"/>
      <c r="R907" s="512"/>
      <c r="S907" s="512"/>
      <c r="T907" s="512"/>
      <c r="U907" s="512"/>
      <c r="V907" s="512"/>
      <c r="W907" s="512"/>
    </row>
    <row r="908" s="477" customFormat="1" ht="15.4" customHeight="1" spans="1:23">
      <c r="A908" s="749" t="s">
        <v>778</v>
      </c>
      <c r="B908" s="1101" t="s">
        <v>789</v>
      </c>
      <c r="C908" s="794" t="s">
        <v>129</v>
      </c>
      <c r="D908" s="266">
        <v>6</v>
      </c>
      <c r="E908" s="1085" t="s">
        <v>790</v>
      </c>
      <c r="F908" s="675"/>
      <c r="G908" s="675">
        <f>VLOOKUP(CLEAN(SUBSTITUTE(TRIM(MID(E:E,FIND("/",E:E)+1,LEN(E:E)))," ","")),'Customs Decl. &amp; Local Delivery'!D:I,6,0)</f>
        <v>45750</v>
      </c>
      <c r="H908" s="676">
        <f>VLOOKUP(CLEAN(SUBSTITUTE(TRIM(MID(E:E,FIND("/",E:E)+1,LEN(E:E)))," ","")),'Customs Decl. &amp; Local Delivery'!D:J,7,0)</f>
        <v>45793</v>
      </c>
      <c r="I908" s="780" t="s">
        <v>791</v>
      </c>
      <c r="J908" s="749" t="s">
        <v>215</v>
      </c>
      <c r="K908" s="780" t="s">
        <v>19</v>
      </c>
      <c r="L908" s="1090" t="s">
        <v>20</v>
      </c>
      <c r="M908" s="1079" t="s">
        <v>792</v>
      </c>
      <c r="N908" s="1081"/>
      <c r="O908" s="512"/>
      <c r="P908" s="512"/>
      <c r="Q908" s="512"/>
      <c r="R908" s="512"/>
      <c r="S908" s="512"/>
      <c r="T908" s="512"/>
      <c r="U908" s="512"/>
      <c r="V908" s="512"/>
      <c r="W908" s="512"/>
    </row>
    <row r="909" s="477" customFormat="1" ht="15.4" customHeight="1" spans="1:23">
      <c r="A909" s="749" t="s">
        <v>778</v>
      </c>
      <c r="B909" s="1101" t="s">
        <v>789</v>
      </c>
      <c r="C909" s="794" t="s">
        <v>133</v>
      </c>
      <c r="D909" s="266">
        <v>6</v>
      </c>
      <c r="E909" s="988"/>
      <c r="F909" s="675"/>
      <c r="G909" s="675">
        <f t="shared" ref="G909:G925" si="80">G908</f>
        <v>45750</v>
      </c>
      <c r="H909" s="676">
        <f t="shared" ref="H909:H925" si="81">H908</f>
        <v>45793</v>
      </c>
      <c r="I909" s="780" t="s">
        <v>791</v>
      </c>
      <c r="J909" s="749" t="s">
        <v>215</v>
      </c>
      <c r="K909" s="780" t="s">
        <v>19</v>
      </c>
      <c r="L909" s="279" t="s">
        <v>20</v>
      </c>
      <c r="M909" s="1079" t="s">
        <v>793</v>
      </c>
      <c r="N909" s="1081"/>
      <c r="O909" s="512"/>
      <c r="P909" s="512"/>
      <c r="Q909" s="512"/>
      <c r="R909" s="512"/>
      <c r="S909" s="512"/>
      <c r="T909" s="512"/>
      <c r="U909" s="512"/>
      <c r="V909" s="512"/>
      <c r="W909" s="512"/>
    </row>
    <row r="910" s="477" customFormat="1" ht="15.4" customHeight="1" spans="1:23">
      <c r="A910" s="749" t="s">
        <v>778</v>
      </c>
      <c r="B910" s="1101" t="s">
        <v>789</v>
      </c>
      <c r="C910" s="794" t="s">
        <v>15</v>
      </c>
      <c r="D910" s="266">
        <v>55</v>
      </c>
      <c r="E910" s="988"/>
      <c r="F910" s="675"/>
      <c r="G910" s="675">
        <f t="shared" si="80"/>
        <v>45750</v>
      </c>
      <c r="H910" s="676">
        <f t="shared" si="81"/>
        <v>45793</v>
      </c>
      <c r="I910" s="780" t="s">
        <v>791</v>
      </c>
      <c r="J910" s="749" t="s">
        <v>215</v>
      </c>
      <c r="K910" s="780" t="s">
        <v>19</v>
      </c>
      <c r="L910" s="279" t="s">
        <v>20</v>
      </c>
      <c r="M910" s="1079" t="s">
        <v>794</v>
      </c>
      <c r="N910" s="1081"/>
      <c r="O910" s="512"/>
      <c r="P910" s="512"/>
      <c r="Q910" s="512"/>
      <c r="R910" s="512"/>
      <c r="S910" s="512"/>
      <c r="T910" s="512"/>
      <c r="U910" s="512"/>
      <c r="V910" s="512"/>
      <c r="W910" s="512"/>
    </row>
    <row r="911" s="477" customFormat="1" ht="15.4" customHeight="1" spans="1:23">
      <c r="A911" s="749" t="s">
        <v>778</v>
      </c>
      <c r="B911" s="1101" t="s">
        <v>789</v>
      </c>
      <c r="C911" s="794" t="s">
        <v>22</v>
      </c>
      <c r="D911" s="266">
        <v>55</v>
      </c>
      <c r="E911" s="988"/>
      <c r="F911" s="675"/>
      <c r="G911" s="675">
        <f t="shared" si="80"/>
        <v>45750</v>
      </c>
      <c r="H911" s="676">
        <f t="shared" si="81"/>
        <v>45793</v>
      </c>
      <c r="I911" s="780" t="s">
        <v>791</v>
      </c>
      <c r="J911" s="749" t="s">
        <v>215</v>
      </c>
      <c r="K911" s="780" t="s">
        <v>19</v>
      </c>
      <c r="L911" s="279" t="s">
        <v>20</v>
      </c>
      <c r="M911" s="1079" t="s">
        <v>794</v>
      </c>
      <c r="N911" s="1081"/>
      <c r="O911" s="512"/>
      <c r="P911" s="512"/>
      <c r="Q911" s="512"/>
      <c r="R911" s="512"/>
      <c r="S911" s="512"/>
      <c r="T911" s="512"/>
      <c r="U911" s="512"/>
      <c r="V911" s="512"/>
      <c r="W911" s="512"/>
    </row>
    <row r="912" s="477" customFormat="1" ht="15.4" customHeight="1" spans="1:23">
      <c r="A912" s="749" t="s">
        <v>778</v>
      </c>
      <c r="B912" s="1101" t="s">
        <v>789</v>
      </c>
      <c r="C912" s="794" t="s">
        <v>24</v>
      </c>
      <c r="D912" s="266">
        <v>5</v>
      </c>
      <c r="E912" s="988"/>
      <c r="F912" s="675"/>
      <c r="G912" s="675">
        <f t="shared" si="80"/>
        <v>45750</v>
      </c>
      <c r="H912" s="676">
        <f t="shared" si="81"/>
        <v>45793</v>
      </c>
      <c r="I912" s="780" t="s">
        <v>791</v>
      </c>
      <c r="J912" s="749" t="s">
        <v>215</v>
      </c>
      <c r="K912" s="780" t="s">
        <v>19</v>
      </c>
      <c r="L912" s="279" t="s">
        <v>20</v>
      </c>
      <c r="M912" s="1079" t="s">
        <v>794</v>
      </c>
      <c r="N912" s="1081"/>
      <c r="O912" s="512"/>
      <c r="P912" s="512"/>
      <c r="Q912" s="512"/>
      <c r="R912" s="512"/>
      <c r="S912" s="512"/>
      <c r="T912" s="512"/>
      <c r="U912" s="512"/>
      <c r="V912" s="512"/>
      <c r="W912" s="512"/>
    </row>
    <row r="913" s="477" customFormat="1" ht="15.4" customHeight="1" spans="1:23">
      <c r="A913" s="749" t="s">
        <v>778</v>
      </c>
      <c r="B913" s="1101" t="s">
        <v>789</v>
      </c>
      <c r="C913" s="794" t="s">
        <v>25</v>
      </c>
      <c r="D913" s="266">
        <v>5</v>
      </c>
      <c r="E913" s="988"/>
      <c r="F913" s="675"/>
      <c r="G913" s="675">
        <f t="shared" si="80"/>
        <v>45750</v>
      </c>
      <c r="H913" s="676">
        <f t="shared" si="81"/>
        <v>45793</v>
      </c>
      <c r="I913" s="780" t="s">
        <v>791</v>
      </c>
      <c r="J913" s="749" t="s">
        <v>215</v>
      </c>
      <c r="K913" s="780" t="s">
        <v>19</v>
      </c>
      <c r="L913" s="279" t="s">
        <v>20</v>
      </c>
      <c r="M913" s="1079" t="s">
        <v>794</v>
      </c>
      <c r="N913" s="202"/>
      <c r="O913" s="512"/>
      <c r="P913" s="512"/>
      <c r="Q913" s="512"/>
      <c r="R913" s="512"/>
      <c r="S913" s="512"/>
      <c r="T913" s="512"/>
      <c r="U913" s="512"/>
      <c r="V913" s="512"/>
      <c r="W913" s="512"/>
    </row>
    <row r="914" s="477" customFormat="1" ht="15.4" customHeight="1" spans="1:23">
      <c r="A914" s="749" t="s">
        <v>778</v>
      </c>
      <c r="B914" s="1101" t="s">
        <v>789</v>
      </c>
      <c r="C914" s="794" t="s">
        <v>27</v>
      </c>
      <c r="D914" s="266">
        <v>5</v>
      </c>
      <c r="E914" s="988"/>
      <c r="F914" s="675"/>
      <c r="G914" s="675">
        <f t="shared" si="80"/>
        <v>45750</v>
      </c>
      <c r="H914" s="676">
        <f t="shared" si="81"/>
        <v>45793</v>
      </c>
      <c r="I914" s="780" t="s">
        <v>791</v>
      </c>
      <c r="J914" s="749" t="s">
        <v>215</v>
      </c>
      <c r="K914" s="780" t="s">
        <v>19</v>
      </c>
      <c r="L914" s="279" t="s">
        <v>20</v>
      </c>
      <c r="M914" s="718" t="s">
        <v>794</v>
      </c>
      <c r="N914" s="202"/>
      <c r="O914" s="512"/>
      <c r="P914" s="512"/>
      <c r="Q914" s="512"/>
      <c r="R914" s="512"/>
      <c r="S914" s="512"/>
      <c r="T914" s="512"/>
      <c r="U914" s="512"/>
      <c r="V914" s="512"/>
      <c r="W914" s="512"/>
    </row>
    <row r="915" s="477" customFormat="1" ht="15.4" customHeight="1" spans="1:23">
      <c r="A915" s="749" t="s">
        <v>778</v>
      </c>
      <c r="B915" s="1101" t="s">
        <v>789</v>
      </c>
      <c r="C915" s="794" t="s">
        <v>28</v>
      </c>
      <c r="D915" s="266">
        <v>5</v>
      </c>
      <c r="E915" s="988"/>
      <c r="F915" s="675"/>
      <c r="G915" s="675">
        <f t="shared" si="80"/>
        <v>45750</v>
      </c>
      <c r="H915" s="676">
        <f t="shared" si="81"/>
        <v>45793</v>
      </c>
      <c r="I915" s="780" t="s">
        <v>791</v>
      </c>
      <c r="J915" s="749" t="s">
        <v>215</v>
      </c>
      <c r="K915" s="780" t="s">
        <v>19</v>
      </c>
      <c r="L915" s="279" t="s">
        <v>20</v>
      </c>
      <c r="M915" s="718" t="s">
        <v>794</v>
      </c>
      <c r="N915" s="202"/>
      <c r="O915" s="512"/>
      <c r="P915" s="512"/>
      <c r="Q915" s="512"/>
      <c r="R915" s="512"/>
      <c r="S915" s="512"/>
      <c r="T915" s="512"/>
      <c r="U915" s="512"/>
      <c r="V915" s="512"/>
      <c r="W915" s="512"/>
    </row>
    <row r="916" s="477" customFormat="1" ht="15.4" customHeight="1" spans="1:23">
      <c r="A916" s="749" t="s">
        <v>778</v>
      </c>
      <c r="B916" s="1101" t="s">
        <v>789</v>
      </c>
      <c r="C916" s="794" t="s">
        <v>67</v>
      </c>
      <c r="D916" s="266">
        <v>5</v>
      </c>
      <c r="E916" s="988"/>
      <c r="F916" s="675"/>
      <c r="G916" s="675">
        <f t="shared" si="80"/>
        <v>45750</v>
      </c>
      <c r="H916" s="676">
        <f t="shared" si="81"/>
        <v>45793</v>
      </c>
      <c r="I916" s="780" t="s">
        <v>791</v>
      </c>
      <c r="J916" s="749" t="s">
        <v>215</v>
      </c>
      <c r="K916" s="780" t="s">
        <v>19</v>
      </c>
      <c r="L916" s="279" t="s">
        <v>20</v>
      </c>
      <c r="M916" s="718" t="s">
        <v>794</v>
      </c>
      <c r="N916" s="202"/>
      <c r="O916" s="512"/>
      <c r="P916" s="512"/>
      <c r="Q916" s="512"/>
      <c r="R916" s="512"/>
      <c r="S916" s="512"/>
      <c r="T916" s="512"/>
      <c r="U916" s="512"/>
      <c r="V916" s="512"/>
      <c r="W916" s="512"/>
    </row>
    <row r="917" s="477" customFormat="1" ht="15.4" customHeight="1" spans="1:23">
      <c r="A917" s="749" t="s">
        <v>778</v>
      </c>
      <c r="B917" s="1101" t="s">
        <v>789</v>
      </c>
      <c r="C917" s="794" t="s">
        <v>69</v>
      </c>
      <c r="D917" s="266">
        <v>5</v>
      </c>
      <c r="E917" s="988"/>
      <c r="F917" s="675"/>
      <c r="G917" s="675">
        <f t="shared" si="80"/>
        <v>45750</v>
      </c>
      <c r="H917" s="676">
        <f t="shared" si="81"/>
        <v>45793</v>
      </c>
      <c r="I917" s="780" t="s">
        <v>791</v>
      </c>
      <c r="J917" s="749" t="s">
        <v>215</v>
      </c>
      <c r="K917" s="780" t="s">
        <v>19</v>
      </c>
      <c r="L917" s="279" t="s">
        <v>20</v>
      </c>
      <c r="M917" s="718" t="s">
        <v>794</v>
      </c>
      <c r="N917" s="202"/>
      <c r="O917" s="512"/>
      <c r="P917" s="512"/>
      <c r="Q917" s="512"/>
      <c r="R917" s="512"/>
      <c r="S917" s="512"/>
      <c r="T917" s="512"/>
      <c r="U917" s="512"/>
      <c r="V917" s="512"/>
      <c r="W917" s="512"/>
    </row>
    <row r="918" s="477" customFormat="1" ht="15.4" customHeight="1" spans="1:23">
      <c r="A918" s="749" t="s">
        <v>778</v>
      </c>
      <c r="B918" s="1101" t="s">
        <v>789</v>
      </c>
      <c r="C918" s="794" t="s">
        <v>70</v>
      </c>
      <c r="D918" s="266">
        <v>24</v>
      </c>
      <c r="E918" s="988"/>
      <c r="F918" s="675"/>
      <c r="G918" s="675">
        <f t="shared" si="80"/>
        <v>45750</v>
      </c>
      <c r="H918" s="676">
        <f t="shared" si="81"/>
        <v>45793</v>
      </c>
      <c r="I918" s="780" t="s">
        <v>791</v>
      </c>
      <c r="J918" s="749" t="s">
        <v>215</v>
      </c>
      <c r="K918" s="780" t="s">
        <v>19</v>
      </c>
      <c r="L918" s="279" t="s">
        <v>20</v>
      </c>
      <c r="M918" s="718" t="s">
        <v>794</v>
      </c>
      <c r="N918" s="202"/>
      <c r="O918" s="512"/>
      <c r="P918" s="512"/>
      <c r="Q918" s="512"/>
      <c r="R918" s="512"/>
      <c r="S918" s="512"/>
      <c r="T918" s="512"/>
      <c r="U918" s="512"/>
      <c r="V918" s="512"/>
      <c r="W918" s="512"/>
    </row>
    <row r="919" s="477" customFormat="1" ht="15.4" customHeight="1" spans="1:23">
      <c r="A919" s="749" t="s">
        <v>778</v>
      </c>
      <c r="B919" s="1101" t="s">
        <v>789</v>
      </c>
      <c r="C919" s="794" t="s">
        <v>71</v>
      </c>
      <c r="D919" s="266">
        <v>24</v>
      </c>
      <c r="E919" s="988"/>
      <c r="F919" s="675"/>
      <c r="G919" s="675">
        <f t="shared" si="80"/>
        <v>45750</v>
      </c>
      <c r="H919" s="676">
        <f t="shared" si="81"/>
        <v>45793</v>
      </c>
      <c r="I919" s="780" t="s">
        <v>791</v>
      </c>
      <c r="J919" s="749" t="s">
        <v>215</v>
      </c>
      <c r="K919" s="780" t="s">
        <v>19</v>
      </c>
      <c r="L919" s="279" t="s">
        <v>20</v>
      </c>
      <c r="M919" s="718" t="s">
        <v>794</v>
      </c>
      <c r="N919" s="202"/>
      <c r="O919" s="512"/>
      <c r="P919" s="512"/>
      <c r="Q919" s="512"/>
      <c r="R919" s="512"/>
      <c r="S919" s="512"/>
      <c r="T919" s="512"/>
      <c r="U919" s="512"/>
      <c r="V919" s="512"/>
      <c r="W919" s="512"/>
    </row>
    <row r="920" s="477" customFormat="1" ht="15.4" customHeight="1" spans="1:23">
      <c r="A920" s="749" t="s">
        <v>778</v>
      </c>
      <c r="B920" s="1101" t="s">
        <v>789</v>
      </c>
      <c r="C920" s="794" t="s">
        <v>31</v>
      </c>
      <c r="D920" s="266">
        <v>15</v>
      </c>
      <c r="E920" s="988"/>
      <c r="F920" s="675"/>
      <c r="G920" s="675">
        <f t="shared" si="80"/>
        <v>45750</v>
      </c>
      <c r="H920" s="676">
        <f t="shared" si="81"/>
        <v>45793</v>
      </c>
      <c r="I920" s="780" t="s">
        <v>791</v>
      </c>
      <c r="J920" s="749" t="s">
        <v>215</v>
      </c>
      <c r="K920" s="780" t="s">
        <v>19</v>
      </c>
      <c r="L920" s="279" t="s">
        <v>20</v>
      </c>
      <c r="M920" s="718" t="s">
        <v>794</v>
      </c>
      <c r="N920" s="202"/>
      <c r="O920" s="512"/>
      <c r="P920" s="512"/>
      <c r="Q920" s="512"/>
      <c r="R920" s="512"/>
      <c r="S920" s="512"/>
      <c r="T920" s="512"/>
      <c r="U920" s="512"/>
      <c r="V920" s="512"/>
      <c r="W920" s="512"/>
    </row>
    <row r="921" s="477" customFormat="1" ht="15.4" customHeight="1" spans="1:23">
      <c r="A921" s="749" t="s">
        <v>778</v>
      </c>
      <c r="B921" s="1101" t="s">
        <v>789</v>
      </c>
      <c r="C921" s="794" t="s">
        <v>32</v>
      </c>
      <c r="D921" s="266">
        <v>15</v>
      </c>
      <c r="E921" s="988"/>
      <c r="F921" s="675"/>
      <c r="G921" s="675">
        <f t="shared" si="80"/>
        <v>45750</v>
      </c>
      <c r="H921" s="676">
        <f t="shared" si="81"/>
        <v>45793</v>
      </c>
      <c r="I921" s="780" t="s">
        <v>791</v>
      </c>
      <c r="J921" s="749" t="s">
        <v>215</v>
      </c>
      <c r="K921" s="780" t="s">
        <v>19</v>
      </c>
      <c r="L921" s="279" t="s">
        <v>20</v>
      </c>
      <c r="M921" s="718" t="s">
        <v>794</v>
      </c>
      <c r="N921" s="202"/>
      <c r="O921" s="512"/>
      <c r="P921" s="512"/>
      <c r="Q921" s="512"/>
      <c r="R921" s="512"/>
      <c r="S921" s="512"/>
      <c r="T921" s="512"/>
      <c r="U921" s="512"/>
      <c r="V921" s="512"/>
      <c r="W921" s="512"/>
    </row>
    <row r="922" s="477" customFormat="1" ht="15.4" customHeight="1" spans="1:23">
      <c r="A922" s="749" t="s">
        <v>778</v>
      </c>
      <c r="B922" s="1101" t="s">
        <v>789</v>
      </c>
      <c r="C922" s="794" t="s">
        <v>33</v>
      </c>
      <c r="D922" s="266">
        <v>5</v>
      </c>
      <c r="E922" s="988"/>
      <c r="F922" s="675"/>
      <c r="G922" s="675">
        <f t="shared" si="80"/>
        <v>45750</v>
      </c>
      <c r="H922" s="676">
        <f t="shared" si="81"/>
        <v>45793</v>
      </c>
      <c r="I922" s="780" t="s">
        <v>791</v>
      </c>
      <c r="J922" s="749" t="s">
        <v>215</v>
      </c>
      <c r="K922" s="780" t="s">
        <v>19</v>
      </c>
      <c r="L922" s="279" t="s">
        <v>20</v>
      </c>
      <c r="M922" s="718" t="s">
        <v>794</v>
      </c>
      <c r="N922" s="202"/>
      <c r="O922" s="512"/>
      <c r="P922" s="512"/>
      <c r="Q922" s="512"/>
      <c r="R922" s="512"/>
      <c r="S922" s="512"/>
      <c r="T922" s="512"/>
      <c r="U922" s="512"/>
      <c r="V922" s="512"/>
      <c r="W922" s="512"/>
    </row>
    <row r="923" s="477" customFormat="1" ht="15.4" customHeight="1" spans="1:23">
      <c r="A923" s="749" t="s">
        <v>778</v>
      </c>
      <c r="B923" s="1101" t="s">
        <v>789</v>
      </c>
      <c r="C923" s="794" t="s">
        <v>34</v>
      </c>
      <c r="D923" s="266">
        <v>5</v>
      </c>
      <c r="E923" s="988"/>
      <c r="F923" s="675"/>
      <c r="G923" s="675">
        <f t="shared" si="80"/>
        <v>45750</v>
      </c>
      <c r="H923" s="676">
        <f t="shared" si="81"/>
        <v>45793</v>
      </c>
      <c r="I923" s="780" t="s">
        <v>791</v>
      </c>
      <c r="J923" s="749" t="s">
        <v>215</v>
      </c>
      <c r="K923" s="780" t="s">
        <v>19</v>
      </c>
      <c r="L923" s="279" t="s">
        <v>20</v>
      </c>
      <c r="M923" s="718" t="s">
        <v>794</v>
      </c>
      <c r="N923" s="202"/>
      <c r="O923" s="512"/>
      <c r="P923" s="512"/>
      <c r="Q923" s="512"/>
      <c r="R923" s="512"/>
      <c r="S923" s="512"/>
      <c r="T923" s="512"/>
      <c r="U923" s="512"/>
      <c r="V923" s="512"/>
      <c r="W923" s="512"/>
    </row>
    <row r="924" s="477" customFormat="1" ht="15.4" customHeight="1" spans="1:23">
      <c r="A924" s="749" t="s">
        <v>778</v>
      </c>
      <c r="B924" s="1101" t="s">
        <v>789</v>
      </c>
      <c r="C924" s="794" t="s">
        <v>59</v>
      </c>
      <c r="D924" s="266">
        <v>2</v>
      </c>
      <c r="E924" s="988"/>
      <c r="F924" s="675"/>
      <c r="G924" s="675">
        <f t="shared" si="80"/>
        <v>45750</v>
      </c>
      <c r="H924" s="676">
        <f t="shared" si="81"/>
        <v>45793</v>
      </c>
      <c r="I924" s="780" t="s">
        <v>791</v>
      </c>
      <c r="J924" s="749" t="s">
        <v>215</v>
      </c>
      <c r="K924" s="780" t="s">
        <v>19</v>
      </c>
      <c r="L924" s="279" t="s">
        <v>20</v>
      </c>
      <c r="M924" s="718" t="s">
        <v>794</v>
      </c>
      <c r="N924" s="202"/>
      <c r="O924" s="512"/>
      <c r="P924" s="512"/>
      <c r="Q924" s="512"/>
      <c r="R924" s="512"/>
      <c r="S924" s="512"/>
      <c r="T924" s="512"/>
      <c r="U924" s="512"/>
      <c r="V924" s="512"/>
      <c r="W924" s="512"/>
    </row>
    <row r="925" s="477" customFormat="1" ht="15.4" customHeight="1" spans="1:23">
      <c r="A925" s="749" t="s">
        <v>778</v>
      </c>
      <c r="B925" s="1101" t="s">
        <v>789</v>
      </c>
      <c r="C925" s="794" t="s">
        <v>60</v>
      </c>
      <c r="D925" s="266">
        <v>2</v>
      </c>
      <c r="E925" s="988"/>
      <c r="F925" s="675"/>
      <c r="G925" s="675">
        <f t="shared" si="80"/>
        <v>45750</v>
      </c>
      <c r="H925" s="676">
        <f t="shared" si="81"/>
        <v>45793</v>
      </c>
      <c r="I925" s="780" t="s">
        <v>791</v>
      </c>
      <c r="J925" s="749" t="s">
        <v>215</v>
      </c>
      <c r="K925" s="780" t="s">
        <v>19</v>
      </c>
      <c r="L925" s="279" t="s">
        <v>20</v>
      </c>
      <c r="M925" s="718" t="s">
        <v>794</v>
      </c>
      <c r="N925" s="202"/>
      <c r="O925" s="512"/>
      <c r="P925" s="512"/>
      <c r="Q925" s="512"/>
      <c r="R925" s="512"/>
      <c r="S925" s="512"/>
      <c r="T925" s="512"/>
      <c r="U925" s="512"/>
      <c r="V925" s="512"/>
      <c r="W925" s="512"/>
    </row>
    <row r="926" s="971" customFormat="1" ht="15.4" customHeight="1" spans="1:23">
      <c r="A926" s="784" t="s">
        <v>736</v>
      </c>
      <c r="B926" s="1050" t="s">
        <v>795</v>
      </c>
      <c r="C926" s="1050" t="s">
        <v>104</v>
      </c>
      <c r="D926" s="279">
        <v>25</v>
      </c>
      <c r="E926" s="1108" t="s">
        <v>796</v>
      </c>
      <c r="F926" s="675"/>
      <c r="G926" s="675">
        <f>VLOOKUP(CLEAN(SUBSTITUTE(TRIM(MID(E:E,FIND("/",E:E)+1,LEN(E:E)))," ","")),'Customs Decl. &amp; Local Delivery'!D:I,6,0)</f>
        <v>45750</v>
      </c>
      <c r="H926" s="676">
        <f>VLOOKUP(CLEAN(SUBSTITUTE(TRIM(MID(E:E,FIND("/",E:E)+1,LEN(E:E)))," ","")),'Customs Decl. &amp; Local Delivery'!D:J,7,0)</f>
        <v>45772</v>
      </c>
      <c r="I926" s="690" t="s">
        <v>797</v>
      </c>
      <c r="J926" s="784" t="s">
        <v>207</v>
      </c>
      <c r="K926" s="784" t="s">
        <v>107</v>
      </c>
      <c r="L926" s="1090" t="s">
        <v>20</v>
      </c>
      <c r="M926" s="1111" t="s">
        <v>798</v>
      </c>
      <c r="N926" s="1112"/>
      <c r="O926" s="512"/>
      <c r="P926" s="512"/>
      <c r="Q926" s="512"/>
      <c r="R926" s="512"/>
      <c r="S926" s="512"/>
      <c r="T926" s="512"/>
      <c r="U926" s="512"/>
      <c r="V926" s="512"/>
      <c r="W926" s="512"/>
    </row>
    <row r="927" s="971" customFormat="1" ht="15.4" customHeight="1" spans="1:23">
      <c r="A927" s="784" t="s">
        <v>736</v>
      </c>
      <c r="B927" s="1050" t="s">
        <v>795</v>
      </c>
      <c r="C927" s="1050" t="s">
        <v>109</v>
      </c>
      <c r="D927" s="279">
        <v>25</v>
      </c>
      <c r="E927" s="988"/>
      <c r="F927" s="675"/>
      <c r="G927" s="675">
        <f t="shared" ref="G927:G937" si="82">G926</f>
        <v>45750</v>
      </c>
      <c r="H927" s="676">
        <f t="shared" ref="H927:H937" si="83">H926</f>
        <v>45772</v>
      </c>
      <c r="I927" s="690" t="s">
        <v>797</v>
      </c>
      <c r="J927" s="784" t="s">
        <v>207</v>
      </c>
      <c r="K927" s="784" t="s">
        <v>107</v>
      </c>
      <c r="L927" s="279" t="s">
        <v>20</v>
      </c>
      <c r="M927" s="1111" t="s">
        <v>799</v>
      </c>
      <c r="N927" s="1112"/>
      <c r="O927" s="512"/>
      <c r="P927" s="512"/>
      <c r="Q927" s="512"/>
      <c r="R927" s="512"/>
      <c r="S927" s="512"/>
      <c r="T927" s="512"/>
      <c r="U927" s="512"/>
      <c r="V927" s="512"/>
      <c r="W927" s="512"/>
    </row>
    <row r="928" s="971" customFormat="1" ht="15.4" customHeight="1" spans="1:23">
      <c r="A928" s="784" t="s">
        <v>736</v>
      </c>
      <c r="B928" s="1050" t="s">
        <v>795</v>
      </c>
      <c r="C928" s="1050" t="s">
        <v>111</v>
      </c>
      <c r="D928" s="279">
        <v>65</v>
      </c>
      <c r="E928" s="988"/>
      <c r="F928" s="675"/>
      <c r="G928" s="675">
        <f t="shared" si="82"/>
        <v>45750</v>
      </c>
      <c r="H928" s="676">
        <f t="shared" si="83"/>
        <v>45772</v>
      </c>
      <c r="I928" s="690" t="s">
        <v>797</v>
      </c>
      <c r="J928" s="784" t="s">
        <v>207</v>
      </c>
      <c r="K928" s="784" t="s">
        <v>107</v>
      </c>
      <c r="L928" s="279" t="s">
        <v>20</v>
      </c>
      <c r="M928" s="1111"/>
      <c r="N928" s="1112"/>
      <c r="O928" s="512"/>
      <c r="P928" s="512"/>
      <c r="Q928" s="512"/>
      <c r="R928" s="512"/>
      <c r="S928" s="512"/>
      <c r="T928" s="512"/>
      <c r="U928" s="512"/>
      <c r="V928" s="512"/>
      <c r="W928" s="512"/>
    </row>
    <row r="929" s="971" customFormat="1" ht="15.4" customHeight="1" spans="1:23">
      <c r="A929" s="784" t="s">
        <v>736</v>
      </c>
      <c r="B929" s="1050" t="s">
        <v>795</v>
      </c>
      <c r="C929" s="1050" t="s">
        <v>112</v>
      </c>
      <c r="D929" s="279">
        <v>65</v>
      </c>
      <c r="E929" s="988"/>
      <c r="F929" s="675"/>
      <c r="G929" s="675">
        <f t="shared" si="82"/>
        <v>45750</v>
      </c>
      <c r="H929" s="676">
        <f t="shared" si="83"/>
        <v>45772</v>
      </c>
      <c r="I929" s="690" t="s">
        <v>797</v>
      </c>
      <c r="J929" s="784" t="s">
        <v>207</v>
      </c>
      <c r="K929" s="784" t="s">
        <v>107</v>
      </c>
      <c r="L929" s="279" t="s">
        <v>20</v>
      </c>
      <c r="M929" s="1111"/>
      <c r="N929" s="1112"/>
      <c r="O929" s="512"/>
      <c r="P929" s="512"/>
      <c r="Q929" s="512"/>
      <c r="R929" s="512"/>
      <c r="S929" s="512"/>
      <c r="T929" s="512"/>
      <c r="U929" s="512"/>
      <c r="V929" s="512"/>
      <c r="W929" s="512"/>
    </row>
    <row r="930" s="971" customFormat="1" ht="15.4" customHeight="1" spans="1:23">
      <c r="A930" s="784" t="s">
        <v>736</v>
      </c>
      <c r="B930" s="1050" t="s">
        <v>795</v>
      </c>
      <c r="C930" s="1050" t="s">
        <v>114</v>
      </c>
      <c r="D930" s="279">
        <v>30</v>
      </c>
      <c r="E930" s="988"/>
      <c r="F930" s="675"/>
      <c r="G930" s="675">
        <f t="shared" si="82"/>
        <v>45750</v>
      </c>
      <c r="H930" s="676">
        <f t="shared" si="83"/>
        <v>45772</v>
      </c>
      <c r="I930" s="690" t="s">
        <v>797</v>
      </c>
      <c r="J930" s="784" t="s">
        <v>207</v>
      </c>
      <c r="K930" s="784" t="s">
        <v>107</v>
      </c>
      <c r="L930" s="279" t="s">
        <v>20</v>
      </c>
      <c r="M930" s="1111" t="s">
        <v>800</v>
      </c>
      <c r="N930" s="1112"/>
      <c r="O930" s="512"/>
      <c r="P930" s="512"/>
      <c r="Q930" s="512"/>
      <c r="R930" s="512"/>
      <c r="S930" s="512"/>
      <c r="T930" s="512"/>
      <c r="U930" s="512"/>
      <c r="V930" s="512"/>
      <c r="W930" s="512"/>
    </row>
    <row r="931" s="971" customFormat="1" ht="15.4" customHeight="1" spans="1:23">
      <c r="A931" s="784" t="s">
        <v>736</v>
      </c>
      <c r="B931" s="1050" t="s">
        <v>795</v>
      </c>
      <c r="C931" s="1050" t="s">
        <v>115</v>
      </c>
      <c r="D931" s="279">
        <v>30</v>
      </c>
      <c r="E931" s="988"/>
      <c r="F931" s="675"/>
      <c r="G931" s="675">
        <f t="shared" si="82"/>
        <v>45750</v>
      </c>
      <c r="H931" s="676">
        <f t="shared" si="83"/>
        <v>45772</v>
      </c>
      <c r="I931" s="690" t="s">
        <v>797</v>
      </c>
      <c r="J931" s="784" t="s">
        <v>207</v>
      </c>
      <c r="K931" s="784" t="s">
        <v>107</v>
      </c>
      <c r="L931" s="279" t="s">
        <v>20</v>
      </c>
      <c r="M931" s="1111"/>
      <c r="N931" s="512"/>
      <c r="O931" s="512"/>
      <c r="P931" s="512"/>
      <c r="Q931" s="512"/>
      <c r="R931" s="512"/>
      <c r="S931" s="512"/>
      <c r="T931" s="512"/>
      <c r="U931" s="512"/>
      <c r="V931" s="512"/>
      <c r="W931" s="512"/>
    </row>
    <row r="932" s="971" customFormat="1" ht="15.4" customHeight="1" spans="1:23">
      <c r="A932" s="784" t="s">
        <v>736</v>
      </c>
      <c r="B932" s="1050" t="s">
        <v>795</v>
      </c>
      <c r="C932" s="1050" t="s">
        <v>116</v>
      </c>
      <c r="D932" s="279">
        <v>24</v>
      </c>
      <c r="E932" s="988"/>
      <c r="F932" s="675"/>
      <c r="G932" s="675">
        <f t="shared" si="82"/>
        <v>45750</v>
      </c>
      <c r="H932" s="676">
        <f t="shared" si="83"/>
        <v>45772</v>
      </c>
      <c r="I932" s="690" t="s">
        <v>797</v>
      </c>
      <c r="J932" s="784" t="s">
        <v>207</v>
      </c>
      <c r="K932" s="784" t="s">
        <v>107</v>
      </c>
      <c r="L932" s="279" t="s">
        <v>20</v>
      </c>
      <c r="M932" s="784"/>
      <c r="N932" s="512"/>
      <c r="O932" s="512"/>
      <c r="P932" s="512"/>
      <c r="Q932" s="512"/>
      <c r="R932" s="512"/>
      <c r="S932" s="512"/>
      <c r="T932" s="512"/>
      <c r="U932" s="512"/>
      <c r="V932" s="512"/>
      <c r="W932" s="512"/>
    </row>
    <row r="933" s="971" customFormat="1" ht="15.4" customHeight="1" spans="1:23">
      <c r="A933" s="784" t="s">
        <v>736</v>
      </c>
      <c r="B933" s="1050" t="s">
        <v>795</v>
      </c>
      <c r="C933" s="1050" t="s">
        <v>117</v>
      </c>
      <c r="D933" s="279">
        <v>24</v>
      </c>
      <c r="E933" s="988"/>
      <c r="F933" s="675"/>
      <c r="G933" s="675">
        <f t="shared" si="82"/>
        <v>45750</v>
      </c>
      <c r="H933" s="676">
        <f t="shared" si="83"/>
        <v>45772</v>
      </c>
      <c r="I933" s="690" t="s">
        <v>797</v>
      </c>
      <c r="J933" s="784" t="s">
        <v>207</v>
      </c>
      <c r="K933" s="784" t="s">
        <v>107</v>
      </c>
      <c r="L933" s="279" t="s">
        <v>20</v>
      </c>
      <c r="M933" s="784"/>
      <c r="N933" s="512"/>
      <c r="O933" s="512"/>
      <c r="P933" s="512"/>
      <c r="Q933" s="512"/>
      <c r="R933" s="512"/>
      <c r="S933" s="512"/>
      <c r="T933" s="512"/>
      <c r="U933" s="512"/>
      <c r="V933" s="512"/>
      <c r="W933" s="512"/>
    </row>
    <row r="934" s="971" customFormat="1" ht="15.4" customHeight="1" spans="1:23">
      <c r="A934" s="784" t="s">
        <v>736</v>
      </c>
      <c r="B934" s="1050" t="s">
        <v>795</v>
      </c>
      <c r="C934" s="1050" t="s">
        <v>118</v>
      </c>
      <c r="D934" s="279">
        <v>30</v>
      </c>
      <c r="E934" s="988"/>
      <c r="F934" s="675"/>
      <c r="G934" s="675">
        <f t="shared" si="82"/>
        <v>45750</v>
      </c>
      <c r="H934" s="676">
        <f t="shared" si="83"/>
        <v>45772</v>
      </c>
      <c r="I934" s="690" t="s">
        <v>797</v>
      </c>
      <c r="J934" s="784" t="s">
        <v>207</v>
      </c>
      <c r="K934" s="784" t="s">
        <v>107</v>
      </c>
      <c r="L934" s="279" t="s">
        <v>20</v>
      </c>
      <c r="M934" s="784"/>
      <c r="N934" s="1112"/>
      <c r="O934" s="512"/>
      <c r="P934" s="512"/>
      <c r="Q934" s="512"/>
      <c r="R934" s="512"/>
      <c r="S934" s="512"/>
      <c r="T934" s="512"/>
      <c r="U934" s="512"/>
      <c r="V934" s="512"/>
      <c r="W934" s="512"/>
    </row>
    <row r="935" s="971" customFormat="1" ht="15.4" customHeight="1" spans="1:23">
      <c r="A935" s="784" t="s">
        <v>736</v>
      </c>
      <c r="B935" s="1050" t="s">
        <v>795</v>
      </c>
      <c r="C935" s="1050" t="s">
        <v>119</v>
      </c>
      <c r="D935" s="279">
        <v>30</v>
      </c>
      <c r="E935" s="988"/>
      <c r="F935" s="675"/>
      <c r="G935" s="675">
        <f t="shared" si="82"/>
        <v>45750</v>
      </c>
      <c r="H935" s="676">
        <f t="shared" si="83"/>
        <v>45772</v>
      </c>
      <c r="I935" s="690" t="s">
        <v>797</v>
      </c>
      <c r="J935" s="784" t="s">
        <v>207</v>
      </c>
      <c r="K935" s="784" t="s">
        <v>107</v>
      </c>
      <c r="L935" s="279" t="s">
        <v>20</v>
      </c>
      <c r="M935" s="784"/>
      <c r="N935" s="1112"/>
      <c r="O935" s="512"/>
      <c r="P935" s="512"/>
      <c r="Q935" s="512"/>
      <c r="R935" s="512"/>
      <c r="S935" s="512"/>
      <c r="T935" s="512"/>
      <c r="U935" s="512"/>
      <c r="V935" s="512"/>
      <c r="W935" s="512"/>
    </row>
    <row r="936" s="971" customFormat="1" ht="15.4" customHeight="1" spans="1:23">
      <c r="A936" s="784" t="s">
        <v>736</v>
      </c>
      <c r="B936" s="1050" t="s">
        <v>795</v>
      </c>
      <c r="C936" s="1050" t="s">
        <v>120</v>
      </c>
      <c r="D936" s="279">
        <v>10</v>
      </c>
      <c r="E936" s="988"/>
      <c r="F936" s="675"/>
      <c r="G936" s="675">
        <f t="shared" si="82"/>
        <v>45750</v>
      </c>
      <c r="H936" s="676">
        <f t="shared" si="83"/>
        <v>45772</v>
      </c>
      <c r="I936" s="690" t="s">
        <v>797</v>
      </c>
      <c r="J936" s="784" t="s">
        <v>207</v>
      </c>
      <c r="K936" s="784" t="s">
        <v>107</v>
      </c>
      <c r="L936" s="279" t="s">
        <v>20</v>
      </c>
      <c r="M936" s="784"/>
      <c r="N936" s="1112"/>
      <c r="O936" s="512"/>
      <c r="P936" s="512"/>
      <c r="Q936" s="512"/>
      <c r="R936" s="512"/>
      <c r="S936" s="512"/>
      <c r="T936" s="512"/>
      <c r="U936" s="512"/>
      <c r="V936" s="512"/>
      <c r="W936" s="512"/>
    </row>
    <row r="937" s="971" customFormat="1" ht="15.4" customHeight="1" spans="1:23">
      <c r="A937" s="784" t="s">
        <v>736</v>
      </c>
      <c r="B937" s="1050" t="s">
        <v>795</v>
      </c>
      <c r="C937" s="1050" t="s">
        <v>121</v>
      </c>
      <c r="D937" s="279">
        <v>10</v>
      </c>
      <c r="E937" s="988"/>
      <c r="F937" s="675"/>
      <c r="G937" s="675">
        <f t="shared" si="82"/>
        <v>45750</v>
      </c>
      <c r="H937" s="676">
        <f t="shared" si="83"/>
        <v>45772</v>
      </c>
      <c r="I937" s="690" t="s">
        <v>797</v>
      </c>
      <c r="J937" s="784" t="s">
        <v>207</v>
      </c>
      <c r="K937" s="784" t="s">
        <v>107</v>
      </c>
      <c r="L937" s="279" t="s">
        <v>20</v>
      </c>
      <c r="M937" s="784"/>
      <c r="N937" s="1112"/>
      <c r="O937" s="512"/>
      <c r="P937" s="512"/>
      <c r="Q937" s="512"/>
      <c r="R937" s="512"/>
      <c r="S937" s="512"/>
      <c r="T937" s="512"/>
      <c r="U937" s="512"/>
      <c r="V937" s="512"/>
      <c r="W937" s="512"/>
    </row>
    <row r="938" s="971" customFormat="1" ht="15.4" customHeight="1" spans="1:23">
      <c r="A938" s="784" t="s">
        <v>736</v>
      </c>
      <c r="B938" s="1050" t="s">
        <v>801</v>
      </c>
      <c r="C938" s="1050" t="s">
        <v>104</v>
      </c>
      <c r="D938" s="279">
        <v>24</v>
      </c>
      <c r="E938" s="1108" t="s">
        <v>802</v>
      </c>
      <c r="F938" s="675"/>
      <c r="G938" s="675">
        <f>VLOOKUP(CLEAN(SUBSTITUTE(TRIM(MID(E:E,FIND("/",E:E)+1,LEN(E:E)))," ","")),'Customs Decl. &amp; Local Delivery'!D:I,6,0)</f>
        <v>45750</v>
      </c>
      <c r="H938" s="676">
        <f>VLOOKUP(CLEAN(SUBSTITUTE(TRIM(MID(E:E,FIND("/",E:E)+1,LEN(E:E)))," ","")),'Customs Decl. &amp; Local Delivery'!D:J,7,0)</f>
        <v>45772</v>
      </c>
      <c r="I938" s="1064" t="s">
        <v>803</v>
      </c>
      <c r="J938" s="784" t="s">
        <v>207</v>
      </c>
      <c r="K938" s="784" t="s">
        <v>107</v>
      </c>
      <c r="L938" s="1090" t="s">
        <v>20</v>
      </c>
      <c r="M938" s="784" t="s">
        <v>804</v>
      </c>
      <c r="N938" s="1112"/>
      <c r="O938" s="512"/>
      <c r="P938" s="512"/>
      <c r="Q938" s="512"/>
      <c r="R938" s="512"/>
      <c r="S938" s="512"/>
      <c r="T938" s="512"/>
      <c r="U938" s="512"/>
      <c r="V938" s="512"/>
      <c r="W938" s="512"/>
    </row>
    <row r="939" s="971" customFormat="1" ht="15.4" customHeight="1" spans="1:23">
      <c r="A939" s="784" t="s">
        <v>736</v>
      </c>
      <c r="B939" s="1050" t="s">
        <v>801</v>
      </c>
      <c r="C939" s="1050" t="s">
        <v>109</v>
      </c>
      <c r="D939" s="279">
        <v>24</v>
      </c>
      <c r="E939" s="988"/>
      <c r="F939" s="675"/>
      <c r="G939" s="675">
        <f t="shared" ref="G939:G947" si="84">G938</f>
        <v>45750</v>
      </c>
      <c r="H939" s="676">
        <f t="shared" ref="H939:H947" si="85">H938</f>
        <v>45772</v>
      </c>
      <c r="I939" s="1064" t="s">
        <v>803</v>
      </c>
      <c r="J939" s="784" t="s">
        <v>207</v>
      </c>
      <c r="K939" s="784" t="s">
        <v>107</v>
      </c>
      <c r="L939" s="279" t="s">
        <v>20</v>
      </c>
      <c r="M939" s="784" t="s">
        <v>805</v>
      </c>
      <c r="N939" s="1112"/>
      <c r="O939" s="512"/>
      <c r="P939" s="512"/>
      <c r="Q939" s="512"/>
      <c r="R939" s="512"/>
      <c r="S939" s="512"/>
      <c r="T939" s="512"/>
      <c r="U939" s="512"/>
      <c r="V939" s="512"/>
      <c r="W939" s="512"/>
    </row>
    <row r="940" s="971" customFormat="1" ht="15.4" customHeight="1" spans="1:23">
      <c r="A940" s="784" t="s">
        <v>736</v>
      </c>
      <c r="B940" s="1050" t="s">
        <v>801</v>
      </c>
      <c r="C940" s="1050" t="s">
        <v>111</v>
      </c>
      <c r="D940" s="279">
        <v>64</v>
      </c>
      <c r="E940" s="988"/>
      <c r="F940" s="675"/>
      <c r="G940" s="675">
        <f t="shared" si="84"/>
        <v>45750</v>
      </c>
      <c r="H940" s="676">
        <f t="shared" si="85"/>
        <v>45772</v>
      </c>
      <c r="I940" s="1064" t="s">
        <v>803</v>
      </c>
      <c r="J940" s="784" t="s">
        <v>207</v>
      </c>
      <c r="K940" s="784" t="s">
        <v>107</v>
      </c>
      <c r="L940" s="279" t="s">
        <v>20</v>
      </c>
      <c r="M940" s="784"/>
      <c r="N940" s="1112"/>
      <c r="O940" s="512"/>
      <c r="P940" s="512"/>
      <c r="Q940" s="512"/>
      <c r="R940" s="512"/>
      <c r="S940" s="512"/>
      <c r="T940" s="512"/>
      <c r="U940" s="512"/>
      <c r="V940" s="512"/>
      <c r="W940" s="512"/>
    </row>
    <row r="941" s="971" customFormat="1" ht="15.4" customHeight="1" spans="1:23">
      <c r="A941" s="784" t="s">
        <v>736</v>
      </c>
      <c r="B941" s="1050" t="s">
        <v>801</v>
      </c>
      <c r="C941" s="1050" t="s">
        <v>112</v>
      </c>
      <c r="D941" s="279">
        <v>64</v>
      </c>
      <c r="E941" s="988"/>
      <c r="F941" s="675"/>
      <c r="G941" s="675">
        <f t="shared" si="84"/>
        <v>45750</v>
      </c>
      <c r="H941" s="676">
        <f t="shared" si="85"/>
        <v>45772</v>
      </c>
      <c r="I941" s="1064" t="s">
        <v>803</v>
      </c>
      <c r="J941" s="784" t="s">
        <v>207</v>
      </c>
      <c r="K941" s="784" t="s">
        <v>107</v>
      </c>
      <c r="L941" s="279" t="s">
        <v>20</v>
      </c>
      <c r="M941" s="784"/>
      <c r="N941" s="1112"/>
      <c r="O941" s="512"/>
      <c r="P941" s="512"/>
      <c r="Q941" s="512"/>
      <c r="R941" s="512"/>
      <c r="S941" s="512"/>
      <c r="T941" s="512"/>
      <c r="U941" s="512"/>
      <c r="V941" s="512"/>
      <c r="W941" s="512"/>
    </row>
    <row r="942" s="971" customFormat="1" ht="15.4" customHeight="1" spans="1:23">
      <c r="A942" s="784" t="s">
        <v>736</v>
      </c>
      <c r="B942" s="1050" t="s">
        <v>801</v>
      </c>
      <c r="C942" s="1050" t="s">
        <v>114</v>
      </c>
      <c r="D942" s="279">
        <v>40</v>
      </c>
      <c r="E942" s="988"/>
      <c r="F942" s="675"/>
      <c r="G942" s="675">
        <f t="shared" si="84"/>
        <v>45750</v>
      </c>
      <c r="H942" s="676">
        <f t="shared" si="85"/>
        <v>45772</v>
      </c>
      <c r="I942" s="1064" t="s">
        <v>803</v>
      </c>
      <c r="J942" s="784" t="s">
        <v>207</v>
      </c>
      <c r="K942" s="784" t="s">
        <v>107</v>
      </c>
      <c r="L942" s="279" t="s">
        <v>20</v>
      </c>
      <c r="M942" s="784" t="s">
        <v>806</v>
      </c>
      <c r="N942" s="1112"/>
      <c r="O942" s="512"/>
      <c r="P942" s="512"/>
      <c r="Q942" s="512"/>
      <c r="R942" s="512"/>
      <c r="S942" s="512"/>
      <c r="T942" s="512"/>
      <c r="U942" s="512"/>
      <c r="V942" s="512"/>
      <c r="W942" s="512"/>
    </row>
    <row r="943" s="971" customFormat="1" ht="15.4" customHeight="1" spans="1:23">
      <c r="A943" s="784" t="s">
        <v>736</v>
      </c>
      <c r="B943" s="1050" t="s">
        <v>801</v>
      </c>
      <c r="C943" s="1050" t="s">
        <v>115</v>
      </c>
      <c r="D943" s="279">
        <v>40</v>
      </c>
      <c r="E943" s="988"/>
      <c r="F943" s="675"/>
      <c r="G943" s="675">
        <f t="shared" si="84"/>
        <v>45750</v>
      </c>
      <c r="H943" s="676">
        <f t="shared" si="85"/>
        <v>45772</v>
      </c>
      <c r="I943" s="1064" t="s">
        <v>803</v>
      </c>
      <c r="J943" s="784" t="s">
        <v>207</v>
      </c>
      <c r="K943" s="784" t="s">
        <v>107</v>
      </c>
      <c r="L943" s="279" t="s">
        <v>20</v>
      </c>
      <c r="M943" s="784"/>
      <c r="N943" s="1112"/>
      <c r="O943" s="512"/>
      <c r="P943" s="512"/>
      <c r="Q943" s="512"/>
      <c r="R943" s="512"/>
      <c r="S943" s="512"/>
      <c r="T943" s="512"/>
      <c r="U943" s="512"/>
      <c r="V943" s="512"/>
      <c r="W943" s="512"/>
    </row>
    <row r="944" s="971" customFormat="1" ht="15.4" customHeight="1" spans="1:23">
      <c r="A944" s="784" t="s">
        <v>736</v>
      </c>
      <c r="B944" s="1050" t="s">
        <v>801</v>
      </c>
      <c r="C944" s="1050" t="s">
        <v>116</v>
      </c>
      <c r="D944" s="279">
        <v>30</v>
      </c>
      <c r="E944" s="988"/>
      <c r="F944" s="675"/>
      <c r="G944" s="675">
        <f t="shared" si="84"/>
        <v>45750</v>
      </c>
      <c r="H944" s="676">
        <f t="shared" si="85"/>
        <v>45772</v>
      </c>
      <c r="I944" s="1064" t="s">
        <v>803</v>
      </c>
      <c r="J944" s="784" t="s">
        <v>207</v>
      </c>
      <c r="K944" s="784" t="s">
        <v>107</v>
      </c>
      <c r="L944" s="279" t="s">
        <v>20</v>
      </c>
      <c r="M944" s="784"/>
      <c r="N944" s="1112"/>
      <c r="O944" s="512"/>
      <c r="P944" s="512"/>
      <c r="Q944" s="512"/>
      <c r="R944" s="512"/>
      <c r="S944" s="512"/>
      <c r="T944" s="512"/>
      <c r="U944" s="512"/>
      <c r="V944" s="512"/>
      <c r="W944" s="512"/>
    </row>
    <row r="945" s="971" customFormat="1" ht="15.4" customHeight="1" spans="1:23">
      <c r="A945" s="784" t="s">
        <v>736</v>
      </c>
      <c r="B945" s="1050" t="s">
        <v>801</v>
      </c>
      <c r="C945" s="1050" t="s">
        <v>117</v>
      </c>
      <c r="D945" s="279">
        <v>30</v>
      </c>
      <c r="E945" s="988"/>
      <c r="F945" s="675"/>
      <c r="G945" s="675">
        <f t="shared" si="84"/>
        <v>45750</v>
      </c>
      <c r="H945" s="676">
        <f t="shared" si="85"/>
        <v>45772</v>
      </c>
      <c r="I945" s="1064" t="s">
        <v>803</v>
      </c>
      <c r="J945" s="784" t="s">
        <v>207</v>
      </c>
      <c r="K945" s="784" t="s">
        <v>107</v>
      </c>
      <c r="L945" s="279" t="s">
        <v>20</v>
      </c>
      <c r="M945" s="784"/>
      <c r="N945" s="1112"/>
      <c r="O945" s="512"/>
      <c r="P945" s="512"/>
      <c r="Q945" s="512"/>
      <c r="R945" s="512"/>
      <c r="S945" s="512"/>
      <c r="T945" s="512"/>
      <c r="U945" s="512"/>
      <c r="V945" s="512"/>
      <c r="W945" s="512"/>
    </row>
    <row r="946" s="971" customFormat="1" ht="15.4" customHeight="1" spans="1:23">
      <c r="A946" s="784" t="s">
        <v>736</v>
      </c>
      <c r="B946" s="1050" t="s">
        <v>801</v>
      </c>
      <c r="C946" s="1050" t="s">
        <v>118</v>
      </c>
      <c r="D946" s="279">
        <v>30</v>
      </c>
      <c r="E946" s="988"/>
      <c r="F946" s="675"/>
      <c r="G946" s="675">
        <f t="shared" si="84"/>
        <v>45750</v>
      </c>
      <c r="H946" s="676">
        <f t="shared" si="85"/>
        <v>45772</v>
      </c>
      <c r="I946" s="1064" t="s">
        <v>803</v>
      </c>
      <c r="J946" s="784" t="s">
        <v>207</v>
      </c>
      <c r="K946" s="784" t="s">
        <v>107</v>
      </c>
      <c r="L946" s="279" t="s">
        <v>20</v>
      </c>
      <c r="M946" s="784"/>
      <c r="N946" s="1112"/>
      <c r="O946" s="512"/>
      <c r="P946" s="512"/>
      <c r="Q946" s="512"/>
      <c r="R946" s="512"/>
      <c r="S946" s="512"/>
      <c r="T946" s="512"/>
      <c r="U946" s="512"/>
      <c r="V946" s="512"/>
      <c r="W946" s="512"/>
    </row>
    <row r="947" s="971" customFormat="1" ht="15.4" customHeight="1" spans="1:23">
      <c r="A947" s="784" t="s">
        <v>736</v>
      </c>
      <c r="B947" s="1050" t="s">
        <v>801</v>
      </c>
      <c r="C947" s="1050" t="s">
        <v>119</v>
      </c>
      <c r="D947" s="279">
        <v>30</v>
      </c>
      <c r="E947" s="988"/>
      <c r="F947" s="675"/>
      <c r="G947" s="675">
        <f t="shared" si="84"/>
        <v>45750</v>
      </c>
      <c r="H947" s="676">
        <f t="shared" si="85"/>
        <v>45772</v>
      </c>
      <c r="I947" s="1064" t="s">
        <v>803</v>
      </c>
      <c r="J947" s="784" t="s">
        <v>207</v>
      </c>
      <c r="K947" s="784" t="s">
        <v>107</v>
      </c>
      <c r="L947" s="279" t="s">
        <v>20</v>
      </c>
      <c r="M947" s="784"/>
      <c r="N947" s="512"/>
      <c r="O947" s="512"/>
      <c r="P947" s="512"/>
      <c r="Q947" s="512"/>
      <c r="R947" s="512"/>
      <c r="S947" s="512"/>
      <c r="T947" s="512"/>
      <c r="U947" s="512"/>
      <c r="V947" s="512"/>
      <c r="W947" s="512"/>
    </row>
    <row r="948" s="178" customFormat="1" ht="15.4" customHeight="1" spans="1:23">
      <c r="A948" s="1064" t="s">
        <v>579</v>
      </c>
      <c r="B948" s="789" t="s">
        <v>807</v>
      </c>
      <c r="C948" s="789" t="s">
        <v>77</v>
      </c>
      <c r="D948" s="279">
        <v>48</v>
      </c>
      <c r="E948" s="1085" t="s">
        <v>808</v>
      </c>
      <c r="F948" s="675"/>
      <c r="G948" s="675">
        <f>VLOOKUP(CLEAN(SUBSTITUTE(TRIM(MID(E:E,FIND("/",E:E)+1,LEN(E:E)))," ","")),'Customs Decl. &amp; Local Delivery'!D:I,6,0)</f>
        <v>45754</v>
      </c>
      <c r="H948" s="676">
        <f>VLOOKUP(CLEAN(SUBSTITUTE(TRIM(MID(E:E,FIND("/",E:E)+1,LEN(E:E)))," ","")),'Customs Decl. &amp; Local Delivery'!D:J,7,0)</f>
        <v>45777</v>
      </c>
      <c r="I948" s="1064" t="s">
        <v>809</v>
      </c>
      <c r="J948" s="784" t="s">
        <v>18</v>
      </c>
      <c r="K948" s="982" t="s">
        <v>64</v>
      </c>
      <c r="L948" s="1090" t="s">
        <v>20</v>
      </c>
      <c r="M948" s="588" t="s">
        <v>810</v>
      </c>
      <c r="N948" s="512"/>
      <c r="O948" s="512"/>
      <c r="P948" s="512"/>
      <c r="Q948" s="512"/>
      <c r="R948" s="512"/>
      <c r="S948" s="512"/>
      <c r="T948" s="512"/>
      <c r="U948" s="512"/>
      <c r="V948" s="512"/>
      <c r="W948" s="512"/>
    </row>
    <row r="949" s="178" customFormat="1" ht="15.4" customHeight="1" spans="1:23">
      <c r="A949" s="1064" t="s">
        <v>579</v>
      </c>
      <c r="B949" s="789" t="s">
        <v>807</v>
      </c>
      <c r="C949" s="789" t="s">
        <v>15</v>
      </c>
      <c r="D949" s="279">
        <v>150</v>
      </c>
      <c r="E949" s="1109"/>
      <c r="F949" s="675"/>
      <c r="G949" s="675">
        <f>G948</f>
        <v>45754</v>
      </c>
      <c r="H949" s="676">
        <f>H948</f>
        <v>45777</v>
      </c>
      <c r="I949" s="1064" t="s">
        <v>809</v>
      </c>
      <c r="J949" s="784" t="s">
        <v>18</v>
      </c>
      <c r="K949" s="982" t="s">
        <v>64</v>
      </c>
      <c r="L949" s="279" t="s">
        <v>20</v>
      </c>
      <c r="M949" s="1058" t="s">
        <v>811</v>
      </c>
      <c r="N949" s="512"/>
      <c r="O949" s="512"/>
      <c r="P949" s="512"/>
      <c r="Q949" s="512"/>
      <c r="R949" s="512"/>
      <c r="S949" s="512"/>
      <c r="T949" s="512"/>
      <c r="U949" s="512"/>
      <c r="V949" s="512"/>
      <c r="W949" s="512"/>
    </row>
    <row r="950" s="178" customFormat="1" ht="15.4" customHeight="1" spans="1:23">
      <c r="A950" s="1064" t="s">
        <v>579</v>
      </c>
      <c r="B950" s="789" t="s">
        <v>807</v>
      </c>
      <c r="C950" s="789" t="s">
        <v>27</v>
      </c>
      <c r="D950" s="279">
        <v>50</v>
      </c>
      <c r="E950" s="988"/>
      <c r="F950" s="675"/>
      <c r="G950" s="675">
        <f>G949</f>
        <v>45754</v>
      </c>
      <c r="H950" s="676">
        <f>H949</f>
        <v>45777</v>
      </c>
      <c r="I950" s="1064" t="s">
        <v>809</v>
      </c>
      <c r="J950" s="784" t="s">
        <v>18</v>
      </c>
      <c r="K950" s="982" t="s">
        <v>64</v>
      </c>
      <c r="L950" s="279" t="s">
        <v>20</v>
      </c>
      <c r="M950" s="1064"/>
      <c r="N950" s="512"/>
      <c r="O950" s="512"/>
      <c r="P950" s="512"/>
      <c r="Q950" s="512"/>
      <c r="R950" s="512"/>
      <c r="S950" s="512"/>
      <c r="T950" s="512"/>
      <c r="U950" s="512"/>
      <c r="V950" s="512"/>
      <c r="W950" s="512"/>
    </row>
    <row r="951" s="178" customFormat="1" ht="15.4" customHeight="1" spans="1:23">
      <c r="A951" s="1064" t="s">
        <v>579</v>
      </c>
      <c r="B951" s="789" t="s">
        <v>807</v>
      </c>
      <c r="C951" s="789" t="s">
        <v>70</v>
      </c>
      <c r="D951" s="279">
        <v>50</v>
      </c>
      <c r="E951" s="988"/>
      <c r="F951" s="675"/>
      <c r="G951" s="675">
        <f>G950</f>
        <v>45754</v>
      </c>
      <c r="H951" s="676">
        <f>H950</f>
        <v>45777</v>
      </c>
      <c r="I951" s="1064" t="s">
        <v>809</v>
      </c>
      <c r="J951" s="784" t="s">
        <v>18</v>
      </c>
      <c r="K951" s="982" t="s">
        <v>64</v>
      </c>
      <c r="L951" s="279" t="s">
        <v>20</v>
      </c>
      <c r="M951" s="1064"/>
      <c r="N951" s="512"/>
      <c r="O951" s="512"/>
      <c r="P951" s="512"/>
      <c r="Q951" s="512"/>
      <c r="R951" s="512"/>
      <c r="S951" s="512"/>
      <c r="T951" s="512"/>
      <c r="U951" s="512"/>
      <c r="V951" s="512"/>
      <c r="W951" s="512"/>
    </row>
    <row r="952" s="178" customFormat="1" ht="15.4" customHeight="1" spans="1:23">
      <c r="A952" s="1064" t="s">
        <v>579</v>
      </c>
      <c r="B952" s="789" t="s">
        <v>812</v>
      </c>
      <c r="C952" s="789" t="s">
        <v>77</v>
      </c>
      <c r="D952" s="279">
        <v>48</v>
      </c>
      <c r="E952" s="1085" t="s">
        <v>813</v>
      </c>
      <c r="F952" s="675"/>
      <c r="G952" s="675">
        <f>VLOOKUP(CLEAN(SUBSTITUTE(TRIM(MID(E:E,FIND("/",E:E)+1,LEN(E:E)))," ","")),'Customs Decl. &amp; Local Delivery'!D:I,6,0)</f>
        <v>45754</v>
      </c>
      <c r="H952" s="676">
        <f>VLOOKUP(CLEAN(SUBSTITUTE(TRIM(MID(E:E,FIND("/",E:E)+1,LEN(E:E)))," ","")),'Customs Decl. &amp; Local Delivery'!D:J,7,0)</f>
        <v>45777</v>
      </c>
      <c r="I952" s="1064" t="s">
        <v>809</v>
      </c>
      <c r="J952" s="784" t="s">
        <v>18</v>
      </c>
      <c r="K952" s="982" t="s">
        <v>64</v>
      </c>
      <c r="L952" s="279" t="s">
        <v>20</v>
      </c>
      <c r="M952" s="1058" t="s">
        <v>814</v>
      </c>
      <c r="N952" s="512"/>
      <c r="O952" s="512"/>
      <c r="P952" s="512"/>
      <c r="Q952" s="512"/>
      <c r="R952" s="512"/>
      <c r="S952" s="512"/>
      <c r="T952" s="512"/>
      <c r="U952" s="512"/>
      <c r="V952" s="512"/>
      <c r="W952" s="512"/>
    </row>
    <row r="953" s="178" customFormat="1" ht="15.4" customHeight="1" spans="1:23">
      <c r="A953" s="1064" t="s">
        <v>579</v>
      </c>
      <c r="B953" s="789" t="s">
        <v>812</v>
      </c>
      <c r="C953" s="789" t="s">
        <v>15</v>
      </c>
      <c r="D953" s="279">
        <v>162</v>
      </c>
      <c r="E953" s="988"/>
      <c r="F953" s="675"/>
      <c r="G953" s="675">
        <f>G952</f>
        <v>45754</v>
      </c>
      <c r="H953" s="676">
        <f>H952</f>
        <v>45777</v>
      </c>
      <c r="I953" s="1064" t="s">
        <v>809</v>
      </c>
      <c r="J953" s="784" t="s">
        <v>18</v>
      </c>
      <c r="K953" s="982" t="s">
        <v>64</v>
      </c>
      <c r="L953" s="279" t="s">
        <v>20</v>
      </c>
      <c r="M953" s="588" t="s">
        <v>815</v>
      </c>
      <c r="N953" s="512"/>
      <c r="O953" s="512"/>
      <c r="P953" s="512"/>
      <c r="Q953" s="512"/>
      <c r="R953" s="512"/>
      <c r="S953" s="512"/>
      <c r="T953" s="512"/>
      <c r="U953" s="512"/>
      <c r="V953" s="512"/>
      <c r="W953" s="512"/>
    </row>
    <row r="954" s="178" customFormat="1" ht="15.4" customHeight="1" spans="1:23">
      <c r="A954" s="1064" t="s">
        <v>579</v>
      </c>
      <c r="B954" s="789" t="s">
        <v>812</v>
      </c>
      <c r="C954" s="789" t="s">
        <v>24</v>
      </c>
      <c r="D954" s="279">
        <v>54</v>
      </c>
      <c r="E954" s="988"/>
      <c r="F954" s="675"/>
      <c r="G954" s="675">
        <f>G953</f>
        <v>45754</v>
      </c>
      <c r="H954" s="676">
        <f>H953</f>
        <v>45777</v>
      </c>
      <c r="I954" s="1064" t="s">
        <v>809</v>
      </c>
      <c r="J954" s="784" t="s">
        <v>18</v>
      </c>
      <c r="K954" s="982" t="s">
        <v>64</v>
      </c>
      <c r="L954" s="279" t="s">
        <v>20</v>
      </c>
      <c r="M954" s="1064"/>
      <c r="N954" s="512"/>
      <c r="O954" s="512"/>
      <c r="P954" s="512"/>
      <c r="Q954" s="512"/>
      <c r="R954" s="512"/>
      <c r="S954" s="512"/>
      <c r="T954" s="512"/>
      <c r="U954" s="512"/>
      <c r="V954" s="512"/>
      <c r="W954" s="512"/>
    </row>
    <row r="955" s="178" customFormat="1" ht="15.4" customHeight="1" spans="1:23">
      <c r="A955" s="1064" t="s">
        <v>579</v>
      </c>
      <c r="B955" s="789" t="s">
        <v>812</v>
      </c>
      <c r="C955" s="789" t="s">
        <v>67</v>
      </c>
      <c r="D955" s="279">
        <v>54</v>
      </c>
      <c r="E955" s="1109"/>
      <c r="F955" s="675"/>
      <c r="G955" s="675">
        <f>G954</f>
        <v>45754</v>
      </c>
      <c r="H955" s="676">
        <f>H954</f>
        <v>45777</v>
      </c>
      <c r="I955" s="1064" t="s">
        <v>809</v>
      </c>
      <c r="J955" s="784" t="s">
        <v>18</v>
      </c>
      <c r="K955" s="982" t="s">
        <v>64</v>
      </c>
      <c r="L955" s="279" t="s">
        <v>20</v>
      </c>
      <c r="M955" s="1058"/>
      <c r="N955" s="1112"/>
      <c r="O955" s="512"/>
      <c r="P955" s="512"/>
      <c r="Q955" s="512"/>
      <c r="R955" s="512"/>
      <c r="S955" s="512"/>
      <c r="T955" s="512"/>
      <c r="U955" s="512"/>
      <c r="V955" s="512"/>
      <c r="W955" s="512"/>
    </row>
    <row r="956" s="178" customFormat="1" ht="15.4" customHeight="1" spans="1:23">
      <c r="A956" s="749" t="s">
        <v>778</v>
      </c>
      <c r="B956" s="811" t="s">
        <v>816</v>
      </c>
      <c r="C956" s="794" t="s">
        <v>52</v>
      </c>
      <c r="D956" s="351">
        <v>26</v>
      </c>
      <c r="E956" s="1085" t="s">
        <v>817</v>
      </c>
      <c r="F956" s="675"/>
      <c r="G956" s="675">
        <f>VLOOKUP(CLEAN(SUBSTITUTE(TRIM(MID(E:E,FIND("/",E:E)+1,LEN(E:E)))," ","")),'Customs Decl. &amp; Local Delivery'!D:I,6,0)</f>
        <v>45754</v>
      </c>
      <c r="H956" s="676">
        <f>VLOOKUP(CLEAN(SUBSTITUTE(TRIM(MID(E:E,FIND("/",E:E)+1,LEN(E:E)))," ","")),'Customs Decl. &amp; Local Delivery'!D:J,7,0)</f>
        <v>45773</v>
      </c>
      <c r="I956" s="780" t="s">
        <v>818</v>
      </c>
      <c r="J956" s="749" t="s">
        <v>161</v>
      </c>
      <c r="K956" s="780" t="s">
        <v>147</v>
      </c>
      <c r="L956" s="279" t="s">
        <v>20</v>
      </c>
      <c r="M956" s="718" t="s">
        <v>819</v>
      </c>
      <c r="N956" s="203"/>
      <c r="O956" s="512"/>
      <c r="P956" s="512"/>
      <c r="Q956" s="512"/>
      <c r="R956" s="512"/>
      <c r="S956" s="512"/>
      <c r="T956" s="512"/>
      <c r="U956" s="512"/>
      <c r="V956" s="512"/>
      <c r="W956" s="512"/>
    </row>
    <row r="957" s="178" customFormat="1" ht="15.4" customHeight="1" spans="1:23">
      <c r="A957" s="749" t="s">
        <v>778</v>
      </c>
      <c r="B957" s="811" t="s">
        <v>816</v>
      </c>
      <c r="C957" s="794" t="s">
        <v>56</v>
      </c>
      <c r="D957" s="351">
        <v>26</v>
      </c>
      <c r="E957" s="1113"/>
      <c r="F957" s="675"/>
      <c r="G957" s="675">
        <f t="shared" ref="G957:G966" si="86">G956</f>
        <v>45754</v>
      </c>
      <c r="H957" s="676">
        <f t="shared" ref="H957:H966" si="87">H956</f>
        <v>45773</v>
      </c>
      <c r="I957" s="780" t="s">
        <v>818</v>
      </c>
      <c r="J957" s="749" t="s">
        <v>161</v>
      </c>
      <c r="K957" s="780" t="s">
        <v>147</v>
      </c>
      <c r="L957" s="279" t="s">
        <v>20</v>
      </c>
      <c r="M957" s="1058" t="s">
        <v>820</v>
      </c>
      <c r="N957" s="203"/>
      <c r="O957" s="512"/>
      <c r="P957" s="512"/>
      <c r="Q957" s="512"/>
      <c r="R957" s="512"/>
      <c r="S957" s="512"/>
      <c r="T957" s="512"/>
      <c r="U957" s="512"/>
      <c r="V957" s="512"/>
      <c r="W957" s="512"/>
    </row>
    <row r="958" s="178" customFormat="1" ht="15.4" customHeight="1" spans="1:23">
      <c r="A958" s="749" t="s">
        <v>778</v>
      </c>
      <c r="B958" s="811" t="s">
        <v>816</v>
      </c>
      <c r="C958" s="794" t="s">
        <v>41</v>
      </c>
      <c r="D958" s="351">
        <v>40</v>
      </c>
      <c r="E958" s="1113"/>
      <c r="F958" s="675"/>
      <c r="G958" s="675">
        <f t="shared" si="86"/>
        <v>45754</v>
      </c>
      <c r="H958" s="676">
        <f t="shared" si="87"/>
        <v>45773</v>
      </c>
      <c r="I958" s="780" t="s">
        <v>818</v>
      </c>
      <c r="J958" s="749" t="s">
        <v>161</v>
      </c>
      <c r="K958" s="780" t="s">
        <v>147</v>
      </c>
      <c r="L958" s="279" t="s">
        <v>20</v>
      </c>
      <c r="M958" s="780"/>
      <c r="N958" s="203"/>
      <c r="O958" s="512"/>
      <c r="P958" s="512"/>
      <c r="Q958" s="512"/>
      <c r="R958" s="512"/>
      <c r="S958" s="512"/>
      <c r="T958" s="512"/>
      <c r="U958" s="512"/>
      <c r="V958" s="512"/>
      <c r="W958" s="512"/>
    </row>
    <row r="959" s="178" customFormat="1" ht="15.4" customHeight="1" spans="1:23">
      <c r="A959" s="749" t="s">
        <v>778</v>
      </c>
      <c r="B959" s="811" t="s">
        <v>816</v>
      </c>
      <c r="C959" s="794" t="s">
        <v>47</v>
      </c>
      <c r="D959" s="351">
        <v>32</v>
      </c>
      <c r="E959" s="1113"/>
      <c r="F959" s="675"/>
      <c r="G959" s="675">
        <f t="shared" si="86"/>
        <v>45754</v>
      </c>
      <c r="H959" s="676">
        <f t="shared" si="87"/>
        <v>45773</v>
      </c>
      <c r="I959" s="780" t="s">
        <v>818</v>
      </c>
      <c r="J959" s="749" t="s">
        <v>161</v>
      </c>
      <c r="K959" s="780" t="s">
        <v>147</v>
      </c>
      <c r="L959" s="279" t="s">
        <v>20</v>
      </c>
      <c r="M959" s="780"/>
      <c r="N959" s="203"/>
      <c r="O959" s="512"/>
      <c r="P959" s="512"/>
      <c r="Q959" s="512"/>
      <c r="R959" s="512"/>
      <c r="S959" s="512"/>
      <c r="T959" s="512"/>
      <c r="U959" s="512"/>
      <c r="V959" s="512"/>
      <c r="W959" s="512"/>
    </row>
    <row r="960" s="178" customFormat="1" ht="15.4" customHeight="1" spans="1:23">
      <c r="A960" s="749" t="s">
        <v>778</v>
      </c>
      <c r="B960" s="811" t="s">
        <v>816</v>
      </c>
      <c r="C960" s="794" t="s">
        <v>48</v>
      </c>
      <c r="D960" s="351">
        <v>32</v>
      </c>
      <c r="E960" s="922"/>
      <c r="F960" s="675"/>
      <c r="G960" s="675">
        <f t="shared" si="86"/>
        <v>45754</v>
      </c>
      <c r="H960" s="676">
        <f t="shared" si="87"/>
        <v>45773</v>
      </c>
      <c r="I960" s="780" t="s">
        <v>818</v>
      </c>
      <c r="J960" s="749" t="s">
        <v>161</v>
      </c>
      <c r="K960" s="780" t="s">
        <v>147</v>
      </c>
      <c r="L960" s="279" t="s">
        <v>20</v>
      </c>
      <c r="M960" s="780"/>
      <c r="N960" s="203"/>
      <c r="O960" s="512"/>
      <c r="P960" s="512"/>
      <c r="Q960" s="512"/>
      <c r="R960" s="512"/>
      <c r="S960" s="512"/>
      <c r="T960" s="512"/>
      <c r="U960" s="512"/>
      <c r="V960" s="512"/>
      <c r="W960" s="512"/>
    </row>
    <row r="961" s="178" customFormat="1" ht="15.4" customHeight="1" spans="1:23">
      <c r="A961" s="749" t="s">
        <v>778</v>
      </c>
      <c r="B961" s="811" t="s">
        <v>816</v>
      </c>
      <c r="C961" s="794" t="s">
        <v>49</v>
      </c>
      <c r="D961" s="351">
        <v>24</v>
      </c>
      <c r="E961" s="922"/>
      <c r="F961" s="675"/>
      <c r="G961" s="675">
        <f t="shared" si="86"/>
        <v>45754</v>
      </c>
      <c r="H961" s="676">
        <f t="shared" si="87"/>
        <v>45773</v>
      </c>
      <c r="I961" s="780" t="s">
        <v>818</v>
      </c>
      <c r="J961" s="749" t="s">
        <v>161</v>
      </c>
      <c r="K961" s="780" t="s">
        <v>147</v>
      </c>
      <c r="L961" s="279" t="s">
        <v>20</v>
      </c>
      <c r="M961" s="780"/>
      <c r="N961" s="203"/>
      <c r="O961" s="512"/>
      <c r="P961" s="512"/>
      <c r="Q961" s="512"/>
      <c r="R961" s="512"/>
      <c r="S961" s="512"/>
      <c r="T961" s="512"/>
      <c r="U961" s="512"/>
      <c r="V961" s="512"/>
      <c r="W961" s="512"/>
    </row>
    <row r="962" s="178" customFormat="1" ht="15.4" customHeight="1" spans="1:23">
      <c r="A962" s="749" t="s">
        <v>778</v>
      </c>
      <c r="B962" s="811" t="s">
        <v>816</v>
      </c>
      <c r="C962" s="794" t="s">
        <v>50</v>
      </c>
      <c r="D962" s="351">
        <v>25</v>
      </c>
      <c r="E962" s="1113"/>
      <c r="F962" s="675"/>
      <c r="G962" s="675">
        <f t="shared" si="86"/>
        <v>45754</v>
      </c>
      <c r="H962" s="676">
        <f t="shared" si="87"/>
        <v>45773</v>
      </c>
      <c r="I962" s="780" t="s">
        <v>818</v>
      </c>
      <c r="J962" s="749" t="s">
        <v>161</v>
      </c>
      <c r="K962" s="780" t="s">
        <v>147</v>
      </c>
      <c r="L962" s="279" t="s">
        <v>20</v>
      </c>
      <c r="M962" s="780"/>
      <c r="N962" s="203"/>
      <c r="O962" s="512"/>
      <c r="P962" s="512"/>
      <c r="Q962" s="512"/>
      <c r="R962" s="512"/>
      <c r="S962" s="512"/>
      <c r="T962" s="512"/>
      <c r="U962" s="512"/>
      <c r="V962" s="512"/>
      <c r="W962" s="512"/>
    </row>
    <row r="963" s="178" customFormat="1" ht="15.4" customHeight="1" spans="1:23">
      <c r="A963" s="749" t="s">
        <v>778</v>
      </c>
      <c r="B963" s="811" t="s">
        <v>816</v>
      </c>
      <c r="C963" s="794" t="s">
        <v>57</v>
      </c>
      <c r="D963" s="351">
        <v>31</v>
      </c>
      <c r="E963" s="922"/>
      <c r="F963" s="675"/>
      <c r="G963" s="675">
        <f t="shared" si="86"/>
        <v>45754</v>
      </c>
      <c r="H963" s="676">
        <f t="shared" si="87"/>
        <v>45773</v>
      </c>
      <c r="I963" s="780" t="s">
        <v>818</v>
      </c>
      <c r="J963" s="749" t="s">
        <v>161</v>
      </c>
      <c r="K963" s="780" t="s">
        <v>147</v>
      </c>
      <c r="L963" s="279" t="s">
        <v>20</v>
      </c>
      <c r="M963" s="780"/>
      <c r="N963" s="203"/>
      <c r="O963" s="512"/>
      <c r="P963" s="512"/>
      <c r="Q963" s="512"/>
      <c r="R963" s="512"/>
      <c r="S963" s="512"/>
      <c r="T963" s="512"/>
      <c r="U963" s="512"/>
      <c r="V963" s="512"/>
      <c r="W963" s="512"/>
    </row>
    <row r="964" s="178" customFormat="1" ht="15.4" customHeight="1" spans="1:23">
      <c r="A964" s="749" t="s">
        <v>778</v>
      </c>
      <c r="B964" s="811" t="s">
        <v>816</v>
      </c>
      <c r="C964" s="794" t="s">
        <v>58</v>
      </c>
      <c r="D964" s="351">
        <v>31</v>
      </c>
      <c r="E964" s="922"/>
      <c r="F964" s="675"/>
      <c r="G964" s="675">
        <f t="shared" si="86"/>
        <v>45754</v>
      </c>
      <c r="H964" s="676">
        <f t="shared" si="87"/>
        <v>45773</v>
      </c>
      <c r="I964" s="780" t="s">
        <v>818</v>
      </c>
      <c r="J964" s="749" t="s">
        <v>161</v>
      </c>
      <c r="K964" s="780" t="s">
        <v>147</v>
      </c>
      <c r="L964" s="279" t="s">
        <v>20</v>
      </c>
      <c r="M964" s="780"/>
      <c r="N964" s="203"/>
      <c r="O964" s="512"/>
      <c r="P964" s="512"/>
      <c r="Q964" s="512"/>
      <c r="R964" s="512"/>
      <c r="S964" s="512"/>
      <c r="T964" s="512"/>
      <c r="U964" s="512"/>
      <c r="V964" s="512"/>
      <c r="W964" s="512"/>
    </row>
    <row r="965" s="477" customFormat="1" ht="13.5" customHeight="1" spans="1:23">
      <c r="A965" s="784" t="s">
        <v>308</v>
      </c>
      <c r="B965" s="1047" t="s">
        <v>309</v>
      </c>
      <c r="C965" s="1047" t="s">
        <v>310</v>
      </c>
      <c r="D965" s="356">
        <v>3</v>
      </c>
      <c r="E965" s="1113"/>
      <c r="F965" s="675"/>
      <c r="G965" s="675">
        <f t="shared" si="86"/>
        <v>45754</v>
      </c>
      <c r="H965" s="676">
        <f t="shared" si="87"/>
        <v>45773</v>
      </c>
      <c r="I965" s="784" t="s">
        <v>309</v>
      </c>
      <c r="J965" s="784" t="s">
        <v>161</v>
      </c>
      <c r="K965" s="784" t="s">
        <v>147</v>
      </c>
      <c r="L965" s="279" t="s">
        <v>20</v>
      </c>
      <c r="M965" s="1058"/>
      <c r="N965" s="203"/>
      <c r="O965" s="512"/>
      <c r="P965" s="512"/>
      <c r="Q965" s="512"/>
      <c r="R965" s="512"/>
      <c r="S965" s="512"/>
      <c r="T965" s="512"/>
      <c r="U965" s="512"/>
      <c r="V965" s="512"/>
      <c r="W965" s="512"/>
    </row>
    <row r="966" s="477" customFormat="1" ht="13.5" customHeight="1" spans="1:23">
      <c r="A966" s="784" t="s">
        <v>308</v>
      </c>
      <c r="B966" s="1047" t="s">
        <v>309</v>
      </c>
      <c r="C966" s="1047" t="s">
        <v>314</v>
      </c>
      <c r="D966" s="356">
        <v>3</v>
      </c>
      <c r="E966" s="1113"/>
      <c r="F966" s="675"/>
      <c r="G966" s="675">
        <f t="shared" si="86"/>
        <v>45754</v>
      </c>
      <c r="H966" s="676">
        <f t="shared" si="87"/>
        <v>45773</v>
      </c>
      <c r="I966" s="784" t="s">
        <v>309</v>
      </c>
      <c r="J966" s="784" t="s">
        <v>161</v>
      </c>
      <c r="K966" s="784" t="s">
        <v>147</v>
      </c>
      <c r="L966" s="279" t="s">
        <v>20</v>
      </c>
      <c r="M966" s="1058"/>
      <c r="N966" s="203"/>
      <c r="O966" s="512"/>
      <c r="P966" s="512"/>
      <c r="Q966" s="512"/>
      <c r="R966" s="512"/>
      <c r="S966" s="512"/>
      <c r="T966" s="512"/>
      <c r="U966" s="512"/>
      <c r="V966" s="512"/>
      <c r="W966" s="512"/>
    </row>
    <row r="967" s="178" customFormat="1" ht="15.4" customHeight="1" spans="1:23">
      <c r="A967" s="1064" t="s">
        <v>656</v>
      </c>
      <c r="B967" s="1050" t="s">
        <v>821</v>
      </c>
      <c r="C967" s="789" t="s">
        <v>761</v>
      </c>
      <c r="D967" s="279">
        <v>20</v>
      </c>
      <c r="E967" s="1085" t="s">
        <v>822</v>
      </c>
      <c r="F967" s="675"/>
      <c r="G967" s="675">
        <f>VLOOKUP(CLEAN(SUBSTITUTE(TRIM(MID(E:E,FIND("/",E:E)+1,LEN(E:E)))," ","")),'Customs Decl. &amp; Local Delivery'!D:I,6,0)</f>
        <v>45754</v>
      </c>
      <c r="H967" s="676">
        <f>VLOOKUP(CLEAN(SUBSTITUTE(TRIM(MID(E:E,FIND("/",E:E)+1,LEN(E:E)))," ","")),'Customs Decl. &amp; Local Delivery'!D:J,7,0)</f>
        <v>45780</v>
      </c>
      <c r="I967" s="1064" t="s">
        <v>823</v>
      </c>
      <c r="J967" s="784" t="s">
        <v>18</v>
      </c>
      <c r="K967" s="1064" t="s">
        <v>147</v>
      </c>
      <c r="L967" s="279" t="s">
        <v>20</v>
      </c>
      <c r="M967" s="1075" t="s">
        <v>824</v>
      </c>
      <c r="N967" s="1112"/>
      <c r="O967" s="512"/>
      <c r="P967" s="512"/>
      <c r="Q967" s="512"/>
      <c r="R967" s="512"/>
      <c r="S967" s="512"/>
      <c r="T967" s="512"/>
      <c r="U967" s="512"/>
      <c r="V967" s="512"/>
      <c r="W967" s="512"/>
    </row>
    <row r="968" s="178" customFormat="1" ht="15.4" customHeight="1" spans="1:23">
      <c r="A968" s="1064" t="s">
        <v>656</v>
      </c>
      <c r="B968" s="1050" t="s">
        <v>821</v>
      </c>
      <c r="C968" s="789" t="s">
        <v>59</v>
      </c>
      <c r="D968" s="279">
        <v>34</v>
      </c>
      <c r="E968" s="1109"/>
      <c r="F968" s="675"/>
      <c r="G968" s="675">
        <f>G967</f>
        <v>45754</v>
      </c>
      <c r="H968" s="676">
        <f>H967</f>
        <v>45780</v>
      </c>
      <c r="I968" s="1064" t="s">
        <v>823</v>
      </c>
      <c r="J968" s="784" t="s">
        <v>18</v>
      </c>
      <c r="K968" s="1064" t="s">
        <v>147</v>
      </c>
      <c r="L968" s="279" t="s">
        <v>20</v>
      </c>
      <c r="M968" s="1075" t="s">
        <v>825</v>
      </c>
      <c r="N968" s="1112"/>
      <c r="O968" s="512"/>
      <c r="P968" s="512"/>
      <c r="Q968" s="512"/>
      <c r="R968" s="512"/>
      <c r="S968" s="512"/>
      <c r="T968" s="512"/>
      <c r="U968" s="512"/>
      <c r="V968" s="512"/>
      <c r="W968" s="512"/>
    </row>
    <row r="969" s="178" customFormat="1" ht="15.4" customHeight="1" spans="1:23">
      <c r="A969" s="1064" t="s">
        <v>656</v>
      </c>
      <c r="B969" s="1050" t="s">
        <v>821</v>
      </c>
      <c r="C969" s="789" t="s">
        <v>60</v>
      </c>
      <c r="D969" s="279">
        <v>34</v>
      </c>
      <c r="E969" s="1109"/>
      <c r="F969" s="675"/>
      <c r="G969" s="675">
        <f>G968</f>
        <v>45754</v>
      </c>
      <c r="H969" s="676">
        <f>H968</f>
        <v>45780</v>
      </c>
      <c r="I969" s="1064" t="s">
        <v>823</v>
      </c>
      <c r="J969" s="784" t="s">
        <v>18</v>
      </c>
      <c r="K969" s="1064" t="s">
        <v>147</v>
      </c>
      <c r="L969" s="279" t="s">
        <v>20</v>
      </c>
      <c r="M969" s="1075"/>
      <c r="N969" s="1112"/>
      <c r="O969" s="512"/>
      <c r="P969" s="512"/>
      <c r="Q969" s="512"/>
      <c r="R969" s="512"/>
      <c r="S969" s="512"/>
      <c r="T969" s="512"/>
      <c r="U969" s="512"/>
      <c r="V969" s="512"/>
      <c r="W969" s="512"/>
    </row>
    <row r="970" s="178" customFormat="1" ht="15.4" customHeight="1" spans="1:23">
      <c r="A970" s="1064" t="s">
        <v>579</v>
      </c>
      <c r="B970" s="789" t="s">
        <v>826</v>
      </c>
      <c r="C970" s="789" t="s">
        <v>77</v>
      </c>
      <c r="D970" s="279">
        <v>48</v>
      </c>
      <c r="E970" s="1085" t="s">
        <v>827</v>
      </c>
      <c r="F970" s="675"/>
      <c r="G970" s="675">
        <f>VLOOKUP(CLEAN(SUBSTITUTE(TRIM(MID(E:E,FIND("/",E:E)+1,LEN(E:E)))," ","")),'Customs Decl. &amp; Local Delivery'!D:I,6,0)</f>
        <v>45754</v>
      </c>
      <c r="H970" s="676">
        <f>VLOOKUP(CLEAN(SUBSTITUTE(TRIM(MID(E:E,FIND("/",E:E)+1,LEN(E:E)))," ","")),'Customs Decl. &amp; Local Delivery'!D:J,7,0)</f>
        <v>45780</v>
      </c>
      <c r="I970" s="1064" t="s">
        <v>828</v>
      </c>
      <c r="J970" s="784" t="s">
        <v>18</v>
      </c>
      <c r="K970" s="1064" t="s">
        <v>147</v>
      </c>
      <c r="L970" s="1090" t="s">
        <v>20</v>
      </c>
      <c r="M970" s="690" t="s">
        <v>829</v>
      </c>
      <c r="N970" s="1112"/>
      <c r="O970" s="512"/>
      <c r="P970" s="512"/>
      <c r="Q970" s="512"/>
      <c r="R970" s="512"/>
      <c r="S970" s="512"/>
      <c r="T970" s="512"/>
      <c r="U970" s="512"/>
      <c r="V970" s="512"/>
      <c r="W970" s="512"/>
    </row>
    <row r="971" s="178" customFormat="1" ht="15.4" customHeight="1" spans="1:23">
      <c r="A971" s="1064" t="s">
        <v>579</v>
      </c>
      <c r="B971" s="789" t="s">
        <v>826</v>
      </c>
      <c r="C971" s="789" t="s">
        <v>15</v>
      </c>
      <c r="D971" s="279">
        <v>150</v>
      </c>
      <c r="E971" s="1109"/>
      <c r="F971" s="675"/>
      <c r="G971" s="675">
        <f>G970</f>
        <v>45754</v>
      </c>
      <c r="H971" s="676">
        <f>H970</f>
        <v>45780</v>
      </c>
      <c r="I971" s="1064" t="s">
        <v>828</v>
      </c>
      <c r="J971" s="784" t="s">
        <v>18</v>
      </c>
      <c r="K971" s="1064" t="s">
        <v>147</v>
      </c>
      <c r="L971" s="279" t="s">
        <v>20</v>
      </c>
      <c r="M971" s="1075"/>
      <c r="N971" s="1112"/>
      <c r="O971" s="512"/>
      <c r="P971" s="512"/>
      <c r="Q971" s="512"/>
      <c r="R971" s="512"/>
      <c r="S971" s="512"/>
      <c r="T971" s="512"/>
      <c r="U971" s="512"/>
      <c r="V971" s="512"/>
      <c r="W971" s="512"/>
    </row>
    <row r="972" s="178" customFormat="1" ht="15.4" customHeight="1" spans="1:23">
      <c r="A972" s="1064" t="s">
        <v>579</v>
      </c>
      <c r="B972" s="789" t="s">
        <v>826</v>
      </c>
      <c r="C972" s="789" t="s">
        <v>27</v>
      </c>
      <c r="D972" s="279">
        <v>50</v>
      </c>
      <c r="E972" s="1109"/>
      <c r="F972" s="675"/>
      <c r="G972" s="675">
        <f>G971</f>
        <v>45754</v>
      </c>
      <c r="H972" s="676">
        <f>H971</f>
        <v>45780</v>
      </c>
      <c r="I972" s="1064" t="s">
        <v>828</v>
      </c>
      <c r="J972" s="784" t="s">
        <v>18</v>
      </c>
      <c r="K972" s="1064" t="s">
        <v>147</v>
      </c>
      <c r="L972" s="279" t="s">
        <v>20</v>
      </c>
      <c r="M972" s="1075"/>
      <c r="N972" s="1112"/>
      <c r="O972" s="512"/>
      <c r="P972" s="512"/>
      <c r="Q972" s="512"/>
      <c r="R972" s="512"/>
      <c r="S972" s="512"/>
      <c r="T972" s="512"/>
      <c r="U972" s="512"/>
      <c r="V972" s="512"/>
      <c r="W972" s="512"/>
    </row>
    <row r="973" s="178" customFormat="1" ht="15.4" customHeight="1" spans="1:23">
      <c r="A973" s="1064" t="s">
        <v>579</v>
      </c>
      <c r="B973" s="789" t="s">
        <v>826</v>
      </c>
      <c r="C973" s="789" t="s">
        <v>70</v>
      </c>
      <c r="D973" s="279">
        <v>50</v>
      </c>
      <c r="E973" s="988"/>
      <c r="F973" s="675"/>
      <c r="G973" s="675">
        <f>G972</f>
        <v>45754</v>
      </c>
      <c r="H973" s="676">
        <f>H972</f>
        <v>45780</v>
      </c>
      <c r="I973" s="1064" t="s">
        <v>828</v>
      </c>
      <c r="J973" s="784" t="s">
        <v>18</v>
      </c>
      <c r="K973" s="1064" t="s">
        <v>147</v>
      </c>
      <c r="L973" s="279" t="s">
        <v>20</v>
      </c>
      <c r="M973" s="1075"/>
      <c r="N973" s="1112"/>
      <c r="O973" s="512"/>
      <c r="P973" s="512"/>
      <c r="Q973" s="512"/>
      <c r="R973" s="512"/>
      <c r="S973" s="512"/>
      <c r="T973" s="512"/>
      <c r="U973" s="512"/>
      <c r="V973" s="512"/>
      <c r="W973" s="512"/>
    </row>
    <row r="974" s="178" customFormat="1" ht="15.4" customHeight="1" spans="1:23">
      <c r="A974" s="1064" t="s">
        <v>579</v>
      </c>
      <c r="B974" s="789" t="s">
        <v>830</v>
      </c>
      <c r="C974" s="789" t="s">
        <v>77</v>
      </c>
      <c r="D974" s="279">
        <v>48</v>
      </c>
      <c r="E974" s="1085" t="s">
        <v>831</v>
      </c>
      <c r="F974" s="675"/>
      <c r="G974" s="675">
        <f>VLOOKUP(CLEAN(SUBSTITUTE(TRIM(MID(E:E,FIND("/",E:E)+1,LEN(E:E)))," ","")),'Customs Decl. &amp; Local Delivery'!D:I,6,0)</f>
        <v>45756</v>
      </c>
      <c r="H974" s="676">
        <f>VLOOKUP(CLEAN(SUBSTITUTE(TRIM(MID(E:E,FIND("/",E:E)+1,LEN(E:E)))," ","")),'Customs Decl. &amp; Local Delivery'!D:J,7,0)</f>
        <v>45780</v>
      </c>
      <c r="I974" s="1064" t="s">
        <v>832</v>
      </c>
      <c r="J974" s="784" t="s">
        <v>18</v>
      </c>
      <c r="K974" s="1064" t="s">
        <v>147</v>
      </c>
      <c r="L974" s="1090" t="s">
        <v>20</v>
      </c>
      <c r="M974" s="690" t="s">
        <v>829</v>
      </c>
      <c r="N974" s="1112"/>
      <c r="O974" s="512"/>
      <c r="P974" s="512"/>
      <c r="Q974" s="512"/>
      <c r="R974" s="512"/>
      <c r="S974" s="512"/>
      <c r="T974" s="512"/>
      <c r="U974" s="512"/>
      <c r="V974" s="512"/>
      <c r="W974" s="512"/>
    </row>
    <row r="975" s="178" customFormat="1" ht="15.4" customHeight="1" spans="1:23">
      <c r="A975" s="1064" t="s">
        <v>579</v>
      </c>
      <c r="B975" s="789" t="s">
        <v>830</v>
      </c>
      <c r="C975" s="789" t="s">
        <v>15</v>
      </c>
      <c r="D975" s="279">
        <v>162</v>
      </c>
      <c r="E975" s="988"/>
      <c r="F975" s="675"/>
      <c r="G975" s="675">
        <f>G974</f>
        <v>45756</v>
      </c>
      <c r="H975" s="676">
        <f>H974</f>
        <v>45780</v>
      </c>
      <c r="I975" s="1064" t="s">
        <v>832</v>
      </c>
      <c r="J975" s="784" t="s">
        <v>18</v>
      </c>
      <c r="K975" s="1064" t="s">
        <v>147</v>
      </c>
      <c r="L975" s="279" t="s">
        <v>20</v>
      </c>
      <c r="M975" s="1075"/>
      <c r="N975" s="1112"/>
      <c r="O975" s="512"/>
      <c r="P975" s="512"/>
      <c r="Q975" s="512"/>
      <c r="R975" s="512"/>
      <c r="S975" s="512"/>
      <c r="T975" s="512"/>
      <c r="U975" s="512"/>
      <c r="V975" s="512"/>
      <c r="W975" s="512"/>
    </row>
    <row r="976" s="178" customFormat="1" ht="15.4" customHeight="1" spans="1:23">
      <c r="A976" s="1064" t="s">
        <v>579</v>
      </c>
      <c r="B976" s="789" t="s">
        <v>830</v>
      </c>
      <c r="C976" s="789" t="s">
        <v>24</v>
      </c>
      <c r="D976" s="279">
        <v>54</v>
      </c>
      <c r="E976" s="988"/>
      <c r="F976" s="675"/>
      <c r="G976" s="675">
        <f>G975</f>
        <v>45756</v>
      </c>
      <c r="H976" s="676">
        <f>H975</f>
        <v>45780</v>
      </c>
      <c r="I976" s="1064" t="s">
        <v>832</v>
      </c>
      <c r="J976" s="784" t="s">
        <v>18</v>
      </c>
      <c r="K976" s="1064" t="s">
        <v>147</v>
      </c>
      <c r="L976" s="279" t="s">
        <v>20</v>
      </c>
      <c r="M976" s="1075"/>
      <c r="N976" s="1112"/>
      <c r="O976" s="512"/>
      <c r="P976" s="512"/>
      <c r="Q976" s="512"/>
      <c r="R976" s="512"/>
      <c r="S976" s="512"/>
      <c r="T976" s="512"/>
      <c r="U976" s="512"/>
      <c r="V976" s="512"/>
      <c r="W976" s="512"/>
    </row>
    <row r="977" s="178" customFormat="1" ht="15.4" customHeight="1" spans="1:23">
      <c r="A977" s="1064" t="s">
        <v>579</v>
      </c>
      <c r="B977" s="789" t="s">
        <v>830</v>
      </c>
      <c r="C977" s="789" t="s">
        <v>67</v>
      </c>
      <c r="D977" s="279">
        <v>54</v>
      </c>
      <c r="E977" s="988"/>
      <c r="F977" s="675"/>
      <c r="G977" s="675">
        <f>G976</f>
        <v>45756</v>
      </c>
      <c r="H977" s="676">
        <f>H976</f>
        <v>45780</v>
      </c>
      <c r="I977" s="1064" t="s">
        <v>832</v>
      </c>
      <c r="J977" s="784" t="s">
        <v>18</v>
      </c>
      <c r="K977" s="1064" t="s">
        <v>147</v>
      </c>
      <c r="L977" s="279" t="s">
        <v>20</v>
      </c>
      <c r="M977" s="1075"/>
      <c r="N977" s="1112"/>
      <c r="O977" s="512"/>
      <c r="P977" s="512"/>
      <c r="Q977" s="512"/>
      <c r="R977" s="512"/>
      <c r="S977" s="512"/>
      <c r="T977" s="512"/>
      <c r="U977" s="512"/>
      <c r="V977" s="512"/>
      <c r="W977" s="512"/>
    </row>
    <row r="978" s="178" customFormat="1" ht="30.75" customHeight="1" spans="1:23">
      <c r="A978" s="1064" t="s">
        <v>656</v>
      </c>
      <c r="B978" s="1050" t="s">
        <v>833</v>
      </c>
      <c r="C978" s="789" t="s">
        <v>70</v>
      </c>
      <c r="D978" s="279">
        <v>450</v>
      </c>
      <c r="E978" s="1085" t="s">
        <v>834</v>
      </c>
      <c r="F978" s="675"/>
      <c r="G978" s="675">
        <f>VLOOKUP(CLEAN(SUBSTITUTE(TRIM(MID(E:E,FIND("/",E:E)+1,LEN(E:E)))," ","")),'Customs Decl. &amp; Local Delivery'!D:I,6,0)</f>
        <v>45756</v>
      </c>
      <c r="H978" s="676">
        <f>VLOOKUP(CLEAN(SUBSTITUTE(TRIM(MID(E:E,FIND("/",E:E)+1,LEN(E:E)))," ","")),'Customs Decl. &amp; Local Delivery'!D:J,7,0)</f>
        <v>45778</v>
      </c>
      <c r="I978" s="1064" t="s">
        <v>835</v>
      </c>
      <c r="J978" s="784" t="s">
        <v>18</v>
      </c>
      <c r="K978" s="1064" t="s">
        <v>147</v>
      </c>
      <c r="L978" s="1090" t="s">
        <v>20</v>
      </c>
      <c r="M978" s="1064" t="s">
        <v>836</v>
      </c>
      <c r="N978" s="1081"/>
      <c r="O978" s="512"/>
      <c r="P978" s="512"/>
      <c r="Q978" s="512"/>
      <c r="R978" s="512"/>
      <c r="S978" s="512"/>
      <c r="T978" s="512"/>
      <c r="U978" s="512"/>
      <c r="V978" s="512"/>
      <c r="W978" s="512"/>
    </row>
    <row r="979" s="178" customFormat="1" ht="15.4" customHeight="1" spans="1:23">
      <c r="A979" s="749" t="s">
        <v>778</v>
      </c>
      <c r="B979" s="811" t="s">
        <v>837</v>
      </c>
      <c r="C979" s="794" t="s">
        <v>36</v>
      </c>
      <c r="D979" s="351">
        <v>109</v>
      </c>
      <c r="E979" s="1085" t="s">
        <v>838</v>
      </c>
      <c r="F979" s="675"/>
      <c r="G979" s="675">
        <f>VLOOKUP(CLEAN(SUBSTITUTE(TRIM(MID(E:E,FIND("/",E:E)+1,LEN(E:E)))," ","")),'Customs Decl. &amp; Local Delivery'!D:I,6,0)</f>
        <v>45756</v>
      </c>
      <c r="H979" s="676">
        <f>VLOOKUP(CLEAN(SUBSTITUTE(TRIM(MID(E:E,FIND("/",E:E)+1,LEN(E:E)))," ","")),'Customs Decl. &amp; Local Delivery'!D:J,7,0)</f>
        <v>45783</v>
      </c>
      <c r="I979" s="780" t="s">
        <v>839</v>
      </c>
      <c r="J979" s="749" t="s">
        <v>39</v>
      </c>
      <c r="K979" s="780" t="s">
        <v>147</v>
      </c>
      <c r="L979" s="1090" t="s">
        <v>20</v>
      </c>
      <c r="M979" s="821" t="s">
        <v>840</v>
      </c>
      <c r="N979" s="1081"/>
      <c r="O979" s="512"/>
      <c r="P979" s="512"/>
      <c r="Q979" s="512"/>
      <c r="R979" s="512"/>
      <c r="S979" s="512"/>
      <c r="T979" s="512"/>
      <c r="U979" s="512"/>
      <c r="V979" s="512"/>
      <c r="W979" s="512"/>
    </row>
    <row r="980" s="178" customFormat="1" ht="15.4" customHeight="1" spans="1:23">
      <c r="A980" s="749" t="s">
        <v>778</v>
      </c>
      <c r="B980" s="811" t="s">
        <v>837</v>
      </c>
      <c r="C980" s="794" t="s">
        <v>43</v>
      </c>
      <c r="D980" s="351">
        <v>19</v>
      </c>
      <c r="E980" s="988"/>
      <c r="F980" s="675"/>
      <c r="G980" s="675">
        <f t="shared" ref="G980:G986" si="88">G979</f>
        <v>45756</v>
      </c>
      <c r="H980" s="676">
        <f t="shared" ref="H980:H986" si="89">H979</f>
        <v>45783</v>
      </c>
      <c r="I980" s="780" t="s">
        <v>839</v>
      </c>
      <c r="J980" s="749" t="s">
        <v>39</v>
      </c>
      <c r="K980" s="780" t="s">
        <v>147</v>
      </c>
      <c r="L980" s="279" t="s">
        <v>20</v>
      </c>
      <c r="M980" s="821"/>
      <c r="N980" s="1081"/>
      <c r="O980" s="512"/>
      <c r="P980" s="512"/>
      <c r="Q980" s="512"/>
      <c r="R980" s="512"/>
      <c r="S980" s="512"/>
      <c r="T980" s="512"/>
      <c r="U980" s="512"/>
      <c r="V980" s="512"/>
      <c r="W980" s="512"/>
    </row>
    <row r="981" s="178" customFormat="1" ht="15.4" customHeight="1" spans="1:23">
      <c r="A981" s="749" t="s">
        <v>778</v>
      </c>
      <c r="B981" s="811" t="s">
        <v>837</v>
      </c>
      <c r="C981" s="794" t="s">
        <v>48</v>
      </c>
      <c r="D981" s="351">
        <v>5</v>
      </c>
      <c r="E981" s="988"/>
      <c r="F981" s="675"/>
      <c r="G981" s="675">
        <f t="shared" si="88"/>
        <v>45756</v>
      </c>
      <c r="H981" s="676">
        <f t="shared" si="89"/>
        <v>45783</v>
      </c>
      <c r="I981" s="780" t="s">
        <v>839</v>
      </c>
      <c r="J981" s="749" t="s">
        <v>39</v>
      </c>
      <c r="K981" s="780" t="s">
        <v>147</v>
      </c>
      <c r="L981" s="279" t="s">
        <v>20</v>
      </c>
      <c r="M981" s="821"/>
      <c r="N981" s="1081"/>
      <c r="O981" s="512"/>
      <c r="P981" s="512"/>
      <c r="Q981" s="512"/>
      <c r="R981" s="512"/>
      <c r="S981" s="512"/>
      <c r="T981" s="512"/>
      <c r="U981" s="512"/>
      <c r="V981" s="512"/>
      <c r="W981" s="512"/>
    </row>
    <row r="982" s="178" customFormat="1" ht="15.4" customHeight="1" spans="1:23">
      <c r="A982" s="749" t="s">
        <v>778</v>
      </c>
      <c r="B982" s="811" t="s">
        <v>837</v>
      </c>
      <c r="C982" s="794" t="s">
        <v>49</v>
      </c>
      <c r="D982" s="351">
        <v>1</v>
      </c>
      <c r="E982" s="1109"/>
      <c r="F982" s="675"/>
      <c r="G982" s="675">
        <f t="shared" si="88"/>
        <v>45756</v>
      </c>
      <c r="H982" s="676">
        <f t="shared" si="89"/>
        <v>45783</v>
      </c>
      <c r="I982" s="780" t="s">
        <v>839</v>
      </c>
      <c r="J982" s="749" t="s">
        <v>39</v>
      </c>
      <c r="K982" s="780" t="s">
        <v>147</v>
      </c>
      <c r="L982" s="279" t="s">
        <v>20</v>
      </c>
      <c r="M982" s="821"/>
      <c r="N982" s="1081"/>
      <c r="O982" s="512"/>
      <c r="P982" s="512"/>
      <c r="Q982" s="512"/>
      <c r="R982" s="512"/>
      <c r="S982" s="512"/>
      <c r="T982" s="512"/>
      <c r="U982" s="512"/>
      <c r="V982" s="512"/>
      <c r="W982" s="512"/>
    </row>
    <row r="983" s="178" customFormat="1" ht="15.4" customHeight="1" spans="1:23">
      <c r="A983" s="749" t="s">
        <v>778</v>
      </c>
      <c r="B983" s="811" t="s">
        <v>837</v>
      </c>
      <c r="C983" s="794" t="s">
        <v>57</v>
      </c>
      <c r="D983" s="351">
        <v>20</v>
      </c>
      <c r="E983" s="1109"/>
      <c r="F983" s="675"/>
      <c r="G983" s="675">
        <f t="shared" si="88"/>
        <v>45756</v>
      </c>
      <c r="H983" s="676">
        <f t="shared" si="89"/>
        <v>45783</v>
      </c>
      <c r="I983" s="780" t="s">
        <v>839</v>
      </c>
      <c r="J983" s="749" t="s">
        <v>39</v>
      </c>
      <c r="K983" s="780" t="s">
        <v>147</v>
      </c>
      <c r="L983" s="279" t="s">
        <v>20</v>
      </c>
      <c r="M983" s="821"/>
      <c r="N983" s="1081"/>
      <c r="O983" s="512"/>
      <c r="P983" s="512"/>
      <c r="Q983" s="512"/>
      <c r="R983" s="512"/>
      <c r="S983" s="512"/>
      <c r="T983" s="512"/>
      <c r="U983" s="512"/>
      <c r="V983" s="512"/>
      <c r="W983" s="512"/>
    </row>
    <row r="984" s="178" customFormat="1" ht="15.4" customHeight="1" spans="1:23">
      <c r="A984" s="749" t="s">
        <v>778</v>
      </c>
      <c r="B984" s="811" t="s">
        <v>837</v>
      </c>
      <c r="C984" s="794" t="s">
        <v>58</v>
      </c>
      <c r="D984" s="351">
        <v>20</v>
      </c>
      <c r="E984" s="1109"/>
      <c r="F984" s="675"/>
      <c r="G984" s="675">
        <f t="shared" si="88"/>
        <v>45756</v>
      </c>
      <c r="H984" s="676">
        <f t="shared" si="89"/>
        <v>45783</v>
      </c>
      <c r="I984" s="780" t="s">
        <v>839</v>
      </c>
      <c r="J984" s="749" t="s">
        <v>39</v>
      </c>
      <c r="K984" s="780" t="s">
        <v>147</v>
      </c>
      <c r="L984" s="279" t="s">
        <v>20</v>
      </c>
      <c r="M984" s="821"/>
      <c r="N984" s="203"/>
      <c r="O984" s="512"/>
      <c r="P984" s="512"/>
      <c r="Q984" s="512"/>
      <c r="R984" s="512"/>
      <c r="S984" s="512"/>
      <c r="T984" s="512"/>
      <c r="U984" s="512"/>
      <c r="V984" s="512"/>
      <c r="W984" s="512"/>
    </row>
    <row r="985" s="178" customFormat="1" ht="15.4" customHeight="1" spans="1:23">
      <c r="A985" s="749" t="s">
        <v>778</v>
      </c>
      <c r="B985" s="811" t="s">
        <v>837</v>
      </c>
      <c r="C985" s="794" t="s">
        <v>15</v>
      </c>
      <c r="D985" s="351">
        <v>150</v>
      </c>
      <c r="E985" s="1109"/>
      <c r="F985" s="675"/>
      <c r="G985" s="675">
        <f t="shared" si="88"/>
        <v>45756</v>
      </c>
      <c r="H985" s="676">
        <f t="shared" si="89"/>
        <v>45783</v>
      </c>
      <c r="I985" s="780" t="s">
        <v>839</v>
      </c>
      <c r="J985" s="749" t="s">
        <v>39</v>
      </c>
      <c r="K985" s="780" t="s">
        <v>147</v>
      </c>
      <c r="L985" s="279" t="s">
        <v>20</v>
      </c>
      <c r="M985" s="780"/>
      <c r="N985" s="203"/>
      <c r="O985" s="512"/>
      <c r="P985" s="512"/>
      <c r="Q985" s="512"/>
      <c r="R985" s="512"/>
      <c r="S985" s="512"/>
      <c r="T985" s="512"/>
      <c r="U985" s="512"/>
      <c r="V985" s="512"/>
      <c r="W985" s="512"/>
    </row>
    <row r="986" s="178" customFormat="1" ht="15.4" customHeight="1" spans="1:23">
      <c r="A986" s="749" t="s">
        <v>778</v>
      </c>
      <c r="B986" s="811" t="s">
        <v>837</v>
      </c>
      <c r="C986" s="1114" t="s">
        <v>22</v>
      </c>
      <c r="D986" s="375">
        <v>150</v>
      </c>
      <c r="E986" s="1109"/>
      <c r="F986" s="675"/>
      <c r="G986" s="675">
        <f t="shared" si="88"/>
        <v>45756</v>
      </c>
      <c r="H986" s="676">
        <f t="shared" si="89"/>
        <v>45783</v>
      </c>
      <c r="I986" s="780" t="s">
        <v>839</v>
      </c>
      <c r="J986" s="1115" t="s">
        <v>39</v>
      </c>
      <c r="K986" s="808" t="s">
        <v>147</v>
      </c>
      <c r="L986" s="279" t="s">
        <v>20</v>
      </c>
      <c r="M986" s="808"/>
      <c r="N986" s="203"/>
      <c r="O986" s="512"/>
      <c r="P986" s="512"/>
      <c r="Q986" s="512"/>
      <c r="R986" s="512"/>
      <c r="S986" s="512"/>
      <c r="T986" s="512"/>
      <c r="U986" s="512"/>
      <c r="V986" s="512"/>
      <c r="W986" s="512"/>
    </row>
    <row r="987" s="178" customFormat="1" ht="15.4" customHeight="1" spans="1:23">
      <c r="A987" s="1064" t="s">
        <v>559</v>
      </c>
      <c r="B987" s="1050" t="s">
        <v>841</v>
      </c>
      <c r="C987" s="789" t="s">
        <v>24</v>
      </c>
      <c r="D987" s="279">
        <v>150</v>
      </c>
      <c r="E987" s="1085" t="s">
        <v>842</v>
      </c>
      <c r="F987" s="675"/>
      <c r="G987" s="675">
        <f>VLOOKUP(CLEAN(SUBSTITUTE(TRIM(MID(E:E,FIND("/",E:E)+1,LEN(E:E)))," ","")),'Customs Decl. &amp; Local Delivery'!D:I,6,0)</f>
        <v>45757</v>
      </c>
      <c r="H987" s="676">
        <f>VLOOKUP(CLEAN(SUBSTITUTE(TRIM(MID(E:E,FIND("/",E:E)+1,LEN(E:E)))," ","")),'Customs Decl. &amp; Local Delivery'!D:J,7,0)</f>
        <v>45768</v>
      </c>
      <c r="I987" s="1064" t="s">
        <v>843</v>
      </c>
      <c r="J987" s="1064" t="s">
        <v>161</v>
      </c>
      <c r="K987" s="784" t="s">
        <v>147</v>
      </c>
      <c r="L987" s="279" t="s">
        <v>20</v>
      </c>
      <c r="M987" s="690" t="s">
        <v>844</v>
      </c>
      <c r="N987" s="203"/>
      <c r="O987" s="512"/>
      <c r="P987" s="512"/>
      <c r="Q987" s="512"/>
      <c r="R987" s="512"/>
      <c r="S987" s="512"/>
      <c r="T987" s="512"/>
      <c r="U987" s="512"/>
      <c r="V987" s="512"/>
      <c r="W987" s="512"/>
    </row>
    <row r="988" s="178" customFormat="1" ht="15.4" customHeight="1" spans="1:23">
      <c r="A988" s="1064" t="s">
        <v>559</v>
      </c>
      <c r="B988" s="1050" t="s">
        <v>841</v>
      </c>
      <c r="C988" s="789" t="s">
        <v>25</v>
      </c>
      <c r="D988" s="279">
        <v>150</v>
      </c>
      <c r="E988" s="1109"/>
      <c r="F988" s="675"/>
      <c r="G988" s="675">
        <f>G987</f>
        <v>45757</v>
      </c>
      <c r="H988" s="676">
        <f>H987</f>
        <v>45768</v>
      </c>
      <c r="I988" s="1064" t="s">
        <v>843</v>
      </c>
      <c r="J988" s="1064" t="s">
        <v>161</v>
      </c>
      <c r="K988" s="784" t="s">
        <v>147</v>
      </c>
      <c r="L988" s="279" t="s">
        <v>20</v>
      </c>
      <c r="M988" s="1064"/>
      <c r="N988" s="203"/>
      <c r="O988" s="512"/>
      <c r="P988" s="512"/>
      <c r="Q988" s="512"/>
      <c r="R988" s="512"/>
      <c r="S988" s="512"/>
      <c r="T988" s="512"/>
      <c r="U988" s="512"/>
      <c r="V988" s="512"/>
      <c r="W988" s="512"/>
    </row>
    <row r="989" s="178" customFormat="1" ht="15.4" customHeight="1" spans="1:23">
      <c r="A989" s="1064" t="s">
        <v>559</v>
      </c>
      <c r="B989" s="1050" t="s">
        <v>841</v>
      </c>
      <c r="C989" s="789" t="s">
        <v>27</v>
      </c>
      <c r="D989" s="279">
        <v>40</v>
      </c>
      <c r="E989" s="1109"/>
      <c r="F989" s="675"/>
      <c r="G989" s="675">
        <f>G988</f>
        <v>45757</v>
      </c>
      <c r="H989" s="676">
        <f>H988</f>
        <v>45768</v>
      </c>
      <c r="I989" s="1064" t="s">
        <v>843</v>
      </c>
      <c r="J989" s="1064" t="s">
        <v>161</v>
      </c>
      <c r="K989" s="784" t="s">
        <v>147</v>
      </c>
      <c r="L989" s="279" t="s">
        <v>20</v>
      </c>
      <c r="M989" s="1064"/>
      <c r="N989" s="203"/>
      <c r="O989" s="512"/>
      <c r="P989" s="512"/>
      <c r="Q989" s="512"/>
      <c r="R989" s="512"/>
      <c r="S989" s="512"/>
      <c r="T989" s="512"/>
      <c r="U989" s="512"/>
      <c r="V989" s="512"/>
      <c r="W989" s="512"/>
    </row>
    <row r="990" s="178" customFormat="1" ht="15.4" customHeight="1" spans="1:23">
      <c r="A990" s="1064" t="s">
        <v>559</v>
      </c>
      <c r="B990" s="1050" t="s">
        <v>841</v>
      </c>
      <c r="C990" s="789" t="s">
        <v>28</v>
      </c>
      <c r="D990" s="279">
        <v>40</v>
      </c>
      <c r="E990" s="1109"/>
      <c r="F990" s="675"/>
      <c r="G990" s="675">
        <f>G989</f>
        <v>45757</v>
      </c>
      <c r="H990" s="676">
        <f>H989</f>
        <v>45768</v>
      </c>
      <c r="I990" s="1064" t="s">
        <v>843</v>
      </c>
      <c r="J990" s="1064" t="s">
        <v>161</v>
      </c>
      <c r="K990" s="784" t="s">
        <v>147</v>
      </c>
      <c r="L990" s="279" t="s">
        <v>20</v>
      </c>
      <c r="M990" s="1064"/>
      <c r="N990" s="203"/>
      <c r="O990" s="512"/>
      <c r="P990" s="512"/>
      <c r="Q990" s="512"/>
      <c r="R990" s="512"/>
      <c r="S990" s="512"/>
      <c r="T990" s="512"/>
      <c r="U990" s="512"/>
      <c r="V990" s="512"/>
      <c r="W990" s="512"/>
    </row>
    <row r="991" s="178" customFormat="1" ht="15.4" customHeight="1" spans="1:23">
      <c r="A991" s="1064" t="s">
        <v>559</v>
      </c>
      <c r="B991" s="1050" t="s">
        <v>845</v>
      </c>
      <c r="C991" s="789" t="s">
        <v>24</v>
      </c>
      <c r="D991" s="279">
        <v>90</v>
      </c>
      <c r="E991" s="1085" t="s">
        <v>846</v>
      </c>
      <c r="F991" s="675"/>
      <c r="G991" s="675">
        <f>VLOOKUP(CLEAN(SUBSTITUTE(TRIM(MID(E:E,FIND("/",E:E)+1,LEN(E:E)))," ","")),'Customs Decl. &amp; Local Delivery'!D:I,6,0)</f>
        <v>45757</v>
      </c>
      <c r="H991" s="676">
        <f>VLOOKUP(CLEAN(SUBSTITUTE(TRIM(MID(E:E,FIND("/",E:E)+1,LEN(E:E)))," ","")),'Customs Decl. &amp; Local Delivery'!D:J,7,0)</f>
        <v>45778</v>
      </c>
      <c r="I991" s="1064" t="s">
        <v>847</v>
      </c>
      <c r="J991" s="1064" t="s">
        <v>39</v>
      </c>
      <c r="K991" s="784" t="s">
        <v>147</v>
      </c>
      <c r="L991" s="1090" t="s">
        <v>20</v>
      </c>
      <c r="M991" s="690" t="s">
        <v>844</v>
      </c>
      <c r="N991" s="1081"/>
      <c r="O991" s="512"/>
      <c r="P991" s="512"/>
      <c r="Q991" s="512"/>
      <c r="R991" s="512"/>
      <c r="S991" s="512"/>
      <c r="T991" s="512"/>
      <c r="U991" s="512"/>
      <c r="V991" s="512"/>
      <c r="W991" s="512"/>
    </row>
    <row r="992" s="178" customFormat="1" ht="15.4" customHeight="1" spans="1:23">
      <c r="A992" s="1064" t="s">
        <v>559</v>
      </c>
      <c r="B992" s="1050" t="s">
        <v>845</v>
      </c>
      <c r="C992" s="789" t="s">
        <v>25</v>
      </c>
      <c r="D992" s="279">
        <v>90</v>
      </c>
      <c r="E992" s="1109"/>
      <c r="F992" s="675"/>
      <c r="G992" s="675">
        <f>G991</f>
        <v>45757</v>
      </c>
      <c r="H992" s="676">
        <f>H991</f>
        <v>45778</v>
      </c>
      <c r="I992" s="1064" t="s">
        <v>847</v>
      </c>
      <c r="J992" s="1064" t="s">
        <v>39</v>
      </c>
      <c r="K992" s="784" t="s">
        <v>147</v>
      </c>
      <c r="L992" s="279" t="s">
        <v>20</v>
      </c>
      <c r="M992" s="1075"/>
      <c r="N992" s="1081"/>
      <c r="O992" s="512"/>
      <c r="P992" s="512"/>
      <c r="Q992" s="512"/>
      <c r="R992" s="512"/>
      <c r="S992" s="512"/>
      <c r="T992" s="512"/>
      <c r="U992" s="512"/>
      <c r="V992" s="512"/>
      <c r="W992" s="512"/>
    </row>
    <row r="993" s="178" customFormat="1" ht="15.4" customHeight="1" spans="1:23">
      <c r="A993" s="1064" t="s">
        <v>559</v>
      </c>
      <c r="B993" s="1050" t="s">
        <v>845</v>
      </c>
      <c r="C993" s="789" t="s">
        <v>27</v>
      </c>
      <c r="D993" s="279">
        <v>80</v>
      </c>
      <c r="E993" s="1109"/>
      <c r="F993" s="675"/>
      <c r="G993" s="675">
        <f>G992</f>
        <v>45757</v>
      </c>
      <c r="H993" s="676">
        <f>H992</f>
        <v>45778</v>
      </c>
      <c r="I993" s="1064" t="s">
        <v>847</v>
      </c>
      <c r="J993" s="1064" t="s">
        <v>39</v>
      </c>
      <c r="K993" s="784" t="s">
        <v>147</v>
      </c>
      <c r="L993" s="279" t="s">
        <v>20</v>
      </c>
      <c r="M993" s="1075"/>
      <c r="N993" s="1081"/>
      <c r="O993" s="512"/>
      <c r="P993" s="512"/>
      <c r="Q993" s="512"/>
      <c r="R993" s="512"/>
      <c r="S993" s="512"/>
      <c r="T993" s="512"/>
      <c r="U993" s="512"/>
      <c r="V993" s="512"/>
      <c r="W993" s="512"/>
    </row>
    <row r="994" s="178" customFormat="1" ht="15.4" customHeight="1" spans="1:23">
      <c r="A994" s="1064" t="s">
        <v>559</v>
      </c>
      <c r="B994" s="1050" t="s">
        <v>845</v>
      </c>
      <c r="C994" s="789" t="s">
        <v>28</v>
      </c>
      <c r="D994" s="279">
        <v>80</v>
      </c>
      <c r="E994" s="1109"/>
      <c r="F994" s="675"/>
      <c r="G994" s="675">
        <f>G993</f>
        <v>45757</v>
      </c>
      <c r="H994" s="676">
        <f>H993</f>
        <v>45778</v>
      </c>
      <c r="I994" s="1064" t="s">
        <v>847</v>
      </c>
      <c r="J994" s="1064" t="s">
        <v>39</v>
      </c>
      <c r="K994" s="784" t="s">
        <v>147</v>
      </c>
      <c r="L994" s="279" t="s">
        <v>20</v>
      </c>
      <c r="M994" s="1075"/>
      <c r="N994" s="1081"/>
      <c r="O994" s="512"/>
      <c r="P994" s="512"/>
      <c r="Q994" s="512"/>
      <c r="R994" s="512"/>
      <c r="S994" s="512"/>
      <c r="T994" s="512"/>
      <c r="U994" s="512"/>
      <c r="V994" s="512"/>
      <c r="W994" s="512"/>
    </row>
    <row r="995" s="178" customFormat="1" ht="30.75" customHeight="1" spans="1:23">
      <c r="A995" s="1064" t="s">
        <v>656</v>
      </c>
      <c r="B995" s="1050" t="s">
        <v>848</v>
      </c>
      <c r="C995" s="789" t="s">
        <v>70</v>
      </c>
      <c r="D995" s="279">
        <v>450</v>
      </c>
      <c r="E995" s="1085" t="s">
        <v>849</v>
      </c>
      <c r="F995" s="675"/>
      <c r="G995" s="675">
        <f>VLOOKUP(CLEAN(SUBSTITUTE(TRIM(MID(E:E,FIND("/",E:E)+1,LEN(E:E)))," ","")),'Customs Decl. &amp; Local Delivery'!D:I,6,0)</f>
        <v>45757</v>
      </c>
      <c r="H995" s="676">
        <f>VLOOKUP(CLEAN(SUBSTITUTE(TRIM(MID(E:E,FIND("/",E:E)+1,LEN(E:E)))," ","")),'Customs Decl. &amp; Local Delivery'!D:J,7,0)</f>
        <v>45772</v>
      </c>
      <c r="I995" s="1064" t="s">
        <v>850</v>
      </c>
      <c r="J995" s="784" t="s">
        <v>18</v>
      </c>
      <c r="K995" s="1064" t="s">
        <v>147</v>
      </c>
      <c r="L995" s="1090" t="s">
        <v>20</v>
      </c>
      <c r="M995" s="1050" t="s">
        <v>851</v>
      </c>
      <c r="N995" s="1081"/>
      <c r="O995" s="512"/>
      <c r="P995" s="512"/>
      <c r="Q995" s="512"/>
      <c r="R995" s="512"/>
      <c r="S995" s="512"/>
      <c r="T995" s="512"/>
      <c r="U995" s="512"/>
      <c r="V995" s="512"/>
      <c r="W995" s="512"/>
    </row>
    <row r="996" s="477" customFormat="1" ht="15.4" customHeight="1" spans="1:23">
      <c r="A996" s="784" t="s">
        <v>852</v>
      </c>
      <c r="B996" s="1076" t="s">
        <v>853</v>
      </c>
      <c r="C996" s="789" t="s">
        <v>15</v>
      </c>
      <c r="D996" s="1051">
        <v>80</v>
      </c>
      <c r="E996" s="756" t="s">
        <v>854</v>
      </c>
      <c r="F996" s="675"/>
      <c r="G996" s="675">
        <f>VLOOKUP(CLEAN(SUBSTITUTE(TRIM(MID(E:E,FIND("/",E:E)+1,LEN(E:E)))," ","")),'Customs Decl. &amp; Local Delivery'!D:I,6,0)</f>
        <v>45757</v>
      </c>
      <c r="H996" s="676">
        <f>VLOOKUP(CLEAN(SUBSTITUTE(TRIM(MID(E:E,FIND("/",E:E)+1,LEN(E:E)))," ","")),'Customs Decl. &amp; Local Delivery'!D:J,7,0)</f>
        <v>45772</v>
      </c>
      <c r="I996" s="1064" t="s">
        <v>855</v>
      </c>
      <c r="J996" s="784" t="s">
        <v>18</v>
      </c>
      <c r="K996" s="784" t="s">
        <v>19</v>
      </c>
      <c r="L996" s="1090" t="s">
        <v>20</v>
      </c>
      <c r="M996" s="1070" t="s">
        <v>856</v>
      </c>
      <c r="N996" s="1112"/>
      <c r="O996" s="512"/>
      <c r="P996" s="512"/>
      <c r="Q996" s="512"/>
      <c r="R996" s="512"/>
      <c r="S996" s="512"/>
      <c r="T996" s="512"/>
      <c r="U996" s="512"/>
      <c r="V996" s="512"/>
      <c r="W996" s="512"/>
    </row>
    <row r="997" s="477" customFormat="1" ht="15.4" customHeight="1" spans="1:23">
      <c r="A997" s="784" t="s">
        <v>852</v>
      </c>
      <c r="B997" s="1076" t="s">
        <v>853</v>
      </c>
      <c r="C997" s="789" t="s">
        <v>22</v>
      </c>
      <c r="D997" s="1051">
        <v>20</v>
      </c>
      <c r="E997" s="69"/>
      <c r="F997" s="675"/>
      <c r="G997" s="675">
        <f t="shared" ref="G997:G1004" si="90">G996</f>
        <v>45757</v>
      </c>
      <c r="H997" s="676">
        <f t="shared" ref="H997:H1004" si="91">H996</f>
        <v>45772</v>
      </c>
      <c r="I997" s="1064" t="s">
        <v>855</v>
      </c>
      <c r="J997" s="784" t="s">
        <v>18</v>
      </c>
      <c r="K997" s="784" t="s">
        <v>19</v>
      </c>
      <c r="L997" s="279" t="s">
        <v>20</v>
      </c>
      <c r="M997" s="1070" t="s">
        <v>857</v>
      </c>
      <c r="N997" s="1112"/>
      <c r="O997" s="512"/>
      <c r="P997" s="512"/>
      <c r="Q997" s="512"/>
      <c r="R997" s="512"/>
      <c r="S997" s="512"/>
      <c r="T997" s="512"/>
      <c r="U997" s="512"/>
      <c r="V997" s="512"/>
      <c r="W997" s="512"/>
    </row>
    <row r="998" s="477" customFormat="1" ht="15.4" customHeight="1" spans="1:23">
      <c r="A998" s="784" t="s">
        <v>852</v>
      </c>
      <c r="B998" s="1076" t="s">
        <v>853</v>
      </c>
      <c r="C998" s="789" t="s">
        <v>24</v>
      </c>
      <c r="D998" s="1051">
        <v>110</v>
      </c>
      <c r="E998" s="69"/>
      <c r="F998" s="675"/>
      <c r="G998" s="675">
        <f t="shared" si="90"/>
        <v>45757</v>
      </c>
      <c r="H998" s="676">
        <f t="shared" si="91"/>
        <v>45772</v>
      </c>
      <c r="I998" s="1064" t="s">
        <v>855</v>
      </c>
      <c r="J998" s="784" t="s">
        <v>18</v>
      </c>
      <c r="K998" s="784" t="s">
        <v>19</v>
      </c>
      <c r="L998" s="279" t="s">
        <v>20</v>
      </c>
      <c r="M998" s="1070" t="s">
        <v>858</v>
      </c>
      <c r="N998" s="1112"/>
      <c r="O998" s="512"/>
      <c r="P998" s="512"/>
      <c r="Q998" s="512"/>
      <c r="R998" s="512"/>
      <c r="S998" s="512"/>
      <c r="T998" s="512"/>
      <c r="U998" s="512"/>
      <c r="V998" s="512"/>
      <c r="W998" s="512"/>
    </row>
    <row r="999" s="477" customFormat="1" ht="15.4" customHeight="1" spans="1:23">
      <c r="A999" s="784" t="s">
        <v>852</v>
      </c>
      <c r="B999" s="1076" t="s">
        <v>853</v>
      </c>
      <c r="C999" s="789" t="s">
        <v>25</v>
      </c>
      <c r="D999" s="1051">
        <v>20</v>
      </c>
      <c r="E999" s="69"/>
      <c r="F999" s="675"/>
      <c r="G999" s="675">
        <f t="shared" si="90"/>
        <v>45757</v>
      </c>
      <c r="H999" s="676">
        <f t="shared" si="91"/>
        <v>45772</v>
      </c>
      <c r="I999" s="1064" t="s">
        <v>855</v>
      </c>
      <c r="J999" s="784" t="s">
        <v>18</v>
      </c>
      <c r="K999" s="784" t="s">
        <v>19</v>
      </c>
      <c r="L999" s="279" t="s">
        <v>20</v>
      </c>
      <c r="M999" s="1070" t="s">
        <v>858</v>
      </c>
      <c r="N999" s="1112"/>
      <c r="O999" s="512"/>
      <c r="P999" s="512"/>
      <c r="Q999" s="512"/>
      <c r="R999" s="512"/>
      <c r="S999" s="512"/>
      <c r="T999" s="512"/>
      <c r="U999" s="512"/>
      <c r="V999" s="512"/>
      <c r="W999" s="512"/>
    </row>
    <row r="1000" s="477" customFormat="1" ht="15.4" customHeight="1" spans="1:23">
      <c r="A1000" s="784" t="s">
        <v>852</v>
      </c>
      <c r="B1000" s="1076" t="s">
        <v>853</v>
      </c>
      <c r="C1000" s="789" t="s">
        <v>27</v>
      </c>
      <c r="D1000" s="1051">
        <v>80</v>
      </c>
      <c r="E1000" s="69"/>
      <c r="F1000" s="675"/>
      <c r="G1000" s="675">
        <f t="shared" si="90"/>
        <v>45757</v>
      </c>
      <c r="H1000" s="676">
        <f t="shared" si="91"/>
        <v>45772</v>
      </c>
      <c r="I1000" s="1064" t="s">
        <v>855</v>
      </c>
      <c r="J1000" s="784" t="s">
        <v>18</v>
      </c>
      <c r="K1000" s="784" t="s">
        <v>19</v>
      </c>
      <c r="L1000" s="279" t="s">
        <v>20</v>
      </c>
      <c r="M1000" s="1070" t="s">
        <v>858</v>
      </c>
      <c r="N1000" s="1112"/>
      <c r="O1000" s="512"/>
      <c r="P1000" s="512"/>
      <c r="Q1000" s="512"/>
      <c r="R1000" s="512"/>
      <c r="S1000" s="512"/>
      <c r="T1000" s="512"/>
      <c r="U1000" s="512"/>
      <c r="V1000" s="512"/>
      <c r="W1000" s="512"/>
    </row>
    <row r="1001" s="477" customFormat="1" ht="15.4" customHeight="1" spans="1:23">
      <c r="A1001" s="784" t="s">
        <v>852</v>
      </c>
      <c r="B1001" s="1076" t="s">
        <v>853</v>
      </c>
      <c r="C1001" s="789" t="s">
        <v>28</v>
      </c>
      <c r="D1001" s="1051">
        <v>20</v>
      </c>
      <c r="E1001" s="69"/>
      <c r="F1001" s="675"/>
      <c r="G1001" s="675">
        <f t="shared" si="90"/>
        <v>45757</v>
      </c>
      <c r="H1001" s="676">
        <f t="shared" si="91"/>
        <v>45772</v>
      </c>
      <c r="I1001" s="1064" t="s">
        <v>855</v>
      </c>
      <c r="J1001" s="784" t="s">
        <v>18</v>
      </c>
      <c r="K1001" s="784" t="s">
        <v>19</v>
      </c>
      <c r="L1001" s="279" t="s">
        <v>20</v>
      </c>
      <c r="M1001" s="1070" t="s">
        <v>858</v>
      </c>
      <c r="N1001" s="512"/>
      <c r="O1001" s="512"/>
      <c r="P1001" s="512"/>
      <c r="Q1001" s="512"/>
      <c r="R1001" s="512"/>
      <c r="S1001" s="512"/>
      <c r="T1001" s="512"/>
      <c r="U1001" s="512"/>
      <c r="V1001" s="512"/>
      <c r="W1001" s="512"/>
    </row>
    <row r="1002" s="477" customFormat="1" ht="15.4" customHeight="1" spans="1:23">
      <c r="A1002" s="784" t="s">
        <v>852</v>
      </c>
      <c r="B1002" s="1076" t="s">
        <v>853</v>
      </c>
      <c r="C1002" s="789" t="s">
        <v>67</v>
      </c>
      <c r="D1002" s="1051">
        <v>71</v>
      </c>
      <c r="E1002" s="69"/>
      <c r="F1002" s="675"/>
      <c r="G1002" s="675">
        <f t="shared" si="90"/>
        <v>45757</v>
      </c>
      <c r="H1002" s="676">
        <f t="shared" si="91"/>
        <v>45772</v>
      </c>
      <c r="I1002" s="1064" t="s">
        <v>855</v>
      </c>
      <c r="J1002" s="784" t="s">
        <v>18</v>
      </c>
      <c r="K1002" s="784" t="s">
        <v>19</v>
      </c>
      <c r="L1002" s="279" t="s">
        <v>20</v>
      </c>
      <c r="M1002" s="1058" t="s">
        <v>858</v>
      </c>
      <c r="N1002" s="512"/>
      <c r="O1002" s="512"/>
      <c r="P1002" s="512"/>
      <c r="Q1002" s="512"/>
      <c r="R1002" s="512"/>
      <c r="S1002" s="512"/>
      <c r="T1002" s="512"/>
      <c r="U1002" s="512"/>
      <c r="V1002" s="512"/>
      <c r="W1002" s="512"/>
    </row>
    <row r="1003" s="477" customFormat="1" ht="15.4" customHeight="1" spans="1:23">
      <c r="A1003" s="784" t="s">
        <v>852</v>
      </c>
      <c r="B1003" s="1076" t="s">
        <v>853</v>
      </c>
      <c r="C1003" s="789" t="s">
        <v>70</v>
      </c>
      <c r="D1003" s="1051">
        <v>20</v>
      </c>
      <c r="E1003" s="69"/>
      <c r="F1003" s="675"/>
      <c r="G1003" s="675">
        <f t="shared" si="90"/>
        <v>45757</v>
      </c>
      <c r="H1003" s="676">
        <f t="shared" si="91"/>
        <v>45772</v>
      </c>
      <c r="I1003" s="1064" t="s">
        <v>855</v>
      </c>
      <c r="J1003" s="784" t="s">
        <v>18</v>
      </c>
      <c r="K1003" s="784" t="s">
        <v>19</v>
      </c>
      <c r="L1003" s="279" t="s">
        <v>20</v>
      </c>
      <c r="M1003" s="1058" t="s">
        <v>858</v>
      </c>
      <c r="N1003" s="512"/>
      <c r="O1003" s="512"/>
      <c r="P1003" s="512"/>
      <c r="Q1003" s="512"/>
      <c r="R1003" s="512"/>
      <c r="S1003" s="512"/>
      <c r="T1003" s="512"/>
      <c r="U1003" s="512"/>
      <c r="V1003" s="512"/>
      <c r="W1003" s="512"/>
    </row>
    <row r="1004" s="477" customFormat="1" ht="15.4" customHeight="1" spans="1:23">
      <c r="A1004" s="784" t="s">
        <v>852</v>
      </c>
      <c r="B1004" s="1076" t="s">
        <v>853</v>
      </c>
      <c r="C1004" s="789" t="s">
        <v>71</v>
      </c>
      <c r="D1004" s="1051">
        <v>20</v>
      </c>
      <c r="E1004" s="69"/>
      <c r="F1004" s="675"/>
      <c r="G1004" s="675">
        <f t="shared" si="90"/>
        <v>45757</v>
      </c>
      <c r="H1004" s="676">
        <f t="shared" si="91"/>
        <v>45772</v>
      </c>
      <c r="I1004" s="1064" t="s">
        <v>855</v>
      </c>
      <c r="J1004" s="784" t="s">
        <v>18</v>
      </c>
      <c r="K1004" s="784" t="s">
        <v>19</v>
      </c>
      <c r="L1004" s="279" t="s">
        <v>20</v>
      </c>
      <c r="M1004" s="1058" t="s">
        <v>858</v>
      </c>
      <c r="N1004" s="1112"/>
      <c r="O1004" s="512"/>
      <c r="P1004" s="512"/>
      <c r="Q1004" s="512"/>
      <c r="R1004" s="512"/>
      <c r="S1004" s="512"/>
      <c r="T1004" s="512"/>
      <c r="U1004" s="512"/>
      <c r="V1004" s="512"/>
      <c r="W1004" s="512"/>
    </row>
    <row r="1005" s="477" customFormat="1" ht="15.4" customHeight="1" spans="1:23">
      <c r="A1005" s="749" t="s">
        <v>852</v>
      </c>
      <c r="B1005" s="811" t="s">
        <v>309</v>
      </c>
      <c r="C1005" s="794" t="s">
        <v>129</v>
      </c>
      <c r="D1005" s="240">
        <v>0</v>
      </c>
      <c r="E1005" s="69"/>
      <c r="F1005" s="1086"/>
      <c r="G1005" s="1087" t="s">
        <v>309</v>
      </c>
      <c r="H1005" s="1088" t="s">
        <v>309</v>
      </c>
      <c r="I1005" s="1116" t="s">
        <v>309</v>
      </c>
      <c r="J1005" s="749" t="s">
        <v>18</v>
      </c>
      <c r="K1005" s="780" t="s">
        <v>19</v>
      </c>
      <c r="L1005" s="1117" t="s">
        <v>309</v>
      </c>
      <c r="M1005" s="1118" t="s">
        <v>859</v>
      </c>
      <c r="N1005" s="512"/>
      <c r="O1005" s="512"/>
      <c r="P1005" s="512"/>
      <c r="Q1005" s="512"/>
      <c r="R1005" s="512"/>
      <c r="S1005" s="512"/>
      <c r="T1005" s="512"/>
      <c r="U1005" s="512"/>
      <c r="V1005" s="512"/>
      <c r="W1005" s="512"/>
    </row>
    <row r="1006" s="477" customFormat="1" ht="15.4" customHeight="1" spans="1:23">
      <c r="A1006" s="749" t="s">
        <v>852</v>
      </c>
      <c r="B1006" s="811" t="s">
        <v>309</v>
      </c>
      <c r="C1006" s="794" t="s">
        <v>133</v>
      </c>
      <c r="D1006" s="240">
        <v>0</v>
      </c>
      <c r="E1006" s="69"/>
      <c r="F1006" s="1086"/>
      <c r="G1006" s="1087" t="s">
        <v>309</v>
      </c>
      <c r="H1006" s="1088" t="s">
        <v>309</v>
      </c>
      <c r="I1006" s="1116" t="s">
        <v>309</v>
      </c>
      <c r="J1006" s="749" t="s">
        <v>18</v>
      </c>
      <c r="K1006" s="780" t="s">
        <v>19</v>
      </c>
      <c r="L1006" s="1117" t="s">
        <v>309</v>
      </c>
      <c r="M1006" s="1119" t="s">
        <v>859</v>
      </c>
      <c r="N1006" s="512"/>
      <c r="O1006" s="512"/>
      <c r="P1006" s="512"/>
      <c r="Q1006" s="512"/>
      <c r="R1006" s="512"/>
      <c r="S1006" s="512"/>
      <c r="T1006" s="512"/>
      <c r="U1006" s="512"/>
      <c r="V1006" s="512"/>
      <c r="W1006" s="512"/>
    </row>
    <row r="1007" s="477" customFormat="1" ht="15.4" customHeight="1" spans="1:23">
      <c r="A1007" s="749" t="s">
        <v>852</v>
      </c>
      <c r="B1007" s="811" t="s">
        <v>309</v>
      </c>
      <c r="C1007" s="794" t="s">
        <v>786</v>
      </c>
      <c r="D1007" s="266">
        <v>0</v>
      </c>
      <c r="E1007" s="69"/>
      <c r="F1007" s="1086"/>
      <c r="G1007" s="1087" t="s">
        <v>309</v>
      </c>
      <c r="H1007" s="1088" t="s">
        <v>309</v>
      </c>
      <c r="I1007" s="1116" t="s">
        <v>309</v>
      </c>
      <c r="J1007" s="749" t="s">
        <v>18</v>
      </c>
      <c r="K1007" s="780" t="s">
        <v>19</v>
      </c>
      <c r="L1007" s="1117" t="s">
        <v>309</v>
      </c>
      <c r="M1007" s="1119" t="s">
        <v>859</v>
      </c>
      <c r="N1007" s="512"/>
      <c r="O1007" s="512"/>
      <c r="P1007" s="512"/>
      <c r="Q1007" s="512"/>
      <c r="R1007" s="512"/>
      <c r="S1007" s="512"/>
      <c r="T1007" s="512"/>
      <c r="U1007" s="512"/>
      <c r="V1007" s="512"/>
      <c r="W1007" s="512"/>
    </row>
    <row r="1008" s="477" customFormat="1" ht="15.4" customHeight="1" spans="1:23">
      <c r="A1008" s="749" t="s">
        <v>852</v>
      </c>
      <c r="B1008" s="811" t="s">
        <v>309</v>
      </c>
      <c r="C1008" s="794" t="s">
        <v>787</v>
      </c>
      <c r="D1008" s="266">
        <v>0</v>
      </c>
      <c r="E1008" s="69"/>
      <c r="F1008" s="1086"/>
      <c r="G1008" s="1087" t="s">
        <v>309</v>
      </c>
      <c r="H1008" s="1088" t="s">
        <v>309</v>
      </c>
      <c r="I1008" s="1116" t="s">
        <v>309</v>
      </c>
      <c r="J1008" s="749" t="s">
        <v>18</v>
      </c>
      <c r="K1008" s="780" t="s">
        <v>19</v>
      </c>
      <c r="L1008" s="1117" t="s">
        <v>309</v>
      </c>
      <c r="M1008" s="1120" t="s">
        <v>859</v>
      </c>
      <c r="N1008" s="512"/>
      <c r="O1008" s="512"/>
      <c r="P1008" s="512"/>
      <c r="Q1008" s="512"/>
      <c r="R1008" s="512"/>
      <c r="S1008" s="512"/>
      <c r="T1008" s="512"/>
      <c r="U1008" s="512"/>
      <c r="V1008" s="512"/>
      <c r="W1008" s="512"/>
    </row>
    <row r="1009" s="477" customFormat="1" ht="15.4" customHeight="1" spans="1:23">
      <c r="A1009" s="1115" t="s">
        <v>852</v>
      </c>
      <c r="B1009" s="811" t="s">
        <v>309</v>
      </c>
      <c r="C1009" s="794" t="s">
        <v>32</v>
      </c>
      <c r="D1009" s="266">
        <v>0</v>
      </c>
      <c r="E1009" s="69"/>
      <c r="F1009" s="1086"/>
      <c r="G1009" s="1087" t="s">
        <v>309</v>
      </c>
      <c r="H1009" s="1088" t="s">
        <v>309</v>
      </c>
      <c r="I1009" s="1116" t="s">
        <v>309</v>
      </c>
      <c r="J1009" s="749" t="s">
        <v>18</v>
      </c>
      <c r="K1009" s="780" t="s">
        <v>19</v>
      </c>
      <c r="L1009" s="1117" t="s">
        <v>309</v>
      </c>
      <c r="M1009" s="1120" t="s">
        <v>859</v>
      </c>
      <c r="N1009" s="512"/>
      <c r="O1009" s="512"/>
      <c r="P1009" s="512"/>
      <c r="Q1009" s="512"/>
      <c r="R1009" s="512"/>
      <c r="S1009" s="512"/>
      <c r="T1009" s="512"/>
      <c r="U1009" s="512"/>
      <c r="V1009" s="512"/>
      <c r="W1009" s="512"/>
    </row>
    <row r="1010" s="477" customFormat="1" ht="15.4" customHeight="1" spans="1:23">
      <c r="A1010" s="749" t="s">
        <v>852</v>
      </c>
      <c r="B1010" s="811" t="s">
        <v>309</v>
      </c>
      <c r="C1010" s="794" t="s">
        <v>34</v>
      </c>
      <c r="D1010" s="266">
        <v>0</v>
      </c>
      <c r="E1010" s="69"/>
      <c r="F1010" s="1086"/>
      <c r="G1010" s="1087" t="s">
        <v>309</v>
      </c>
      <c r="H1010" s="1088" t="s">
        <v>309</v>
      </c>
      <c r="I1010" s="1116" t="s">
        <v>309</v>
      </c>
      <c r="J1010" s="749" t="s">
        <v>18</v>
      </c>
      <c r="K1010" s="780" t="s">
        <v>19</v>
      </c>
      <c r="L1010" s="1117" t="s">
        <v>309</v>
      </c>
      <c r="M1010" s="1120" t="s">
        <v>859</v>
      </c>
      <c r="N1010" s="512"/>
      <c r="O1010" s="512"/>
      <c r="P1010" s="512"/>
      <c r="Q1010" s="512"/>
      <c r="R1010" s="512"/>
      <c r="S1010" s="512"/>
      <c r="T1010" s="512"/>
      <c r="U1010" s="512"/>
      <c r="V1010" s="512"/>
      <c r="W1010" s="512"/>
    </row>
    <row r="1011" s="477" customFormat="1" ht="15.4" customHeight="1" spans="1:23">
      <c r="A1011" s="1064" t="s">
        <v>464</v>
      </c>
      <c r="B1011" s="1050" t="s">
        <v>860</v>
      </c>
      <c r="C1011" s="789" t="s">
        <v>129</v>
      </c>
      <c r="D1011" s="1051">
        <v>7</v>
      </c>
      <c r="E1011" s="1085" t="s">
        <v>861</v>
      </c>
      <c r="F1011" s="675"/>
      <c r="G1011" s="675">
        <f>VLOOKUP(CLEAN(SUBSTITUTE(TRIM(MID(E:E,FIND("/",E:E)+1,LEN(E:E)))," ","")),'Customs Decl. &amp; Local Delivery'!D:I,6,0)</f>
        <v>45760</v>
      </c>
      <c r="H1011" s="676">
        <f>VLOOKUP(CLEAN(SUBSTITUTE(TRIM(MID(E:E,FIND("/",E:E)+1,LEN(E:E)))," ","")),'Customs Decl. &amp; Local Delivery'!D:J,7,0)</f>
        <v>45778</v>
      </c>
      <c r="I1011" s="1064" t="s">
        <v>862</v>
      </c>
      <c r="J1011" s="1064" t="s">
        <v>18</v>
      </c>
      <c r="K1011" s="1064" t="s">
        <v>19</v>
      </c>
      <c r="L1011" s="1090" t="s">
        <v>20</v>
      </c>
      <c r="M1011" s="1053" t="s">
        <v>863</v>
      </c>
      <c r="N1011" s="1112"/>
      <c r="O1011" s="512"/>
      <c r="P1011" s="512"/>
      <c r="Q1011" s="512"/>
      <c r="R1011" s="512"/>
      <c r="S1011" s="512"/>
      <c r="T1011" s="512"/>
      <c r="U1011" s="512"/>
      <c r="V1011" s="512"/>
      <c r="W1011" s="512"/>
    </row>
    <row r="1012" s="477" customFormat="1" ht="15.4" customHeight="1" spans="1:23">
      <c r="A1012" s="1064" t="s">
        <v>464</v>
      </c>
      <c r="B1012" s="1050" t="s">
        <v>860</v>
      </c>
      <c r="C1012" s="789" t="s">
        <v>133</v>
      </c>
      <c r="D1012" s="1051">
        <v>7</v>
      </c>
      <c r="E1012" s="1109"/>
      <c r="F1012" s="675"/>
      <c r="G1012" s="675">
        <f t="shared" ref="G1012:G1026" si="92">G1011</f>
        <v>45760</v>
      </c>
      <c r="H1012" s="676">
        <f t="shared" ref="H1012:H1026" si="93">H1011</f>
        <v>45778</v>
      </c>
      <c r="I1012" s="1064" t="s">
        <v>862</v>
      </c>
      <c r="J1012" s="1064" t="s">
        <v>18</v>
      </c>
      <c r="K1012" s="1064" t="s">
        <v>19</v>
      </c>
      <c r="L1012" s="279" t="s">
        <v>20</v>
      </c>
      <c r="M1012" s="1053" t="s">
        <v>864</v>
      </c>
      <c r="N1012" s="1112"/>
      <c r="O1012" s="512"/>
      <c r="P1012" s="512"/>
      <c r="Q1012" s="512"/>
      <c r="R1012" s="512"/>
      <c r="S1012" s="512"/>
      <c r="T1012" s="512"/>
      <c r="U1012" s="512"/>
      <c r="V1012" s="512"/>
      <c r="W1012" s="512"/>
    </row>
    <row r="1013" s="477" customFormat="1" ht="15.4" customHeight="1" spans="1:23">
      <c r="A1013" s="1064" t="s">
        <v>464</v>
      </c>
      <c r="B1013" s="1050" t="s">
        <v>860</v>
      </c>
      <c r="C1013" s="789" t="s">
        <v>15</v>
      </c>
      <c r="D1013" s="263">
        <v>145</v>
      </c>
      <c r="E1013" s="1109"/>
      <c r="F1013" s="675"/>
      <c r="G1013" s="675">
        <f t="shared" si="92"/>
        <v>45760</v>
      </c>
      <c r="H1013" s="676">
        <f t="shared" si="93"/>
        <v>45778</v>
      </c>
      <c r="I1013" s="1064" t="s">
        <v>862</v>
      </c>
      <c r="J1013" s="1064" t="s">
        <v>18</v>
      </c>
      <c r="K1013" s="1064" t="s">
        <v>19</v>
      </c>
      <c r="L1013" s="279" t="s">
        <v>20</v>
      </c>
      <c r="M1013" s="1053" t="s">
        <v>865</v>
      </c>
      <c r="N1013" s="1112"/>
      <c r="O1013" s="512"/>
      <c r="P1013" s="512"/>
      <c r="Q1013" s="512"/>
      <c r="R1013" s="512"/>
      <c r="S1013" s="512"/>
      <c r="T1013" s="512"/>
      <c r="U1013" s="512"/>
      <c r="V1013" s="512"/>
      <c r="W1013" s="512"/>
    </row>
    <row r="1014" s="477" customFormat="1" ht="15.4" customHeight="1" spans="1:23">
      <c r="A1014" s="1064" t="s">
        <v>464</v>
      </c>
      <c r="B1014" s="1050" t="s">
        <v>860</v>
      </c>
      <c r="C1014" s="789" t="s">
        <v>22</v>
      </c>
      <c r="D1014" s="263">
        <v>0</v>
      </c>
      <c r="E1014" s="1109"/>
      <c r="F1014" s="675"/>
      <c r="G1014" s="675">
        <f t="shared" si="92"/>
        <v>45760</v>
      </c>
      <c r="H1014" s="676">
        <f t="shared" si="93"/>
        <v>45778</v>
      </c>
      <c r="I1014" s="1064" t="s">
        <v>309</v>
      </c>
      <c r="J1014" s="1064" t="s">
        <v>18</v>
      </c>
      <c r="K1014" s="1064" t="s">
        <v>19</v>
      </c>
      <c r="L1014" s="279" t="s">
        <v>20</v>
      </c>
      <c r="M1014" s="1053" t="s">
        <v>865</v>
      </c>
      <c r="N1014" s="512"/>
      <c r="O1014" s="512"/>
      <c r="P1014" s="512"/>
      <c r="Q1014" s="512"/>
      <c r="R1014" s="512"/>
      <c r="S1014" s="512"/>
      <c r="T1014" s="512"/>
      <c r="U1014" s="512"/>
      <c r="V1014" s="512"/>
      <c r="W1014" s="512"/>
    </row>
    <row r="1015" s="477" customFormat="1" ht="15.4" customHeight="1" spans="1:23">
      <c r="A1015" s="1064" t="s">
        <v>464</v>
      </c>
      <c r="B1015" s="1050" t="s">
        <v>860</v>
      </c>
      <c r="C1015" s="789" t="s">
        <v>24</v>
      </c>
      <c r="D1015" s="1051">
        <v>40</v>
      </c>
      <c r="E1015" s="988"/>
      <c r="F1015" s="675"/>
      <c r="G1015" s="675">
        <f t="shared" si="92"/>
        <v>45760</v>
      </c>
      <c r="H1015" s="676">
        <f t="shared" si="93"/>
        <v>45778</v>
      </c>
      <c r="I1015" s="1064" t="s">
        <v>862</v>
      </c>
      <c r="J1015" s="1064" t="s">
        <v>18</v>
      </c>
      <c r="K1015" s="1064" t="s">
        <v>19</v>
      </c>
      <c r="L1015" s="279" t="s">
        <v>20</v>
      </c>
      <c r="M1015" s="1053" t="s">
        <v>865</v>
      </c>
      <c r="N1015" s="1112"/>
      <c r="O1015" s="512"/>
      <c r="P1015" s="512"/>
      <c r="Q1015" s="512"/>
      <c r="R1015" s="512"/>
      <c r="S1015" s="512"/>
      <c r="T1015" s="512"/>
      <c r="U1015" s="512"/>
      <c r="V1015" s="512"/>
      <c r="W1015" s="512"/>
    </row>
    <row r="1016" s="477" customFormat="1" ht="15.4" customHeight="1" spans="1:23">
      <c r="A1016" s="1064" t="s">
        <v>464</v>
      </c>
      <c r="B1016" s="1050" t="s">
        <v>860</v>
      </c>
      <c r="C1016" s="789" t="s">
        <v>25</v>
      </c>
      <c r="D1016" s="1051">
        <v>22</v>
      </c>
      <c r="E1016" s="1109"/>
      <c r="F1016" s="675"/>
      <c r="G1016" s="675">
        <f t="shared" si="92"/>
        <v>45760</v>
      </c>
      <c r="H1016" s="676">
        <f t="shared" si="93"/>
        <v>45778</v>
      </c>
      <c r="I1016" s="1064" t="s">
        <v>862</v>
      </c>
      <c r="J1016" s="1064" t="s">
        <v>18</v>
      </c>
      <c r="K1016" s="1064" t="s">
        <v>19</v>
      </c>
      <c r="L1016" s="279" t="s">
        <v>20</v>
      </c>
      <c r="M1016" s="1053" t="s">
        <v>865</v>
      </c>
      <c r="N1016" s="1112"/>
      <c r="O1016" s="512"/>
      <c r="P1016" s="512"/>
      <c r="Q1016" s="512"/>
      <c r="R1016" s="512"/>
      <c r="S1016" s="512"/>
      <c r="T1016" s="512"/>
      <c r="U1016" s="512"/>
      <c r="V1016" s="512"/>
      <c r="W1016" s="512"/>
    </row>
    <row r="1017" s="477" customFormat="1" ht="15.4" customHeight="1" spans="1:23">
      <c r="A1017" s="1064" t="s">
        <v>464</v>
      </c>
      <c r="B1017" s="1050" t="s">
        <v>860</v>
      </c>
      <c r="C1017" s="789" t="s">
        <v>27</v>
      </c>
      <c r="D1017" s="1051">
        <v>16</v>
      </c>
      <c r="E1017" s="1109"/>
      <c r="F1017" s="675"/>
      <c r="G1017" s="675">
        <f t="shared" si="92"/>
        <v>45760</v>
      </c>
      <c r="H1017" s="676">
        <f t="shared" si="93"/>
        <v>45778</v>
      </c>
      <c r="I1017" s="1064" t="s">
        <v>862</v>
      </c>
      <c r="J1017" s="1064" t="s">
        <v>18</v>
      </c>
      <c r="K1017" s="1064" t="s">
        <v>19</v>
      </c>
      <c r="L1017" s="279" t="s">
        <v>20</v>
      </c>
      <c r="M1017" s="1053" t="s">
        <v>865</v>
      </c>
      <c r="N1017" s="1112"/>
      <c r="O1017" s="512"/>
      <c r="P1017" s="512"/>
      <c r="Q1017" s="512"/>
      <c r="R1017" s="512"/>
      <c r="S1017" s="512"/>
      <c r="T1017" s="512"/>
      <c r="U1017" s="512"/>
      <c r="V1017" s="512"/>
      <c r="W1017" s="512"/>
    </row>
    <row r="1018" s="477" customFormat="1" ht="15.4" customHeight="1" spans="1:23">
      <c r="A1018" s="1064" t="s">
        <v>464</v>
      </c>
      <c r="B1018" s="1050" t="s">
        <v>860</v>
      </c>
      <c r="C1018" s="789" t="s">
        <v>28</v>
      </c>
      <c r="D1018" s="1051">
        <v>11</v>
      </c>
      <c r="E1018" s="1109"/>
      <c r="F1018" s="675"/>
      <c r="G1018" s="675">
        <f t="shared" si="92"/>
        <v>45760</v>
      </c>
      <c r="H1018" s="676">
        <f t="shared" si="93"/>
        <v>45778</v>
      </c>
      <c r="I1018" s="1064" t="s">
        <v>862</v>
      </c>
      <c r="J1018" s="1064" t="s">
        <v>18</v>
      </c>
      <c r="K1018" s="1064" t="s">
        <v>19</v>
      </c>
      <c r="L1018" s="279" t="s">
        <v>20</v>
      </c>
      <c r="M1018" s="1053" t="s">
        <v>865</v>
      </c>
      <c r="N1018" s="1112"/>
      <c r="O1018" s="512"/>
      <c r="P1018" s="512"/>
      <c r="Q1018" s="512"/>
      <c r="R1018" s="512"/>
      <c r="S1018" s="512"/>
      <c r="T1018" s="512"/>
      <c r="U1018" s="512"/>
      <c r="V1018" s="512"/>
      <c r="W1018" s="512"/>
    </row>
    <row r="1019" s="477" customFormat="1" ht="15.4" customHeight="1" spans="1:23">
      <c r="A1019" s="1064" t="s">
        <v>464</v>
      </c>
      <c r="B1019" s="1050" t="s">
        <v>860</v>
      </c>
      <c r="C1019" s="789" t="s">
        <v>67</v>
      </c>
      <c r="D1019" s="1051">
        <v>61</v>
      </c>
      <c r="E1019" s="988"/>
      <c r="F1019" s="675"/>
      <c r="G1019" s="675">
        <f t="shared" si="92"/>
        <v>45760</v>
      </c>
      <c r="H1019" s="676">
        <f t="shared" si="93"/>
        <v>45778</v>
      </c>
      <c r="I1019" s="1064" t="s">
        <v>862</v>
      </c>
      <c r="J1019" s="1064" t="s">
        <v>18</v>
      </c>
      <c r="K1019" s="1064" t="s">
        <v>19</v>
      </c>
      <c r="L1019" s="279" t="s">
        <v>20</v>
      </c>
      <c r="M1019" s="1053" t="s">
        <v>865</v>
      </c>
      <c r="N1019" s="1112"/>
      <c r="O1019" s="512"/>
      <c r="P1019" s="512"/>
      <c r="Q1019" s="512"/>
      <c r="R1019" s="512"/>
      <c r="S1019" s="512"/>
      <c r="T1019" s="512"/>
      <c r="U1019" s="512"/>
      <c r="V1019" s="512"/>
      <c r="W1019" s="512"/>
    </row>
    <row r="1020" s="477" customFormat="1" ht="15.4" customHeight="1" spans="1:23">
      <c r="A1020" s="1064" t="s">
        <v>464</v>
      </c>
      <c r="B1020" s="1050" t="s">
        <v>860</v>
      </c>
      <c r="C1020" s="789" t="s">
        <v>69</v>
      </c>
      <c r="D1020" s="1051">
        <v>28</v>
      </c>
      <c r="E1020" s="1109"/>
      <c r="F1020" s="675"/>
      <c r="G1020" s="675">
        <f t="shared" si="92"/>
        <v>45760</v>
      </c>
      <c r="H1020" s="676">
        <f t="shared" si="93"/>
        <v>45778</v>
      </c>
      <c r="I1020" s="1064" t="s">
        <v>862</v>
      </c>
      <c r="J1020" s="1064" t="s">
        <v>18</v>
      </c>
      <c r="K1020" s="1064" t="s">
        <v>19</v>
      </c>
      <c r="L1020" s="279" t="s">
        <v>20</v>
      </c>
      <c r="M1020" s="1053" t="s">
        <v>865</v>
      </c>
      <c r="N1020" s="1112"/>
      <c r="O1020" s="512"/>
      <c r="P1020" s="512"/>
      <c r="Q1020" s="512"/>
      <c r="R1020" s="512"/>
      <c r="S1020" s="512"/>
      <c r="T1020" s="512"/>
      <c r="U1020" s="512"/>
      <c r="V1020" s="512"/>
      <c r="W1020" s="512"/>
    </row>
    <row r="1021" s="477" customFormat="1" ht="15.4" customHeight="1" spans="1:23">
      <c r="A1021" s="1064" t="s">
        <v>464</v>
      </c>
      <c r="B1021" s="1050" t="s">
        <v>860</v>
      </c>
      <c r="C1021" s="789" t="s">
        <v>70</v>
      </c>
      <c r="D1021" s="1051">
        <v>16</v>
      </c>
      <c r="E1021" s="1109"/>
      <c r="F1021" s="675"/>
      <c r="G1021" s="675">
        <f t="shared" si="92"/>
        <v>45760</v>
      </c>
      <c r="H1021" s="676">
        <f t="shared" si="93"/>
        <v>45778</v>
      </c>
      <c r="I1021" s="1064" t="s">
        <v>862</v>
      </c>
      <c r="J1021" s="1064" t="s">
        <v>18</v>
      </c>
      <c r="K1021" s="1064" t="s">
        <v>19</v>
      </c>
      <c r="L1021" s="279" t="s">
        <v>20</v>
      </c>
      <c r="M1021" s="1053" t="s">
        <v>865</v>
      </c>
      <c r="N1021" s="1112"/>
      <c r="O1021" s="512"/>
      <c r="P1021" s="512"/>
      <c r="Q1021" s="512"/>
      <c r="R1021" s="512"/>
      <c r="S1021" s="512"/>
      <c r="T1021" s="512"/>
      <c r="U1021" s="512"/>
      <c r="V1021" s="512"/>
      <c r="W1021" s="512"/>
    </row>
    <row r="1022" s="477" customFormat="1" ht="15.4" customHeight="1" spans="1:23">
      <c r="A1022" s="1064" t="s">
        <v>464</v>
      </c>
      <c r="B1022" s="1050" t="s">
        <v>860</v>
      </c>
      <c r="C1022" s="789" t="s">
        <v>71</v>
      </c>
      <c r="D1022" s="1051">
        <v>7</v>
      </c>
      <c r="E1022" s="1109"/>
      <c r="F1022" s="675"/>
      <c r="G1022" s="675">
        <f t="shared" si="92"/>
        <v>45760</v>
      </c>
      <c r="H1022" s="676">
        <f t="shared" si="93"/>
        <v>45778</v>
      </c>
      <c r="I1022" s="1064" t="s">
        <v>862</v>
      </c>
      <c r="J1022" s="1064" t="s">
        <v>18</v>
      </c>
      <c r="K1022" s="1064" t="s">
        <v>19</v>
      </c>
      <c r="L1022" s="279" t="s">
        <v>20</v>
      </c>
      <c r="M1022" s="1053" t="s">
        <v>865</v>
      </c>
      <c r="N1022" s="1112"/>
      <c r="O1022" s="512"/>
      <c r="P1022" s="512"/>
      <c r="Q1022" s="512"/>
      <c r="R1022" s="512"/>
      <c r="S1022" s="512"/>
      <c r="T1022" s="512"/>
      <c r="U1022" s="512"/>
      <c r="V1022" s="512"/>
      <c r="W1022" s="512"/>
    </row>
    <row r="1023" s="477" customFormat="1" ht="15.4" customHeight="1" spans="1:23">
      <c r="A1023" s="1064" t="s">
        <v>464</v>
      </c>
      <c r="B1023" s="1050" t="s">
        <v>860</v>
      </c>
      <c r="C1023" s="789" t="s">
        <v>761</v>
      </c>
      <c r="D1023" s="1051">
        <v>5</v>
      </c>
      <c r="E1023" s="988"/>
      <c r="F1023" s="675"/>
      <c r="G1023" s="675">
        <f t="shared" si="92"/>
        <v>45760</v>
      </c>
      <c r="H1023" s="676">
        <f t="shared" si="93"/>
        <v>45778</v>
      </c>
      <c r="I1023" s="1064" t="s">
        <v>862</v>
      </c>
      <c r="J1023" s="1064" t="s">
        <v>18</v>
      </c>
      <c r="K1023" s="1064" t="s">
        <v>19</v>
      </c>
      <c r="L1023" s="279" t="s">
        <v>20</v>
      </c>
      <c r="M1023" s="1053" t="s">
        <v>865</v>
      </c>
      <c r="N1023" s="1112"/>
      <c r="O1023" s="512"/>
      <c r="P1023" s="512"/>
      <c r="Q1023" s="512"/>
      <c r="R1023" s="512"/>
      <c r="S1023" s="512"/>
      <c r="T1023" s="512"/>
      <c r="U1023" s="512"/>
      <c r="V1023" s="512"/>
      <c r="W1023" s="512"/>
    </row>
    <row r="1024" s="477" customFormat="1" ht="15.4" customHeight="1" spans="1:23">
      <c r="A1024" s="1064" t="s">
        <v>464</v>
      </c>
      <c r="B1024" s="1050" t="s">
        <v>860</v>
      </c>
      <c r="C1024" s="789" t="s">
        <v>342</v>
      </c>
      <c r="D1024" s="1051">
        <v>2</v>
      </c>
      <c r="E1024" s="1109"/>
      <c r="F1024" s="675"/>
      <c r="G1024" s="675">
        <f t="shared" si="92"/>
        <v>45760</v>
      </c>
      <c r="H1024" s="676">
        <f t="shared" si="93"/>
        <v>45778</v>
      </c>
      <c r="I1024" s="1064" t="s">
        <v>862</v>
      </c>
      <c r="J1024" s="1064" t="s">
        <v>18</v>
      </c>
      <c r="K1024" s="1064" t="s">
        <v>19</v>
      </c>
      <c r="L1024" s="279" t="s">
        <v>20</v>
      </c>
      <c r="M1024" s="1053" t="s">
        <v>865</v>
      </c>
      <c r="N1024" s="512"/>
      <c r="O1024" s="512"/>
      <c r="P1024" s="512"/>
      <c r="Q1024" s="512"/>
      <c r="R1024" s="512"/>
      <c r="S1024" s="512"/>
      <c r="T1024" s="512"/>
      <c r="U1024" s="512"/>
      <c r="V1024" s="512"/>
      <c r="W1024" s="512"/>
    </row>
    <row r="1025" s="477" customFormat="1" ht="15.4" customHeight="1" spans="1:23">
      <c r="A1025" s="1064" t="s">
        <v>464</v>
      </c>
      <c r="B1025" s="1050" t="s">
        <v>860</v>
      </c>
      <c r="C1025" s="789" t="s">
        <v>91</v>
      </c>
      <c r="D1025" s="1051">
        <f>42/3</f>
        <v>14</v>
      </c>
      <c r="E1025" s="1109"/>
      <c r="F1025" s="675"/>
      <c r="G1025" s="675">
        <f t="shared" si="92"/>
        <v>45760</v>
      </c>
      <c r="H1025" s="676">
        <f t="shared" si="93"/>
        <v>45778</v>
      </c>
      <c r="I1025" s="1064" t="s">
        <v>862</v>
      </c>
      <c r="J1025" s="1064" t="s">
        <v>18</v>
      </c>
      <c r="K1025" s="1064" t="s">
        <v>19</v>
      </c>
      <c r="L1025" s="279" t="s">
        <v>20</v>
      </c>
      <c r="M1025" s="1053" t="s">
        <v>865</v>
      </c>
      <c r="N1025" s="512"/>
      <c r="O1025" s="512"/>
      <c r="P1025" s="512"/>
      <c r="Q1025" s="512"/>
      <c r="R1025" s="512"/>
      <c r="S1025" s="512"/>
      <c r="T1025" s="512"/>
      <c r="U1025" s="512"/>
      <c r="V1025" s="512"/>
      <c r="W1025" s="512"/>
    </row>
    <row r="1026" s="477" customFormat="1" ht="15.4" customHeight="1" spans="1:23">
      <c r="A1026" s="1064" t="s">
        <v>464</v>
      </c>
      <c r="B1026" s="1050" t="s">
        <v>860</v>
      </c>
      <c r="C1026" s="789" t="s">
        <v>77</v>
      </c>
      <c r="D1026" s="1051">
        <v>1</v>
      </c>
      <c r="E1026" s="1109"/>
      <c r="F1026" s="675"/>
      <c r="G1026" s="675">
        <f t="shared" si="92"/>
        <v>45760</v>
      </c>
      <c r="H1026" s="676">
        <f t="shared" si="93"/>
        <v>45778</v>
      </c>
      <c r="I1026" s="1064" t="s">
        <v>862</v>
      </c>
      <c r="J1026" s="1064" t="s">
        <v>18</v>
      </c>
      <c r="K1026" s="1064" t="s">
        <v>19</v>
      </c>
      <c r="L1026" s="279" t="s">
        <v>20</v>
      </c>
      <c r="M1026" s="1053" t="s">
        <v>865</v>
      </c>
      <c r="N1026" s="1112"/>
      <c r="O1026" s="512"/>
      <c r="P1026" s="512"/>
      <c r="Q1026" s="512"/>
      <c r="R1026" s="512"/>
      <c r="S1026" s="512"/>
      <c r="T1026" s="512"/>
      <c r="U1026" s="512"/>
      <c r="V1026" s="512"/>
      <c r="W1026" s="512"/>
    </row>
    <row r="1027" s="178" customFormat="1" ht="30.75" customHeight="1" spans="1:23">
      <c r="A1027" s="1064" t="s">
        <v>656</v>
      </c>
      <c r="B1027" s="1050" t="s">
        <v>866</v>
      </c>
      <c r="C1027" s="789" t="s">
        <v>27</v>
      </c>
      <c r="D1027" s="279">
        <v>520</v>
      </c>
      <c r="E1027" s="1085" t="s">
        <v>867</v>
      </c>
      <c r="F1027" s="675"/>
      <c r="G1027" s="675">
        <f>VLOOKUP(CLEAN(SUBSTITUTE(TRIM(MID(E:E,FIND("/",E:E)+1,LEN(E:E)))," ","")),'Customs Decl. &amp; Local Delivery'!D:I,6,0)</f>
        <v>45760</v>
      </c>
      <c r="H1027" s="676">
        <f>VLOOKUP(CLEAN(SUBSTITUTE(TRIM(MID(E:E,FIND("/",E:E)+1,LEN(E:E)))," ","")),'Customs Decl. &amp; Local Delivery'!D:J,7,0)</f>
        <v>45778</v>
      </c>
      <c r="I1027" s="1064" t="s">
        <v>868</v>
      </c>
      <c r="J1027" s="784" t="s">
        <v>18</v>
      </c>
      <c r="K1027" s="1064" t="s">
        <v>147</v>
      </c>
      <c r="L1027" s="1090" t="s">
        <v>20</v>
      </c>
      <c r="M1027" s="1064" t="s">
        <v>869</v>
      </c>
      <c r="N1027" s="1081"/>
      <c r="O1027" s="512"/>
      <c r="P1027" s="512"/>
      <c r="Q1027" s="512"/>
      <c r="R1027" s="512"/>
      <c r="S1027" s="512"/>
      <c r="T1027" s="512"/>
      <c r="U1027" s="512"/>
      <c r="V1027" s="512"/>
      <c r="W1027" s="512"/>
    </row>
    <row r="1028" s="178" customFormat="1" ht="30.75" customHeight="1" spans="1:23">
      <c r="A1028" s="1064" t="s">
        <v>656</v>
      </c>
      <c r="B1028" s="1050" t="s">
        <v>870</v>
      </c>
      <c r="C1028" s="789" t="s">
        <v>27</v>
      </c>
      <c r="D1028" s="279">
        <v>520</v>
      </c>
      <c r="E1028" s="1085" t="s">
        <v>871</v>
      </c>
      <c r="F1028" s="675"/>
      <c r="G1028" s="675">
        <f>VLOOKUP(CLEAN(SUBSTITUTE(TRIM(MID(E:E,FIND("/",E:E)+1,LEN(E:E)))," ","")),'Customs Decl. &amp; Local Delivery'!D:I,6,0)</f>
        <v>45760</v>
      </c>
      <c r="H1028" s="676">
        <f>VLOOKUP(CLEAN(SUBSTITUTE(TRIM(MID(E:E,FIND("/",E:E)+1,LEN(E:E)))," ","")),'Customs Decl. &amp; Local Delivery'!D:J,7,0)</f>
        <v>45778</v>
      </c>
      <c r="I1028" s="1064" t="s">
        <v>872</v>
      </c>
      <c r="J1028" s="784" t="s">
        <v>18</v>
      </c>
      <c r="K1028" s="1064" t="s">
        <v>147</v>
      </c>
      <c r="L1028" s="279" t="s">
        <v>20</v>
      </c>
      <c r="M1028" s="1064" t="s">
        <v>873</v>
      </c>
      <c r="N1028" s="1081"/>
      <c r="O1028" s="512"/>
      <c r="P1028" s="512"/>
      <c r="Q1028" s="512"/>
      <c r="R1028" s="512"/>
      <c r="S1028" s="512"/>
      <c r="T1028" s="512"/>
      <c r="U1028" s="512"/>
      <c r="V1028" s="512"/>
      <c r="W1028" s="512"/>
    </row>
    <row r="1029" s="477" customFormat="1" ht="15.4" customHeight="1" spans="1:23">
      <c r="A1029" s="718" t="s">
        <v>874</v>
      </c>
      <c r="B1029" s="1096" t="s">
        <v>875</v>
      </c>
      <c r="C1029" s="1089" t="s">
        <v>59</v>
      </c>
      <c r="D1029" s="290">
        <v>20</v>
      </c>
      <c r="E1029" s="792" t="s">
        <v>876</v>
      </c>
      <c r="F1029" s="675"/>
      <c r="G1029" s="675">
        <f>VLOOKUP(CLEAN(SUBSTITUTE(TRIM(MID(E:E,FIND("/",E:E)+1,LEN(E:E)))," ","")),'Customs Decl. &amp; Local Delivery'!D:I,6,0)</f>
        <v>45760</v>
      </c>
      <c r="H1029" s="676">
        <f>VLOOKUP(CLEAN(SUBSTITUTE(TRIM(MID(E:E,FIND("/",E:E)+1,LEN(E:E)))," ","")),'Customs Decl. &amp; Local Delivery'!D:J,7,0)</f>
        <v>45778</v>
      </c>
      <c r="I1029" s="718" t="s">
        <v>877</v>
      </c>
      <c r="J1029" s="718" t="s">
        <v>18</v>
      </c>
      <c r="K1029" s="718" t="s">
        <v>19</v>
      </c>
      <c r="L1029" s="1090" t="s">
        <v>20</v>
      </c>
      <c r="M1029" s="1079" t="s">
        <v>878</v>
      </c>
      <c r="N1029" s="1112"/>
      <c r="O1029" s="512"/>
      <c r="P1029" s="512"/>
      <c r="Q1029" s="512"/>
      <c r="R1029" s="512"/>
      <c r="S1029" s="512"/>
      <c r="T1029" s="512"/>
      <c r="U1029" s="512"/>
      <c r="V1029" s="512"/>
      <c r="W1029" s="512"/>
    </row>
    <row r="1030" s="477" customFormat="1" ht="15.4" customHeight="1" spans="1:23">
      <c r="A1030" s="718" t="s">
        <v>874</v>
      </c>
      <c r="B1030" s="1096" t="s">
        <v>875</v>
      </c>
      <c r="C1030" s="1089" t="s">
        <v>60</v>
      </c>
      <c r="D1030" s="290">
        <v>20</v>
      </c>
      <c r="E1030" s="1121"/>
      <c r="F1030" s="675"/>
      <c r="G1030" s="675">
        <f>G1029</f>
        <v>45760</v>
      </c>
      <c r="H1030" s="676">
        <f>H1029</f>
        <v>45778</v>
      </c>
      <c r="I1030" s="718" t="s">
        <v>877</v>
      </c>
      <c r="J1030" s="718" t="s">
        <v>18</v>
      </c>
      <c r="K1030" s="718" t="s">
        <v>19</v>
      </c>
      <c r="L1030" s="279" t="s">
        <v>20</v>
      </c>
      <c r="M1030" s="1079" t="s">
        <v>878</v>
      </c>
      <c r="N1030" s="1112"/>
      <c r="O1030" s="512"/>
      <c r="P1030" s="512"/>
      <c r="Q1030" s="512"/>
      <c r="R1030" s="512"/>
      <c r="S1030" s="512"/>
      <c r="T1030" s="512"/>
      <c r="U1030" s="512"/>
      <c r="V1030" s="512"/>
      <c r="W1030" s="512"/>
    </row>
    <row r="1031" s="178" customFormat="1" ht="15.4" customHeight="1" spans="1:23">
      <c r="A1031" s="718" t="s">
        <v>874</v>
      </c>
      <c r="B1031" s="1096" t="s">
        <v>875</v>
      </c>
      <c r="C1031" s="1089" t="s">
        <v>59</v>
      </c>
      <c r="D1031" s="290">
        <v>16</v>
      </c>
      <c r="E1031" s="936"/>
      <c r="F1031" s="675"/>
      <c r="G1031" s="675">
        <f>G1030</f>
        <v>45760</v>
      </c>
      <c r="H1031" s="676">
        <f>H1030</f>
        <v>45778</v>
      </c>
      <c r="I1031" s="718" t="s">
        <v>877</v>
      </c>
      <c r="J1031" s="718" t="s">
        <v>18</v>
      </c>
      <c r="K1031" s="718" t="s">
        <v>147</v>
      </c>
      <c r="L1031" s="279" t="s">
        <v>20</v>
      </c>
      <c r="M1031" s="1079" t="s">
        <v>879</v>
      </c>
      <c r="N1031" s="512"/>
      <c r="O1031" s="512"/>
      <c r="P1031" s="512"/>
      <c r="Q1031" s="512"/>
      <c r="R1031" s="512"/>
      <c r="S1031" s="512"/>
      <c r="T1031" s="512"/>
      <c r="U1031" s="512"/>
      <c r="V1031" s="512"/>
      <c r="W1031" s="512"/>
    </row>
    <row r="1032" s="178" customFormat="1" ht="15.4" customHeight="1" spans="1:23">
      <c r="A1032" s="718" t="s">
        <v>874</v>
      </c>
      <c r="B1032" s="1096" t="s">
        <v>875</v>
      </c>
      <c r="C1032" s="1089" t="s">
        <v>60</v>
      </c>
      <c r="D1032" s="290">
        <v>16</v>
      </c>
      <c r="E1032" s="1121"/>
      <c r="F1032" s="675"/>
      <c r="G1032" s="675">
        <f>G1031</f>
        <v>45760</v>
      </c>
      <c r="H1032" s="676">
        <f>H1031</f>
        <v>45778</v>
      </c>
      <c r="I1032" s="718" t="s">
        <v>877</v>
      </c>
      <c r="J1032" s="718" t="s">
        <v>18</v>
      </c>
      <c r="K1032" s="718" t="s">
        <v>147</v>
      </c>
      <c r="L1032" s="279" t="s">
        <v>20</v>
      </c>
      <c r="M1032" s="1064" t="s">
        <v>880</v>
      </c>
      <c r="N1032" s="512"/>
      <c r="O1032" s="512"/>
      <c r="P1032" s="512"/>
      <c r="Q1032" s="512"/>
      <c r="R1032" s="512"/>
      <c r="S1032" s="512"/>
      <c r="T1032" s="512"/>
      <c r="U1032" s="512"/>
      <c r="V1032" s="512"/>
      <c r="W1032" s="512"/>
    </row>
    <row r="1033" s="178" customFormat="1" ht="15.4" customHeight="1" spans="1:23">
      <c r="A1033" s="718" t="s">
        <v>874</v>
      </c>
      <c r="B1033" s="1096" t="s">
        <v>875</v>
      </c>
      <c r="C1033" s="1089" t="s">
        <v>15</v>
      </c>
      <c r="D1033" s="290">
        <v>95</v>
      </c>
      <c r="E1033" s="1121"/>
      <c r="F1033" s="675"/>
      <c r="G1033" s="675">
        <f>G1032</f>
        <v>45760</v>
      </c>
      <c r="H1033" s="676">
        <f>H1032</f>
        <v>45778</v>
      </c>
      <c r="I1033" s="718" t="s">
        <v>877</v>
      </c>
      <c r="J1033" s="718" t="s">
        <v>18</v>
      </c>
      <c r="K1033" s="718" t="s">
        <v>147</v>
      </c>
      <c r="L1033" s="279" t="s">
        <v>20</v>
      </c>
      <c r="M1033" s="718"/>
      <c r="N1033" s="512"/>
      <c r="O1033" s="512"/>
      <c r="P1033" s="512"/>
      <c r="Q1033" s="512"/>
      <c r="R1033" s="512"/>
      <c r="S1033" s="512"/>
      <c r="T1033" s="512"/>
      <c r="U1033" s="512"/>
      <c r="V1033" s="512"/>
      <c r="W1033" s="512"/>
    </row>
    <row r="1034" s="178" customFormat="1" ht="15.4" customHeight="1" spans="1:23">
      <c r="A1034" s="1064" t="s">
        <v>579</v>
      </c>
      <c r="B1034" s="789" t="s">
        <v>881</v>
      </c>
      <c r="C1034" s="789" t="s">
        <v>77</v>
      </c>
      <c r="D1034" s="279">
        <v>48</v>
      </c>
      <c r="E1034" s="1085" t="s">
        <v>882</v>
      </c>
      <c r="F1034" s="675"/>
      <c r="G1034" s="675">
        <f>VLOOKUP(CLEAN(SUBSTITUTE(TRIM(MID(E:E,FIND("/",E:E)+1,LEN(E:E)))," ","")),'Customs Decl. &amp; Local Delivery'!D:I,6,0)</f>
        <v>45760</v>
      </c>
      <c r="H1034" s="676">
        <f>VLOOKUP(CLEAN(SUBSTITUTE(TRIM(MID(E:E,FIND("/",E:E)+1,LEN(E:E)))," ","")),'Customs Decl. &amp; Local Delivery'!D:J,7,0)</f>
        <v>45778</v>
      </c>
      <c r="I1034" s="1064" t="s">
        <v>883</v>
      </c>
      <c r="J1034" s="784" t="s">
        <v>18</v>
      </c>
      <c r="K1034" s="1064" t="s">
        <v>147</v>
      </c>
      <c r="L1034" s="279" t="s">
        <v>20</v>
      </c>
      <c r="M1034" s="690" t="s">
        <v>884</v>
      </c>
      <c r="N1034" s="1112"/>
      <c r="O1034" s="512"/>
      <c r="P1034" s="512"/>
      <c r="Q1034" s="512"/>
      <c r="R1034" s="512"/>
      <c r="S1034" s="512"/>
      <c r="T1034" s="512"/>
      <c r="U1034" s="512"/>
      <c r="V1034" s="512"/>
      <c r="W1034" s="512"/>
    </row>
    <row r="1035" s="178" customFormat="1" ht="15.4" customHeight="1" spans="1:23">
      <c r="A1035" s="1064" t="s">
        <v>579</v>
      </c>
      <c r="B1035" s="789" t="s">
        <v>881</v>
      </c>
      <c r="C1035" s="789" t="s">
        <v>15</v>
      </c>
      <c r="D1035" s="279">
        <v>162</v>
      </c>
      <c r="E1035" s="988"/>
      <c r="F1035" s="675"/>
      <c r="G1035" s="675">
        <f>G1034</f>
        <v>45760</v>
      </c>
      <c r="H1035" s="676">
        <f>H1034</f>
        <v>45778</v>
      </c>
      <c r="I1035" s="1064" t="s">
        <v>883</v>
      </c>
      <c r="J1035" s="784" t="s">
        <v>18</v>
      </c>
      <c r="K1035" s="1064" t="s">
        <v>147</v>
      </c>
      <c r="L1035" s="279" t="s">
        <v>20</v>
      </c>
      <c r="M1035" s="1075"/>
      <c r="N1035" s="1112"/>
      <c r="O1035" s="512"/>
      <c r="P1035" s="512"/>
      <c r="Q1035" s="512"/>
      <c r="R1035" s="512"/>
      <c r="S1035" s="512"/>
      <c r="T1035" s="512"/>
      <c r="U1035" s="512"/>
      <c r="V1035" s="512"/>
      <c r="W1035" s="512"/>
    </row>
    <row r="1036" s="178" customFormat="1" ht="15.4" customHeight="1" spans="1:23">
      <c r="A1036" s="1064" t="s">
        <v>579</v>
      </c>
      <c r="B1036" s="789" t="s">
        <v>881</v>
      </c>
      <c r="C1036" s="789" t="s">
        <v>24</v>
      </c>
      <c r="D1036" s="279">
        <v>54</v>
      </c>
      <c r="E1036" s="988"/>
      <c r="F1036" s="675"/>
      <c r="G1036" s="675">
        <f>G1035</f>
        <v>45760</v>
      </c>
      <c r="H1036" s="676">
        <f>H1035</f>
        <v>45778</v>
      </c>
      <c r="I1036" s="1064" t="s">
        <v>883</v>
      </c>
      <c r="J1036" s="784" t="s">
        <v>18</v>
      </c>
      <c r="K1036" s="1064" t="s">
        <v>147</v>
      </c>
      <c r="L1036" s="279" t="s">
        <v>20</v>
      </c>
      <c r="M1036" s="1064"/>
      <c r="N1036" s="1112"/>
      <c r="O1036" s="512"/>
      <c r="P1036" s="512"/>
      <c r="Q1036" s="512"/>
      <c r="R1036" s="512"/>
      <c r="S1036" s="512"/>
      <c r="T1036" s="512"/>
      <c r="U1036" s="512"/>
      <c r="V1036" s="512"/>
      <c r="W1036" s="512"/>
    </row>
    <row r="1037" s="178" customFormat="1" ht="15.4" customHeight="1" spans="1:23">
      <c r="A1037" s="1064" t="s">
        <v>579</v>
      </c>
      <c r="B1037" s="789" t="s">
        <v>881</v>
      </c>
      <c r="C1037" s="789" t="s">
        <v>67</v>
      </c>
      <c r="D1037" s="279">
        <v>54</v>
      </c>
      <c r="E1037" s="988"/>
      <c r="F1037" s="675"/>
      <c r="G1037" s="675">
        <f>G1036</f>
        <v>45760</v>
      </c>
      <c r="H1037" s="676">
        <f>H1036</f>
        <v>45778</v>
      </c>
      <c r="I1037" s="1064" t="s">
        <v>883</v>
      </c>
      <c r="J1037" s="784" t="s">
        <v>18</v>
      </c>
      <c r="K1037" s="1064" t="s">
        <v>147</v>
      </c>
      <c r="L1037" s="279" t="s">
        <v>20</v>
      </c>
      <c r="M1037" s="1064"/>
      <c r="N1037" s="1112"/>
      <c r="O1037" s="512"/>
      <c r="P1037" s="512"/>
      <c r="Q1037" s="512"/>
      <c r="R1037" s="512"/>
      <c r="S1037" s="512"/>
      <c r="T1037" s="512"/>
      <c r="U1037" s="512"/>
      <c r="V1037" s="512"/>
      <c r="W1037" s="512"/>
    </row>
    <row r="1038" s="178" customFormat="1" ht="15.4" customHeight="1" spans="1:23">
      <c r="A1038" s="1064" t="s">
        <v>656</v>
      </c>
      <c r="B1038" s="1050" t="s">
        <v>885</v>
      </c>
      <c r="C1038" s="789" t="s">
        <v>91</v>
      </c>
      <c r="D1038" s="279">
        <v>92</v>
      </c>
      <c r="E1038" s="1085" t="s">
        <v>886</v>
      </c>
      <c r="F1038" s="675"/>
      <c r="G1038" s="675">
        <f>VLOOKUP(CLEAN(SUBSTITUTE(TRIM(MID(E:E,FIND("/",E:E)+1,LEN(E:E)))," ","")),'Customs Decl. &amp; Local Delivery'!D:I,6,0)</f>
        <v>45760</v>
      </c>
      <c r="H1038" s="676">
        <f>VLOOKUP(CLEAN(SUBSTITUTE(TRIM(MID(E:E,FIND("/",E:E)+1,LEN(E:E)))," ","")),'Customs Decl. &amp; Local Delivery'!D:J,7,0)</f>
        <v>45778</v>
      </c>
      <c r="I1038" s="1064" t="s">
        <v>887</v>
      </c>
      <c r="J1038" s="784" t="s">
        <v>18</v>
      </c>
      <c r="K1038" s="1064" t="s">
        <v>147</v>
      </c>
      <c r="L1038" s="279" t="s">
        <v>20</v>
      </c>
      <c r="M1038" s="1064" t="s">
        <v>888</v>
      </c>
      <c r="N1038" s="512"/>
      <c r="O1038" s="512"/>
      <c r="P1038" s="512"/>
      <c r="Q1038" s="512"/>
      <c r="R1038" s="512"/>
      <c r="S1038" s="512"/>
      <c r="T1038" s="512"/>
      <c r="U1038" s="512"/>
      <c r="V1038" s="512"/>
      <c r="W1038" s="512"/>
    </row>
    <row r="1039" s="178" customFormat="1" ht="15.4" customHeight="1" spans="1:23">
      <c r="A1039" s="1064" t="s">
        <v>656</v>
      </c>
      <c r="B1039" s="1050" t="s">
        <v>885</v>
      </c>
      <c r="C1039" s="789" t="s">
        <v>15</v>
      </c>
      <c r="D1039" s="279">
        <v>15</v>
      </c>
      <c r="E1039" s="988"/>
      <c r="F1039" s="675"/>
      <c r="G1039" s="675">
        <f>G1038</f>
        <v>45760</v>
      </c>
      <c r="H1039" s="676">
        <f>H1038</f>
        <v>45778</v>
      </c>
      <c r="I1039" s="1064" t="s">
        <v>887</v>
      </c>
      <c r="J1039" s="784" t="s">
        <v>18</v>
      </c>
      <c r="K1039" s="1064" t="s">
        <v>147</v>
      </c>
      <c r="L1039" s="279" t="s">
        <v>20</v>
      </c>
      <c r="M1039" s="1064"/>
      <c r="N1039" s="512"/>
      <c r="O1039" s="512"/>
      <c r="P1039" s="512"/>
      <c r="Q1039" s="512"/>
      <c r="R1039" s="512"/>
      <c r="S1039" s="512"/>
      <c r="T1039" s="512"/>
      <c r="U1039" s="512"/>
      <c r="V1039" s="512"/>
      <c r="W1039" s="512"/>
    </row>
    <row r="1040" s="178" customFormat="1" ht="15.4" customHeight="1" spans="1:23">
      <c r="A1040" s="1064" t="s">
        <v>656</v>
      </c>
      <c r="B1040" s="1050" t="s">
        <v>885</v>
      </c>
      <c r="C1040" s="789" t="s">
        <v>24</v>
      </c>
      <c r="D1040" s="279">
        <v>15</v>
      </c>
      <c r="E1040" s="1109"/>
      <c r="F1040" s="675"/>
      <c r="G1040" s="675">
        <f>G1039</f>
        <v>45760</v>
      </c>
      <c r="H1040" s="676">
        <f>H1039</f>
        <v>45778</v>
      </c>
      <c r="I1040" s="1064" t="s">
        <v>887</v>
      </c>
      <c r="J1040" s="784" t="s">
        <v>18</v>
      </c>
      <c r="K1040" s="1064" t="s">
        <v>147</v>
      </c>
      <c r="L1040" s="279" t="s">
        <v>20</v>
      </c>
      <c r="M1040" s="1064"/>
      <c r="N1040" s="512"/>
      <c r="O1040" s="512"/>
      <c r="P1040" s="512"/>
      <c r="Q1040" s="512"/>
      <c r="R1040" s="512"/>
      <c r="S1040" s="512"/>
      <c r="T1040" s="512"/>
      <c r="U1040" s="512"/>
      <c r="V1040" s="512"/>
      <c r="W1040" s="512"/>
    </row>
    <row r="1041" s="178" customFormat="1" ht="15.4" customHeight="1" spans="1:23">
      <c r="A1041" s="1064" t="s">
        <v>656</v>
      </c>
      <c r="B1041" s="1050" t="s">
        <v>885</v>
      </c>
      <c r="C1041" s="789" t="s">
        <v>27</v>
      </c>
      <c r="D1041" s="279">
        <v>15</v>
      </c>
      <c r="E1041" s="1109"/>
      <c r="F1041" s="675"/>
      <c r="G1041" s="675">
        <f>G1040</f>
        <v>45760</v>
      </c>
      <c r="H1041" s="676">
        <f>H1040</f>
        <v>45778</v>
      </c>
      <c r="I1041" s="1064" t="s">
        <v>887</v>
      </c>
      <c r="J1041" s="784" t="s">
        <v>18</v>
      </c>
      <c r="K1041" s="1064" t="s">
        <v>147</v>
      </c>
      <c r="L1041" s="279" t="s">
        <v>20</v>
      </c>
      <c r="M1041" s="1064"/>
      <c r="N1041" s="512"/>
      <c r="O1041" s="512"/>
      <c r="P1041" s="512"/>
      <c r="Q1041" s="512"/>
      <c r="R1041" s="512"/>
      <c r="S1041" s="512"/>
      <c r="T1041" s="512"/>
      <c r="U1041" s="512"/>
      <c r="V1041" s="512"/>
      <c r="W1041" s="512"/>
    </row>
    <row r="1042" s="178" customFormat="1" ht="15.4" customHeight="1" spans="1:23">
      <c r="A1042" s="1064" t="s">
        <v>656</v>
      </c>
      <c r="B1042" s="1050" t="s">
        <v>885</v>
      </c>
      <c r="C1042" s="789" t="s">
        <v>67</v>
      </c>
      <c r="D1042" s="279">
        <v>15</v>
      </c>
      <c r="E1042" s="1109"/>
      <c r="F1042" s="675"/>
      <c r="G1042" s="675">
        <f>G1041</f>
        <v>45760</v>
      </c>
      <c r="H1042" s="676">
        <f>H1041</f>
        <v>45778</v>
      </c>
      <c r="I1042" s="1064" t="s">
        <v>887</v>
      </c>
      <c r="J1042" s="784" t="s">
        <v>18</v>
      </c>
      <c r="K1042" s="1064" t="s">
        <v>147</v>
      </c>
      <c r="L1042" s="279" t="s">
        <v>20</v>
      </c>
      <c r="M1042" s="1064"/>
      <c r="N1042" s="512"/>
      <c r="O1042" s="512"/>
      <c r="P1042" s="512"/>
      <c r="Q1042" s="512"/>
      <c r="R1042" s="512"/>
      <c r="S1042" s="512"/>
      <c r="T1042" s="512"/>
      <c r="U1042" s="512"/>
      <c r="V1042" s="512"/>
      <c r="W1042" s="512"/>
    </row>
    <row r="1043" s="178" customFormat="1" ht="15.4" customHeight="1" spans="1:23">
      <c r="A1043" s="1064" t="s">
        <v>656</v>
      </c>
      <c r="B1043" s="1050" t="s">
        <v>885</v>
      </c>
      <c r="C1043" s="789" t="s">
        <v>70</v>
      </c>
      <c r="D1043" s="279">
        <v>15</v>
      </c>
      <c r="E1043" s="988"/>
      <c r="F1043" s="675"/>
      <c r="G1043" s="675">
        <f>G1042</f>
        <v>45760</v>
      </c>
      <c r="H1043" s="676">
        <f>H1042</f>
        <v>45778</v>
      </c>
      <c r="I1043" s="1064" t="s">
        <v>887</v>
      </c>
      <c r="J1043" s="784" t="s">
        <v>18</v>
      </c>
      <c r="K1043" s="1064" t="s">
        <v>147</v>
      </c>
      <c r="L1043" s="279" t="s">
        <v>20</v>
      </c>
      <c r="M1043" s="1064"/>
      <c r="N1043" s="512"/>
      <c r="O1043" s="512"/>
      <c r="P1043" s="512"/>
      <c r="Q1043" s="512"/>
      <c r="R1043" s="512"/>
      <c r="S1043" s="512"/>
      <c r="T1043" s="512"/>
      <c r="U1043" s="512"/>
      <c r="V1043" s="512"/>
      <c r="W1043" s="512"/>
    </row>
    <row r="1044" s="477" customFormat="1" ht="15.4" customHeight="1" spans="1:23">
      <c r="A1044" s="784" t="s">
        <v>656</v>
      </c>
      <c r="B1044" s="1050" t="s">
        <v>889</v>
      </c>
      <c r="C1044" s="1050" t="s">
        <v>129</v>
      </c>
      <c r="D1044" s="1051">
        <v>73</v>
      </c>
      <c r="E1044" s="756" t="s">
        <v>890</v>
      </c>
      <c r="F1044" s="675"/>
      <c r="G1044" s="675">
        <f>VLOOKUP(CLEAN(SUBSTITUTE(TRIM(MID(E:E,FIND("/",E:E)+1,LEN(E:E)))," ","")),'Customs Decl. &amp; Local Delivery'!D:I,6,0)</f>
        <v>45760</v>
      </c>
      <c r="H1044" s="676">
        <f>VLOOKUP(CLEAN(SUBSTITUTE(TRIM(MID(E:E,FIND("/",E:E)+1,LEN(E:E)))," ","")),'Customs Decl. &amp; Local Delivery'!D:J,7,0)</f>
        <v>45783</v>
      </c>
      <c r="I1044" s="1064" t="s">
        <v>891</v>
      </c>
      <c r="J1044" s="784" t="s">
        <v>39</v>
      </c>
      <c r="K1044" s="784" t="s">
        <v>19</v>
      </c>
      <c r="L1044" s="279" t="s">
        <v>20</v>
      </c>
      <c r="M1044" s="1058" t="s">
        <v>892</v>
      </c>
      <c r="N1044" s="203"/>
      <c r="O1044" s="512"/>
      <c r="P1044" s="512"/>
      <c r="Q1044" s="512"/>
      <c r="R1044" s="512"/>
      <c r="S1044" s="512"/>
      <c r="T1044" s="512"/>
      <c r="U1044" s="512"/>
      <c r="V1044" s="512"/>
      <c r="W1044" s="512"/>
    </row>
    <row r="1045" s="477" customFormat="1" ht="15.4" customHeight="1" spans="1:23">
      <c r="A1045" s="784" t="s">
        <v>656</v>
      </c>
      <c r="B1045" s="1050" t="s">
        <v>889</v>
      </c>
      <c r="C1045" s="1050" t="s">
        <v>133</v>
      </c>
      <c r="D1045" s="1051">
        <v>73</v>
      </c>
      <c r="E1045" s="988"/>
      <c r="F1045" s="675"/>
      <c r="G1045" s="675">
        <f>G1044</f>
        <v>45760</v>
      </c>
      <c r="H1045" s="676">
        <f>H1044</f>
        <v>45783</v>
      </c>
      <c r="I1045" s="1064" t="s">
        <v>891</v>
      </c>
      <c r="J1045" s="784" t="s">
        <v>39</v>
      </c>
      <c r="K1045" s="784" t="s">
        <v>19</v>
      </c>
      <c r="L1045" s="279" t="s">
        <v>20</v>
      </c>
      <c r="M1045" s="1058" t="s">
        <v>893</v>
      </c>
      <c r="N1045" s="203"/>
      <c r="O1045" s="512"/>
      <c r="P1045" s="512"/>
      <c r="Q1045" s="512"/>
      <c r="R1045" s="512"/>
      <c r="S1045" s="512"/>
      <c r="T1045" s="512"/>
      <c r="U1045" s="512"/>
      <c r="V1045" s="512"/>
      <c r="W1045" s="512"/>
    </row>
    <row r="1046" s="477" customFormat="1" ht="15.4" customHeight="1" spans="1:23">
      <c r="A1046" s="784" t="s">
        <v>656</v>
      </c>
      <c r="B1046" s="1050" t="s">
        <v>889</v>
      </c>
      <c r="C1046" s="1050" t="s">
        <v>67</v>
      </c>
      <c r="D1046" s="1051">
        <v>92</v>
      </c>
      <c r="E1046" s="988"/>
      <c r="F1046" s="675"/>
      <c r="G1046" s="675">
        <f>G1045</f>
        <v>45760</v>
      </c>
      <c r="H1046" s="676">
        <f>H1045</f>
        <v>45783</v>
      </c>
      <c r="I1046" s="1064" t="s">
        <v>891</v>
      </c>
      <c r="J1046" s="784" t="s">
        <v>39</v>
      </c>
      <c r="K1046" s="784" t="s">
        <v>19</v>
      </c>
      <c r="L1046" s="279" t="s">
        <v>20</v>
      </c>
      <c r="M1046" s="1058" t="s">
        <v>894</v>
      </c>
      <c r="N1046" s="203"/>
      <c r="O1046" s="512"/>
      <c r="P1046" s="512"/>
      <c r="Q1046" s="512"/>
      <c r="R1046" s="512"/>
      <c r="S1046" s="512"/>
      <c r="T1046" s="512"/>
      <c r="U1046" s="512"/>
      <c r="V1046" s="512"/>
      <c r="W1046" s="512"/>
    </row>
    <row r="1047" s="477" customFormat="1" ht="15.4" customHeight="1" spans="1:23">
      <c r="A1047" s="784" t="s">
        <v>656</v>
      </c>
      <c r="B1047" s="1050" t="s">
        <v>889</v>
      </c>
      <c r="C1047" s="1050" t="s">
        <v>69</v>
      </c>
      <c r="D1047" s="1051">
        <v>92</v>
      </c>
      <c r="E1047" s="988"/>
      <c r="F1047" s="675"/>
      <c r="G1047" s="675">
        <f>G1046</f>
        <v>45760</v>
      </c>
      <c r="H1047" s="676">
        <f>H1046</f>
        <v>45783</v>
      </c>
      <c r="I1047" s="1064" t="s">
        <v>891</v>
      </c>
      <c r="J1047" s="784" t="s">
        <v>39</v>
      </c>
      <c r="K1047" s="784" t="s">
        <v>19</v>
      </c>
      <c r="L1047" s="279" t="s">
        <v>20</v>
      </c>
      <c r="M1047" s="1058" t="s">
        <v>895</v>
      </c>
      <c r="N1047" s="203"/>
      <c r="O1047" s="512"/>
      <c r="P1047" s="512"/>
      <c r="Q1047" s="512"/>
      <c r="R1047" s="512"/>
      <c r="S1047" s="512"/>
      <c r="T1047" s="512"/>
      <c r="U1047" s="512"/>
      <c r="V1047" s="512"/>
      <c r="W1047" s="512"/>
    </row>
    <row r="1048" s="178" customFormat="1" ht="15.4" customHeight="1" spans="1:23">
      <c r="A1048" s="1058" t="s">
        <v>896</v>
      </c>
      <c r="B1048" s="1096" t="s">
        <v>897</v>
      </c>
      <c r="C1048" s="1054" t="s">
        <v>757</v>
      </c>
      <c r="D1048" s="263">
        <v>42</v>
      </c>
      <c r="E1048" s="1047" t="s">
        <v>519</v>
      </c>
      <c r="F1048" s="675"/>
      <c r="G1048" s="1122">
        <v>45761</v>
      </c>
      <c r="H1048" s="1123">
        <v>45761</v>
      </c>
      <c r="I1048" s="1047" t="s">
        <v>898</v>
      </c>
      <c r="J1048" s="1050" t="s">
        <v>521</v>
      </c>
      <c r="K1048" s="1058" t="s">
        <v>899</v>
      </c>
      <c r="L1048" s="240" t="s">
        <v>20</v>
      </c>
      <c r="M1048" s="590" t="s">
        <v>900</v>
      </c>
      <c r="N1048" s="1081"/>
      <c r="O1048" s="325"/>
      <c r="P1048" s="325"/>
      <c r="Q1048" s="325"/>
      <c r="R1048" s="325"/>
      <c r="S1048" s="325"/>
      <c r="T1048" s="325"/>
      <c r="U1048" s="325"/>
      <c r="V1048" s="325"/>
      <c r="W1048" s="325"/>
    </row>
    <row r="1049" s="178" customFormat="1" ht="15.4" customHeight="1" spans="1:23">
      <c r="A1049" s="1058" t="s">
        <v>896</v>
      </c>
      <c r="B1049" s="1096" t="s">
        <v>897</v>
      </c>
      <c r="C1049" s="1054" t="s">
        <v>901</v>
      </c>
      <c r="D1049" s="263">
        <v>2</v>
      </c>
      <c r="E1049" s="1124"/>
      <c r="F1049" s="675"/>
      <c r="G1049" s="1122">
        <v>45761</v>
      </c>
      <c r="H1049" s="1123">
        <v>45761</v>
      </c>
      <c r="I1049" s="1047" t="s">
        <v>898</v>
      </c>
      <c r="J1049" s="1050" t="s">
        <v>521</v>
      </c>
      <c r="K1049" s="1058" t="s">
        <v>899</v>
      </c>
      <c r="L1049" s="240" t="s">
        <v>20</v>
      </c>
      <c r="M1049" s="1058" t="s">
        <v>902</v>
      </c>
      <c r="N1049" s="1081"/>
      <c r="O1049" s="325"/>
      <c r="P1049" s="325"/>
      <c r="Q1049" s="325"/>
      <c r="R1049" s="325"/>
      <c r="S1049" s="325"/>
      <c r="T1049" s="325"/>
      <c r="U1049" s="325"/>
      <c r="V1049" s="325"/>
      <c r="W1049" s="325"/>
    </row>
    <row r="1050" s="178" customFormat="1" ht="15.4" customHeight="1" spans="1:23">
      <c r="A1050" s="1058" t="s">
        <v>896</v>
      </c>
      <c r="B1050" s="1096" t="s">
        <v>897</v>
      </c>
      <c r="C1050" s="1054" t="s">
        <v>903</v>
      </c>
      <c r="D1050" s="263">
        <v>49</v>
      </c>
      <c r="E1050" s="1124"/>
      <c r="F1050" s="675"/>
      <c r="G1050" s="1122">
        <v>45761</v>
      </c>
      <c r="H1050" s="1123">
        <v>45761</v>
      </c>
      <c r="I1050" s="1047" t="s">
        <v>898</v>
      </c>
      <c r="J1050" s="1050" t="s">
        <v>521</v>
      </c>
      <c r="K1050" s="1058" t="s">
        <v>899</v>
      </c>
      <c r="L1050" s="240" t="s">
        <v>20</v>
      </c>
      <c r="M1050" s="1058" t="s">
        <v>902</v>
      </c>
      <c r="N1050" s="1081"/>
      <c r="O1050" s="325"/>
      <c r="P1050" s="325"/>
      <c r="Q1050" s="325"/>
      <c r="R1050" s="325"/>
      <c r="S1050" s="325"/>
      <c r="T1050" s="325"/>
      <c r="U1050" s="325"/>
      <c r="V1050" s="325"/>
      <c r="W1050" s="325"/>
    </row>
    <row r="1051" s="477" customFormat="1" ht="15.4" customHeight="1" spans="1:23">
      <c r="A1051" s="1058" t="s">
        <v>456</v>
      </c>
      <c r="B1051" s="1096" t="s">
        <v>309</v>
      </c>
      <c r="C1051" s="875" t="s">
        <v>129</v>
      </c>
      <c r="D1051" s="240">
        <v>0</v>
      </c>
      <c r="E1051" s="789" t="s">
        <v>564</v>
      </c>
      <c r="F1051" s="1086"/>
      <c r="G1051" s="1087" t="s">
        <v>309</v>
      </c>
      <c r="H1051" s="1088" t="s">
        <v>309</v>
      </c>
      <c r="I1051" s="1091" t="s">
        <v>309</v>
      </c>
      <c r="J1051" s="1058" t="s">
        <v>18</v>
      </c>
      <c r="K1051" s="1058" t="s">
        <v>19</v>
      </c>
      <c r="L1051" s="1091" t="s">
        <v>309</v>
      </c>
      <c r="M1051" s="1120" t="s">
        <v>904</v>
      </c>
      <c r="N1051" s="512"/>
      <c r="O1051" s="512"/>
      <c r="P1051" s="512"/>
      <c r="Q1051" s="512"/>
      <c r="R1051" s="512"/>
      <c r="S1051" s="512"/>
      <c r="T1051" s="512"/>
      <c r="U1051" s="512"/>
      <c r="V1051" s="512"/>
      <c r="W1051" s="512"/>
    </row>
    <row r="1052" s="477" customFormat="1" ht="15.4" customHeight="1" spans="1:23">
      <c r="A1052" s="1058" t="s">
        <v>456</v>
      </c>
      <c r="B1052" s="1096" t="s">
        <v>309</v>
      </c>
      <c r="C1052" s="875" t="s">
        <v>133</v>
      </c>
      <c r="D1052" s="240">
        <v>0</v>
      </c>
      <c r="E1052" s="1125"/>
      <c r="F1052" s="1086"/>
      <c r="G1052" s="1087" t="s">
        <v>309</v>
      </c>
      <c r="H1052" s="1088" t="s">
        <v>309</v>
      </c>
      <c r="I1052" s="1091" t="s">
        <v>309</v>
      </c>
      <c r="J1052" s="1058" t="s">
        <v>18</v>
      </c>
      <c r="K1052" s="1058" t="s">
        <v>19</v>
      </c>
      <c r="L1052" s="1091" t="s">
        <v>309</v>
      </c>
      <c r="M1052" s="1120" t="s">
        <v>904</v>
      </c>
      <c r="N1052" s="512"/>
      <c r="O1052" s="512"/>
      <c r="P1052" s="512"/>
      <c r="Q1052" s="512"/>
      <c r="R1052" s="512"/>
      <c r="S1052" s="512"/>
      <c r="T1052" s="512"/>
      <c r="U1052" s="512"/>
      <c r="V1052" s="512"/>
      <c r="W1052" s="512"/>
    </row>
    <row r="1053" s="477" customFormat="1" ht="15.4" customHeight="1" spans="1:23">
      <c r="A1053" s="1058" t="s">
        <v>456</v>
      </c>
      <c r="B1053" s="1096" t="s">
        <v>309</v>
      </c>
      <c r="C1053" s="875" t="s">
        <v>15</v>
      </c>
      <c r="D1053" s="240">
        <v>0</v>
      </c>
      <c r="E1053" s="1125"/>
      <c r="F1053" s="1086"/>
      <c r="G1053" s="1087" t="s">
        <v>309</v>
      </c>
      <c r="H1053" s="1088" t="s">
        <v>309</v>
      </c>
      <c r="I1053" s="1091" t="s">
        <v>309</v>
      </c>
      <c r="J1053" s="1058" t="s">
        <v>18</v>
      </c>
      <c r="K1053" s="1058" t="s">
        <v>19</v>
      </c>
      <c r="L1053" s="1091" t="s">
        <v>309</v>
      </c>
      <c r="M1053" s="1120" t="s">
        <v>905</v>
      </c>
      <c r="N1053" s="512"/>
      <c r="O1053" s="512"/>
      <c r="P1053" s="512"/>
      <c r="Q1053" s="512"/>
      <c r="R1053" s="512"/>
      <c r="S1053" s="512"/>
      <c r="T1053" s="512"/>
      <c r="U1053" s="512"/>
      <c r="V1053" s="512"/>
      <c r="W1053" s="512"/>
    </row>
    <row r="1054" s="477" customFormat="1" ht="15.4" customHeight="1" spans="1:23">
      <c r="A1054" s="1058" t="s">
        <v>456</v>
      </c>
      <c r="B1054" s="1096" t="s">
        <v>309</v>
      </c>
      <c r="C1054" s="875" t="s">
        <v>22</v>
      </c>
      <c r="D1054" s="240">
        <v>0</v>
      </c>
      <c r="E1054" s="1125"/>
      <c r="F1054" s="1086"/>
      <c r="G1054" s="1087" t="s">
        <v>309</v>
      </c>
      <c r="H1054" s="1088" t="s">
        <v>309</v>
      </c>
      <c r="I1054" s="1091" t="s">
        <v>309</v>
      </c>
      <c r="J1054" s="1058" t="s">
        <v>18</v>
      </c>
      <c r="K1054" s="1058" t="s">
        <v>19</v>
      </c>
      <c r="L1054" s="1091" t="s">
        <v>309</v>
      </c>
      <c r="M1054" s="1120" t="s">
        <v>904</v>
      </c>
      <c r="N1054" s="512"/>
      <c r="O1054" s="512"/>
      <c r="P1054" s="512"/>
      <c r="Q1054" s="512"/>
      <c r="R1054" s="512"/>
      <c r="S1054" s="512"/>
      <c r="T1054" s="512"/>
      <c r="U1054" s="512"/>
      <c r="V1054" s="512"/>
      <c r="W1054" s="512"/>
    </row>
    <row r="1055" s="477" customFormat="1" ht="15.4" customHeight="1" spans="1:23">
      <c r="A1055" s="1058" t="s">
        <v>456</v>
      </c>
      <c r="B1055" s="1096" t="s">
        <v>309</v>
      </c>
      <c r="C1055" s="875" t="s">
        <v>24</v>
      </c>
      <c r="D1055" s="240">
        <v>0</v>
      </c>
      <c r="E1055" s="1125"/>
      <c r="F1055" s="1086"/>
      <c r="G1055" s="1087" t="s">
        <v>309</v>
      </c>
      <c r="H1055" s="1088" t="s">
        <v>309</v>
      </c>
      <c r="I1055" s="1091" t="s">
        <v>309</v>
      </c>
      <c r="J1055" s="1058" t="s">
        <v>18</v>
      </c>
      <c r="K1055" s="1058" t="s">
        <v>19</v>
      </c>
      <c r="L1055" s="1091" t="s">
        <v>309</v>
      </c>
      <c r="M1055" s="1120" t="s">
        <v>904</v>
      </c>
      <c r="N1055" s="512"/>
      <c r="O1055" s="512"/>
      <c r="P1055" s="512"/>
      <c r="Q1055" s="512"/>
      <c r="R1055" s="512"/>
      <c r="S1055" s="512"/>
      <c r="T1055" s="512"/>
      <c r="U1055" s="512"/>
      <c r="V1055" s="512"/>
      <c r="W1055" s="512"/>
    </row>
    <row r="1056" s="477" customFormat="1" ht="15.4" customHeight="1" spans="1:23">
      <c r="A1056" s="1058" t="s">
        <v>456</v>
      </c>
      <c r="B1056" s="1096" t="s">
        <v>309</v>
      </c>
      <c r="C1056" s="875" t="s">
        <v>25</v>
      </c>
      <c r="D1056" s="240">
        <v>0</v>
      </c>
      <c r="E1056" s="1125"/>
      <c r="F1056" s="1086"/>
      <c r="G1056" s="1087" t="s">
        <v>309</v>
      </c>
      <c r="H1056" s="1088" t="s">
        <v>309</v>
      </c>
      <c r="I1056" s="1091" t="s">
        <v>309</v>
      </c>
      <c r="J1056" s="1058" t="s">
        <v>18</v>
      </c>
      <c r="K1056" s="1058" t="s">
        <v>19</v>
      </c>
      <c r="L1056" s="1091" t="s">
        <v>309</v>
      </c>
      <c r="M1056" s="1120" t="s">
        <v>904</v>
      </c>
      <c r="N1056" s="512"/>
      <c r="O1056" s="512"/>
      <c r="P1056" s="512"/>
      <c r="Q1056" s="512"/>
      <c r="R1056" s="512"/>
      <c r="S1056" s="512"/>
      <c r="T1056" s="512"/>
      <c r="U1056" s="512"/>
      <c r="V1056" s="512"/>
      <c r="W1056" s="512"/>
    </row>
    <row r="1057" s="477" customFormat="1" ht="15.4" customHeight="1" spans="1:23">
      <c r="A1057" s="1058" t="s">
        <v>456</v>
      </c>
      <c r="B1057" s="1096" t="s">
        <v>309</v>
      </c>
      <c r="C1057" s="875" t="s">
        <v>27</v>
      </c>
      <c r="D1057" s="240">
        <v>0</v>
      </c>
      <c r="E1057" s="1125"/>
      <c r="F1057" s="1086"/>
      <c r="G1057" s="1087" t="s">
        <v>309</v>
      </c>
      <c r="H1057" s="1088" t="s">
        <v>309</v>
      </c>
      <c r="I1057" s="1091" t="s">
        <v>309</v>
      </c>
      <c r="J1057" s="1058" t="s">
        <v>18</v>
      </c>
      <c r="K1057" s="1058" t="s">
        <v>19</v>
      </c>
      <c r="L1057" s="1091" t="s">
        <v>309</v>
      </c>
      <c r="M1057" s="1120" t="s">
        <v>904</v>
      </c>
      <c r="N1057" s="512"/>
      <c r="O1057" s="512"/>
      <c r="P1057" s="512"/>
      <c r="Q1057" s="512"/>
      <c r="R1057" s="512"/>
      <c r="S1057" s="512"/>
      <c r="T1057" s="512"/>
      <c r="U1057" s="512"/>
      <c r="V1057" s="512"/>
      <c r="W1057" s="512"/>
    </row>
    <row r="1058" s="477" customFormat="1" ht="15.4" customHeight="1" spans="1:23">
      <c r="A1058" s="1058" t="s">
        <v>456</v>
      </c>
      <c r="B1058" s="1096" t="s">
        <v>309</v>
      </c>
      <c r="C1058" s="875" t="s">
        <v>28</v>
      </c>
      <c r="D1058" s="240">
        <v>0</v>
      </c>
      <c r="E1058" s="1126"/>
      <c r="F1058" s="1086"/>
      <c r="G1058" s="1087" t="s">
        <v>309</v>
      </c>
      <c r="H1058" s="1088" t="s">
        <v>309</v>
      </c>
      <c r="I1058" s="1091" t="s">
        <v>309</v>
      </c>
      <c r="J1058" s="1058" t="s">
        <v>18</v>
      </c>
      <c r="K1058" s="1058" t="s">
        <v>19</v>
      </c>
      <c r="L1058" s="1091" t="s">
        <v>309</v>
      </c>
      <c r="M1058" s="1120" t="s">
        <v>904</v>
      </c>
      <c r="N1058" s="512"/>
      <c r="O1058" s="512"/>
      <c r="P1058" s="512"/>
      <c r="Q1058" s="512"/>
      <c r="R1058" s="512"/>
      <c r="S1058" s="512"/>
      <c r="T1058" s="512"/>
      <c r="U1058" s="512"/>
      <c r="V1058" s="512"/>
      <c r="W1058" s="512"/>
    </row>
    <row r="1059" s="477" customFormat="1" ht="15.4" customHeight="1" spans="1:23">
      <c r="A1059" s="1058" t="s">
        <v>456</v>
      </c>
      <c r="B1059" s="1096" t="s">
        <v>309</v>
      </c>
      <c r="C1059" s="875" t="s">
        <v>67</v>
      </c>
      <c r="D1059" s="240">
        <v>0</v>
      </c>
      <c r="E1059" s="1126"/>
      <c r="F1059" s="1086"/>
      <c r="G1059" s="1087" t="s">
        <v>309</v>
      </c>
      <c r="H1059" s="1088" t="s">
        <v>309</v>
      </c>
      <c r="I1059" s="1091" t="s">
        <v>309</v>
      </c>
      <c r="J1059" s="1058" t="s">
        <v>18</v>
      </c>
      <c r="K1059" s="1058" t="s">
        <v>19</v>
      </c>
      <c r="L1059" s="1091" t="s">
        <v>309</v>
      </c>
      <c r="M1059" s="1120" t="s">
        <v>904</v>
      </c>
      <c r="N1059" s="512"/>
      <c r="O1059" s="512"/>
      <c r="P1059" s="512"/>
      <c r="Q1059" s="512"/>
      <c r="R1059" s="512"/>
      <c r="S1059" s="512"/>
      <c r="T1059" s="512"/>
      <c r="U1059" s="512"/>
      <c r="V1059" s="512"/>
      <c r="W1059" s="512"/>
    </row>
    <row r="1060" s="477" customFormat="1" ht="15.4" customHeight="1" spans="1:23">
      <c r="A1060" s="1058" t="s">
        <v>456</v>
      </c>
      <c r="B1060" s="1096" t="s">
        <v>309</v>
      </c>
      <c r="C1060" s="875" t="s">
        <v>69</v>
      </c>
      <c r="D1060" s="240">
        <v>0</v>
      </c>
      <c r="E1060" s="1126"/>
      <c r="F1060" s="1086"/>
      <c r="G1060" s="1087" t="s">
        <v>309</v>
      </c>
      <c r="H1060" s="1088" t="s">
        <v>309</v>
      </c>
      <c r="I1060" s="1091" t="s">
        <v>309</v>
      </c>
      <c r="J1060" s="1058" t="s">
        <v>18</v>
      </c>
      <c r="K1060" s="1058" t="s">
        <v>19</v>
      </c>
      <c r="L1060" s="1091" t="s">
        <v>309</v>
      </c>
      <c r="M1060" s="1120" t="s">
        <v>904</v>
      </c>
      <c r="N1060" s="512"/>
      <c r="O1060" s="512"/>
      <c r="P1060" s="512"/>
      <c r="Q1060" s="512"/>
      <c r="R1060" s="512"/>
      <c r="S1060" s="512"/>
      <c r="T1060" s="512"/>
      <c r="U1060" s="512"/>
      <c r="V1060" s="512"/>
      <c r="W1060" s="512"/>
    </row>
    <row r="1061" s="477" customFormat="1" ht="15.4" customHeight="1" spans="1:23">
      <c r="A1061" s="1058" t="s">
        <v>456</v>
      </c>
      <c r="B1061" s="1096" t="s">
        <v>309</v>
      </c>
      <c r="C1061" s="875" t="s">
        <v>70</v>
      </c>
      <c r="D1061" s="240">
        <v>0</v>
      </c>
      <c r="E1061" s="1126"/>
      <c r="F1061" s="1086"/>
      <c r="G1061" s="1087" t="s">
        <v>309</v>
      </c>
      <c r="H1061" s="1088" t="s">
        <v>309</v>
      </c>
      <c r="I1061" s="1091" t="s">
        <v>309</v>
      </c>
      <c r="J1061" s="1058" t="s">
        <v>18</v>
      </c>
      <c r="K1061" s="1058" t="s">
        <v>19</v>
      </c>
      <c r="L1061" s="1091" t="s">
        <v>309</v>
      </c>
      <c r="M1061" s="1120" t="s">
        <v>904</v>
      </c>
      <c r="N1061" s="512"/>
      <c r="O1061" s="512"/>
      <c r="P1061" s="512"/>
      <c r="Q1061" s="512"/>
      <c r="R1061" s="512"/>
      <c r="S1061" s="512"/>
      <c r="T1061" s="512"/>
      <c r="U1061" s="512"/>
      <c r="V1061" s="512"/>
      <c r="W1061" s="512"/>
    </row>
    <row r="1062" s="477" customFormat="1" ht="15.4" customHeight="1" spans="1:23">
      <c r="A1062" s="1058" t="s">
        <v>456</v>
      </c>
      <c r="B1062" s="1096" t="s">
        <v>309</v>
      </c>
      <c r="C1062" s="875" t="s">
        <v>71</v>
      </c>
      <c r="D1062" s="240">
        <v>0</v>
      </c>
      <c r="E1062" s="1125"/>
      <c r="F1062" s="1086"/>
      <c r="G1062" s="1087" t="s">
        <v>309</v>
      </c>
      <c r="H1062" s="1088" t="s">
        <v>309</v>
      </c>
      <c r="I1062" s="1091" t="s">
        <v>309</v>
      </c>
      <c r="J1062" s="1058" t="s">
        <v>18</v>
      </c>
      <c r="K1062" s="1058" t="s">
        <v>19</v>
      </c>
      <c r="L1062" s="1091" t="s">
        <v>309</v>
      </c>
      <c r="M1062" s="1120" t="s">
        <v>904</v>
      </c>
      <c r="N1062" s="512"/>
      <c r="O1062" s="512"/>
      <c r="P1062" s="512"/>
      <c r="Q1062" s="512"/>
      <c r="R1062" s="512"/>
      <c r="S1062" s="512"/>
      <c r="T1062" s="512"/>
      <c r="U1062" s="512"/>
      <c r="V1062" s="512"/>
      <c r="W1062" s="512"/>
    </row>
    <row r="1063" s="477" customFormat="1" ht="15.4" customHeight="1" spans="1:23">
      <c r="A1063" s="1058" t="s">
        <v>456</v>
      </c>
      <c r="B1063" s="1096" t="s">
        <v>309</v>
      </c>
      <c r="C1063" s="875" t="s">
        <v>59</v>
      </c>
      <c r="D1063" s="240">
        <v>0</v>
      </c>
      <c r="E1063" s="1126"/>
      <c r="F1063" s="1086"/>
      <c r="G1063" s="1087" t="s">
        <v>309</v>
      </c>
      <c r="H1063" s="1088" t="s">
        <v>309</v>
      </c>
      <c r="I1063" s="1091" t="s">
        <v>309</v>
      </c>
      <c r="J1063" s="1058" t="s">
        <v>18</v>
      </c>
      <c r="K1063" s="1058" t="s">
        <v>19</v>
      </c>
      <c r="L1063" s="1091" t="s">
        <v>309</v>
      </c>
      <c r="M1063" s="1120" t="s">
        <v>904</v>
      </c>
      <c r="N1063" s="512"/>
      <c r="O1063" s="512"/>
      <c r="P1063" s="512"/>
      <c r="Q1063" s="512"/>
      <c r="R1063" s="512"/>
      <c r="S1063" s="512"/>
      <c r="T1063" s="512"/>
      <c r="U1063" s="512"/>
      <c r="V1063" s="512"/>
      <c r="W1063" s="512"/>
    </row>
    <row r="1064" s="477" customFormat="1" ht="15.4" customHeight="1" spans="1:23">
      <c r="A1064" s="1058" t="s">
        <v>456</v>
      </c>
      <c r="B1064" s="1096" t="s">
        <v>309</v>
      </c>
      <c r="C1064" s="1089" t="s">
        <v>60</v>
      </c>
      <c r="D1064" s="240">
        <v>0</v>
      </c>
      <c r="E1064" s="1126"/>
      <c r="F1064" s="1086"/>
      <c r="G1064" s="1087" t="s">
        <v>309</v>
      </c>
      <c r="H1064" s="1088" t="s">
        <v>309</v>
      </c>
      <c r="I1064" s="1091" t="s">
        <v>309</v>
      </c>
      <c r="J1064" s="1058" t="s">
        <v>18</v>
      </c>
      <c r="K1064" s="1058" t="s">
        <v>19</v>
      </c>
      <c r="L1064" s="1091" t="s">
        <v>309</v>
      </c>
      <c r="M1064" s="1120" t="s">
        <v>904</v>
      </c>
      <c r="N1064" s="512"/>
      <c r="O1064" s="512"/>
      <c r="P1064" s="512"/>
      <c r="Q1064" s="512"/>
      <c r="R1064" s="512"/>
      <c r="S1064" s="512"/>
      <c r="T1064" s="512"/>
      <c r="U1064" s="512"/>
      <c r="V1064" s="512"/>
      <c r="W1064" s="512"/>
    </row>
    <row r="1065" s="178" customFormat="1" ht="15.4" customHeight="1" spans="1:23">
      <c r="A1065" s="1064" t="s">
        <v>656</v>
      </c>
      <c r="B1065" s="1050" t="s">
        <v>906</v>
      </c>
      <c r="C1065" s="789" t="s">
        <v>69</v>
      </c>
      <c r="D1065" s="279">
        <v>90</v>
      </c>
      <c r="E1065" s="1085" t="s">
        <v>907</v>
      </c>
      <c r="F1065" s="675"/>
      <c r="G1065" s="675">
        <f>VLOOKUP(CLEAN(SUBSTITUTE(TRIM(MID(E:E,FIND("/",E:E)+1,LEN(E:E)))," ","")),'Customs Decl. &amp; Local Delivery'!D:I,6,0)</f>
        <v>45761</v>
      </c>
      <c r="H1065" s="676">
        <f>VLOOKUP(CLEAN(SUBSTITUTE(TRIM(MID(E:E,FIND("/",E:E)+1,LEN(E:E)))," ","")),'Customs Decl. &amp; Local Delivery'!D:J,7,0)</f>
        <v>45784</v>
      </c>
      <c r="I1065" s="1064" t="s">
        <v>908</v>
      </c>
      <c r="J1065" s="784" t="s">
        <v>18</v>
      </c>
      <c r="K1065" s="1064" t="s">
        <v>147</v>
      </c>
      <c r="L1065" s="1090" t="s">
        <v>20</v>
      </c>
      <c r="M1065" s="1064" t="s">
        <v>909</v>
      </c>
      <c r="N1065" s="512"/>
      <c r="O1065" s="512"/>
      <c r="P1065" s="512"/>
      <c r="Q1065" s="512"/>
      <c r="R1065" s="512"/>
      <c r="S1065" s="512"/>
      <c r="T1065" s="512"/>
      <c r="U1065" s="512"/>
      <c r="V1065" s="512"/>
      <c r="W1065" s="512"/>
    </row>
    <row r="1066" s="178" customFormat="1" ht="15.4" customHeight="1" spans="1:23">
      <c r="A1066" s="1064" t="s">
        <v>656</v>
      </c>
      <c r="B1066" s="1050" t="s">
        <v>906</v>
      </c>
      <c r="C1066" s="789" t="s">
        <v>71</v>
      </c>
      <c r="D1066" s="279">
        <v>90</v>
      </c>
      <c r="E1066" s="988"/>
      <c r="F1066" s="675"/>
      <c r="G1066" s="675">
        <f>G1065</f>
        <v>45761</v>
      </c>
      <c r="H1066" s="676">
        <f>H1065</f>
        <v>45784</v>
      </c>
      <c r="I1066" s="1064" t="s">
        <v>908</v>
      </c>
      <c r="J1066" s="784" t="s">
        <v>18</v>
      </c>
      <c r="K1066" s="1064" t="s">
        <v>147</v>
      </c>
      <c r="L1066" s="1090" t="s">
        <v>20</v>
      </c>
      <c r="M1066" s="785"/>
      <c r="N1066" s="512"/>
      <c r="O1066" s="512"/>
      <c r="P1066" s="512"/>
      <c r="Q1066" s="512"/>
      <c r="R1066" s="512"/>
      <c r="S1066" s="512"/>
      <c r="T1066" s="512"/>
      <c r="U1066" s="512"/>
      <c r="V1066" s="512"/>
      <c r="W1066" s="512"/>
    </row>
    <row r="1067" s="178" customFormat="1" ht="15.4" customHeight="1" spans="1:23">
      <c r="A1067" s="1053" t="s">
        <v>910</v>
      </c>
      <c r="B1067" s="1099" t="s">
        <v>911</v>
      </c>
      <c r="C1067" s="1048" t="s">
        <v>77</v>
      </c>
      <c r="D1067" s="267">
        <v>48</v>
      </c>
      <c r="E1067" s="1055" t="s">
        <v>912</v>
      </c>
      <c r="F1067" s="675"/>
      <c r="G1067" s="675">
        <f>VLOOKUP(CLEAN(SUBSTITUTE(TRIM(MID(E:E,FIND("/",E:E)+1,LEN(E:E)))," ","")),'Customs Decl. &amp; Local Delivery'!D:I,6,0)</f>
        <v>45761</v>
      </c>
      <c r="H1067" s="676">
        <f>VLOOKUP(CLEAN(SUBSTITUTE(TRIM(MID(E:E,FIND("/",E:E)+1,LEN(E:E)))," ","")),'Customs Decl. &amp; Local Delivery'!D:J,7,0)</f>
        <v>45784</v>
      </c>
      <c r="I1067" s="1053" t="s">
        <v>913</v>
      </c>
      <c r="J1067" s="1053" t="s">
        <v>18</v>
      </c>
      <c r="K1067" s="1053" t="s">
        <v>147</v>
      </c>
      <c r="L1067" s="1090" t="s">
        <v>20</v>
      </c>
      <c r="M1067" s="1053" t="s">
        <v>914</v>
      </c>
      <c r="N1067" s="512"/>
      <c r="O1067" s="512"/>
      <c r="P1067" s="512"/>
      <c r="Q1067" s="512"/>
      <c r="R1067" s="512"/>
      <c r="S1067" s="512"/>
      <c r="T1067" s="512"/>
      <c r="U1067" s="512"/>
      <c r="V1067" s="512"/>
      <c r="W1067" s="512"/>
    </row>
    <row r="1068" s="178" customFormat="1" ht="15.4" customHeight="1" spans="1:23">
      <c r="A1068" s="1053" t="s">
        <v>910</v>
      </c>
      <c r="B1068" s="1099" t="s">
        <v>911</v>
      </c>
      <c r="C1068" s="1048" t="s">
        <v>15</v>
      </c>
      <c r="D1068" s="267">
        <v>12</v>
      </c>
      <c r="E1068" s="1127"/>
      <c r="F1068" s="840"/>
      <c r="G1068" s="840">
        <f>G1067</f>
        <v>45761</v>
      </c>
      <c r="H1068" s="1123">
        <f>H1067</f>
        <v>45784</v>
      </c>
      <c r="I1068" s="1053" t="s">
        <v>913</v>
      </c>
      <c r="J1068" s="1053" t="s">
        <v>18</v>
      </c>
      <c r="K1068" s="1053" t="s">
        <v>147</v>
      </c>
      <c r="L1068" s="279" t="s">
        <v>20</v>
      </c>
      <c r="M1068" s="1053"/>
      <c r="N1068" s="512"/>
      <c r="O1068" s="512"/>
      <c r="P1068" s="512"/>
      <c r="Q1068" s="512"/>
      <c r="R1068" s="512"/>
      <c r="S1068" s="512"/>
      <c r="T1068" s="512"/>
      <c r="U1068" s="512"/>
      <c r="V1068" s="512"/>
      <c r="W1068" s="512"/>
    </row>
    <row r="1069" s="178" customFormat="1" ht="15.4" customHeight="1" spans="1:23">
      <c r="A1069" s="1053" t="s">
        <v>910</v>
      </c>
      <c r="B1069" s="1099" t="s">
        <v>911</v>
      </c>
      <c r="C1069" s="1048" t="s">
        <v>24</v>
      </c>
      <c r="D1069" s="267">
        <v>100</v>
      </c>
      <c r="E1069" s="1127"/>
      <c r="F1069" s="840"/>
      <c r="G1069" s="840">
        <f>G1068</f>
        <v>45761</v>
      </c>
      <c r="H1069" s="1123">
        <f>H1068</f>
        <v>45784</v>
      </c>
      <c r="I1069" s="1053" t="s">
        <v>913</v>
      </c>
      <c r="J1069" s="1053" t="s">
        <v>18</v>
      </c>
      <c r="K1069" s="1053" t="s">
        <v>147</v>
      </c>
      <c r="L1069" s="279" t="s">
        <v>20</v>
      </c>
      <c r="M1069" s="1053"/>
      <c r="N1069" s="512"/>
      <c r="O1069" s="512"/>
      <c r="P1069" s="512"/>
      <c r="Q1069" s="512"/>
      <c r="R1069" s="512"/>
      <c r="S1069" s="512"/>
      <c r="T1069" s="512"/>
      <c r="U1069" s="512"/>
      <c r="V1069" s="512"/>
      <c r="W1069" s="512"/>
    </row>
    <row r="1070" s="178" customFormat="1" ht="15.4" customHeight="1" spans="1:23">
      <c r="A1070" s="1053" t="s">
        <v>910</v>
      </c>
      <c r="B1070" s="1099" t="s">
        <v>911</v>
      </c>
      <c r="C1070" s="1048" t="s">
        <v>27</v>
      </c>
      <c r="D1070" s="267">
        <v>30</v>
      </c>
      <c r="E1070" s="1127"/>
      <c r="F1070" s="840"/>
      <c r="G1070" s="840">
        <f>G1069</f>
        <v>45761</v>
      </c>
      <c r="H1070" s="1123">
        <f>H1069</f>
        <v>45784</v>
      </c>
      <c r="I1070" s="1053" t="s">
        <v>913</v>
      </c>
      <c r="J1070" s="1053" t="s">
        <v>18</v>
      </c>
      <c r="K1070" s="1053" t="s">
        <v>147</v>
      </c>
      <c r="L1070" s="279" t="s">
        <v>20</v>
      </c>
      <c r="M1070" s="1053"/>
      <c r="N1070" s="512"/>
      <c r="O1070" s="512"/>
      <c r="P1070" s="512"/>
      <c r="Q1070" s="512"/>
      <c r="R1070" s="512"/>
      <c r="S1070" s="512"/>
      <c r="T1070" s="512"/>
      <c r="U1070" s="512"/>
      <c r="V1070" s="512"/>
      <c r="W1070" s="512"/>
    </row>
    <row r="1071" s="178" customFormat="1" ht="15.4" customHeight="1" spans="1:23">
      <c r="A1071" s="1053" t="s">
        <v>910</v>
      </c>
      <c r="B1071" s="1099" t="s">
        <v>911</v>
      </c>
      <c r="C1071" s="1048" t="s">
        <v>67</v>
      </c>
      <c r="D1071" s="267">
        <v>30</v>
      </c>
      <c r="E1071" s="1127"/>
      <c r="F1071" s="840"/>
      <c r="G1071" s="840">
        <f>G1070</f>
        <v>45761</v>
      </c>
      <c r="H1071" s="1123">
        <f>H1070</f>
        <v>45784</v>
      </c>
      <c r="I1071" s="1053" t="s">
        <v>913</v>
      </c>
      <c r="J1071" s="1053" t="s">
        <v>18</v>
      </c>
      <c r="K1071" s="1053" t="s">
        <v>147</v>
      </c>
      <c r="L1071" s="279" t="s">
        <v>20</v>
      </c>
      <c r="M1071" s="1053"/>
      <c r="N1071" s="512"/>
      <c r="O1071" s="512"/>
      <c r="P1071" s="512"/>
      <c r="Q1071" s="512"/>
      <c r="R1071" s="512"/>
      <c r="S1071" s="512"/>
      <c r="T1071" s="512"/>
      <c r="U1071" s="512"/>
      <c r="V1071" s="512"/>
      <c r="W1071" s="512"/>
    </row>
    <row r="1072" s="178" customFormat="1" ht="15.4" customHeight="1" spans="1:23">
      <c r="A1072" s="1053" t="s">
        <v>910</v>
      </c>
      <c r="B1072" s="1099" t="s">
        <v>911</v>
      </c>
      <c r="C1072" s="1048" t="s">
        <v>70</v>
      </c>
      <c r="D1072" s="267">
        <v>50</v>
      </c>
      <c r="E1072" s="1127"/>
      <c r="F1072" s="840"/>
      <c r="G1072" s="840">
        <f>G1071</f>
        <v>45761</v>
      </c>
      <c r="H1072" s="1123">
        <f>H1071</f>
        <v>45784</v>
      </c>
      <c r="I1072" s="1053" t="s">
        <v>913</v>
      </c>
      <c r="J1072" s="1053" t="s">
        <v>18</v>
      </c>
      <c r="K1072" s="1053" t="s">
        <v>147</v>
      </c>
      <c r="L1072" s="279" t="s">
        <v>20</v>
      </c>
      <c r="M1072" s="1053"/>
      <c r="N1072" s="512"/>
      <c r="O1072" s="512"/>
      <c r="P1072" s="512"/>
      <c r="Q1072" s="512"/>
      <c r="R1072" s="512"/>
      <c r="S1072" s="512"/>
      <c r="T1072" s="512"/>
      <c r="U1072" s="512"/>
      <c r="V1072" s="512"/>
      <c r="W1072" s="512"/>
    </row>
    <row r="1073" s="178" customFormat="1" ht="15.4" customHeight="1" spans="1:23">
      <c r="A1073" s="1053" t="s">
        <v>910</v>
      </c>
      <c r="B1073" s="1099" t="s">
        <v>915</v>
      </c>
      <c r="C1073" s="1048" t="s">
        <v>77</v>
      </c>
      <c r="D1073" s="267">
        <v>48</v>
      </c>
      <c r="E1073" s="1055" t="s">
        <v>916</v>
      </c>
      <c r="F1073" s="675"/>
      <c r="G1073" s="675">
        <f>VLOOKUP(CLEAN(SUBSTITUTE(TRIM(MID(E:E,FIND("/",E:E)+1,LEN(E:E)))," ","")),'Customs Decl. &amp; Local Delivery'!D:I,6,0)</f>
        <v>45761</v>
      </c>
      <c r="H1073" s="676">
        <f>VLOOKUP(CLEAN(SUBSTITUTE(TRIM(MID(E:E,FIND("/",E:E)+1,LEN(E:E)))," ","")),'Customs Decl. &amp; Local Delivery'!D:J,7,0)</f>
        <v>45784</v>
      </c>
      <c r="I1073" s="1053" t="s">
        <v>917</v>
      </c>
      <c r="J1073" s="1053" t="s">
        <v>18</v>
      </c>
      <c r="K1073" s="1053" t="s">
        <v>147</v>
      </c>
      <c r="L1073" s="279" t="s">
        <v>20</v>
      </c>
      <c r="M1073" s="1053" t="s">
        <v>914</v>
      </c>
      <c r="N1073" s="512"/>
      <c r="O1073" s="512"/>
      <c r="P1073" s="512"/>
      <c r="Q1073" s="512"/>
      <c r="R1073" s="512"/>
      <c r="S1073" s="512"/>
      <c r="T1073" s="512"/>
      <c r="U1073" s="512"/>
      <c r="V1073" s="512"/>
      <c r="W1073" s="512"/>
    </row>
    <row r="1074" s="178" customFormat="1" ht="15.4" customHeight="1" spans="1:23">
      <c r="A1074" s="1053" t="s">
        <v>910</v>
      </c>
      <c r="B1074" s="1099" t="s">
        <v>915</v>
      </c>
      <c r="C1074" s="1048" t="s">
        <v>15</v>
      </c>
      <c r="D1074" s="267">
        <v>12</v>
      </c>
      <c r="E1074" s="1127"/>
      <c r="F1074" s="840"/>
      <c r="G1074" s="840">
        <f>G1073</f>
        <v>45761</v>
      </c>
      <c r="H1074" s="1123">
        <f>H1073</f>
        <v>45784</v>
      </c>
      <c r="I1074" s="1053" t="s">
        <v>917</v>
      </c>
      <c r="J1074" s="1053" t="s">
        <v>18</v>
      </c>
      <c r="K1074" s="1053" t="s">
        <v>147</v>
      </c>
      <c r="L1074" s="279" t="s">
        <v>20</v>
      </c>
      <c r="M1074" s="1053"/>
      <c r="N1074" s="512"/>
      <c r="O1074" s="512"/>
      <c r="P1074" s="512"/>
      <c r="Q1074" s="512"/>
      <c r="R1074" s="512"/>
      <c r="S1074" s="512"/>
      <c r="T1074" s="512"/>
      <c r="U1074" s="512"/>
      <c r="V1074" s="512"/>
      <c r="W1074" s="512"/>
    </row>
    <row r="1075" s="178" customFormat="1" ht="15.4" customHeight="1" spans="1:23">
      <c r="A1075" s="1053" t="s">
        <v>910</v>
      </c>
      <c r="B1075" s="1099" t="s">
        <v>915</v>
      </c>
      <c r="C1075" s="1048" t="s">
        <v>24</v>
      </c>
      <c r="D1075" s="267">
        <v>100</v>
      </c>
      <c r="E1075" s="1127"/>
      <c r="F1075" s="840"/>
      <c r="G1075" s="840">
        <f>G1074</f>
        <v>45761</v>
      </c>
      <c r="H1075" s="1123">
        <f>H1074</f>
        <v>45784</v>
      </c>
      <c r="I1075" s="1053" t="s">
        <v>917</v>
      </c>
      <c r="J1075" s="1053" t="s">
        <v>18</v>
      </c>
      <c r="K1075" s="1053" t="s">
        <v>147</v>
      </c>
      <c r="L1075" s="279" t="s">
        <v>20</v>
      </c>
      <c r="M1075" s="1053"/>
      <c r="N1075" s="512"/>
      <c r="O1075" s="512"/>
      <c r="P1075" s="512"/>
      <c r="Q1075" s="512"/>
      <c r="R1075" s="512"/>
      <c r="S1075" s="512"/>
      <c r="T1075" s="512"/>
      <c r="U1075" s="512"/>
      <c r="V1075" s="512"/>
      <c r="W1075" s="512"/>
    </row>
    <row r="1076" s="178" customFormat="1" ht="15.4" customHeight="1" spans="1:23">
      <c r="A1076" s="1053" t="s">
        <v>910</v>
      </c>
      <c r="B1076" s="1099" t="s">
        <v>915</v>
      </c>
      <c r="C1076" s="1048" t="s">
        <v>27</v>
      </c>
      <c r="D1076" s="267">
        <v>30</v>
      </c>
      <c r="E1076" s="1127"/>
      <c r="F1076" s="840"/>
      <c r="G1076" s="840">
        <f>G1075</f>
        <v>45761</v>
      </c>
      <c r="H1076" s="1123">
        <f>H1075</f>
        <v>45784</v>
      </c>
      <c r="I1076" s="1053" t="s">
        <v>917</v>
      </c>
      <c r="J1076" s="1053" t="s">
        <v>18</v>
      </c>
      <c r="K1076" s="1053" t="s">
        <v>147</v>
      </c>
      <c r="L1076" s="279" t="s">
        <v>20</v>
      </c>
      <c r="M1076" s="1053"/>
      <c r="N1076" s="512"/>
      <c r="O1076" s="512"/>
      <c r="P1076" s="512"/>
      <c r="Q1076" s="512"/>
      <c r="R1076" s="512"/>
      <c r="S1076" s="512"/>
      <c r="T1076" s="512"/>
      <c r="U1076" s="512"/>
      <c r="V1076" s="512"/>
      <c r="W1076" s="512"/>
    </row>
    <row r="1077" s="178" customFormat="1" ht="15.4" customHeight="1" spans="1:23">
      <c r="A1077" s="1053" t="s">
        <v>910</v>
      </c>
      <c r="B1077" s="1128" t="s">
        <v>915</v>
      </c>
      <c r="C1077" s="1048" t="s">
        <v>67</v>
      </c>
      <c r="D1077" s="267">
        <v>30</v>
      </c>
      <c r="E1077" s="976"/>
      <c r="F1077" s="840"/>
      <c r="G1077" s="840">
        <f>G1076</f>
        <v>45761</v>
      </c>
      <c r="H1077" s="1123">
        <f>H1076</f>
        <v>45784</v>
      </c>
      <c r="I1077" s="1053" t="s">
        <v>917</v>
      </c>
      <c r="J1077" s="1053" t="s">
        <v>18</v>
      </c>
      <c r="K1077" s="1053" t="s">
        <v>147</v>
      </c>
      <c r="L1077" s="279" t="s">
        <v>20</v>
      </c>
      <c r="M1077" s="1053"/>
      <c r="N1077" s="512"/>
      <c r="O1077" s="512"/>
      <c r="P1077" s="512"/>
      <c r="Q1077" s="512"/>
      <c r="R1077" s="512"/>
      <c r="S1077" s="512"/>
      <c r="T1077" s="512"/>
      <c r="U1077" s="512"/>
      <c r="V1077" s="512"/>
      <c r="W1077" s="512"/>
    </row>
    <row r="1078" s="178" customFormat="1" ht="15.4" customHeight="1" spans="1:23">
      <c r="A1078" s="1053" t="s">
        <v>910</v>
      </c>
      <c r="B1078" s="1128" t="s">
        <v>915</v>
      </c>
      <c r="C1078" s="1048" t="s">
        <v>70</v>
      </c>
      <c r="D1078" s="267">
        <v>50</v>
      </c>
      <c r="E1078" s="976"/>
      <c r="F1078" s="840"/>
      <c r="G1078" s="840">
        <f>G1077</f>
        <v>45761</v>
      </c>
      <c r="H1078" s="1123">
        <f>H1077</f>
        <v>45784</v>
      </c>
      <c r="I1078" s="1053" t="s">
        <v>917</v>
      </c>
      <c r="J1078" s="1053" t="s">
        <v>18</v>
      </c>
      <c r="K1078" s="1053" t="s">
        <v>147</v>
      </c>
      <c r="L1078" s="279" t="s">
        <v>20</v>
      </c>
      <c r="M1078" s="1053"/>
      <c r="N1078" s="512"/>
      <c r="O1078" s="512"/>
      <c r="P1078" s="512"/>
      <c r="Q1078" s="512"/>
      <c r="R1078" s="512"/>
      <c r="S1078" s="512"/>
      <c r="T1078" s="512"/>
      <c r="U1078" s="512"/>
      <c r="V1078" s="512"/>
      <c r="W1078" s="512"/>
    </row>
    <row r="1079" s="178" customFormat="1" ht="15.4" customHeight="1" spans="1:23">
      <c r="A1079" s="1053" t="s">
        <v>910</v>
      </c>
      <c r="B1079" s="1128" t="s">
        <v>918</v>
      </c>
      <c r="C1079" s="1048" t="s">
        <v>77</v>
      </c>
      <c r="D1079" s="267">
        <v>48</v>
      </c>
      <c r="E1079" s="1055" t="s">
        <v>919</v>
      </c>
      <c r="F1079" s="675"/>
      <c r="G1079" s="675">
        <f>VLOOKUP(CLEAN(SUBSTITUTE(TRIM(MID(E:E,FIND("/",E:E)+1,LEN(E:E)))," ","")),'Customs Decl. &amp; Local Delivery'!D:I,6,0)</f>
        <v>45761</v>
      </c>
      <c r="H1079" s="676">
        <f>VLOOKUP(CLEAN(SUBSTITUTE(TRIM(MID(E:E,FIND("/",E:E)+1,LEN(E:E)))," ","")),'Customs Decl. &amp; Local Delivery'!D:J,7,0)</f>
        <v>45784</v>
      </c>
      <c r="I1079" s="1053" t="s">
        <v>920</v>
      </c>
      <c r="J1079" s="1053" t="s">
        <v>18</v>
      </c>
      <c r="K1079" s="1053" t="s">
        <v>147</v>
      </c>
      <c r="L1079" s="1090" t="s">
        <v>20</v>
      </c>
      <c r="M1079" s="1053" t="s">
        <v>914</v>
      </c>
      <c r="N1079" s="512"/>
      <c r="O1079" s="512"/>
      <c r="P1079" s="512"/>
      <c r="Q1079" s="512"/>
      <c r="R1079" s="512"/>
      <c r="S1079" s="512"/>
      <c r="T1079" s="512"/>
      <c r="U1079" s="512"/>
      <c r="V1079" s="512"/>
      <c r="W1079" s="512"/>
    </row>
    <row r="1080" s="178" customFormat="1" ht="15.4" customHeight="1" spans="1:23">
      <c r="A1080" s="1053" t="s">
        <v>910</v>
      </c>
      <c r="B1080" s="1128" t="s">
        <v>918</v>
      </c>
      <c r="C1080" s="1048" t="s">
        <v>15</v>
      </c>
      <c r="D1080" s="267">
        <v>12</v>
      </c>
      <c r="E1080" s="976"/>
      <c r="F1080" s="840"/>
      <c r="G1080" s="840">
        <f>G1079</f>
        <v>45761</v>
      </c>
      <c r="H1080" s="1123">
        <f>H1079</f>
        <v>45784</v>
      </c>
      <c r="I1080" s="1053" t="s">
        <v>920</v>
      </c>
      <c r="J1080" s="1053" t="s">
        <v>18</v>
      </c>
      <c r="K1080" s="1053" t="s">
        <v>147</v>
      </c>
      <c r="L1080" s="279" t="s">
        <v>20</v>
      </c>
      <c r="M1080" s="1053"/>
      <c r="N1080" s="512"/>
      <c r="O1080" s="512"/>
      <c r="P1080" s="512"/>
      <c r="Q1080" s="512"/>
      <c r="R1080" s="512"/>
      <c r="S1080" s="512"/>
      <c r="T1080" s="512"/>
      <c r="U1080" s="512"/>
      <c r="V1080" s="512"/>
      <c r="W1080" s="512"/>
    </row>
    <row r="1081" s="178" customFormat="1" ht="15.4" customHeight="1" spans="1:23">
      <c r="A1081" s="1053" t="s">
        <v>910</v>
      </c>
      <c r="B1081" s="1099" t="s">
        <v>918</v>
      </c>
      <c r="C1081" s="1048" t="s">
        <v>24</v>
      </c>
      <c r="D1081" s="267">
        <v>100</v>
      </c>
      <c r="E1081" s="976"/>
      <c r="F1081" s="840"/>
      <c r="G1081" s="840">
        <f>G1080</f>
        <v>45761</v>
      </c>
      <c r="H1081" s="1123">
        <f>H1080</f>
        <v>45784</v>
      </c>
      <c r="I1081" s="1053" t="s">
        <v>920</v>
      </c>
      <c r="J1081" s="1053" t="s">
        <v>18</v>
      </c>
      <c r="K1081" s="1053" t="s">
        <v>147</v>
      </c>
      <c r="L1081" s="279" t="s">
        <v>20</v>
      </c>
      <c r="M1081" s="1053"/>
      <c r="N1081" s="512"/>
      <c r="O1081" s="512"/>
      <c r="P1081" s="512"/>
      <c r="Q1081" s="512"/>
      <c r="R1081" s="512"/>
      <c r="S1081" s="512"/>
      <c r="T1081" s="512"/>
      <c r="U1081" s="512"/>
      <c r="V1081" s="512"/>
      <c r="W1081" s="512"/>
    </row>
    <row r="1082" s="178" customFormat="1" ht="15.4" customHeight="1" spans="1:23">
      <c r="A1082" s="1053" t="s">
        <v>910</v>
      </c>
      <c r="B1082" s="1099" t="s">
        <v>918</v>
      </c>
      <c r="C1082" s="1048" t="s">
        <v>27</v>
      </c>
      <c r="D1082" s="267">
        <v>30</v>
      </c>
      <c r="E1082" s="976"/>
      <c r="F1082" s="840"/>
      <c r="G1082" s="840">
        <f>G1081</f>
        <v>45761</v>
      </c>
      <c r="H1082" s="1123">
        <f>H1081</f>
        <v>45784</v>
      </c>
      <c r="I1082" s="1053" t="s">
        <v>920</v>
      </c>
      <c r="J1082" s="1053" t="s">
        <v>18</v>
      </c>
      <c r="K1082" s="1053" t="s">
        <v>147</v>
      </c>
      <c r="L1082" s="279" t="s">
        <v>20</v>
      </c>
      <c r="M1082" s="1053"/>
      <c r="N1082" s="512"/>
      <c r="O1082" s="512"/>
      <c r="P1082" s="512"/>
      <c r="Q1082" s="512"/>
      <c r="R1082" s="512"/>
      <c r="S1082" s="512"/>
      <c r="T1082" s="512"/>
      <c r="U1082" s="512"/>
      <c r="V1082" s="512"/>
      <c r="W1082" s="512"/>
    </row>
    <row r="1083" s="178" customFormat="1" ht="15.4" customHeight="1" spans="1:23">
      <c r="A1083" s="1053" t="s">
        <v>910</v>
      </c>
      <c r="B1083" s="1099" t="s">
        <v>918</v>
      </c>
      <c r="C1083" s="1048" t="s">
        <v>67</v>
      </c>
      <c r="D1083" s="267">
        <v>30</v>
      </c>
      <c r="E1083" s="1127"/>
      <c r="F1083" s="840"/>
      <c r="G1083" s="840">
        <f>G1082</f>
        <v>45761</v>
      </c>
      <c r="H1083" s="1123">
        <f>H1082</f>
        <v>45784</v>
      </c>
      <c r="I1083" s="1053" t="s">
        <v>920</v>
      </c>
      <c r="J1083" s="1053" t="s">
        <v>18</v>
      </c>
      <c r="K1083" s="1053" t="s">
        <v>147</v>
      </c>
      <c r="L1083" s="279" t="s">
        <v>20</v>
      </c>
      <c r="M1083" s="1053"/>
      <c r="N1083" s="512"/>
      <c r="O1083" s="512"/>
      <c r="P1083" s="512"/>
      <c r="Q1083" s="512"/>
      <c r="R1083" s="512"/>
      <c r="S1083" s="512"/>
      <c r="T1083" s="512"/>
      <c r="U1083" s="512"/>
      <c r="V1083" s="512"/>
      <c r="W1083" s="512"/>
    </row>
    <row r="1084" s="178" customFormat="1" ht="15.4" customHeight="1" spans="1:23">
      <c r="A1084" s="1053" t="s">
        <v>910</v>
      </c>
      <c r="B1084" s="1099" t="s">
        <v>918</v>
      </c>
      <c r="C1084" s="1048" t="s">
        <v>70</v>
      </c>
      <c r="D1084" s="267">
        <v>50</v>
      </c>
      <c r="E1084" s="976"/>
      <c r="F1084" s="840"/>
      <c r="G1084" s="840">
        <f>G1083</f>
        <v>45761</v>
      </c>
      <c r="H1084" s="1123">
        <f>H1083</f>
        <v>45784</v>
      </c>
      <c r="I1084" s="1053" t="s">
        <v>920</v>
      </c>
      <c r="J1084" s="1053" t="s">
        <v>18</v>
      </c>
      <c r="K1084" s="1053" t="s">
        <v>147</v>
      </c>
      <c r="L1084" s="279" t="s">
        <v>20</v>
      </c>
      <c r="M1084" s="1053"/>
      <c r="N1084" s="512"/>
      <c r="O1084" s="512"/>
      <c r="P1084" s="512"/>
      <c r="Q1084" s="512"/>
      <c r="R1084" s="512"/>
      <c r="S1084" s="512"/>
      <c r="T1084" s="512"/>
      <c r="U1084" s="512"/>
      <c r="V1084" s="512"/>
      <c r="W1084" s="512"/>
    </row>
    <row r="1085" s="178" customFormat="1" ht="15.4" customHeight="1" spans="1:23">
      <c r="A1085" s="1053" t="s">
        <v>910</v>
      </c>
      <c r="B1085" s="1099" t="s">
        <v>921</v>
      </c>
      <c r="C1085" s="1048" t="s">
        <v>77</v>
      </c>
      <c r="D1085" s="267">
        <v>48</v>
      </c>
      <c r="E1085" s="1055" t="s">
        <v>922</v>
      </c>
      <c r="F1085" s="675"/>
      <c r="G1085" s="675">
        <f>VLOOKUP(CLEAN(SUBSTITUTE(TRIM(MID(E:E,FIND("/",E:E)+1,LEN(E:E)))," ","")),'Customs Decl. &amp; Local Delivery'!D:I,6,0)</f>
        <v>45761</v>
      </c>
      <c r="H1085" s="676">
        <f>VLOOKUP(CLEAN(SUBSTITUTE(TRIM(MID(E:E,FIND("/",E:E)+1,LEN(E:E)))," ","")),'Customs Decl. &amp; Local Delivery'!D:J,7,0)</f>
        <v>45784</v>
      </c>
      <c r="I1085" s="1053" t="s">
        <v>923</v>
      </c>
      <c r="J1085" s="1053" t="s">
        <v>18</v>
      </c>
      <c r="K1085" s="1053" t="s">
        <v>147</v>
      </c>
      <c r="L1085" s="279" t="s">
        <v>20</v>
      </c>
      <c r="M1085" s="1053" t="s">
        <v>914</v>
      </c>
      <c r="N1085" s="512"/>
      <c r="O1085" s="512"/>
      <c r="P1085" s="512"/>
      <c r="Q1085" s="512"/>
      <c r="R1085" s="512"/>
      <c r="S1085" s="512"/>
      <c r="T1085" s="512"/>
      <c r="U1085" s="512"/>
      <c r="V1085" s="512"/>
      <c r="W1085" s="512"/>
    </row>
    <row r="1086" s="178" customFormat="1" ht="15.4" customHeight="1" spans="1:23">
      <c r="A1086" s="1053" t="s">
        <v>910</v>
      </c>
      <c r="B1086" s="1099" t="s">
        <v>921</v>
      </c>
      <c r="C1086" s="1048" t="s">
        <v>15</v>
      </c>
      <c r="D1086" s="267">
        <v>12</v>
      </c>
      <c r="E1086" s="1127"/>
      <c r="F1086" s="840"/>
      <c r="G1086" s="840">
        <f>G1085</f>
        <v>45761</v>
      </c>
      <c r="H1086" s="1123">
        <f>H1085</f>
        <v>45784</v>
      </c>
      <c r="I1086" s="1053" t="s">
        <v>923</v>
      </c>
      <c r="J1086" s="1053" t="s">
        <v>18</v>
      </c>
      <c r="K1086" s="1053" t="s">
        <v>147</v>
      </c>
      <c r="L1086" s="279" t="s">
        <v>20</v>
      </c>
      <c r="M1086" s="1053"/>
      <c r="N1086" s="512"/>
      <c r="O1086" s="512"/>
      <c r="P1086" s="512"/>
      <c r="Q1086" s="512"/>
      <c r="R1086" s="512"/>
      <c r="S1086" s="512"/>
      <c r="T1086" s="512"/>
      <c r="U1086" s="512"/>
      <c r="V1086" s="512"/>
      <c r="W1086" s="512"/>
    </row>
    <row r="1087" s="178" customFormat="1" ht="15.4" customHeight="1" spans="1:23">
      <c r="A1087" s="1053" t="s">
        <v>910</v>
      </c>
      <c r="B1087" s="1099" t="s">
        <v>921</v>
      </c>
      <c r="C1087" s="1048" t="s">
        <v>24</v>
      </c>
      <c r="D1087" s="267">
        <v>100</v>
      </c>
      <c r="E1087" s="976"/>
      <c r="F1087" s="840"/>
      <c r="G1087" s="840">
        <f>G1086</f>
        <v>45761</v>
      </c>
      <c r="H1087" s="1123">
        <f>H1086</f>
        <v>45784</v>
      </c>
      <c r="I1087" s="1053" t="s">
        <v>923</v>
      </c>
      <c r="J1087" s="1053" t="s">
        <v>18</v>
      </c>
      <c r="K1087" s="1053" t="s">
        <v>147</v>
      </c>
      <c r="L1087" s="279" t="s">
        <v>20</v>
      </c>
      <c r="M1087" s="1053"/>
      <c r="N1087" s="512"/>
      <c r="O1087" s="512"/>
      <c r="P1087" s="512"/>
      <c r="Q1087" s="512"/>
      <c r="R1087" s="512"/>
      <c r="S1087" s="512"/>
      <c r="T1087" s="512"/>
      <c r="U1087" s="512"/>
      <c r="V1087" s="512"/>
      <c r="W1087" s="512"/>
    </row>
    <row r="1088" s="178" customFormat="1" ht="15.4" customHeight="1" spans="1:23">
      <c r="A1088" s="1053" t="s">
        <v>910</v>
      </c>
      <c r="B1088" s="1099" t="s">
        <v>921</v>
      </c>
      <c r="C1088" s="1048" t="s">
        <v>27</v>
      </c>
      <c r="D1088" s="267">
        <v>30</v>
      </c>
      <c r="E1088" s="976"/>
      <c r="F1088" s="840"/>
      <c r="G1088" s="840">
        <f>G1087</f>
        <v>45761</v>
      </c>
      <c r="H1088" s="1123">
        <f>H1087</f>
        <v>45784</v>
      </c>
      <c r="I1088" s="1053" t="s">
        <v>923</v>
      </c>
      <c r="J1088" s="1053" t="s">
        <v>18</v>
      </c>
      <c r="K1088" s="1053" t="s">
        <v>147</v>
      </c>
      <c r="L1088" s="279" t="s">
        <v>20</v>
      </c>
      <c r="M1088" s="1053"/>
      <c r="N1088" s="512"/>
      <c r="O1088" s="512"/>
      <c r="P1088" s="512"/>
      <c r="Q1088" s="512"/>
      <c r="R1088" s="512"/>
      <c r="S1088" s="512"/>
      <c r="T1088" s="512"/>
      <c r="U1088" s="512"/>
      <c r="V1088" s="512"/>
      <c r="W1088" s="512"/>
    </row>
    <row r="1089" s="178" customFormat="1" ht="15.4" customHeight="1" spans="1:23">
      <c r="A1089" s="1053" t="s">
        <v>910</v>
      </c>
      <c r="B1089" s="1099" t="s">
        <v>921</v>
      </c>
      <c r="C1089" s="1048" t="s">
        <v>67</v>
      </c>
      <c r="D1089" s="267">
        <v>30</v>
      </c>
      <c r="E1089" s="1127"/>
      <c r="F1089" s="840"/>
      <c r="G1089" s="840">
        <f>G1088</f>
        <v>45761</v>
      </c>
      <c r="H1089" s="1123">
        <f>H1088</f>
        <v>45784</v>
      </c>
      <c r="I1089" s="1053" t="s">
        <v>923</v>
      </c>
      <c r="J1089" s="1053" t="s">
        <v>18</v>
      </c>
      <c r="K1089" s="1053" t="s">
        <v>147</v>
      </c>
      <c r="L1089" s="279" t="s">
        <v>20</v>
      </c>
      <c r="M1089" s="1053"/>
      <c r="N1089" s="512"/>
      <c r="O1089" s="512"/>
      <c r="P1089" s="512"/>
      <c r="Q1089" s="512"/>
      <c r="R1089" s="512"/>
      <c r="S1089" s="512"/>
      <c r="T1089" s="512"/>
      <c r="U1089" s="512"/>
      <c r="V1089" s="512"/>
      <c r="W1089" s="512"/>
    </row>
    <row r="1090" s="178" customFormat="1" ht="15.4" customHeight="1" spans="1:23">
      <c r="A1090" s="1053" t="s">
        <v>910</v>
      </c>
      <c r="B1090" s="1099" t="s">
        <v>921</v>
      </c>
      <c r="C1090" s="1048" t="s">
        <v>70</v>
      </c>
      <c r="D1090" s="267">
        <v>50</v>
      </c>
      <c r="E1090" s="1127"/>
      <c r="F1090" s="840"/>
      <c r="G1090" s="840">
        <f>G1089</f>
        <v>45761</v>
      </c>
      <c r="H1090" s="1123">
        <f>H1089</f>
        <v>45784</v>
      </c>
      <c r="I1090" s="1053" t="s">
        <v>923</v>
      </c>
      <c r="J1090" s="1053" t="s">
        <v>18</v>
      </c>
      <c r="K1090" s="1053" t="s">
        <v>147</v>
      </c>
      <c r="L1090" s="279" t="s">
        <v>20</v>
      </c>
      <c r="M1090" s="1053"/>
      <c r="N1090" s="512"/>
      <c r="O1090" s="512"/>
      <c r="P1090" s="512"/>
      <c r="Q1090" s="512"/>
      <c r="R1090" s="512"/>
      <c r="S1090" s="512"/>
      <c r="T1090" s="512"/>
      <c r="U1090" s="512"/>
      <c r="V1090" s="512"/>
      <c r="W1090" s="512"/>
    </row>
    <row r="1091" s="178" customFormat="1" ht="15.4" customHeight="1" spans="1:23">
      <c r="A1091" s="1053" t="s">
        <v>910</v>
      </c>
      <c r="B1091" s="1099" t="s">
        <v>924</v>
      </c>
      <c r="C1091" s="1048" t="s">
        <v>77</v>
      </c>
      <c r="D1091" s="267">
        <v>48</v>
      </c>
      <c r="E1091" s="1055" t="s">
        <v>925</v>
      </c>
      <c r="F1091" s="675"/>
      <c r="G1091" s="675">
        <f>VLOOKUP(CLEAN(SUBSTITUTE(TRIM(MID(E:E,FIND("/",E:E)+1,LEN(E:E)))," ","")),'Customs Decl. &amp; Local Delivery'!D:I,6,0)</f>
        <v>45761</v>
      </c>
      <c r="H1091" s="676">
        <f>VLOOKUP(CLEAN(SUBSTITUTE(TRIM(MID(E:E,FIND("/",E:E)+1,LEN(E:E)))," ","")),'Customs Decl. &amp; Local Delivery'!D:J,7,0)</f>
        <v>45784</v>
      </c>
      <c r="I1091" s="1053" t="s">
        <v>926</v>
      </c>
      <c r="J1091" s="1053" t="s">
        <v>18</v>
      </c>
      <c r="K1091" s="1053" t="s">
        <v>147</v>
      </c>
      <c r="L1091" s="1090" t="s">
        <v>20</v>
      </c>
      <c r="M1091" s="1053" t="s">
        <v>914</v>
      </c>
      <c r="N1091" s="512"/>
      <c r="O1091" s="512"/>
      <c r="P1091" s="512"/>
      <c r="Q1091" s="512"/>
      <c r="R1091" s="512"/>
      <c r="S1091" s="512"/>
      <c r="T1091" s="512"/>
      <c r="U1091" s="512"/>
      <c r="V1091" s="512"/>
      <c r="W1091" s="512"/>
    </row>
    <row r="1092" s="178" customFormat="1" ht="15.4" customHeight="1" spans="1:23">
      <c r="A1092" s="1053" t="s">
        <v>910</v>
      </c>
      <c r="B1092" s="1099" t="s">
        <v>924</v>
      </c>
      <c r="C1092" s="1048" t="s">
        <v>15</v>
      </c>
      <c r="D1092" s="267">
        <v>12</v>
      </c>
      <c r="E1092" s="1127"/>
      <c r="F1092" s="840"/>
      <c r="G1092" s="840">
        <f>G1091</f>
        <v>45761</v>
      </c>
      <c r="H1092" s="1123">
        <f>H1091</f>
        <v>45784</v>
      </c>
      <c r="I1092" s="1053" t="s">
        <v>926</v>
      </c>
      <c r="J1092" s="1053" t="s">
        <v>18</v>
      </c>
      <c r="K1092" s="1053" t="s">
        <v>147</v>
      </c>
      <c r="L1092" s="279" t="s">
        <v>20</v>
      </c>
      <c r="M1092" s="1053"/>
      <c r="N1092" s="512"/>
      <c r="O1092" s="512"/>
      <c r="P1092" s="512"/>
      <c r="Q1092" s="512"/>
      <c r="R1092" s="512"/>
      <c r="S1092" s="512"/>
      <c r="T1092" s="512"/>
      <c r="U1092" s="512"/>
      <c r="V1092" s="512"/>
      <c r="W1092" s="512"/>
    </row>
    <row r="1093" s="178" customFormat="1" ht="15.4" customHeight="1" spans="1:23">
      <c r="A1093" s="1053" t="s">
        <v>910</v>
      </c>
      <c r="B1093" s="1099" t="s">
        <v>924</v>
      </c>
      <c r="C1093" s="1048" t="s">
        <v>24</v>
      </c>
      <c r="D1093" s="267">
        <v>100</v>
      </c>
      <c r="E1093" s="1127"/>
      <c r="F1093" s="840"/>
      <c r="G1093" s="840">
        <f>G1092</f>
        <v>45761</v>
      </c>
      <c r="H1093" s="1123">
        <f>H1092</f>
        <v>45784</v>
      </c>
      <c r="I1093" s="1053" t="s">
        <v>926</v>
      </c>
      <c r="J1093" s="1053" t="s">
        <v>18</v>
      </c>
      <c r="K1093" s="1053" t="s">
        <v>147</v>
      </c>
      <c r="L1093" s="279" t="s">
        <v>20</v>
      </c>
      <c r="M1093" s="1053"/>
      <c r="N1093" s="512"/>
      <c r="O1093" s="512"/>
      <c r="P1093" s="512"/>
      <c r="Q1093" s="512"/>
      <c r="R1093" s="512"/>
      <c r="S1093" s="512"/>
      <c r="T1093" s="512"/>
      <c r="U1093" s="512"/>
      <c r="V1093" s="512"/>
      <c r="W1093" s="512"/>
    </row>
    <row r="1094" s="178" customFormat="1" ht="15.4" customHeight="1" spans="1:23">
      <c r="A1094" s="1053" t="s">
        <v>910</v>
      </c>
      <c r="B1094" s="1099" t="s">
        <v>924</v>
      </c>
      <c r="C1094" s="1048" t="s">
        <v>27</v>
      </c>
      <c r="D1094" s="267">
        <v>30</v>
      </c>
      <c r="E1094" s="1127"/>
      <c r="F1094" s="840"/>
      <c r="G1094" s="840">
        <f>G1093</f>
        <v>45761</v>
      </c>
      <c r="H1094" s="1123">
        <f>H1093</f>
        <v>45784</v>
      </c>
      <c r="I1094" s="1053" t="s">
        <v>926</v>
      </c>
      <c r="J1094" s="1053" t="s">
        <v>18</v>
      </c>
      <c r="K1094" s="1053" t="s">
        <v>147</v>
      </c>
      <c r="L1094" s="279" t="s">
        <v>20</v>
      </c>
      <c r="M1094" s="1053"/>
      <c r="N1094" s="512"/>
      <c r="O1094" s="512"/>
      <c r="P1094" s="512"/>
      <c r="Q1094" s="512"/>
      <c r="R1094" s="512"/>
      <c r="S1094" s="512"/>
      <c r="T1094" s="512"/>
      <c r="U1094" s="512"/>
      <c r="V1094" s="512"/>
      <c r="W1094" s="512"/>
    </row>
    <row r="1095" s="178" customFormat="1" ht="15.4" customHeight="1" spans="1:23">
      <c r="A1095" s="1053" t="s">
        <v>910</v>
      </c>
      <c r="B1095" s="1099" t="s">
        <v>924</v>
      </c>
      <c r="C1095" s="1048" t="s">
        <v>67</v>
      </c>
      <c r="D1095" s="267">
        <v>30</v>
      </c>
      <c r="E1095" s="976"/>
      <c r="F1095" s="840"/>
      <c r="G1095" s="840">
        <f>G1094</f>
        <v>45761</v>
      </c>
      <c r="H1095" s="1123">
        <f>H1094</f>
        <v>45784</v>
      </c>
      <c r="I1095" s="1053" t="s">
        <v>926</v>
      </c>
      <c r="J1095" s="1053" t="s">
        <v>18</v>
      </c>
      <c r="K1095" s="1053" t="s">
        <v>147</v>
      </c>
      <c r="L1095" s="279" t="s">
        <v>20</v>
      </c>
      <c r="M1095" s="1053"/>
      <c r="N1095" s="512"/>
      <c r="O1095" s="512"/>
      <c r="P1095" s="512"/>
      <c r="Q1095" s="512"/>
      <c r="R1095" s="512"/>
      <c r="S1095" s="512"/>
      <c r="T1095" s="512"/>
      <c r="U1095" s="512"/>
      <c r="V1095" s="512"/>
      <c r="W1095" s="512"/>
    </row>
    <row r="1096" s="178" customFormat="1" ht="15.4" customHeight="1" spans="1:23">
      <c r="A1096" s="1053" t="s">
        <v>910</v>
      </c>
      <c r="B1096" s="1099" t="s">
        <v>924</v>
      </c>
      <c r="C1096" s="1048" t="s">
        <v>70</v>
      </c>
      <c r="D1096" s="267">
        <v>50</v>
      </c>
      <c r="E1096" s="976"/>
      <c r="F1096" s="840"/>
      <c r="G1096" s="840">
        <f>G1095</f>
        <v>45761</v>
      </c>
      <c r="H1096" s="1123">
        <f>H1095</f>
        <v>45784</v>
      </c>
      <c r="I1096" s="1053" t="s">
        <v>926</v>
      </c>
      <c r="J1096" s="1053" t="s">
        <v>18</v>
      </c>
      <c r="K1096" s="1053" t="s">
        <v>147</v>
      </c>
      <c r="L1096" s="279" t="s">
        <v>20</v>
      </c>
      <c r="M1096" s="1053"/>
      <c r="N1096" s="512"/>
      <c r="O1096" s="512"/>
      <c r="P1096" s="512"/>
      <c r="Q1096" s="512"/>
      <c r="R1096" s="512"/>
      <c r="S1096" s="512"/>
      <c r="T1096" s="512"/>
      <c r="U1096" s="512"/>
      <c r="V1096" s="512"/>
      <c r="W1096" s="512"/>
    </row>
    <row r="1097" s="178" customFormat="1" ht="15.4" customHeight="1" spans="1:23">
      <c r="A1097" s="1064" t="s">
        <v>656</v>
      </c>
      <c r="B1097" s="1050" t="s">
        <v>927</v>
      </c>
      <c r="C1097" s="789" t="s">
        <v>91</v>
      </c>
      <c r="D1097" s="279">
        <v>92</v>
      </c>
      <c r="E1097" s="1085" t="s">
        <v>928</v>
      </c>
      <c r="F1097" s="675"/>
      <c r="G1097" s="675">
        <f>VLOOKUP(CLEAN(SUBSTITUTE(TRIM(MID(E:E,FIND("/",E:E)+1,LEN(E:E)))," ","")),'Customs Decl. &amp; Local Delivery'!D:I,6,0)</f>
        <v>45761</v>
      </c>
      <c r="H1097" s="676">
        <f>VLOOKUP(CLEAN(SUBSTITUTE(TRIM(MID(E:E,FIND("/",E:E)+1,LEN(E:E)))," ","")),'Customs Decl. &amp; Local Delivery'!D:J,7,0)</f>
        <v>45790</v>
      </c>
      <c r="I1097" s="1064" t="s">
        <v>929</v>
      </c>
      <c r="J1097" s="784" t="s">
        <v>18</v>
      </c>
      <c r="K1097" s="1064" t="s">
        <v>147</v>
      </c>
      <c r="L1097" s="279" t="s">
        <v>20</v>
      </c>
      <c r="M1097" s="1064" t="s">
        <v>930</v>
      </c>
      <c r="N1097" s="512"/>
      <c r="O1097" s="512"/>
      <c r="P1097" s="512"/>
      <c r="Q1097" s="512"/>
      <c r="R1097" s="512"/>
      <c r="S1097" s="512"/>
      <c r="T1097" s="512"/>
      <c r="U1097" s="512"/>
      <c r="V1097" s="512"/>
      <c r="W1097" s="512"/>
    </row>
    <row r="1098" s="178" customFormat="1" ht="15.4" customHeight="1" spans="1:23">
      <c r="A1098" s="1064" t="s">
        <v>656</v>
      </c>
      <c r="B1098" s="1050" t="s">
        <v>927</v>
      </c>
      <c r="C1098" s="789" t="s">
        <v>15</v>
      </c>
      <c r="D1098" s="279">
        <v>15</v>
      </c>
      <c r="E1098" s="988"/>
      <c r="F1098" s="675"/>
      <c r="G1098" s="1122">
        <f>G1097</f>
        <v>45761</v>
      </c>
      <c r="H1098" s="1123">
        <f>H1097</f>
        <v>45790</v>
      </c>
      <c r="I1098" s="1064" t="s">
        <v>929</v>
      </c>
      <c r="J1098" s="784" t="s">
        <v>18</v>
      </c>
      <c r="K1098" s="1064" t="s">
        <v>147</v>
      </c>
      <c r="L1098" s="279" t="s">
        <v>20</v>
      </c>
      <c r="M1098" s="1064"/>
      <c r="N1098" s="512"/>
      <c r="O1098" s="512"/>
      <c r="P1098" s="512"/>
      <c r="Q1098" s="512"/>
      <c r="R1098" s="512"/>
      <c r="S1098" s="512"/>
      <c r="T1098" s="512"/>
      <c r="U1098" s="512"/>
      <c r="V1098" s="512"/>
      <c r="W1098" s="512"/>
    </row>
    <row r="1099" s="178" customFormat="1" ht="15.4" customHeight="1" spans="1:23">
      <c r="A1099" s="1064" t="s">
        <v>656</v>
      </c>
      <c r="B1099" s="1050" t="s">
        <v>927</v>
      </c>
      <c r="C1099" s="789" t="s">
        <v>24</v>
      </c>
      <c r="D1099" s="279">
        <v>15</v>
      </c>
      <c r="E1099" s="988"/>
      <c r="F1099" s="675"/>
      <c r="G1099" s="1122">
        <f>G1098</f>
        <v>45761</v>
      </c>
      <c r="H1099" s="1123">
        <f>H1098</f>
        <v>45790</v>
      </c>
      <c r="I1099" s="1064" t="s">
        <v>929</v>
      </c>
      <c r="J1099" s="784" t="s">
        <v>18</v>
      </c>
      <c r="K1099" s="1064" t="s">
        <v>147</v>
      </c>
      <c r="L1099" s="279" t="s">
        <v>20</v>
      </c>
      <c r="M1099" s="1064"/>
      <c r="N1099" s="512"/>
      <c r="O1099" s="512"/>
      <c r="P1099" s="512"/>
      <c r="Q1099" s="512"/>
      <c r="R1099" s="512"/>
      <c r="S1099" s="512"/>
      <c r="T1099" s="512"/>
      <c r="U1099" s="512"/>
      <c r="V1099" s="512"/>
      <c r="W1099" s="512"/>
    </row>
    <row r="1100" s="178" customFormat="1" ht="15.4" customHeight="1" spans="1:23">
      <c r="A1100" s="1064" t="s">
        <v>656</v>
      </c>
      <c r="B1100" s="1050" t="s">
        <v>927</v>
      </c>
      <c r="C1100" s="789" t="s">
        <v>27</v>
      </c>
      <c r="D1100" s="279">
        <v>15</v>
      </c>
      <c r="E1100" s="988"/>
      <c r="F1100" s="675"/>
      <c r="G1100" s="1122">
        <f>G1099</f>
        <v>45761</v>
      </c>
      <c r="H1100" s="1123">
        <f>H1099</f>
        <v>45790</v>
      </c>
      <c r="I1100" s="1064" t="s">
        <v>929</v>
      </c>
      <c r="J1100" s="784" t="s">
        <v>18</v>
      </c>
      <c r="K1100" s="1064" t="s">
        <v>147</v>
      </c>
      <c r="L1100" s="279" t="s">
        <v>20</v>
      </c>
      <c r="M1100" s="1064"/>
      <c r="N1100" s="512"/>
      <c r="O1100" s="512"/>
      <c r="P1100" s="512"/>
      <c r="Q1100" s="512"/>
      <c r="R1100" s="512"/>
      <c r="S1100" s="512"/>
      <c r="T1100" s="512"/>
      <c r="U1100" s="512"/>
      <c r="V1100" s="512"/>
      <c r="W1100" s="512"/>
    </row>
    <row r="1101" s="178" customFormat="1" ht="15.4" customHeight="1" spans="1:23">
      <c r="A1101" s="1064" t="s">
        <v>656</v>
      </c>
      <c r="B1101" s="1050" t="s">
        <v>927</v>
      </c>
      <c r="C1101" s="789" t="s">
        <v>67</v>
      </c>
      <c r="D1101" s="279">
        <v>15</v>
      </c>
      <c r="E1101" s="988"/>
      <c r="F1101" s="675"/>
      <c r="G1101" s="1122">
        <f>G1100</f>
        <v>45761</v>
      </c>
      <c r="H1101" s="1123">
        <f>H1100</f>
        <v>45790</v>
      </c>
      <c r="I1101" s="1064" t="s">
        <v>929</v>
      </c>
      <c r="J1101" s="784" t="s">
        <v>18</v>
      </c>
      <c r="K1101" s="1064" t="s">
        <v>147</v>
      </c>
      <c r="L1101" s="279" t="s">
        <v>20</v>
      </c>
      <c r="M1101" s="1064"/>
      <c r="N1101" s="512"/>
      <c r="O1101" s="512"/>
      <c r="P1101" s="512"/>
      <c r="Q1101" s="512"/>
      <c r="R1101" s="512"/>
      <c r="S1101" s="512"/>
      <c r="T1101" s="512"/>
      <c r="U1101" s="512"/>
      <c r="V1101" s="512"/>
      <c r="W1101" s="512"/>
    </row>
    <row r="1102" s="178" customFormat="1" ht="15.4" customHeight="1" spans="1:23">
      <c r="A1102" s="1064" t="s">
        <v>656</v>
      </c>
      <c r="B1102" s="1050" t="s">
        <v>927</v>
      </c>
      <c r="C1102" s="789" t="s">
        <v>70</v>
      </c>
      <c r="D1102" s="279">
        <v>15</v>
      </c>
      <c r="E1102" s="988"/>
      <c r="F1102" s="675"/>
      <c r="G1102" s="1122">
        <f>G1101</f>
        <v>45761</v>
      </c>
      <c r="H1102" s="1123">
        <f>H1101</f>
        <v>45790</v>
      </c>
      <c r="I1102" s="1064" t="s">
        <v>929</v>
      </c>
      <c r="J1102" s="784" t="s">
        <v>18</v>
      </c>
      <c r="K1102" s="1064" t="s">
        <v>147</v>
      </c>
      <c r="L1102" s="279" t="s">
        <v>20</v>
      </c>
      <c r="M1102" s="1064"/>
      <c r="N1102" s="512"/>
      <c r="O1102" s="512"/>
      <c r="P1102" s="512"/>
      <c r="Q1102" s="512"/>
      <c r="R1102" s="512"/>
      <c r="S1102" s="512"/>
      <c r="T1102" s="512"/>
      <c r="U1102" s="512"/>
      <c r="V1102" s="512"/>
      <c r="W1102" s="512"/>
    </row>
    <row r="1103" s="477" customFormat="1" ht="15.4" customHeight="1" spans="1:23">
      <c r="A1103" s="1064" t="s">
        <v>464</v>
      </c>
      <c r="B1103" s="1076" t="s">
        <v>931</v>
      </c>
      <c r="C1103" s="789" t="s">
        <v>129</v>
      </c>
      <c r="D1103" s="1051">
        <v>7</v>
      </c>
      <c r="E1103" s="1085" t="s">
        <v>932</v>
      </c>
      <c r="F1103" s="675"/>
      <c r="G1103" s="675">
        <f>VLOOKUP(CLEAN(SUBSTITUTE(TRIM(MID(E:E,FIND("/",E:E)+1,LEN(E:E)))," ","")),'Customs Decl. &amp; Local Delivery'!D:I,6,0)</f>
        <v>45761</v>
      </c>
      <c r="H1103" s="676">
        <f>VLOOKUP(CLEAN(SUBSTITUTE(TRIM(MID(E:E,FIND("/",E:E)+1,LEN(E:E)))," ","")),'Customs Decl. &amp; Local Delivery'!D:J,7,0)</f>
        <v>45790</v>
      </c>
      <c r="I1103" s="1064" t="s">
        <v>933</v>
      </c>
      <c r="J1103" s="1064" t="s">
        <v>18</v>
      </c>
      <c r="K1103" s="1064" t="s">
        <v>19</v>
      </c>
      <c r="L1103" s="1090" t="s">
        <v>20</v>
      </c>
      <c r="M1103" s="1053" t="s">
        <v>934</v>
      </c>
      <c r="N1103" s="1112"/>
      <c r="O1103" s="512"/>
      <c r="P1103" s="512"/>
      <c r="Q1103" s="512"/>
      <c r="R1103" s="512"/>
      <c r="S1103" s="512"/>
      <c r="T1103" s="512"/>
      <c r="U1103" s="512"/>
      <c r="V1103" s="512"/>
      <c r="W1103" s="512"/>
    </row>
    <row r="1104" s="477" customFormat="1" ht="15.4" customHeight="1" spans="1:23">
      <c r="A1104" s="1064" t="s">
        <v>464</v>
      </c>
      <c r="B1104" s="1076" t="s">
        <v>931</v>
      </c>
      <c r="C1104" s="789" t="s">
        <v>133</v>
      </c>
      <c r="D1104" s="1051">
        <v>7</v>
      </c>
      <c r="E1104" s="1109"/>
      <c r="F1104" s="1129"/>
      <c r="G1104" s="1130">
        <f t="shared" ref="G1104:G1118" si="94">G1103</f>
        <v>45761</v>
      </c>
      <c r="H1104" s="713">
        <f t="shared" ref="H1104:H1118" si="95">H1103</f>
        <v>45790</v>
      </c>
      <c r="I1104" s="1064" t="s">
        <v>933</v>
      </c>
      <c r="J1104" s="1064" t="s">
        <v>18</v>
      </c>
      <c r="K1104" s="1064" t="s">
        <v>19</v>
      </c>
      <c r="L1104" s="279" t="s">
        <v>20</v>
      </c>
      <c r="M1104" s="1053" t="s">
        <v>935</v>
      </c>
      <c r="N1104" s="1112"/>
      <c r="O1104" s="512"/>
      <c r="P1104" s="512"/>
      <c r="Q1104" s="512"/>
      <c r="R1104" s="512"/>
      <c r="S1104" s="512"/>
      <c r="T1104" s="512"/>
      <c r="U1104" s="512"/>
      <c r="V1104" s="512"/>
      <c r="W1104" s="512"/>
    </row>
    <row r="1105" s="477" customFormat="1" ht="15.4" customHeight="1" spans="1:23">
      <c r="A1105" s="1064" t="s">
        <v>464</v>
      </c>
      <c r="B1105" s="1076" t="s">
        <v>931</v>
      </c>
      <c r="C1105" s="789" t="s">
        <v>15</v>
      </c>
      <c r="D1105" s="263">
        <v>145</v>
      </c>
      <c r="E1105" s="1109"/>
      <c r="F1105" s="1129"/>
      <c r="G1105" s="1130">
        <f t="shared" si="94"/>
        <v>45761</v>
      </c>
      <c r="H1105" s="713">
        <f t="shared" si="95"/>
        <v>45790</v>
      </c>
      <c r="I1105" s="1064" t="s">
        <v>933</v>
      </c>
      <c r="J1105" s="1064" t="s">
        <v>18</v>
      </c>
      <c r="K1105" s="1064" t="s">
        <v>19</v>
      </c>
      <c r="L1105" s="279" t="s">
        <v>20</v>
      </c>
      <c r="M1105" s="1053" t="s">
        <v>936</v>
      </c>
      <c r="N1105" s="1112"/>
      <c r="O1105" s="512"/>
      <c r="P1105" s="512"/>
      <c r="Q1105" s="512"/>
      <c r="R1105" s="512"/>
      <c r="S1105" s="512"/>
      <c r="T1105" s="512"/>
      <c r="U1105" s="512"/>
      <c r="V1105" s="512"/>
      <c r="W1105" s="512"/>
    </row>
    <row r="1106" s="477" customFormat="1" ht="15.4" customHeight="1" spans="1:23">
      <c r="A1106" s="1064" t="s">
        <v>464</v>
      </c>
      <c r="B1106" s="1076" t="s">
        <v>931</v>
      </c>
      <c r="C1106" s="789" t="s">
        <v>22</v>
      </c>
      <c r="D1106" s="263">
        <v>0</v>
      </c>
      <c r="E1106" s="1109"/>
      <c r="F1106" s="1129"/>
      <c r="G1106" s="1130">
        <f t="shared" si="94"/>
        <v>45761</v>
      </c>
      <c r="H1106" s="713">
        <f t="shared" si="95"/>
        <v>45790</v>
      </c>
      <c r="I1106" s="1064" t="s">
        <v>309</v>
      </c>
      <c r="J1106" s="1064" t="s">
        <v>18</v>
      </c>
      <c r="K1106" s="1064" t="s">
        <v>19</v>
      </c>
      <c r="L1106" s="279" t="s">
        <v>20</v>
      </c>
      <c r="M1106" s="1053" t="s">
        <v>937</v>
      </c>
      <c r="N1106" s="512"/>
      <c r="O1106" s="512"/>
      <c r="P1106" s="512"/>
      <c r="Q1106" s="512"/>
      <c r="R1106" s="512"/>
      <c r="S1106" s="512"/>
      <c r="T1106" s="512"/>
      <c r="U1106" s="512"/>
      <c r="V1106" s="512"/>
      <c r="W1106" s="512"/>
    </row>
    <row r="1107" s="477" customFormat="1" ht="15.4" customHeight="1" spans="1:23">
      <c r="A1107" s="1064" t="s">
        <v>464</v>
      </c>
      <c r="B1107" s="1076" t="s">
        <v>931</v>
      </c>
      <c r="C1107" s="789" t="s">
        <v>24</v>
      </c>
      <c r="D1107" s="1051">
        <v>40</v>
      </c>
      <c r="E1107" s="1109"/>
      <c r="F1107" s="1129"/>
      <c r="G1107" s="1130">
        <f t="shared" si="94"/>
        <v>45761</v>
      </c>
      <c r="H1107" s="713">
        <f t="shared" si="95"/>
        <v>45790</v>
      </c>
      <c r="I1107" s="1064" t="s">
        <v>933</v>
      </c>
      <c r="J1107" s="1064" t="s">
        <v>18</v>
      </c>
      <c r="K1107" s="1064" t="s">
        <v>19</v>
      </c>
      <c r="L1107" s="279" t="s">
        <v>20</v>
      </c>
      <c r="M1107" s="1053" t="s">
        <v>937</v>
      </c>
      <c r="N1107" s="1112"/>
      <c r="O1107" s="512"/>
      <c r="P1107" s="512"/>
      <c r="Q1107" s="512"/>
      <c r="R1107" s="512"/>
      <c r="S1107" s="512"/>
      <c r="T1107" s="512"/>
      <c r="U1107" s="512"/>
      <c r="V1107" s="512"/>
      <c r="W1107" s="512"/>
    </row>
    <row r="1108" s="477" customFormat="1" ht="15.4" customHeight="1" spans="1:23">
      <c r="A1108" s="1064" t="s">
        <v>464</v>
      </c>
      <c r="B1108" s="1076" t="s">
        <v>931</v>
      </c>
      <c r="C1108" s="789" t="s">
        <v>25</v>
      </c>
      <c r="D1108" s="1051">
        <v>22</v>
      </c>
      <c r="E1108" s="1109"/>
      <c r="F1108" s="1129"/>
      <c r="G1108" s="1130">
        <f t="shared" si="94"/>
        <v>45761</v>
      </c>
      <c r="H1108" s="713">
        <f t="shared" si="95"/>
        <v>45790</v>
      </c>
      <c r="I1108" s="1064" t="s">
        <v>933</v>
      </c>
      <c r="J1108" s="1064" t="s">
        <v>18</v>
      </c>
      <c r="K1108" s="1064" t="s">
        <v>19</v>
      </c>
      <c r="L1108" s="279" t="s">
        <v>20</v>
      </c>
      <c r="M1108" s="1053" t="s">
        <v>937</v>
      </c>
      <c r="N1108" s="1112"/>
      <c r="O1108" s="512"/>
      <c r="P1108" s="512"/>
      <c r="Q1108" s="512"/>
      <c r="R1108" s="512"/>
      <c r="S1108" s="512"/>
      <c r="T1108" s="512"/>
      <c r="U1108" s="512"/>
      <c r="V1108" s="512"/>
      <c r="W1108" s="512"/>
    </row>
    <row r="1109" s="477" customFormat="1" ht="15.4" customHeight="1" spans="1:23">
      <c r="A1109" s="1064" t="s">
        <v>464</v>
      </c>
      <c r="B1109" s="1076" t="s">
        <v>931</v>
      </c>
      <c r="C1109" s="789" t="s">
        <v>27</v>
      </c>
      <c r="D1109" s="1051">
        <v>16</v>
      </c>
      <c r="E1109" s="1109"/>
      <c r="F1109" s="1129"/>
      <c r="G1109" s="1130">
        <f t="shared" si="94"/>
        <v>45761</v>
      </c>
      <c r="H1109" s="713">
        <f t="shared" si="95"/>
        <v>45790</v>
      </c>
      <c r="I1109" s="1064" t="s">
        <v>933</v>
      </c>
      <c r="J1109" s="1064" t="s">
        <v>18</v>
      </c>
      <c r="K1109" s="1064" t="s">
        <v>19</v>
      </c>
      <c r="L1109" s="279" t="s">
        <v>20</v>
      </c>
      <c r="M1109" s="1053" t="s">
        <v>937</v>
      </c>
      <c r="N1109" s="1112"/>
      <c r="O1109" s="512"/>
      <c r="P1109" s="512"/>
      <c r="Q1109" s="512"/>
      <c r="R1109" s="512"/>
      <c r="S1109" s="512"/>
      <c r="T1109" s="512"/>
      <c r="U1109" s="512"/>
      <c r="V1109" s="512"/>
      <c r="W1109" s="512"/>
    </row>
    <row r="1110" s="477" customFormat="1" ht="15.4" customHeight="1" spans="1:23">
      <c r="A1110" s="1064" t="s">
        <v>464</v>
      </c>
      <c r="B1110" s="1076" t="s">
        <v>931</v>
      </c>
      <c r="C1110" s="789" t="s">
        <v>28</v>
      </c>
      <c r="D1110" s="1051">
        <v>11</v>
      </c>
      <c r="E1110" s="1109"/>
      <c r="F1110" s="1129"/>
      <c r="G1110" s="1130">
        <f t="shared" si="94"/>
        <v>45761</v>
      </c>
      <c r="H1110" s="713">
        <f t="shared" si="95"/>
        <v>45790</v>
      </c>
      <c r="I1110" s="1064" t="s">
        <v>933</v>
      </c>
      <c r="J1110" s="1064" t="s">
        <v>18</v>
      </c>
      <c r="K1110" s="1064" t="s">
        <v>19</v>
      </c>
      <c r="L1110" s="279" t="s">
        <v>20</v>
      </c>
      <c r="M1110" s="1053" t="s">
        <v>937</v>
      </c>
      <c r="N1110" s="1112"/>
      <c r="O1110" s="512"/>
      <c r="P1110" s="512"/>
      <c r="Q1110" s="512"/>
      <c r="R1110" s="512"/>
      <c r="S1110" s="512"/>
      <c r="T1110" s="512"/>
      <c r="U1110" s="512"/>
      <c r="V1110" s="512"/>
      <c r="W1110" s="512"/>
    </row>
    <row r="1111" s="477" customFormat="1" ht="15.4" customHeight="1" spans="1:23">
      <c r="A1111" s="1064" t="s">
        <v>464</v>
      </c>
      <c r="B1111" s="1076" t="s">
        <v>931</v>
      </c>
      <c r="C1111" s="789" t="s">
        <v>67</v>
      </c>
      <c r="D1111" s="1051">
        <v>61</v>
      </c>
      <c r="E1111" s="988"/>
      <c r="F1111" s="1129"/>
      <c r="G1111" s="1130">
        <f t="shared" si="94"/>
        <v>45761</v>
      </c>
      <c r="H1111" s="713">
        <f t="shared" si="95"/>
        <v>45790</v>
      </c>
      <c r="I1111" s="1064" t="s">
        <v>933</v>
      </c>
      <c r="J1111" s="1064" t="s">
        <v>18</v>
      </c>
      <c r="K1111" s="1064" t="s">
        <v>19</v>
      </c>
      <c r="L1111" s="279" t="s">
        <v>20</v>
      </c>
      <c r="M1111" s="1053" t="s">
        <v>937</v>
      </c>
      <c r="N1111" s="1112"/>
      <c r="O1111" s="512"/>
      <c r="P1111" s="512"/>
      <c r="Q1111" s="512"/>
      <c r="R1111" s="512"/>
      <c r="S1111" s="512"/>
      <c r="T1111" s="512"/>
      <c r="U1111" s="512"/>
      <c r="V1111" s="512"/>
      <c r="W1111" s="512"/>
    </row>
    <row r="1112" s="477" customFormat="1" ht="15.4" customHeight="1" spans="1:23">
      <c r="A1112" s="1064" t="s">
        <v>464</v>
      </c>
      <c r="B1112" s="1076" t="s">
        <v>931</v>
      </c>
      <c r="C1112" s="789" t="s">
        <v>69</v>
      </c>
      <c r="D1112" s="1051">
        <v>28</v>
      </c>
      <c r="E1112" s="988"/>
      <c r="F1112" s="1129"/>
      <c r="G1112" s="1130">
        <f t="shared" si="94"/>
        <v>45761</v>
      </c>
      <c r="H1112" s="713">
        <f t="shared" si="95"/>
        <v>45790</v>
      </c>
      <c r="I1112" s="1064" t="s">
        <v>933</v>
      </c>
      <c r="J1112" s="1064" t="s">
        <v>18</v>
      </c>
      <c r="K1112" s="1064" t="s">
        <v>19</v>
      </c>
      <c r="L1112" s="279" t="s">
        <v>20</v>
      </c>
      <c r="M1112" s="1053" t="s">
        <v>937</v>
      </c>
      <c r="N1112" s="1112"/>
      <c r="O1112" s="512"/>
      <c r="P1112" s="512"/>
      <c r="Q1112" s="512"/>
      <c r="R1112" s="512"/>
      <c r="S1112" s="512"/>
      <c r="T1112" s="512"/>
      <c r="U1112" s="512"/>
      <c r="V1112" s="512"/>
      <c r="W1112" s="512"/>
    </row>
    <row r="1113" s="477" customFormat="1" ht="15.4" customHeight="1" spans="1:23">
      <c r="A1113" s="1064" t="s">
        <v>464</v>
      </c>
      <c r="B1113" s="1076" t="s">
        <v>931</v>
      </c>
      <c r="C1113" s="789" t="s">
        <v>70</v>
      </c>
      <c r="D1113" s="1051">
        <v>16</v>
      </c>
      <c r="E1113" s="988"/>
      <c r="F1113" s="1129"/>
      <c r="G1113" s="1130">
        <f t="shared" si="94"/>
        <v>45761</v>
      </c>
      <c r="H1113" s="713">
        <f t="shared" si="95"/>
        <v>45790</v>
      </c>
      <c r="I1113" s="1064" t="s">
        <v>933</v>
      </c>
      <c r="J1113" s="1064" t="s">
        <v>18</v>
      </c>
      <c r="K1113" s="1064" t="s">
        <v>19</v>
      </c>
      <c r="L1113" s="279" t="s">
        <v>20</v>
      </c>
      <c r="M1113" s="1053" t="s">
        <v>937</v>
      </c>
      <c r="N1113" s="1112"/>
      <c r="O1113" s="512"/>
      <c r="P1113" s="512"/>
      <c r="Q1113" s="512"/>
      <c r="R1113" s="512"/>
      <c r="S1113" s="512"/>
      <c r="T1113" s="512"/>
      <c r="U1113" s="512"/>
      <c r="V1113" s="512"/>
      <c r="W1113" s="512"/>
    </row>
    <row r="1114" s="477" customFormat="1" ht="15.4" customHeight="1" spans="1:23">
      <c r="A1114" s="1064" t="s">
        <v>464</v>
      </c>
      <c r="B1114" s="1076" t="s">
        <v>931</v>
      </c>
      <c r="C1114" s="789" t="s">
        <v>71</v>
      </c>
      <c r="D1114" s="1051">
        <v>7</v>
      </c>
      <c r="E1114" s="1109"/>
      <c r="F1114" s="1129"/>
      <c r="G1114" s="1130">
        <f t="shared" si="94"/>
        <v>45761</v>
      </c>
      <c r="H1114" s="713">
        <f t="shared" si="95"/>
        <v>45790</v>
      </c>
      <c r="I1114" s="1064" t="s">
        <v>933</v>
      </c>
      <c r="J1114" s="1064" t="s">
        <v>18</v>
      </c>
      <c r="K1114" s="1064" t="s">
        <v>19</v>
      </c>
      <c r="L1114" s="279" t="s">
        <v>20</v>
      </c>
      <c r="M1114" s="1053" t="s">
        <v>937</v>
      </c>
      <c r="N1114" s="1112"/>
      <c r="O1114" s="512"/>
      <c r="P1114" s="512"/>
      <c r="Q1114" s="512"/>
      <c r="R1114" s="512"/>
      <c r="S1114" s="512"/>
      <c r="T1114" s="512"/>
      <c r="U1114" s="512"/>
      <c r="V1114" s="512"/>
      <c r="W1114" s="512"/>
    </row>
    <row r="1115" s="477" customFormat="1" ht="15.4" customHeight="1" spans="1:23">
      <c r="A1115" s="1064" t="s">
        <v>464</v>
      </c>
      <c r="B1115" s="1076" t="s">
        <v>931</v>
      </c>
      <c r="C1115" s="789" t="s">
        <v>761</v>
      </c>
      <c r="D1115" s="1051">
        <v>5</v>
      </c>
      <c r="E1115" s="1109"/>
      <c r="F1115" s="1129"/>
      <c r="G1115" s="1130">
        <f t="shared" si="94"/>
        <v>45761</v>
      </c>
      <c r="H1115" s="713">
        <f t="shared" si="95"/>
        <v>45790</v>
      </c>
      <c r="I1115" s="1064" t="s">
        <v>933</v>
      </c>
      <c r="J1115" s="1064" t="s">
        <v>18</v>
      </c>
      <c r="K1115" s="1064" t="s">
        <v>19</v>
      </c>
      <c r="L1115" s="279" t="s">
        <v>20</v>
      </c>
      <c r="M1115" s="1053" t="s">
        <v>937</v>
      </c>
      <c r="N1115" s="1112"/>
      <c r="O1115" s="512"/>
      <c r="P1115" s="512"/>
      <c r="Q1115" s="512"/>
      <c r="R1115" s="512"/>
      <c r="S1115" s="512"/>
      <c r="T1115" s="512"/>
      <c r="U1115" s="512"/>
      <c r="V1115" s="512"/>
      <c r="W1115" s="512"/>
    </row>
    <row r="1116" s="477" customFormat="1" ht="15.4" customHeight="1" spans="1:23">
      <c r="A1116" s="1064" t="s">
        <v>464</v>
      </c>
      <c r="B1116" s="1050" t="s">
        <v>931</v>
      </c>
      <c r="C1116" s="789" t="s">
        <v>342</v>
      </c>
      <c r="D1116" s="1051">
        <v>2</v>
      </c>
      <c r="E1116" s="988"/>
      <c r="F1116" s="1129"/>
      <c r="G1116" s="1130">
        <f t="shared" si="94"/>
        <v>45761</v>
      </c>
      <c r="H1116" s="713">
        <f t="shared" si="95"/>
        <v>45790</v>
      </c>
      <c r="I1116" s="1064" t="s">
        <v>933</v>
      </c>
      <c r="J1116" s="1064" t="s">
        <v>18</v>
      </c>
      <c r="K1116" s="1064" t="s">
        <v>19</v>
      </c>
      <c r="L1116" s="279" t="s">
        <v>20</v>
      </c>
      <c r="M1116" s="1078" t="s">
        <v>937</v>
      </c>
      <c r="N1116" s="1112"/>
      <c r="O1116" s="512"/>
      <c r="P1116" s="512"/>
      <c r="Q1116" s="512"/>
      <c r="R1116" s="512"/>
      <c r="S1116" s="512"/>
      <c r="T1116" s="512"/>
      <c r="U1116" s="512"/>
      <c r="V1116" s="512"/>
      <c r="W1116" s="512"/>
    </row>
    <row r="1117" s="477" customFormat="1" ht="15.4" customHeight="1" spans="1:23">
      <c r="A1117" s="1064" t="s">
        <v>464</v>
      </c>
      <c r="B1117" s="1050" t="s">
        <v>931</v>
      </c>
      <c r="C1117" s="789" t="s">
        <v>91</v>
      </c>
      <c r="D1117" s="1051">
        <f>42/3</f>
        <v>14</v>
      </c>
      <c r="E1117" s="988"/>
      <c r="F1117" s="1129"/>
      <c r="G1117" s="1130">
        <f t="shared" si="94"/>
        <v>45761</v>
      </c>
      <c r="H1117" s="713">
        <f t="shared" si="95"/>
        <v>45790</v>
      </c>
      <c r="I1117" s="1064" t="s">
        <v>933</v>
      </c>
      <c r="J1117" s="1064" t="s">
        <v>18</v>
      </c>
      <c r="K1117" s="1064" t="s">
        <v>19</v>
      </c>
      <c r="L1117" s="279" t="s">
        <v>20</v>
      </c>
      <c r="M1117" s="1078" t="s">
        <v>937</v>
      </c>
      <c r="N1117" s="1112"/>
      <c r="O1117" s="512"/>
      <c r="P1117" s="512"/>
      <c r="Q1117" s="512"/>
      <c r="R1117" s="512"/>
      <c r="S1117" s="512"/>
      <c r="T1117" s="512"/>
      <c r="U1117" s="512"/>
      <c r="V1117" s="512"/>
      <c r="W1117" s="512"/>
    </row>
    <row r="1118" s="477" customFormat="1" ht="15.4" customHeight="1" spans="1:23">
      <c r="A1118" s="1064" t="s">
        <v>464</v>
      </c>
      <c r="B1118" s="1050" t="s">
        <v>931</v>
      </c>
      <c r="C1118" s="789" t="s">
        <v>77</v>
      </c>
      <c r="D1118" s="1051">
        <v>1</v>
      </c>
      <c r="E1118" s="988"/>
      <c r="F1118" s="1129"/>
      <c r="G1118" s="1130">
        <f t="shared" si="94"/>
        <v>45761</v>
      </c>
      <c r="H1118" s="713">
        <f t="shared" si="95"/>
        <v>45790</v>
      </c>
      <c r="I1118" s="1064" t="s">
        <v>933</v>
      </c>
      <c r="J1118" s="1064" t="s">
        <v>18</v>
      </c>
      <c r="K1118" s="1064" t="s">
        <v>19</v>
      </c>
      <c r="L1118" s="279" t="s">
        <v>20</v>
      </c>
      <c r="M1118" s="1078" t="s">
        <v>937</v>
      </c>
      <c r="N1118" s="1112"/>
      <c r="O1118" s="512"/>
      <c r="P1118" s="512"/>
      <c r="Q1118" s="512"/>
      <c r="R1118" s="512"/>
      <c r="S1118" s="512"/>
      <c r="T1118" s="512"/>
      <c r="U1118" s="512"/>
      <c r="V1118" s="512"/>
      <c r="W1118" s="512"/>
    </row>
    <row r="1119" s="178" customFormat="1" ht="15.4" customHeight="1" spans="1:23">
      <c r="A1119" s="1131" t="s">
        <v>910</v>
      </c>
      <c r="B1119" s="1099" t="s">
        <v>938</v>
      </c>
      <c r="C1119" s="1048" t="s">
        <v>15</v>
      </c>
      <c r="D1119" s="240">
        <v>140</v>
      </c>
      <c r="E1119" s="1085" t="s">
        <v>939</v>
      </c>
      <c r="F1119" s="675"/>
      <c r="G1119" s="675">
        <f>VLOOKUP(CLEAN(SUBSTITUTE(TRIM(MID(E:E,FIND("/",E:E)+1,LEN(E:E)))," ","")),'Customs Decl. &amp; Local Delivery'!D:I,6,0)</f>
        <v>45761</v>
      </c>
      <c r="H1119" s="676">
        <f>VLOOKUP(CLEAN(SUBSTITUTE(TRIM(MID(E:E,FIND("/",E:E)+1,LEN(E:E)))," ","")),'Customs Decl. &amp; Local Delivery'!D:J,7,0)</f>
        <v>45790</v>
      </c>
      <c r="I1119" s="1053" t="s">
        <v>940</v>
      </c>
      <c r="J1119" s="1053" t="s">
        <v>18</v>
      </c>
      <c r="K1119" s="1053" t="s">
        <v>147</v>
      </c>
      <c r="L1119" s="1090" t="s">
        <v>20</v>
      </c>
      <c r="M1119" s="1053" t="s">
        <v>941</v>
      </c>
      <c r="N1119" s="512"/>
      <c r="O1119" s="512"/>
      <c r="P1119" s="512"/>
      <c r="Q1119" s="512"/>
      <c r="R1119" s="512"/>
      <c r="S1119" s="512"/>
      <c r="T1119" s="512"/>
      <c r="U1119" s="512"/>
      <c r="V1119" s="512"/>
      <c r="W1119" s="512"/>
    </row>
    <row r="1120" s="178" customFormat="1" ht="15.4" customHeight="1" spans="1:23">
      <c r="A1120" s="1053" t="s">
        <v>910</v>
      </c>
      <c r="B1120" s="1099" t="s">
        <v>938</v>
      </c>
      <c r="C1120" s="1048" t="s">
        <v>59</v>
      </c>
      <c r="D1120" s="240">
        <v>34</v>
      </c>
      <c r="E1120" s="976"/>
      <c r="F1120" s="675"/>
      <c r="G1120" s="1122">
        <f>G1119</f>
        <v>45761</v>
      </c>
      <c r="H1120" s="1123">
        <f>H1119</f>
        <v>45790</v>
      </c>
      <c r="I1120" s="1053" t="s">
        <v>940</v>
      </c>
      <c r="J1120" s="1053" t="s">
        <v>18</v>
      </c>
      <c r="K1120" s="1053" t="s">
        <v>147</v>
      </c>
      <c r="L1120" s="279" t="s">
        <v>20</v>
      </c>
      <c r="M1120" s="1053"/>
      <c r="N1120" s="512"/>
      <c r="O1120" s="512"/>
      <c r="P1120" s="512"/>
      <c r="Q1120" s="512"/>
      <c r="R1120" s="512"/>
      <c r="S1120" s="512"/>
      <c r="T1120" s="512"/>
      <c r="U1120" s="512"/>
      <c r="V1120" s="512"/>
      <c r="W1120" s="512"/>
    </row>
    <row r="1121" s="178" customFormat="1" ht="15.4" customHeight="1" spans="1:23">
      <c r="A1121" s="1053" t="s">
        <v>910</v>
      </c>
      <c r="B1121" s="1099" t="s">
        <v>938</v>
      </c>
      <c r="C1121" s="1048" t="s">
        <v>60</v>
      </c>
      <c r="D1121" s="240">
        <v>34</v>
      </c>
      <c r="E1121" s="976"/>
      <c r="F1121" s="675"/>
      <c r="G1121" s="1122">
        <f>G1120</f>
        <v>45761</v>
      </c>
      <c r="H1121" s="1123">
        <f>H1120</f>
        <v>45790</v>
      </c>
      <c r="I1121" s="1053" t="s">
        <v>940</v>
      </c>
      <c r="J1121" s="1053" t="s">
        <v>18</v>
      </c>
      <c r="K1121" s="1053" t="s">
        <v>147</v>
      </c>
      <c r="L1121" s="279" t="s">
        <v>20</v>
      </c>
      <c r="M1121" s="1053"/>
      <c r="N1121" s="512"/>
      <c r="O1121" s="512"/>
      <c r="P1121" s="512"/>
      <c r="Q1121" s="512"/>
      <c r="R1121" s="512"/>
      <c r="S1121" s="512"/>
      <c r="T1121" s="512"/>
      <c r="U1121" s="512"/>
      <c r="V1121" s="512"/>
      <c r="W1121" s="512"/>
    </row>
    <row r="1122" s="178" customFormat="1" ht="15.4" customHeight="1" spans="1:23">
      <c r="A1122" s="1053" t="s">
        <v>910</v>
      </c>
      <c r="B1122" s="1099" t="s">
        <v>942</v>
      </c>
      <c r="C1122" s="1048" t="s">
        <v>77</v>
      </c>
      <c r="D1122" s="267">
        <v>48</v>
      </c>
      <c r="E1122" s="1085" t="s">
        <v>943</v>
      </c>
      <c r="F1122" s="675"/>
      <c r="G1122" s="675">
        <f>VLOOKUP(CLEAN(SUBSTITUTE(TRIM(MID(E:E,FIND("/",E:E)+1,LEN(E:E)))," ","")),'Customs Decl. &amp; Local Delivery'!D:I,6,0)</f>
        <v>45761</v>
      </c>
      <c r="H1122" s="676">
        <f>VLOOKUP(CLEAN(SUBSTITUTE(TRIM(MID(E:E,FIND("/",E:E)+1,LEN(E:E)))," ","")),'Customs Decl. &amp; Local Delivery'!D:J,7,0)</f>
        <v>45790</v>
      </c>
      <c r="I1122" s="1053" t="s">
        <v>944</v>
      </c>
      <c r="J1122" s="1053" t="s">
        <v>18</v>
      </c>
      <c r="K1122" s="1053" t="s">
        <v>147</v>
      </c>
      <c r="L1122" s="1090" t="s">
        <v>20</v>
      </c>
      <c r="M1122" s="1053" t="s">
        <v>945</v>
      </c>
      <c r="N1122" s="512"/>
      <c r="O1122" s="512"/>
      <c r="P1122" s="512"/>
      <c r="Q1122" s="512"/>
      <c r="R1122" s="512"/>
      <c r="S1122" s="512"/>
      <c r="T1122" s="512"/>
      <c r="U1122" s="512"/>
      <c r="V1122" s="512"/>
      <c r="W1122" s="512"/>
    </row>
    <row r="1123" s="178" customFormat="1" ht="15.4" customHeight="1" spans="1:23">
      <c r="A1123" s="1053" t="s">
        <v>910</v>
      </c>
      <c r="B1123" s="1099" t="s">
        <v>942</v>
      </c>
      <c r="C1123" s="1048" t="s">
        <v>15</v>
      </c>
      <c r="D1123" s="267">
        <v>12</v>
      </c>
      <c r="E1123" s="1127"/>
      <c r="F1123" s="675"/>
      <c r="G1123" s="1122">
        <f>G1122</f>
        <v>45761</v>
      </c>
      <c r="H1123" s="1123">
        <f>H1122</f>
        <v>45790</v>
      </c>
      <c r="I1123" s="1053" t="s">
        <v>944</v>
      </c>
      <c r="J1123" s="1053" t="s">
        <v>18</v>
      </c>
      <c r="K1123" s="1053" t="s">
        <v>147</v>
      </c>
      <c r="L1123" s="279" t="s">
        <v>20</v>
      </c>
      <c r="M1123" s="1053"/>
      <c r="N1123" s="512"/>
      <c r="O1123" s="512"/>
      <c r="P1123" s="512"/>
      <c r="Q1123" s="512"/>
      <c r="R1123" s="512"/>
      <c r="S1123" s="512"/>
      <c r="T1123" s="512"/>
      <c r="U1123" s="512"/>
      <c r="V1123" s="512"/>
      <c r="W1123" s="512"/>
    </row>
    <row r="1124" s="178" customFormat="1" ht="15.4" customHeight="1" spans="1:23">
      <c r="A1124" s="1053" t="s">
        <v>910</v>
      </c>
      <c r="B1124" s="1099" t="s">
        <v>942</v>
      </c>
      <c r="C1124" s="1048" t="s">
        <v>24</v>
      </c>
      <c r="D1124" s="267">
        <v>100</v>
      </c>
      <c r="E1124" s="1127"/>
      <c r="F1124" s="675"/>
      <c r="G1124" s="1122">
        <f>G1123</f>
        <v>45761</v>
      </c>
      <c r="H1124" s="1123">
        <f>H1123</f>
        <v>45790</v>
      </c>
      <c r="I1124" s="1053" t="s">
        <v>944</v>
      </c>
      <c r="J1124" s="1053" t="s">
        <v>18</v>
      </c>
      <c r="K1124" s="1053" t="s">
        <v>147</v>
      </c>
      <c r="L1124" s="279" t="s">
        <v>20</v>
      </c>
      <c r="M1124" s="1053"/>
      <c r="N1124" s="512"/>
      <c r="O1124" s="512"/>
      <c r="P1124" s="512"/>
      <c r="Q1124" s="512"/>
      <c r="R1124" s="512"/>
      <c r="S1124" s="512"/>
      <c r="T1124" s="512"/>
      <c r="U1124" s="512"/>
      <c r="V1124" s="512"/>
      <c r="W1124" s="512"/>
    </row>
    <row r="1125" s="178" customFormat="1" ht="15.4" customHeight="1" spans="1:23">
      <c r="A1125" s="1053" t="s">
        <v>910</v>
      </c>
      <c r="B1125" s="1099" t="s">
        <v>942</v>
      </c>
      <c r="C1125" s="1048" t="s">
        <v>27</v>
      </c>
      <c r="D1125" s="267">
        <v>30</v>
      </c>
      <c r="E1125" s="1127"/>
      <c r="F1125" s="675"/>
      <c r="G1125" s="1122">
        <f>G1124</f>
        <v>45761</v>
      </c>
      <c r="H1125" s="1123">
        <f>H1124</f>
        <v>45790</v>
      </c>
      <c r="I1125" s="1053" t="s">
        <v>944</v>
      </c>
      <c r="J1125" s="1053" t="s">
        <v>18</v>
      </c>
      <c r="K1125" s="1053" t="s">
        <v>147</v>
      </c>
      <c r="L1125" s="279" t="s">
        <v>20</v>
      </c>
      <c r="M1125" s="1053"/>
      <c r="N1125" s="512"/>
      <c r="O1125" s="512"/>
      <c r="P1125" s="512"/>
      <c r="Q1125" s="512"/>
      <c r="R1125" s="512"/>
      <c r="S1125" s="512"/>
      <c r="T1125" s="512"/>
      <c r="U1125" s="512"/>
      <c r="V1125" s="512"/>
      <c r="W1125" s="512"/>
    </row>
    <row r="1126" s="178" customFormat="1" ht="15.4" customHeight="1" spans="1:23">
      <c r="A1126" s="1053" t="s">
        <v>910</v>
      </c>
      <c r="B1126" s="1099" t="s">
        <v>942</v>
      </c>
      <c r="C1126" s="1048" t="s">
        <v>67</v>
      </c>
      <c r="D1126" s="267">
        <v>30</v>
      </c>
      <c r="E1126" s="1127"/>
      <c r="F1126" s="675"/>
      <c r="G1126" s="1122">
        <f>G1125</f>
        <v>45761</v>
      </c>
      <c r="H1126" s="1123">
        <f>H1125</f>
        <v>45790</v>
      </c>
      <c r="I1126" s="1053" t="s">
        <v>944</v>
      </c>
      <c r="J1126" s="1053" t="s">
        <v>18</v>
      </c>
      <c r="K1126" s="1053" t="s">
        <v>147</v>
      </c>
      <c r="L1126" s="279" t="s">
        <v>20</v>
      </c>
      <c r="M1126" s="1053"/>
      <c r="N1126" s="512"/>
      <c r="O1126" s="512"/>
      <c r="P1126" s="512"/>
      <c r="Q1126" s="512"/>
      <c r="R1126" s="512"/>
      <c r="S1126" s="512"/>
      <c r="T1126" s="512"/>
      <c r="U1126" s="512"/>
      <c r="V1126" s="512"/>
      <c r="W1126" s="512"/>
    </row>
    <row r="1127" s="178" customFormat="1" ht="15.4" customHeight="1" spans="1:23">
      <c r="A1127" s="1053" t="s">
        <v>910</v>
      </c>
      <c r="B1127" s="1099" t="s">
        <v>942</v>
      </c>
      <c r="C1127" s="1048" t="s">
        <v>70</v>
      </c>
      <c r="D1127" s="267">
        <v>50</v>
      </c>
      <c r="E1127" s="1127"/>
      <c r="F1127" s="675"/>
      <c r="G1127" s="1122">
        <f>G1126</f>
        <v>45761</v>
      </c>
      <c r="H1127" s="1123">
        <f>H1126</f>
        <v>45790</v>
      </c>
      <c r="I1127" s="1053" t="s">
        <v>944</v>
      </c>
      <c r="J1127" s="1053" t="s">
        <v>18</v>
      </c>
      <c r="K1127" s="1053" t="s">
        <v>147</v>
      </c>
      <c r="L1127" s="279" t="s">
        <v>20</v>
      </c>
      <c r="M1127" s="1053"/>
      <c r="N1127" s="512"/>
      <c r="O1127" s="512"/>
      <c r="P1127" s="512"/>
      <c r="Q1127" s="512"/>
      <c r="R1127" s="512"/>
      <c r="S1127" s="512"/>
      <c r="T1127" s="512"/>
      <c r="U1127" s="512"/>
      <c r="V1127" s="512"/>
      <c r="W1127" s="512"/>
    </row>
    <row r="1128" s="178" customFormat="1" ht="15.4" customHeight="1" spans="1:23">
      <c r="A1128" s="1064" t="s">
        <v>656</v>
      </c>
      <c r="B1128" s="1050" t="s">
        <v>946</v>
      </c>
      <c r="C1128" s="789" t="s">
        <v>27</v>
      </c>
      <c r="D1128" s="279">
        <v>185</v>
      </c>
      <c r="E1128" s="1085" t="s">
        <v>947</v>
      </c>
      <c r="F1128" s="675"/>
      <c r="G1128" s="675">
        <f>VLOOKUP(CLEAN(SUBSTITUTE(TRIM(MID(E:E,FIND("/",E:E)+1,LEN(E:E)))," ","")),'Customs Decl. &amp; Local Delivery'!D:I,6,0)</f>
        <v>45761</v>
      </c>
      <c r="H1128" s="676">
        <f>VLOOKUP(CLEAN(SUBSTITUTE(TRIM(MID(E:E,FIND("/",E:E)+1,LEN(E:E)))," ","")),'Customs Decl. &amp; Local Delivery'!D:J,7,0)</f>
        <v>45790</v>
      </c>
      <c r="I1128" s="1064" t="s">
        <v>948</v>
      </c>
      <c r="J1128" s="784" t="s">
        <v>18</v>
      </c>
      <c r="K1128" s="1064" t="s">
        <v>147</v>
      </c>
      <c r="L1128" s="279" t="s">
        <v>20</v>
      </c>
      <c r="M1128" s="1064" t="s">
        <v>949</v>
      </c>
      <c r="N1128" s="512"/>
      <c r="O1128" s="512"/>
      <c r="P1128" s="512"/>
      <c r="Q1128" s="512"/>
      <c r="R1128" s="512"/>
      <c r="S1128" s="512"/>
      <c r="T1128" s="512"/>
      <c r="U1128" s="512"/>
      <c r="V1128" s="512"/>
      <c r="W1128" s="512"/>
    </row>
    <row r="1129" s="178" customFormat="1" ht="15.4" customHeight="1" spans="1:23">
      <c r="A1129" s="1064" t="s">
        <v>656</v>
      </c>
      <c r="B1129" s="1050" t="s">
        <v>946</v>
      </c>
      <c r="C1129" s="789" t="s">
        <v>69</v>
      </c>
      <c r="D1129" s="279">
        <v>60</v>
      </c>
      <c r="E1129" s="988"/>
      <c r="F1129" s="675"/>
      <c r="G1129" s="1122">
        <f>G1128</f>
        <v>45761</v>
      </c>
      <c r="H1129" s="1123">
        <f>H1128</f>
        <v>45790</v>
      </c>
      <c r="I1129" s="1064" t="s">
        <v>948</v>
      </c>
      <c r="J1129" s="784" t="s">
        <v>18</v>
      </c>
      <c r="K1129" s="1064" t="s">
        <v>147</v>
      </c>
      <c r="L1129" s="279" t="s">
        <v>20</v>
      </c>
      <c r="M1129" s="1064"/>
      <c r="N1129" s="512"/>
      <c r="O1129" s="512"/>
      <c r="P1129" s="512"/>
      <c r="Q1129" s="512"/>
      <c r="R1129" s="512"/>
      <c r="S1129" s="512"/>
      <c r="T1129" s="512"/>
      <c r="U1129" s="512"/>
      <c r="V1129" s="512"/>
      <c r="W1129" s="512"/>
    </row>
    <row r="1130" s="178" customFormat="1" ht="15.4" customHeight="1" spans="1:23">
      <c r="A1130" s="1064" t="s">
        <v>656</v>
      </c>
      <c r="B1130" s="1050" t="s">
        <v>946</v>
      </c>
      <c r="C1130" s="789" t="s">
        <v>71</v>
      </c>
      <c r="D1130" s="279">
        <v>60</v>
      </c>
      <c r="E1130" s="988"/>
      <c r="F1130" s="675"/>
      <c r="G1130" s="1122">
        <f>G1129</f>
        <v>45761</v>
      </c>
      <c r="H1130" s="1123">
        <f>H1129</f>
        <v>45790</v>
      </c>
      <c r="I1130" s="1064" t="s">
        <v>948</v>
      </c>
      <c r="J1130" s="784" t="s">
        <v>18</v>
      </c>
      <c r="K1130" s="1064" t="s">
        <v>147</v>
      </c>
      <c r="L1130" s="279" t="s">
        <v>20</v>
      </c>
      <c r="M1130" s="1064"/>
      <c r="N1130" s="512"/>
      <c r="O1130" s="512"/>
      <c r="P1130" s="512"/>
      <c r="Q1130" s="512"/>
      <c r="R1130" s="512"/>
      <c r="S1130" s="512"/>
      <c r="T1130" s="512"/>
      <c r="U1130" s="512"/>
      <c r="V1130" s="512"/>
      <c r="W1130" s="512"/>
    </row>
    <row r="1131" s="178" customFormat="1" ht="15.4" customHeight="1" spans="1:23">
      <c r="A1131" s="1053" t="s">
        <v>910</v>
      </c>
      <c r="B1131" s="1099" t="s">
        <v>950</v>
      </c>
      <c r="C1131" s="1048" t="s">
        <v>77</v>
      </c>
      <c r="D1131" s="267">
        <v>48</v>
      </c>
      <c r="E1131" s="1085" t="s">
        <v>951</v>
      </c>
      <c r="F1131" s="675"/>
      <c r="G1131" s="675">
        <f>VLOOKUP(CLEAN(SUBSTITUTE(TRIM(MID(E:E,FIND("/",E:E)+1,LEN(E:E)))," ","")),'Customs Decl. &amp; Local Delivery'!D:I,6,0)</f>
        <v>45762</v>
      </c>
      <c r="H1131" s="676">
        <f>VLOOKUP(CLEAN(SUBSTITUTE(TRIM(MID(E:E,FIND("/",E:E)+1,LEN(E:E)))," ","")),'Customs Decl. &amp; Local Delivery'!D:J,7,0)</f>
        <v>45791</v>
      </c>
      <c r="I1131" s="1053" t="s">
        <v>952</v>
      </c>
      <c r="J1131" s="1053" t="s">
        <v>18</v>
      </c>
      <c r="K1131" s="1053" t="s">
        <v>147</v>
      </c>
      <c r="L1131" s="1090" t="s">
        <v>20</v>
      </c>
      <c r="M1131" s="1053" t="s">
        <v>953</v>
      </c>
      <c r="N1131" s="512"/>
      <c r="O1131" s="512"/>
      <c r="P1131" s="512"/>
      <c r="Q1131" s="512"/>
      <c r="R1131" s="512"/>
      <c r="S1131" s="512"/>
      <c r="T1131" s="512"/>
      <c r="U1131" s="512"/>
      <c r="V1131" s="512"/>
      <c r="W1131" s="512"/>
    </row>
    <row r="1132" s="178" customFormat="1" ht="15.4" customHeight="1" spans="1:23">
      <c r="A1132" s="1053" t="s">
        <v>910</v>
      </c>
      <c r="B1132" s="1099" t="s">
        <v>950</v>
      </c>
      <c r="C1132" s="1048" t="s">
        <v>15</v>
      </c>
      <c r="D1132" s="267">
        <v>12</v>
      </c>
      <c r="E1132" s="1127"/>
      <c r="F1132" s="840"/>
      <c r="G1132" s="840">
        <f>G1131</f>
        <v>45762</v>
      </c>
      <c r="H1132" s="1123">
        <f>H1131</f>
        <v>45791</v>
      </c>
      <c r="I1132" s="1053" t="s">
        <v>952</v>
      </c>
      <c r="J1132" s="1053" t="s">
        <v>18</v>
      </c>
      <c r="K1132" s="1053" t="s">
        <v>147</v>
      </c>
      <c r="L1132" s="279" t="s">
        <v>20</v>
      </c>
      <c r="M1132" s="1053"/>
      <c r="N1132" s="512"/>
      <c r="O1132" s="512"/>
      <c r="P1132" s="512"/>
      <c r="Q1132" s="512"/>
      <c r="R1132" s="512"/>
      <c r="S1132" s="512"/>
      <c r="T1132" s="512"/>
      <c r="U1132" s="512"/>
      <c r="V1132" s="512"/>
      <c r="W1132" s="512"/>
    </row>
    <row r="1133" s="178" customFormat="1" ht="15.4" customHeight="1" spans="1:23">
      <c r="A1133" s="1053" t="s">
        <v>910</v>
      </c>
      <c r="B1133" s="1099" t="s">
        <v>950</v>
      </c>
      <c r="C1133" s="1048" t="s">
        <v>24</v>
      </c>
      <c r="D1133" s="267">
        <v>100</v>
      </c>
      <c r="E1133" s="976"/>
      <c r="F1133" s="840"/>
      <c r="G1133" s="840">
        <f>G1132</f>
        <v>45762</v>
      </c>
      <c r="H1133" s="1123">
        <f>H1132</f>
        <v>45791</v>
      </c>
      <c r="I1133" s="1053" t="s">
        <v>952</v>
      </c>
      <c r="J1133" s="1053" t="s">
        <v>18</v>
      </c>
      <c r="K1133" s="1053" t="s">
        <v>147</v>
      </c>
      <c r="L1133" s="279" t="s">
        <v>20</v>
      </c>
      <c r="M1133" s="1053"/>
      <c r="N1133" s="512"/>
      <c r="O1133" s="512"/>
      <c r="P1133" s="512"/>
      <c r="Q1133" s="512"/>
      <c r="R1133" s="512"/>
      <c r="S1133" s="512"/>
      <c r="T1133" s="512"/>
      <c r="U1133" s="512"/>
      <c r="V1133" s="512"/>
      <c r="W1133" s="512"/>
    </row>
    <row r="1134" s="178" customFormat="1" ht="15.4" customHeight="1" spans="1:23">
      <c r="A1134" s="1053" t="s">
        <v>910</v>
      </c>
      <c r="B1134" s="1099" t="s">
        <v>950</v>
      </c>
      <c r="C1134" s="1048" t="s">
        <v>27</v>
      </c>
      <c r="D1134" s="267">
        <v>30</v>
      </c>
      <c r="E1134" s="976"/>
      <c r="F1134" s="840"/>
      <c r="G1134" s="840">
        <f>G1133</f>
        <v>45762</v>
      </c>
      <c r="H1134" s="1123">
        <f>H1133</f>
        <v>45791</v>
      </c>
      <c r="I1134" s="1053" t="s">
        <v>952</v>
      </c>
      <c r="J1134" s="1053" t="s">
        <v>18</v>
      </c>
      <c r="K1134" s="1053" t="s">
        <v>147</v>
      </c>
      <c r="L1134" s="279" t="s">
        <v>20</v>
      </c>
      <c r="M1134" s="1053"/>
      <c r="N1134" s="512"/>
      <c r="O1134" s="512"/>
      <c r="P1134" s="512"/>
      <c r="Q1134" s="512"/>
      <c r="R1134" s="512"/>
      <c r="S1134" s="512"/>
      <c r="T1134" s="512"/>
      <c r="U1134" s="512"/>
      <c r="V1134" s="512"/>
      <c r="W1134" s="512"/>
    </row>
    <row r="1135" s="178" customFormat="1" ht="15.4" customHeight="1" spans="1:23">
      <c r="A1135" s="1053" t="s">
        <v>910</v>
      </c>
      <c r="B1135" s="1099" t="s">
        <v>950</v>
      </c>
      <c r="C1135" s="1048" t="s">
        <v>67</v>
      </c>
      <c r="D1135" s="267">
        <v>30</v>
      </c>
      <c r="E1135" s="1127"/>
      <c r="F1135" s="840"/>
      <c r="G1135" s="840">
        <f>G1134</f>
        <v>45762</v>
      </c>
      <c r="H1135" s="1123">
        <f>H1134</f>
        <v>45791</v>
      </c>
      <c r="I1135" s="1053" t="s">
        <v>952</v>
      </c>
      <c r="J1135" s="1053" t="s">
        <v>18</v>
      </c>
      <c r="K1135" s="1053" t="s">
        <v>147</v>
      </c>
      <c r="L1135" s="279" t="s">
        <v>20</v>
      </c>
      <c r="M1135" s="1053"/>
      <c r="N1135" s="512"/>
      <c r="O1135" s="512"/>
      <c r="P1135" s="512"/>
      <c r="Q1135" s="512"/>
      <c r="R1135" s="512"/>
      <c r="S1135" s="512"/>
      <c r="T1135" s="512"/>
      <c r="U1135" s="512"/>
      <c r="V1135" s="512"/>
      <c r="W1135" s="512"/>
    </row>
    <row r="1136" s="178" customFormat="1" ht="15.4" customHeight="1" spans="1:23">
      <c r="A1136" s="1053" t="s">
        <v>910</v>
      </c>
      <c r="B1136" s="1099" t="s">
        <v>950</v>
      </c>
      <c r="C1136" s="1048" t="s">
        <v>70</v>
      </c>
      <c r="D1136" s="267">
        <v>50</v>
      </c>
      <c r="E1136" s="1127"/>
      <c r="F1136" s="840"/>
      <c r="G1136" s="840">
        <f>G1135</f>
        <v>45762</v>
      </c>
      <c r="H1136" s="1123">
        <f>H1135</f>
        <v>45791</v>
      </c>
      <c r="I1136" s="1053" t="s">
        <v>952</v>
      </c>
      <c r="J1136" s="1053" t="s">
        <v>18</v>
      </c>
      <c r="K1136" s="1053" t="s">
        <v>147</v>
      </c>
      <c r="L1136" s="279" t="s">
        <v>20</v>
      </c>
      <c r="M1136" s="1053"/>
      <c r="N1136" s="512"/>
      <c r="O1136" s="512"/>
      <c r="P1136" s="512"/>
      <c r="Q1136" s="512"/>
      <c r="R1136" s="512"/>
      <c r="S1136" s="512"/>
      <c r="T1136" s="512"/>
      <c r="U1136" s="512"/>
      <c r="V1136" s="512"/>
      <c r="W1136" s="512"/>
    </row>
    <row r="1137" s="178" customFormat="1" ht="15.4" customHeight="1" spans="1:23">
      <c r="A1137" s="1064" t="s">
        <v>559</v>
      </c>
      <c r="B1137" s="1050" t="s">
        <v>954</v>
      </c>
      <c r="C1137" s="789" t="s">
        <v>129</v>
      </c>
      <c r="D1137" s="279">
        <v>40</v>
      </c>
      <c r="E1137" s="1085" t="s">
        <v>955</v>
      </c>
      <c r="F1137" s="675"/>
      <c r="G1137" s="675">
        <f>VLOOKUP(CLEAN(SUBSTITUTE(TRIM(MID(E:E,FIND("/",E:E)+1,LEN(E:E)))," ","")),'Customs Decl. &amp; Local Delivery'!D:I,6,0)</f>
        <v>45762</v>
      </c>
      <c r="H1137" s="676">
        <f>VLOOKUP(CLEAN(SUBSTITUTE(TRIM(MID(E:E,FIND("/",E:E)+1,LEN(E:E)))," ","")),'Customs Decl. &amp; Local Delivery'!D:J,7,0)</f>
        <v>45787</v>
      </c>
      <c r="I1137" s="1064" t="s">
        <v>956</v>
      </c>
      <c r="J1137" s="1064" t="s">
        <v>39</v>
      </c>
      <c r="K1137" s="784" t="s">
        <v>147</v>
      </c>
      <c r="L1137" s="1090" t="s">
        <v>20</v>
      </c>
      <c r="M1137" s="690" t="s">
        <v>884</v>
      </c>
      <c r="N1137" s="1081"/>
      <c r="O1137" s="512"/>
      <c r="P1137" s="512"/>
      <c r="Q1137" s="512"/>
      <c r="R1137" s="512"/>
      <c r="S1137" s="512"/>
      <c r="T1137" s="512"/>
      <c r="U1137" s="512"/>
      <c r="V1137" s="512"/>
      <c r="W1137" s="512"/>
    </row>
    <row r="1138" s="178" customFormat="1" ht="15.4" customHeight="1" spans="1:23">
      <c r="A1138" s="1064" t="s">
        <v>559</v>
      </c>
      <c r="B1138" s="1050" t="s">
        <v>954</v>
      </c>
      <c r="C1138" s="789" t="s">
        <v>133</v>
      </c>
      <c r="D1138" s="279">
        <v>40</v>
      </c>
      <c r="E1138" s="988"/>
      <c r="F1138" s="675"/>
      <c r="G1138" s="675">
        <f t="shared" ref="G1138:G1144" si="96">G1137</f>
        <v>45762</v>
      </c>
      <c r="H1138" s="676">
        <f t="shared" ref="H1138:H1144" si="97">H1137</f>
        <v>45787</v>
      </c>
      <c r="I1138" s="1064" t="s">
        <v>956</v>
      </c>
      <c r="J1138" s="1064" t="s">
        <v>39</v>
      </c>
      <c r="K1138" s="784" t="s">
        <v>147</v>
      </c>
      <c r="L1138" s="1090" t="s">
        <v>20</v>
      </c>
      <c r="M1138" s="1075"/>
      <c r="N1138" s="203"/>
      <c r="O1138" s="512"/>
      <c r="P1138" s="512"/>
      <c r="Q1138" s="512"/>
      <c r="R1138" s="512"/>
      <c r="S1138" s="512"/>
      <c r="T1138" s="512"/>
      <c r="U1138" s="512"/>
      <c r="V1138" s="512"/>
      <c r="W1138" s="512"/>
    </row>
    <row r="1139" s="178" customFormat="1" ht="15.4" customHeight="1" spans="1:23">
      <c r="A1139" s="1064" t="s">
        <v>559</v>
      </c>
      <c r="B1139" s="1050" t="s">
        <v>954</v>
      </c>
      <c r="C1139" s="789" t="s">
        <v>135</v>
      </c>
      <c r="D1139" s="279">
        <v>10</v>
      </c>
      <c r="E1139" s="988"/>
      <c r="F1139" s="675"/>
      <c r="G1139" s="675">
        <f t="shared" si="96"/>
        <v>45762</v>
      </c>
      <c r="H1139" s="676">
        <f t="shared" si="97"/>
        <v>45787</v>
      </c>
      <c r="I1139" s="1064" t="s">
        <v>956</v>
      </c>
      <c r="J1139" s="1064" t="s">
        <v>39</v>
      </c>
      <c r="K1139" s="784" t="s">
        <v>147</v>
      </c>
      <c r="L1139" s="1090" t="s">
        <v>20</v>
      </c>
      <c r="M1139" s="1064"/>
      <c r="N1139" s="203"/>
      <c r="O1139" s="512"/>
      <c r="P1139" s="512"/>
      <c r="Q1139" s="512"/>
      <c r="R1139" s="512"/>
      <c r="S1139" s="512"/>
      <c r="T1139" s="512"/>
      <c r="U1139" s="512"/>
      <c r="V1139" s="512"/>
      <c r="W1139" s="512"/>
    </row>
    <row r="1140" s="178" customFormat="1" ht="15.4" customHeight="1" spans="1:23">
      <c r="A1140" s="1064" t="s">
        <v>559</v>
      </c>
      <c r="B1140" s="1050" t="s">
        <v>954</v>
      </c>
      <c r="C1140" s="789" t="s">
        <v>136</v>
      </c>
      <c r="D1140" s="279">
        <v>10</v>
      </c>
      <c r="E1140" s="1109"/>
      <c r="F1140" s="675"/>
      <c r="G1140" s="675">
        <f t="shared" si="96"/>
        <v>45762</v>
      </c>
      <c r="H1140" s="676">
        <f t="shared" si="97"/>
        <v>45787</v>
      </c>
      <c r="I1140" s="1064" t="s">
        <v>956</v>
      </c>
      <c r="J1140" s="1064" t="s">
        <v>39</v>
      </c>
      <c r="K1140" s="784" t="s">
        <v>147</v>
      </c>
      <c r="L1140" s="1090" t="s">
        <v>20</v>
      </c>
      <c r="M1140" s="1064"/>
      <c r="N1140" s="203"/>
      <c r="O1140" s="512"/>
      <c r="P1140" s="512"/>
      <c r="Q1140" s="512"/>
      <c r="R1140" s="512"/>
      <c r="S1140" s="512"/>
      <c r="T1140" s="512"/>
      <c r="U1140" s="512"/>
      <c r="V1140" s="512"/>
      <c r="W1140" s="512"/>
    </row>
    <row r="1141" s="178" customFormat="1" ht="15.4" customHeight="1" spans="1:23">
      <c r="A1141" s="1064" t="s">
        <v>559</v>
      </c>
      <c r="B1141" s="1050" t="s">
        <v>954</v>
      </c>
      <c r="C1141" s="789" t="s">
        <v>67</v>
      </c>
      <c r="D1141" s="279">
        <v>80</v>
      </c>
      <c r="E1141" s="1109"/>
      <c r="F1141" s="675"/>
      <c r="G1141" s="675">
        <f t="shared" si="96"/>
        <v>45762</v>
      </c>
      <c r="H1141" s="676">
        <f t="shared" si="97"/>
        <v>45787</v>
      </c>
      <c r="I1141" s="1064" t="s">
        <v>956</v>
      </c>
      <c r="J1141" s="1064" t="s">
        <v>39</v>
      </c>
      <c r="K1141" s="784" t="s">
        <v>147</v>
      </c>
      <c r="L1141" s="1090" t="s">
        <v>20</v>
      </c>
      <c r="M1141" s="1064"/>
      <c r="N1141" s="203"/>
      <c r="O1141" s="512"/>
      <c r="P1141" s="512"/>
      <c r="Q1141" s="512"/>
      <c r="R1141" s="512"/>
      <c r="S1141" s="512"/>
      <c r="T1141" s="512"/>
      <c r="U1141" s="512"/>
      <c r="V1141" s="512"/>
      <c r="W1141" s="512"/>
    </row>
    <row r="1142" s="178" customFormat="1" ht="15.4" customHeight="1" spans="1:23">
      <c r="A1142" s="1064" t="s">
        <v>559</v>
      </c>
      <c r="B1142" s="1050" t="s">
        <v>954</v>
      </c>
      <c r="C1142" s="789" t="s">
        <v>69</v>
      </c>
      <c r="D1142" s="279">
        <v>80</v>
      </c>
      <c r="E1142" s="988"/>
      <c r="F1142" s="675"/>
      <c r="G1142" s="675">
        <f t="shared" si="96"/>
        <v>45762</v>
      </c>
      <c r="H1142" s="676">
        <f t="shared" si="97"/>
        <v>45787</v>
      </c>
      <c r="I1142" s="1064" t="s">
        <v>956</v>
      </c>
      <c r="J1142" s="1064" t="s">
        <v>39</v>
      </c>
      <c r="K1142" s="784" t="s">
        <v>147</v>
      </c>
      <c r="L1142" s="1090" t="s">
        <v>20</v>
      </c>
      <c r="M1142" s="1064"/>
      <c r="N1142" s="203"/>
      <c r="O1142" s="512"/>
      <c r="P1142" s="512"/>
      <c r="Q1142" s="512"/>
      <c r="R1142" s="512"/>
      <c r="S1142" s="512"/>
      <c r="T1142" s="512"/>
      <c r="U1142" s="512"/>
      <c r="V1142" s="512"/>
      <c r="W1142" s="512"/>
    </row>
    <row r="1143" s="178" customFormat="1" ht="15.4" customHeight="1" spans="1:23">
      <c r="A1143" s="1064" t="s">
        <v>559</v>
      </c>
      <c r="B1143" s="1050" t="s">
        <v>954</v>
      </c>
      <c r="C1143" s="789" t="s">
        <v>70</v>
      </c>
      <c r="D1143" s="279">
        <v>20</v>
      </c>
      <c r="E1143" s="988"/>
      <c r="F1143" s="675"/>
      <c r="G1143" s="675">
        <f t="shared" si="96"/>
        <v>45762</v>
      </c>
      <c r="H1143" s="676">
        <f t="shared" si="97"/>
        <v>45787</v>
      </c>
      <c r="I1143" s="1064" t="s">
        <v>956</v>
      </c>
      <c r="J1143" s="1064" t="s">
        <v>39</v>
      </c>
      <c r="K1143" s="784" t="s">
        <v>147</v>
      </c>
      <c r="L1143" s="1090" t="s">
        <v>20</v>
      </c>
      <c r="M1143" s="1064"/>
      <c r="N1143" s="203"/>
      <c r="O1143" s="512"/>
      <c r="P1143" s="512"/>
      <c r="Q1143" s="512"/>
      <c r="R1143" s="512"/>
      <c r="S1143" s="512"/>
      <c r="T1143" s="512"/>
      <c r="U1143" s="512"/>
      <c r="V1143" s="512"/>
      <c r="W1143" s="512"/>
    </row>
    <row r="1144" s="178" customFormat="1" ht="15.4" customHeight="1" spans="1:23">
      <c r="A1144" s="1064" t="s">
        <v>559</v>
      </c>
      <c r="B1144" s="1050" t="s">
        <v>954</v>
      </c>
      <c r="C1144" s="789" t="s">
        <v>71</v>
      </c>
      <c r="D1144" s="279">
        <v>20</v>
      </c>
      <c r="E1144" s="988"/>
      <c r="F1144" s="675"/>
      <c r="G1144" s="675">
        <f t="shared" si="96"/>
        <v>45762</v>
      </c>
      <c r="H1144" s="676">
        <f t="shared" si="97"/>
        <v>45787</v>
      </c>
      <c r="I1144" s="1064" t="s">
        <v>956</v>
      </c>
      <c r="J1144" s="1064" t="s">
        <v>39</v>
      </c>
      <c r="K1144" s="784" t="s">
        <v>147</v>
      </c>
      <c r="L1144" s="1090" t="s">
        <v>20</v>
      </c>
      <c r="M1144" s="1064"/>
      <c r="N1144" s="203"/>
      <c r="O1144" s="512"/>
      <c r="P1144" s="512"/>
      <c r="Q1144" s="512"/>
      <c r="R1144" s="512"/>
      <c r="S1144" s="512"/>
      <c r="T1144" s="512"/>
      <c r="U1144" s="512"/>
      <c r="V1144" s="512"/>
      <c r="W1144" s="512"/>
    </row>
    <row r="1145" s="972" customFormat="1" ht="30.75" customHeight="1" spans="1:23">
      <c r="A1145" s="1064" t="s">
        <v>656</v>
      </c>
      <c r="B1145" s="1050" t="s">
        <v>957</v>
      </c>
      <c r="C1145" s="789" t="s">
        <v>70</v>
      </c>
      <c r="D1145" s="279">
        <v>396</v>
      </c>
      <c r="E1145" s="1085" t="s">
        <v>958</v>
      </c>
      <c r="F1145" s="675"/>
      <c r="G1145" s="675">
        <f>VLOOKUP(CLEAN(SUBSTITUTE(TRIM(MID(E:E,FIND("/",E:E)+1,LEN(E:E)))," ","")),'Customs Decl. &amp; Local Delivery'!D:I,6,0)</f>
        <v>45762</v>
      </c>
      <c r="H1145" s="676">
        <f>VLOOKUP(CLEAN(SUBSTITUTE(TRIM(MID(E:E,FIND("/",E:E)+1,LEN(E:E)))," ","")),'Customs Decl. &amp; Local Delivery'!D:J,7,0)</f>
        <v>45778</v>
      </c>
      <c r="I1145" s="1064" t="s">
        <v>959</v>
      </c>
      <c r="J1145" s="784" t="s">
        <v>18</v>
      </c>
      <c r="K1145" s="1064" t="s">
        <v>147</v>
      </c>
      <c r="L1145" s="1090" t="s">
        <v>20</v>
      </c>
      <c r="M1145" s="1064" t="s">
        <v>960</v>
      </c>
      <c r="N1145" s="512"/>
      <c r="O1145" s="512"/>
      <c r="P1145" s="512"/>
      <c r="Q1145" s="512"/>
      <c r="R1145" s="512"/>
      <c r="S1145" s="512"/>
      <c r="T1145" s="512"/>
      <c r="U1145" s="512"/>
      <c r="V1145" s="512"/>
      <c r="W1145" s="512"/>
    </row>
    <row r="1146" s="178" customFormat="1" ht="30" spans="1:23">
      <c r="A1146" s="1064" t="s">
        <v>656</v>
      </c>
      <c r="B1146" s="1050" t="s">
        <v>961</v>
      </c>
      <c r="C1146" s="789" t="s">
        <v>67</v>
      </c>
      <c r="D1146" s="279">
        <v>450</v>
      </c>
      <c r="E1146" s="1085" t="s">
        <v>962</v>
      </c>
      <c r="F1146" s="675"/>
      <c r="G1146" s="675">
        <f>VLOOKUP(CLEAN(SUBSTITUTE(TRIM(MID(E:E,FIND("/",E:E)+1,LEN(E:E)))," ","")),'Customs Decl. &amp; Local Delivery'!D:I,6,0)</f>
        <v>45762</v>
      </c>
      <c r="H1146" s="676">
        <f>VLOOKUP(CLEAN(SUBSTITUTE(TRIM(MID(E:E,FIND("/",E:E)+1,LEN(E:E)))," ","")),'Customs Decl. &amp; Local Delivery'!D:J,7,0)</f>
        <v>45779</v>
      </c>
      <c r="I1146" s="1064" t="s">
        <v>963</v>
      </c>
      <c r="J1146" s="784" t="s">
        <v>18</v>
      </c>
      <c r="K1146" s="1064" t="s">
        <v>147</v>
      </c>
      <c r="L1146" s="1090" t="s">
        <v>20</v>
      </c>
      <c r="M1146" s="1064" t="s">
        <v>964</v>
      </c>
      <c r="N1146" s="203"/>
      <c r="O1146" s="512"/>
      <c r="P1146" s="512"/>
      <c r="Q1146" s="512"/>
      <c r="R1146" s="512"/>
      <c r="S1146" s="512"/>
      <c r="T1146" s="512"/>
      <c r="U1146" s="512"/>
      <c r="V1146" s="512"/>
      <c r="W1146" s="512"/>
    </row>
    <row r="1147" s="178" customFormat="1" ht="15.4" customHeight="1" spans="1:23">
      <c r="A1147" s="718" t="s">
        <v>874</v>
      </c>
      <c r="B1147" s="1096" t="s">
        <v>965</v>
      </c>
      <c r="C1147" s="1089" t="s">
        <v>59</v>
      </c>
      <c r="D1147" s="290">
        <v>36</v>
      </c>
      <c r="E1147" s="792" t="s">
        <v>966</v>
      </c>
      <c r="F1147" s="675"/>
      <c r="G1147" s="675">
        <f>VLOOKUP(CLEAN(SUBSTITUTE(TRIM(MID(E:E,FIND("/",E:E)+1,LEN(E:E)))," ","")),'Customs Decl. &amp; Local Delivery'!D:I,6,0)</f>
        <v>45762</v>
      </c>
      <c r="H1147" s="676">
        <f>VLOOKUP(CLEAN(SUBSTITUTE(TRIM(MID(E:E,FIND("/",E:E)+1,LEN(E:E)))," ","")),'Customs Decl. &amp; Local Delivery'!D:J,7,0)</f>
        <v>45779</v>
      </c>
      <c r="I1147" s="718" t="s">
        <v>967</v>
      </c>
      <c r="J1147" s="718" t="s">
        <v>18</v>
      </c>
      <c r="K1147" s="718" t="s">
        <v>147</v>
      </c>
      <c r="L1147" s="1090" t="s">
        <v>20</v>
      </c>
      <c r="M1147" s="718" t="s">
        <v>968</v>
      </c>
      <c r="N1147" s="512"/>
      <c r="O1147" s="512"/>
      <c r="P1147" s="512"/>
      <c r="Q1147" s="512"/>
      <c r="R1147" s="512"/>
      <c r="S1147" s="512"/>
      <c r="T1147" s="512"/>
      <c r="U1147" s="512"/>
      <c r="V1147" s="512"/>
      <c r="W1147" s="512"/>
    </row>
    <row r="1148" s="178" customFormat="1" ht="15.4" customHeight="1" spans="1:23">
      <c r="A1148" s="718" t="s">
        <v>874</v>
      </c>
      <c r="B1148" s="1096" t="s">
        <v>965</v>
      </c>
      <c r="C1148" s="1089" t="s">
        <v>60</v>
      </c>
      <c r="D1148" s="290">
        <v>36</v>
      </c>
      <c r="E1148" s="936"/>
      <c r="F1148" s="1132"/>
      <c r="G1148" s="1132">
        <f>G1147</f>
        <v>45762</v>
      </c>
      <c r="H1148" s="713">
        <f>H1147</f>
        <v>45779</v>
      </c>
      <c r="I1148" s="718" t="s">
        <v>967</v>
      </c>
      <c r="J1148" s="718" t="s">
        <v>18</v>
      </c>
      <c r="K1148" s="718" t="s">
        <v>147</v>
      </c>
      <c r="L1148" s="1090" t="s">
        <v>20</v>
      </c>
      <c r="M1148" s="1064" t="s">
        <v>825</v>
      </c>
      <c r="N1148" s="512"/>
      <c r="O1148" s="512"/>
      <c r="P1148" s="512"/>
      <c r="Q1148" s="512"/>
      <c r="R1148" s="512"/>
      <c r="S1148" s="512"/>
      <c r="T1148" s="512"/>
      <c r="U1148" s="512"/>
      <c r="V1148" s="512"/>
      <c r="W1148" s="512"/>
    </row>
    <row r="1149" s="178" customFormat="1" ht="15.4" customHeight="1" spans="1:23">
      <c r="A1149" s="718" t="s">
        <v>874</v>
      </c>
      <c r="B1149" s="1096" t="s">
        <v>965</v>
      </c>
      <c r="C1149" s="1089" t="s">
        <v>15</v>
      </c>
      <c r="D1149" s="290">
        <v>95</v>
      </c>
      <c r="E1149" s="936"/>
      <c r="F1149" s="1132"/>
      <c r="G1149" s="1132">
        <f>G1148</f>
        <v>45762</v>
      </c>
      <c r="H1149" s="713">
        <f>H1148</f>
        <v>45779</v>
      </c>
      <c r="I1149" s="718" t="s">
        <v>967</v>
      </c>
      <c r="J1149" s="718" t="s">
        <v>18</v>
      </c>
      <c r="K1149" s="718" t="s">
        <v>147</v>
      </c>
      <c r="L1149" s="1090" t="s">
        <v>20</v>
      </c>
      <c r="M1149" s="718" t="s">
        <v>969</v>
      </c>
      <c r="N1149" s="512"/>
      <c r="O1149" s="512"/>
      <c r="P1149" s="512"/>
      <c r="Q1149" s="512"/>
      <c r="R1149" s="512"/>
      <c r="S1149" s="512"/>
      <c r="T1149" s="512"/>
      <c r="U1149" s="512"/>
      <c r="V1149" s="512"/>
      <c r="W1149" s="512"/>
    </row>
    <row r="1150" s="178" customFormat="1" ht="15.4" customHeight="1" spans="1:23">
      <c r="A1150" s="1064" t="s">
        <v>579</v>
      </c>
      <c r="B1150" s="789" t="s">
        <v>970</v>
      </c>
      <c r="C1150" s="789" t="s">
        <v>77</v>
      </c>
      <c r="D1150" s="279">
        <v>48</v>
      </c>
      <c r="E1150" s="1085" t="s">
        <v>971</v>
      </c>
      <c r="F1150" s="675"/>
      <c r="G1150" s="675">
        <f>VLOOKUP(CLEAN(SUBSTITUTE(TRIM(MID(E:E,FIND("/",E:E)+1,LEN(E:E)))," ","")),'Customs Decl. &amp; Local Delivery'!D:I,6,0)</f>
        <v>45762</v>
      </c>
      <c r="H1150" s="676">
        <f>VLOOKUP(CLEAN(SUBSTITUTE(TRIM(MID(E:E,FIND("/",E:E)+1,LEN(E:E)))," ","")),'Customs Decl. &amp; Local Delivery'!D:J,7,0)</f>
        <v>45779</v>
      </c>
      <c r="I1150" s="1064" t="s">
        <v>972</v>
      </c>
      <c r="J1150" s="784" t="s">
        <v>18</v>
      </c>
      <c r="K1150" s="1064" t="s">
        <v>147</v>
      </c>
      <c r="L1150" s="279" t="s">
        <v>20</v>
      </c>
      <c r="M1150" s="690" t="s">
        <v>773</v>
      </c>
      <c r="N1150" s="512"/>
      <c r="O1150" s="512"/>
      <c r="P1150" s="512"/>
      <c r="Q1150" s="512"/>
      <c r="R1150" s="512"/>
      <c r="S1150" s="512"/>
      <c r="T1150" s="512"/>
      <c r="U1150" s="512"/>
      <c r="V1150" s="512"/>
      <c r="W1150" s="512"/>
    </row>
    <row r="1151" s="178" customFormat="1" ht="15.4" customHeight="1" spans="1:23">
      <c r="A1151" s="1064" t="s">
        <v>579</v>
      </c>
      <c r="B1151" s="789" t="s">
        <v>970</v>
      </c>
      <c r="C1151" s="789" t="s">
        <v>15</v>
      </c>
      <c r="D1151" s="279">
        <v>150</v>
      </c>
      <c r="E1151" s="988"/>
      <c r="F1151" s="1132"/>
      <c r="G1151" s="1132">
        <f>G1150</f>
        <v>45762</v>
      </c>
      <c r="H1151" s="713">
        <f>H1150</f>
        <v>45779</v>
      </c>
      <c r="I1151" s="1064" t="s">
        <v>972</v>
      </c>
      <c r="J1151" s="784" t="s">
        <v>18</v>
      </c>
      <c r="K1151" s="1064" t="s">
        <v>147</v>
      </c>
      <c r="L1151" s="279" t="s">
        <v>20</v>
      </c>
      <c r="M1151" s="1064"/>
      <c r="N1151" s="512"/>
      <c r="O1151" s="512"/>
      <c r="P1151" s="512"/>
      <c r="Q1151" s="512"/>
      <c r="R1151" s="512"/>
      <c r="S1151" s="512"/>
      <c r="T1151" s="512"/>
      <c r="U1151" s="512"/>
      <c r="V1151" s="512"/>
      <c r="W1151" s="512"/>
    </row>
    <row r="1152" s="178" customFormat="1" ht="15.4" customHeight="1" spans="1:23">
      <c r="A1152" s="1064" t="s">
        <v>579</v>
      </c>
      <c r="B1152" s="789" t="s">
        <v>970</v>
      </c>
      <c r="C1152" s="789" t="s">
        <v>27</v>
      </c>
      <c r="D1152" s="279">
        <v>50</v>
      </c>
      <c r="E1152" s="988"/>
      <c r="F1152" s="1132"/>
      <c r="G1152" s="1132">
        <f>G1151</f>
        <v>45762</v>
      </c>
      <c r="H1152" s="713">
        <f>H1151</f>
        <v>45779</v>
      </c>
      <c r="I1152" s="1064" t="s">
        <v>972</v>
      </c>
      <c r="J1152" s="784" t="s">
        <v>18</v>
      </c>
      <c r="K1152" s="1064" t="s">
        <v>147</v>
      </c>
      <c r="L1152" s="279" t="s">
        <v>20</v>
      </c>
      <c r="M1152" s="1064"/>
      <c r="N1152" s="512"/>
      <c r="O1152" s="512"/>
      <c r="P1152" s="512"/>
      <c r="Q1152" s="512"/>
      <c r="R1152" s="512"/>
      <c r="S1152" s="512"/>
      <c r="T1152" s="512"/>
      <c r="U1152" s="512"/>
      <c r="V1152" s="512"/>
      <c r="W1152" s="512"/>
    </row>
    <row r="1153" s="178" customFormat="1" ht="15.4" customHeight="1" spans="1:23">
      <c r="A1153" s="1064" t="s">
        <v>579</v>
      </c>
      <c r="B1153" s="789" t="s">
        <v>970</v>
      </c>
      <c r="C1153" s="789" t="s">
        <v>70</v>
      </c>
      <c r="D1153" s="279">
        <v>50</v>
      </c>
      <c r="E1153" s="988"/>
      <c r="F1153" s="1132"/>
      <c r="G1153" s="1132">
        <f>G1152</f>
        <v>45762</v>
      </c>
      <c r="H1153" s="713">
        <f>H1152</f>
        <v>45779</v>
      </c>
      <c r="I1153" s="1064" t="s">
        <v>972</v>
      </c>
      <c r="J1153" s="784" t="s">
        <v>18</v>
      </c>
      <c r="K1153" s="1064" t="s">
        <v>147</v>
      </c>
      <c r="L1153" s="279" t="s">
        <v>20</v>
      </c>
      <c r="M1153" s="1064"/>
      <c r="N1153" s="512"/>
      <c r="O1153" s="512"/>
      <c r="P1153" s="512"/>
      <c r="Q1153" s="512"/>
      <c r="R1153" s="512"/>
      <c r="S1153" s="512"/>
      <c r="T1153" s="512"/>
      <c r="U1153" s="512"/>
      <c r="V1153" s="512"/>
      <c r="W1153" s="512"/>
    </row>
    <row r="1154" s="178" customFormat="1" ht="15.4" customHeight="1" spans="1:23">
      <c r="A1154" s="1064" t="s">
        <v>579</v>
      </c>
      <c r="B1154" s="789" t="s">
        <v>973</v>
      </c>
      <c r="C1154" s="789" t="s">
        <v>77</v>
      </c>
      <c r="D1154" s="279">
        <v>48</v>
      </c>
      <c r="E1154" s="1085" t="s">
        <v>974</v>
      </c>
      <c r="F1154" s="675"/>
      <c r="G1154" s="675">
        <f>VLOOKUP(CLEAN(SUBSTITUTE(TRIM(MID(E:E,FIND("/",E:E)+1,LEN(E:E)))," ","")),'Customs Decl. &amp; Local Delivery'!D:I,6,0)</f>
        <v>45762</v>
      </c>
      <c r="H1154" s="676">
        <f>VLOOKUP(CLEAN(SUBSTITUTE(TRIM(MID(E:E,FIND("/",E:E)+1,LEN(E:E)))," ","")),'Customs Decl. &amp; Local Delivery'!D:J,7,0)</f>
        <v>45779</v>
      </c>
      <c r="I1154" s="1064" t="s">
        <v>975</v>
      </c>
      <c r="J1154" s="784" t="s">
        <v>18</v>
      </c>
      <c r="K1154" s="1064" t="s">
        <v>147</v>
      </c>
      <c r="L1154" s="279" t="s">
        <v>20</v>
      </c>
      <c r="M1154" s="690" t="s">
        <v>773</v>
      </c>
      <c r="N1154" s="512"/>
      <c r="O1154" s="512"/>
      <c r="P1154" s="512"/>
      <c r="Q1154" s="512"/>
      <c r="R1154" s="512"/>
      <c r="S1154" s="512"/>
      <c r="T1154" s="512"/>
      <c r="U1154" s="512"/>
      <c r="V1154" s="512"/>
      <c r="W1154" s="512"/>
    </row>
    <row r="1155" s="178" customFormat="1" ht="15.4" customHeight="1" spans="1:23">
      <c r="A1155" s="1064" t="s">
        <v>579</v>
      </c>
      <c r="B1155" s="789" t="s">
        <v>973</v>
      </c>
      <c r="C1155" s="789" t="s">
        <v>15</v>
      </c>
      <c r="D1155" s="279">
        <v>150</v>
      </c>
      <c r="E1155" s="988"/>
      <c r="F1155" s="1132"/>
      <c r="G1155" s="1132">
        <f>G1154</f>
        <v>45762</v>
      </c>
      <c r="H1155" s="713">
        <f>H1154</f>
        <v>45779</v>
      </c>
      <c r="I1155" s="1064" t="s">
        <v>975</v>
      </c>
      <c r="J1155" s="784" t="s">
        <v>18</v>
      </c>
      <c r="K1155" s="1064" t="s">
        <v>147</v>
      </c>
      <c r="L1155" s="279" t="s">
        <v>20</v>
      </c>
      <c r="M1155" s="1064"/>
      <c r="N1155" s="512"/>
      <c r="O1155" s="512"/>
      <c r="P1155" s="512"/>
      <c r="Q1155" s="512"/>
      <c r="R1155" s="512"/>
      <c r="S1155" s="512"/>
      <c r="T1155" s="512"/>
      <c r="U1155" s="512"/>
      <c r="V1155" s="512"/>
      <c r="W1155" s="512"/>
    </row>
    <row r="1156" s="178" customFormat="1" ht="15.4" customHeight="1" spans="1:23">
      <c r="A1156" s="1064" t="s">
        <v>579</v>
      </c>
      <c r="B1156" s="789" t="s">
        <v>973</v>
      </c>
      <c r="C1156" s="789" t="s">
        <v>27</v>
      </c>
      <c r="D1156" s="279">
        <v>50</v>
      </c>
      <c r="E1156" s="1109"/>
      <c r="F1156" s="1132"/>
      <c r="G1156" s="1132">
        <f>G1155</f>
        <v>45762</v>
      </c>
      <c r="H1156" s="713">
        <f>H1155</f>
        <v>45779</v>
      </c>
      <c r="I1156" s="1064" t="s">
        <v>975</v>
      </c>
      <c r="J1156" s="784" t="s">
        <v>18</v>
      </c>
      <c r="K1156" s="1064" t="s">
        <v>147</v>
      </c>
      <c r="L1156" s="279" t="s">
        <v>20</v>
      </c>
      <c r="M1156" s="1064"/>
      <c r="N1156" s="512"/>
      <c r="O1156" s="512"/>
      <c r="P1156" s="512"/>
      <c r="Q1156" s="512"/>
      <c r="R1156" s="512"/>
      <c r="S1156" s="512"/>
      <c r="T1156" s="512"/>
      <c r="U1156" s="512"/>
      <c r="V1156" s="512"/>
      <c r="W1156" s="512"/>
    </row>
    <row r="1157" s="178" customFormat="1" ht="15.4" customHeight="1" spans="1:23">
      <c r="A1157" s="1064" t="s">
        <v>579</v>
      </c>
      <c r="B1157" s="789" t="s">
        <v>973</v>
      </c>
      <c r="C1157" s="789" t="s">
        <v>70</v>
      </c>
      <c r="D1157" s="279">
        <v>50</v>
      </c>
      <c r="E1157" s="1109"/>
      <c r="F1157" s="1132"/>
      <c r="G1157" s="1132">
        <f>G1156</f>
        <v>45762</v>
      </c>
      <c r="H1157" s="713">
        <f>H1156</f>
        <v>45779</v>
      </c>
      <c r="I1157" s="1064" t="s">
        <v>975</v>
      </c>
      <c r="J1157" s="784" t="s">
        <v>18</v>
      </c>
      <c r="K1157" s="1064" t="s">
        <v>147</v>
      </c>
      <c r="L1157" s="279" t="s">
        <v>20</v>
      </c>
      <c r="M1157" s="1064"/>
      <c r="N1157" s="512"/>
      <c r="O1157" s="512"/>
      <c r="P1157" s="512"/>
      <c r="Q1157" s="512"/>
      <c r="R1157" s="512"/>
      <c r="S1157" s="512"/>
      <c r="T1157" s="512"/>
      <c r="U1157" s="512"/>
      <c r="V1157" s="512"/>
      <c r="W1157" s="512"/>
    </row>
    <row r="1158" s="178" customFormat="1" ht="15.4" customHeight="1" spans="1:23">
      <c r="A1158" s="1064" t="s">
        <v>579</v>
      </c>
      <c r="B1158" s="789" t="s">
        <v>976</v>
      </c>
      <c r="C1158" s="789" t="s">
        <v>77</v>
      </c>
      <c r="D1158" s="279">
        <v>48</v>
      </c>
      <c r="E1158" s="1085" t="s">
        <v>977</v>
      </c>
      <c r="F1158" s="675"/>
      <c r="G1158" s="675">
        <f>VLOOKUP(CLEAN(SUBSTITUTE(TRIM(MID(E:E,FIND("/",E:E)+1,LEN(E:E)))," ","")),'Customs Decl. &amp; Local Delivery'!D:I,6,0)</f>
        <v>45762</v>
      </c>
      <c r="H1158" s="676">
        <f>VLOOKUP(CLEAN(SUBSTITUTE(TRIM(MID(E:E,FIND("/",E:E)+1,LEN(E:E)))," ","")),'Customs Decl. &amp; Local Delivery'!D:J,7,0)</f>
        <v>45779</v>
      </c>
      <c r="I1158" s="1064" t="s">
        <v>978</v>
      </c>
      <c r="J1158" s="784" t="s">
        <v>18</v>
      </c>
      <c r="K1158" s="1064" t="s">
        <v>147</v>
      </c>
      <c r="L1158" s="1090" t="s">
        <v>20</v>
      </c>
      <c r="M1158" s="690" t="s">
        <v>773</v>
      </c>
      <c r="N1158" s="512"/>
      <c r="O1158" s="512"/>
      <c r="P1158" s="512"/>
      <c r="Q1158" s="512"/>
      <c r="R1158" s="512"/>
      <c r="S1158" s="512"/>
      <c r="T1158" s="512"/>
      <c r="U1158" s="512"/>
      <c r="V1158" s="512"/>
      <c r="W1158" s="512"/>
    </row>
    <row r="1159" s="178" customFormat="1" ht="15.4" customHeight="1" spans="1:23">
      <c r="A1159" s="1064" t="s">
        <v>579</v>
      </c>
      <c r="B1159" s="789" t="s">
        <v>976</v>
      </c>
      <c r="C1159" s="789" t="s">
        <v>15</v>
      </c>
      <c r="D1159" s="279">
        <v>162</v>
      </c>
      <c r="E1159" s="1109"/>
      <c r="F1159" s="1132"/>
      <c r="G1159" s="1132">
        <f>G1158</f>
        <v>45762</v>
      </c>
      <c r="H1159" s="713">
        <f>H1158</f>
        <v>45779</v>
      </c>
      <c r="I1159" s="1064" t="s">
        <v>978</v>
      </c>
      <c r="J1159" s="784" t="s">
        <v>18</v>
      </c>
      <c r="K1159" s="1064" t="s">
        <v>147</v>
      </c>
      <c r="L1159" s="279" t="s">
        <v>20</v>
      </c>
      <c r="M1159" s="1064"/>
      <c r="N1159" s="512"/>
      <c r="O1159" s="512"/>
      <c r="P1159" s="512"/>
      <c r="Q1159" s="512"/>
      <c r="R1159" s="512"/>
      <c r="S1159" s="512"/>
      <c r="T1159" s="512"/>
      <c r="U1159" s="512"/>
      <c r="V1159" s="512"/>
      <c r="W1159" s="512"/>
    </row>
    <row r="1160" s="178" customFormat="1" ht="15.4" customHeight="1" spans="1:23">
      <c r="A1160" s="1064" t="s">
        <v>579</v>
      </c>
      <c r="B1160" s="789" t="s">
        <v>976</v>
      </c>
      <c r="C1160" s="789" t="s">
        <v>24</v>
      </c>
      <c r="D1160" s="279">
        <v>54</v>
      </c>
      <c r="E1160" s="1109"/>
      <c r="F1160" s="1132"/>
      <c r="G1160" s="1132">
        <f>G1159</f>
        <v>45762</v>
      </c>
      <c r="H1160" s="713">
        <f>H1159</f>
        <v>45779</v>
      </c>
      <c r="I1160" s="1064" t="s">
        <v>978</v>
      </c>
      <c r="J1160" s="784" t="s">
        <v>18</v>
      </c>
      <c r="K1160" s="1064" t="s">
        <v>147</v>
      </c>
      <c r="L1160" s="279" t="s">
        <v>20</v>
      </c>
      <c r="M1160" s="1064"/>
      <c r="N1160" s="512"/>
      <c r="O1160" s="512"/>
      <c r="P1160" s="512"/>
      <c r="Q1160" s="512"/>
      <c r="R1160" s="512"/>
      <c r="S1160" s="512"/>
      <c r="T1160" s="512"/>
      <c r="U1160" s="512"/>
      <c r="V1160" s="512"/>
      <c r="W1160" s="512"/>
    </row>
    <row r="1161" s="178" customFormat="1" ht="15.4" customHeight="1" spans="1:23">
      <c r="A1161" s="1064" t="s">
        <v>579</v>
      </c>
      <c r="B1161" s="789" t="s">
        <v>976</v>
      </c>
      <c r="C1161" s="789" t="s">
        <v>67</v>
      </c>
      <c r="D1161" s="279">
        <v>54</v>
      </c>
      <c r="E1161" s="1109"/>
      <c r="F1161" s="1132"/>
      <c r="G1161" s="1132">
        <f>G1160</f>
        <v>45762</v>
      </c>
      <c r="H1161" s="713">
        <f>H1160</f>
        <v>45779</v>
      </c>
      <c r="I1161" s="1064" t="s">
        <v>978</v>
      </c>
      <c r="J1161" s="784" t="s">
        <v>18</v>
      </c>
      <c r="K1161" s="1064" t="s">
        <v>147</v>
      </c>
      <c r="L1161" s="279" t="s">
        <v>20</v>
      </c>
      <c r="M1161" s="1064"/>
      <c r="N1161" s="1112"/>
      <c r="O1161" s="512"/>
      <c r="P1161" s="512"/>
      <c r="Q1161" s="512"/>
      <c r="R1161" s="512"/>
      <c r="S1161" s="512"/>
      <c r="T1161" s="512"/>
      <c r="U1161" s="512"/>
      <c r="V1161" s="512"/>
      <c r="W1161" s="512"/>
    </row>
    <row r="1162" s="178" customFormat="1" ht="15.4" customHeight="1" spans="1:23">
      <c r="A1162" s="1053" t="s">
        <v>910</v>
      </c>
      <c r="B1162" s="1099" t="s">
        <v>979</v>
      </c>
      <c r="C1162" s="1048" t="s">
        <v>15</v>
      </c>
      <c r="D1162" s="240">
        <v>140</v>
      </c>
      <c r="E1162" s="1085" t="s">
        <v>980</v>
      </c>
      <c r="F1162" s="675"/>
      <c r="G1162" s="675">
        <f>VLOOKUP(CLEAN(SUBSTITUTE(TRIM(MID(E:E,FIND("/",E:E)+1,LEN(E:E)))," ","")),'Customs Decl. &amp; Local Delivery'!D:I,6,0)</f>
        <v>45763</v>
      </c>
      <c r="H1162" s="676">
        <f>VLOOKUP(CLEAN(SUBSTITUTE(TRIM(MID(E:E,FIND("/",E:E)+1,LEN(E:E)))," ","")),'Customs Decl. &amp; Local Delivery'!D:J,7,0)</f>
        <v>45790</v>
      </c>
      <c r="I1162" s="1078" t="s">
        <v>981</v>
      </c>
      <c r="J1162" s="1078" t="s">
        <v>18</v>
      </c>
      <c r="K1162" s="1053" t="s">
        <v>147</v>
      </c>
      <c r="L1162" s="1090" t="s">
        <v>20</v>
      </c>
      <c r="M1162" s="1053" t="s">
        <v>941</v>
      </c>
      <c r="N1162" s="512"/>
      <c r="O1162" s="512"/>
      <c r="P1162" s="512"/>
      <c r="Q1162" s="512"/>
      <c r="R1162" s="512"/>
      <c r="S1162" s="512"/>
      <c r="T1162" s="512"/>
      <c r="U1162" s="512"/>
      <c r="V1162" s="512"/>
      <c r="W1162" s="512"/>
    </row>
    <row r="1163" s="178" customFormat="1" ht="15.4" customHeight="1" spans="1:23">
      <c r="A1163" s="1053" t="s">
        <v>910</v>
      </c>
      <c r="B1163" s="1099" t="s">
        <v>979</v>
      </c>
      <c r="C1163" s="1048" t="s">
        <v>59</v>
      </c>
      <c r="D1163" s="240">
        <v>34</v>
      </c>
      <c r="E1163" s="1127"/>
      <c r="F1163" s="675"/>
      <c r="G1163" s="1122">
        <f>G1162</f>
        <v>45763</v>
      </c>
      <c r="H1163" s="1123">
        <f>H1162</f>
        <v>45790</v>
      </c>
      <c r="I1163" s="1053" t="s">
        <v>981</v>
      </c>
      <c r="J1163" s="1053" t="s">
        <v>18</v>
      </c>
      <c r="K1163" s="1053" t="s">
        <v>147</v>
      </c>
      <c r="L1163" s="279" t="s">
        <v>20</v>
      </c>
      <c r="M1163" s="1053"/>
      <c r="N1163" s="512"/>
      <c r="O1163" s="512"/>
      <c r="P1163" s="512"/>
      <c r="Q1163" s="512"/>
      <c r="R1163" s="512"/>
      <c r="S1163" s="512"/>
      <c r="T1163" s="512"/>
      <c r="U1163" s="512"/>
      <c r="V1163" s="512"/>
      <c r="W1163" s="512"/>
    </row>
    <row r="1164" s="178" customFormat="1" ht="15.4" customHeight="1" spans="1:23">
      <c r="A1164" s="1053" t="s">
        <v>910</v>
      </c>
      <c r="B1164" s="1099" t="s">
        <v>979</v>
      </c>
      <c r="C1164" s="1048" t="s">
        <v>60</v>
      </c>
      <c r="D1164" s="240">
        <v>34</v>
      </c>
      <c r="E1164" s="1127"/>
      <c r="F1164" s="675"/>
      <c r="G1164" s="1122">
        <f>G1163</f>
        <v>45763</v>
      </c>
      <c r="H1164" s="1123">
        <f>H1163</f>
        <v>45790</v>
      </c>
      <c r="I1164" s="1053" t="s">
        <v>981</v>
      </c>
      <c r="J1164" s="1053" t="s">
        <v>18</v>
      </c>
      <c r="K1164" s="1053" t="s">
        <v>147</v>
      </c>
      <c r="L1164" s="279" t="s">
        <v>20</v>
      </c>
      <c r="M1164" s="1053"/>
      <c r="N1164" s="512"/>
      <c r="O1164" s="512"/>
      <c r="P1164" s="512"/>
      <c r="Q1164" s="512"/>
      <c r="R1164" s="512"/>
      <c r="S1164" s="512"/>
      <c r="T1164" s="512"/>
      <c r="U1164" s="512"/>
      <c r="V1164" s="512"/>
      <c r="W1164" s="512"/>
    </row>
    <row r="1165" s="178" customFormat="1" ht="30" spans="1:23">
      <c r="A1165" s="1133" t="s">
        <v>910</v>
      </c>
      <c r="B1165" s="1099" t="s">
        <v>982</v>
      </c>
      <c r="C1165" s="1048" t="s">
        <v>349</v>
      </c>
      <c r="D1165" s="240">
        <v>218</v>
      </c>
      <c r="E1165" s="1055" t="s">
        <v>983</v>
      </c>
      <c r="F1165" s="675"/>
      <c r="G1165" s="675">
        <f>VLOOKUP(CLEAN(SUBSTITUTE(TRIM(MID(E:E,FIND("/",E:E)+1,LEN(E:E)))," ","")),'Customs Decl. &amp; Local Delivery'!D:I,6,0)</f>
        <v>45765</v>
      </c>
      <c r="H1165" s="676">
        <f>VLOOKUP(CLEAN(SUBSTITUTE(TRIM(MID(E:E,FIND("/",E:E)+1,LEN(E:E)))," ","")),'Customs Decl. &amp; Local Delivery'!D:J,7,0)</f>
        <v>45786</v>
      </c>
      <c r="I1165" s="1053" t="s">
        <v>984</v>
      </c>
      <c r="J1165" s="1053" t="s">
        <v>18</v>
      </c>
      <c r="K1165" s="1053" t="s">
        <v>147</v>
      </c>
      <c r="L1165" s="1090" t="s">
        <v>20</v>
      </c>
      <c r="M1165" s="1053" t="s">
        <v>985</v>
      </c>
      <c r="N1165" s="512"/>
      <c r="O1165" s="512"/>
      <c r="P1165" s="512"/>
      <c r="Q1165" s="512"/>
      <c r="R1165" s="512"/>
      <c r="S1165" s="512"/>
      <c r="T1165" s="512"/>
      <c r="U1165" s="512"/>
      <c r="V1165" s="512"/>
      <c r="W1165" s="512"/>
    </row>
    <row r="1166" s="178" customFormat="1" ht="15.4" customHeight="1" spans="1:23">
      <c r="A1166" s="1053" t="s">
        <v>910</v>
      </c>
      <c r="B1166" s="1099" t="s">
        <v>986</v>
      </c>
      <c r="C1166" s="1048" t="s">
        <v>15</v>
      </c>
      <c r="D1166" s="240">
        <v>140</v>
      </c>
      <c r="E1166" s="1055" t="s">
        <v>987</v>
      </c>
      <c r="F1166" s="675"/>
      <c r="G1166" s="675">
        <f>VLOOKUP(CLEAN(SUBSTITUTE(TRIM(MID(E:E,FIND("/",E:E)+1,LEN(E:E)))," ","")),'Customs Decl. &amp; Local Delivery'!D:I,6,0)</f>
        <v>45765</v>
      </c>
      <c r="H1166" s="676">
        <f>VLOOKUP(CLEAN(SUBSTITUTE(TRIM(MID(E:E,FIND("/",E:E)+1,LEN(E:E)))," ","")),'Customs Decl. &amp; Local Delivery'!D:J,7,0)</f>
        <v>45786</v>
      </c>
      <c r="I1166" s="1053" t="s">
        <v>988</v>
      </c>
      <c r="J1166" s="1053" t="s">
        <v>18</v>
      </c>
      <c r="K1166" s="1053" t="s">
        <v>147</v>
      </c>
      <c r="L1166" s="1090" t="s">
        <v>20</v>
      </c>
      <c r="M1166" s="1053" t="s">
        <v>985</v>
      </c>
      <c r="N1166" s="512"/>
      <c r="O1166" s="512"/>
      <c r="P1166" s="512"/>
      <c r="Q1166" s="512"/>
      <c r="R1166" s="512"/>
      <c r="S1166" s="512"/>
      <c r="T1166" s="512"/>
      <c r="U1166" s="512"/>
      <c r="V1166" s="512"/>
      <c r="W1166" s="512"/>
    </row>
    <row r="1167" s="178" customFormat="1" ht="15.4" customHeight="1" spans="1:23">
      <c r="A1167" s="1053" t="s">
        <v>910</v>
      </c>
      <c r="B1167" s="1099" t="s">
        <v>986</v>
      </c>
      <c r="C1167" s="1048" t="s">
        <v>59</v>
      </c>
      <c r="D1167" s="240">
        <v>34</v>
      </c>
      <c r="E1167" s="1127"/>
      <c r="F1167" s="840"/>
      <c r="G1167" s="840">
        <f>G1166</f>
        <v>45765</v>
      </c>
      <c r="H1167" s="1123">
        <f>H1166</f>
        <v>45786</v>
      </c>
      <c r="I1167" s="1053" t="s">
        <v>988</v>
      </c>
      <c r="J1167" s="1053" t="s">
        <v>18</v>
      </c>
      <c r="K1167" s="1053" t="s">
        <v>147</v>
      </c>
      <c r="L1167" s="1090" t="s">
        <v>20</v>
      </c>
      <c r="M1167" s="1053"/>
      <c r="N1167" s="512"/>
      <c r="O1167" s="512"/>
      <c r="P1167" s="512"/>
      <c r="Q1167" s="512"/>
      <c r="R1167" s="512"/>
      <c r="S1167" s="512"/>
      <c r="T1167" s="512"/>
      <c r="U1167" s="512"/>
      <c r="V1167" s="512"/>
      <c r="W1167" s="512"/>
    </row>
    <row r="1168" s="178" customFormat="1" ht="15.4" customHeight="1" spans="1:23">
      <c r="A1168" s="1053" t="s">
        <v>910</v>
      </c>
      <c r="B1168" s="1099" t="s">
        <v>986</v>
      </c>
      <c r="C1168" s="1048" t="s">
        <v>60</v>
      </c>
      <c r="D1168" s="240">
        <v>34</v>
      </c>
      <c r="E1168" s="1127"/>
      <c r="F1168" s="840"/>
      <c r="G1168" s="840">
        <f>G1167</f>
        <v>45765</v>
      </c>
      <c r="H1168" s="1123">
        <f>H1167</f>
        <v>45786</v>
      </c>
      <c r="I1168" s="1053" t="s">
        <v>988</v>
      </c>
      <c r="J1168" s="1053" t="s">
        <v>18</v>
      </c>
      <c r="K1168" s="1053" t="s">
        <v>147</v>
      </c>
      <c r="L1168" s="1090" t="s">
        <v>20</v>
      </c>
      <c r="M1168" s="1053"/>
      <c r="N1168" s="512"/>
      <c r="O1168" s="512"/>
      <c r="P1168" s="512"/>
      <c r="Q1168" s="512"/>
      <c r="R1168" s="512"/>
      <c r="S1168" s="512"/>
      <c r="T1168" s="512"/>
      <c r="U1168" s="512"/>
      <c r="V1168" s="512"/>
      <c r="W1168" s="512"/>
    </row>
    <row r="1169" s="178" customFormat="1" ht="15.4" customHeight="1" spans="1:23">
      <c r="A1169" s="1053" t="s">
        <v>910</v>
      </c>
      <c r="B1169" s="1099" t="s">
        <v>989</v>
      </c>
      <c r="C1169" s="1048" t="s">
        <v>15</v>
      </c>
      <c r="D1169" s="240">
        <v>250</v>
      </c>
      <c r="E1169" s="1055" t="s">
        <v>990</v>
      </c>
      <c r="F1169" s="675"/>
      <c r="G1169" s="675">
        <f>VLOOKUP(CLEAN(SUBSTITUTE(TRIM(MID(E:E,FIND("/",E:E)+1,LEN(E:E)))," ","")),'Customs Decl. &amp; Local Delivery'!D:I,6,0)</f>
        <v>45765</v>
      </c>
      <c r="H1169" s="676">
        <f>VLOOKUP(CLEAN(SUBSTITUTE(TRIM(MID(E:E,FIND("/",E:E)+1,LEN(E:E)))," ","")),'Customs Decl. &amp; Local Delivery'!D:J,7,0)</f>
        <v>45786</v>
      </c>
      <c r="I1169" s="1053" t="s">
        <v>991</v>
      </c>
      <c r="J1169" s="1053" t="s">
        <v>18</v>
      </c>
      <c r="K1169" s="1053" t="s">
        <v>147</v>
      </c>
      <c r="L1169" s="1090" t="s">
        <v>20</v>
      </c>
      <c r="M1169" s="1053" t="s">
        <v>985</v>
      </c>
      <c r="N1169" s="512"/>
      <c r="O1169" s="512"/>
      <c r="P1169" s="512"/>
      <c r="Q1169" s="512"/>
      <c r="R1169" s="512"/>
      <c r="S1169" s="512"/>
      <c r="T1169" s="512"/>
      <c r="U1169" s="512"/>
      <c r="V1169" s="512"/>
      <c r="W1169" s="512"/>
    </row>
    <row r="1170" s="178" customFormat="1" ht="15.4" customHeight="1" spans="1:23">
      <c r="A1170" s="1053" t="s">
        <v>910</v>
      </c>
      <c r="B1170" s="1099" t="s">
        <v>989</v>
      </c>
      <c r="C1170" s="1048" t="s">
        <v>22</v>
      </c>
      <c r="D1170" s="240">
        <v>250</v>
      </c>
      <c r="E1170" s="1127"/>
      <c r="F1170" s="840"/>
      <c r="G1170" s="840">
        <f>G1169</f>
        <v>45765</v>
      </c>
      <c r="H1170" s="1123">
        <f>H1169</f>
        <v>45786</v>
      </c>
      <c r="I1170" s="1053" t="s">
        <v>991</v>
      </c>
      <c r="J1170" s="1053" t="s">
        <v>18</v>
      </c>
      <c r="K1170" s="1053" t="s">
        <v>147</v>
      </c>
      <c r="L1170" s="1090" t="s">
        <v>20</v>
      </c>
      <c r="M1170" s="1053"/>
      <c r="N1170" s="512"/>
      <c r="O1170" s="512"/>
      <c r="P1170" s="512"/>
      <c r="Q1170" s="512"/>
      <c r="R1170" s="512"/>
      <c r="S1170" s="512"/>
      <c r="T1170" s="512"/>
      <c r="U1170" s="512"/>
      <c r="V1170" s="512"/>
      <c r="W1170" s="512"/>
    </row>
    <row r="1171" s="971" customFormat="1" ht="15.4" customHeight="1" spans="1:23">
      <c r="A1171" s="1064" t="s">
        <v>656</v>
      </c>
      <c r="B1171" s="1050" t="s">
        <v>992</v>
      </c>
      <c r="C1171" s="789" t="s">
        <v>67</v>
      </c>
      <c r="D1171" s="351">
        <v>420</v>
      </c>
      <c r="E1171" s="1085" t="s">
        <v>993</v>
      </c>
      <c r="F1171" s="675"/>
      <c r="G1171" s="675">
        <f>VLOOKUP(CLEAN(SUBSTITUTE(TRIM(MID(E:E,FIND("/",E:E)+1,LEN(E:E)))," ","")),'Customs Decl. &amp; Local Delivery'!D:I,6,0)</f>
        <v>45765</v>
      </c>
      <c r="H1171" s="676">
        <f>VLOOKUP(CLEAN(SUBSTITUTE(TRIM(MID(E:E,FIND("/",E:E)+1,LEN(E:E)))," ","")),'Customs Decl. &amp; Local Delivery'!D:J,7,0)</f>
        <v>45786</v>
      </c>
      <c r="I1171" s="1064" t="s">
        <v>994</v>
      </c>
      <c r="J1171" s="784" t="s">
        <v>18</v>
      </c>
      <c r="K1171" s="1064" t="s">
        <v>147</v>
      </c>
      <c r="L1171" s="1090" t="s">
        <v>20</v>
      </c>
      <c r="M1171" s="1064" t="s">
        <v>995</v>
      </c>
      <c r="N1171" s="512"/>
      <c r="O1171" s="512"/>
      <c r="P1171" s="512"/>
      <c r="Q1171" s="512"/>
      <c r="R1171" s="512"/>
      <c r="S1171" s="512"/>
      <c r="T1171" s="512"/>
      <c r="U1171" s="512"/>
      <c r="V1171" s="512"/>
      <c r="W1171" s="512"/>
    </row>
    <row r="1172" s="971" customFormat="1" ht="15.4" customHeight="1" spans="1:23">
      <c r="A1172" s="1064" t="s">
        <v>579</v>
      </c>
      <c r="B1172" s="789" t="s">
        <v>996</v>
      </c>
      <c r="C1172" s="789" t="s">
        <v>15</v>
      </c>
      <c r="D1172" s="351">
        <v>28</v>
      </c>
      <c r="E1172" s="69"/>
      <c r="F1172" s="840"/>
      <c r="G1172" s="840">
        <f>G1171</f>
        <v>45765</v>
      </c>
      <c r="H1172" s="1123">
        <f>H1171</f>
        <v>45786</v>
      </c>
      <c r="I1172" s="1064" t="s">
        <v>994</v>
      </c>
      <c r="J1172" s="784" t="s">
        <v>18</v>
      </c>
      <c r="K1172" s="1064" t="s">
        <v>147</v>
      </c>
      <c r="L1172" s="1090" t="s">
        <v>20</v>
      </c>
      <c r="M1172" s="1064"/>
      <c r="N1172" s="512"/>
      <c r="O1172" s="512"/>
      <c r="P1172" s="512"/>
      <c r="Q1172" s="512"/>
      <c r="R1172" s="512"/>
      <c r="S1172" s="512"/>
      <c r="T1172" s="512"/>
      <c r="U1172" s="512"/>
      <c r="V1172" s="512"/>
      <c r="W1172" s="512"/>
    </row>
    <row r="1173" s="971" customFormat="1" ht="15.4" customHeight="1" spans="1:23">
      <c r="A1173" s="1064" t="s">
        <v>579</v>
      </c>
      <c r="B1173" s="789" t="s">
        <v>996</v>
      </c>
      <c r="C1173" s="789" t="s">
        <v>27</v>
      </c>
      <c r="D1173" s="351">
        <v>20</v>
      </c>
      <c r="E1173" s="69"/>
      <c r="F1173" s="840"/>
      <c r="G1173" s="840">
        <f>G1172</f>
        <v>45765</v>
      </c>
      <c r="H1173" s="1123">
        <f>H1172</f>
        <v>45786</v>
      </c>
      <c r="I1173" s="1064" t="s">
        <v>994</v>
      </c>
      <c r="J1173" s="784" t="s">
        <v>18</v>
      </c>
      <c r="K1173" s="1064" t="s">
        <v>147</v>
      </c>
      <c r="L1173" s="1090" t="s">
        <v>20</v>
      </c>
      <c r="M1173" s="1064"/>
      <c r="N1173" s="512"/>
      <c r="O1173" s="512"/>
      <c r="P1173" s="512"/>
      <c r="Q1173" s="512"/>
      <c r="R1173" s="512"/>
      <c r="S1173" s="512"/>
      <c r="T1173" s="512"/>
      <c r="U1173" s="512"/>
      <c r="V1173" s="512"/>
      <c r="W1173" s="512"/>
    </row>
    <row r="1174" s="178" customFormat="1" ht="30" spans="1:23">
      <c r="A1174" s="1053" t="s">
        <v>910</v>
      </c>
      <c r="B1174" s="1099" t="s">
        <v>997</v>
      </c>
      <c r="C1174" s="1048" t="s">
        <v>318</v>
      </c>
      <c r="D1174" s="240">
        <v>312</v>
      </c>
      <c r="E1174" s="1055" t="s">
        <v>998</v>
      </c>
      <c r="F1174" s="675"/>
      <c r="G1174" s="675">
        <f>VLOOKUP(CLEAN(SUBSTITUTE(TRIM(MID(E:E,FIND("/",E:E)+1,LEN(E:E)))," ","")),'Customs Decl. &amp; Local Delivery'!D:I,6,0)</f>
        <v>45765</v>
      </c>
      <c r="H1174" s="676">
        <f>VLOOKUP(CLEAN(SUBSTITUTE(TRIM(MID(E:E,FIND("/",E:E)+1,LEN(E:E)))," ","")),'Customs Decl. &amp; Local Delivery'!D:J,7,0)</f>
        <v>45786</v>
      </c>
      <c r="I1174" s="1053" t="s">
        <v>999</v>
      </c>
      <c r="J1174" s="1053" t="s">
        <v>18</v>
      </c>
      <c r="K1174" s="1053" t="s">
        <v>147</v>
      </c>
      <c r="L1174" s="279" t="s">
        <v>20</v>
      </c>
      <c r="M1174" s="1053" t="s">
        <v>985</v>
      </c>
      <c r="N1174" s="512"/>
      <c r="O1174" s="512"/>
      <c r="P1174" s="512"/>
      <c r="Q1174" s="512"/>
      <c r="R1174" s="512"/>
      <c r="S1174" s="512"/>
      <c r="T1174" s="512"/>
      <c r="U1174" s="512"/>
      <c r="V1174" s="512"/>
      <c r="W1174" s="512"/>
    </row>
    <row r="1175" s="178" customFormat="1" ht="30" spans="1:23">
      <c r="A1175" s="1053" t="s">
        <v>910</v>
      </c>
      <c r="B1175" s="1099" t="s">
        <v>1000</v>
      </c>
      <c r="C1175" s="1048" t="s">
        <v>318</v>
      </c>
      <c r="D1175" s="240">
        <v>312</v>
      </c>
      <c r="E1175" s="1055" t="s">
        <v>1001</v>
      </c>
      <c r="F1175" s="675"/>
      <c r="G1175" s="675">
        <f>VLOOKUP(CLEAN(SUBSTITUTE(TRIM(MID(E:E,FIND("/",E:E)+1,LEN(E:E)))," ","")),'Customs Decl. &amp; Local Delivery'!D:I,6,0)</f>
        <v>45765</v>
      </c>
      <c r="H1175" s="676">
        <f>VLOOKUP(CLEAN(SUBSTITUTE(TRIM(MID(E:E,FIND("/",E:E)+1,LEN(E:E)))," ","")),'Customs Decl. &amp; Local Delivery'!D:J,7,0)</f>
        <v>45786</v>
      </c>
      <c r="I1175" s="1053" t="s">
        <v>1002</v>
      </c>
      <c r="J1175" s="1053" t="s">
        <v>18</v>
      </c>
      <c r="K1175" s="1053" t="s">
        <v>147</v>
      </c>
      <c r="L1175" s="279" t="s">
        <v>20</v>
      </c>
      <c r="M1175" s="1053" t="s">
        <v>985</v>
      </c>
      <c r="N1175" s="512"/>
      <c r="O1175" s="512"/>
      <c r="P1175" s="512"/>
      <c r="Q1175" s="512"/>
      <c r="R1175" s="512"/>
      <c r="S1175" s="512"/>
      <c r="T1175" s="512"/>
      <c r="U1175" s="512"/>
      <c r="V1175" s="512"/>
      <c r="W1175" s="512"/>
    </row>
    <row r="1176" s="178" customFormat="1" ht="15.4" customHeight="1" spans="1:23">
      <c r="A1176" s="1053" t="s">
        <v>910</v>
      </c>
      <c r="B1176" s="1099" t="s">
        <v>1003</v>
      </c>
      <c r="C1176" s="1048" t="s">
        <v>70</v>
      </c>
      <c r="D1176" s="240">
        <v>134</v>
      </c>
      <c r="E1176" s="1055" t="s">
        <v>1004</v>
      </c>
      <c r="F1176" s="675"/>
      <c r="G1176" s="675">
        <f>VLOOKUP(CLEAN(SUBSTITUTE(TRIM(MID(E:E,FIND("/",E:E)+1,LEN(E:E)))," ","")),'Customs Decl. &amp; Local Delivery'!D:I,6,0)</f>
        <v>45765</v>
      </c>
      <c r="H1176" s="676">
        <f>VLOOKUP(CLEAN(SUBSTITUTE(TRIM(MID(E:E,FIND("/",E:E)+1,LEN(E:E)))," ","")),'Customs Decl. &amp; Local Delivery'!D:J,7,0)</f>
        <v>45786</v>
      </c>
      <c r="I1176" s="1053" t="s">
        <v>1005</v>
      </c>
      <c r="J1176" s="1053" t="s">
        <v>18</v>
      </c>
      <c r="K1176" s="1053" t="s">
        <v>147</v>
      </c>
      <c r="L1176" s="279" t="s">
        <v>20</v>
      </c>
      <c r="M1176" s="1143" t="s">
        <v>1006</v>
      </c>
      <c r="N1176" s="512"/>
      <c r="O1176" s="512"/>
      <c r="P1176" s="512"/>
      <c r="Q1176" s="512"/>
      <c r="R1176" s="512"/>
      <c r="S1176" s="512"/>
      <c r="T1176" s="512"/>
      <c r="U1176" s="512"/>
      <c r="V1176" s="512"/>
      <c r="W1176" s="512"/>
    </row>
    <row r="1177" s="178" customFormat="1" ht="15.4" customHeight="1" spans="1:23">
      <c r="A1177" s="1053" t="s">
        <v>910</v>
      </c>
      <c r="B1177" s="1099" t="s">
        <v>1003</v>
      </c>
      <c r="C1177" s="1048" t="s">
        <v>71</v>
      </c>
      <c r="D1177" s="240">
        <v>134</v>
      </c>
      <c r="E1177" s="976"/>
      <c r="F1177" s="703"/>
      <c r="G1177" s="703">
        <f>G1176</f>
        <v>45765</v>
      </c>
      <c r="H1177" s="713">
        <f>H1176</f>
        <v>45786</v>
      </c>
      <c r="I1177" s="1053" t="s">
        <v>1005</v>
      </c>
      <c r="J1177" s="1053" t="s">
        <v>18</v>
      </c>
      <c r="K1177" s="1053" t="s">
        <v>147</v>
      </c>
      <c r="L1177" s="279" t="s">
        <v>20</v>
      </c>
      <c r="M1177" s="1053" t="s">
        <v>1007</v>
      </c>
      <c r="N1177" s="512"/>
      <c r="O1177" s="512"/>
      <c r="P1177" s="512"/>
      <c r="Q1177" s="512"/>
      <c r="R1177" s="512"/>
      <c r="S1177" s="512"/>
      <c r="T1177" s="512"/>
      <c r="U1177" s="512"/>
      <c r="V1177" s="512"/>
      <c r="W1177" s="512"/>
    </row>
    <row r="1178" s="178" customFormat="1" ht="15.4" customHeight="1" spans="1:23">
      <c r="A1178" s="1053" t="s">
        <v>910</v>
      </c>
      <c r="B1178" s="1099" t="s">
        <v>1008</v>
      </c>
      <c r="C1178" s="1048" t="s">
        <v>15</v>
      </c>
      <c r="D1178" s="240">
        <v>140</v>
      </c>
      <c r="E1178" s="1055" t="s">
        <v>1009</v>
      </c>
      <c r="F1178" s="675"/>
      <c r="G1178" s="675">
        <f>VLOOKUP(CLEAN(SUBSTITUTE(TRIM(MID(E:E,FIND("/",E:E)+1,LEN(E:E)))," ","")),'Customs Decl. &amp; Local Delivery'!D:I,6,0)</f>
        <v>45768</v>
      </c>
      <c r="H1178" s="676">
        <f>VLOOKUP(CLEAN(SUBSTITUTE(TRIM(MID(E:E,FIND("/",E:E)+1,LEN(E:E)))," ","")),'Customs Decl. &amp; Local Delivery'!D:J,7,0)</f>
        <v>45786</v>
      </c>
      <c r="I1178" s="1053" t="s">
        <v>1010</v>
      </c>
      <c r="J1178" s="1053" t="s">
        <v>18</v>
      </c>
      <c r="K1178" s="1053" t="s">
        <v>147</v>
      </c>
      <c r="L1178" s="279" t="s">
        <v>20</v>
      </c>
      <c r="M1178" s="1053" t="s">
        <v>985</v>
      </c>
      <c r="N1178" s="512"/>
      <c r="O1178" s="512"/>
      <c r="P1178" s="512"/>
      <c r="Q1178" s="512"/>
      <c r="R1178" s="512"/>
      <c r="S1178" s="512"/>
      <c r="T1178" s="512"/>
      <c r="U1178" s="512"/>
      <c r="V1178" s="512"/>
      <c r="W1178" s="512"/>
    </row>
    <row r="1179" s="178" customFormat="1" ht="15.4" customHeight="1" spans="1:23">
      <c r="A1179" s="1053" t="s">
        <v>910</v>
      </c>
      <c r="B1179" s="1099" t="s">
        <v>1008</v>
      </c>
      <c r="C1179" s="1048" t="s">
        <v>59</v>
      </c>
      <c r="D1179" s="240">
        <v>34</v>
      </c>
      <c r="E1179" s="976"/>
      <c r="F1179" s="703"/>
      <c r="G1179" s="703">
        <f>G1178</f>
        <v>45768</v>
      </c>
      <c r="H1179" s="713">
        <f>H1178</f>
        <v>45786</v>
      </c>
      <c r="I1179" s="1053" t="s">
        <v>1010</v>
      </c>
      <c r="J1179" s="1053" t="s">
        <v>18</v>
      </c>
      <c r="K1179" s="1053" t="s">
        <v>147</v>
      </c>
      <c r="L1179" s="279" t="s">
        <v>20</v>
      </c>
      <c r="M1179" s="1053"/>
      <c r="N1179" s="512"/>
      <c r="O1179" s="512"/>
      <c r="P1179" s="512"/>
      <c r="Q1179" s="512"/>
      <c r="R1179" s="512"/>
      <c r="S1179" s="512"/>
      <c r="T1179" s="512"/>
      <c r="U1179" s="512"/>
      <c r="V1179" s="512"/>
      <c r="W1179" s="512"/>
    </row>
    <row r="1180" s="178" customFormat="1" ht="15.4" customHeight="1" spans="1:23">
      <c r="A1180" s="1053" t="s">
        <v>910</v>
      </c>
      <c r="B1180" s="1099" t="s">
        <v>1008</v>
      </c>
      <c r="C1180" s="1048" t="s">
        <v>60</v>
      </c>
      <c r="D1180" s="240">
        <v>34</v>
      </c>
      <c r="E1180" s="976"/>
      <c r="F1180" s="703"/>
      <c r="G1180" s="703">
        <f>G1179</f>
        <v>45768</v>
      </c>
      <c r="H1180" s="713">
        <f>H1179</f>
        <v>45786</v>
      </c>
      <c r="I1180" s="1053" t="s">
        <v>1010</v>
      </c>
      <c r="J1180" s="1053" t="s">
        <v>18</v>
      </c>
      <c r="K1180" s="1053" t="s">
        <v>147</v>
      </c>
      <c r="L1180" s="279" t="s">
        <v>20</v>
      </c>
      <c r="M1180" s="1053"/>
      <c r="N1180" s="512"/>
      <c r="O1180" s="512"/>
      <c r="P1180" s="512"/>
      <c r="Q1180" s="512"/>
      <c r="R1180" s="512"/>
      <c r="S1180" s="512"/>
      <c r="T1180" s="512"/>
      <c r="U1180" s="512"/>
      <c r="V1180" s="512"/>
      <c r="W1180" s="512"/>
    </row>
    <row r="1181" s="178" customFormat="1" ht="15.4" customHeight="1" spans="1:23">
      <c r="A1181" s="1053" t="s">
        <v>910</v>
      </c>
      <c r="B1181" s="1099" t="s">
        <v>1011</v>
      </c>
      <c r="C1181" s="1048" t="s">
        <v>70</v>
      </c>
      <c r="D1181" s="240">
        <v>140</v>
      </c>
      <c r="E1181" s="1055" t="s">
        <v>1012</v>
      </c>
      <c r="F1181" s="675"/>
      <c r="G1181" s="675">
        <f>VLOOKUP(CLEAN(SUBSTITUTE(TRIM(MID(E:E,FIND("/",E:E)+1,LEN(E:E)))," ","")),'Customs Decl. &amp; Local Delivery'!D:I,6,0)</f>
        <v>45768</v>
      </c>
      <c r="H1181" s="676">
        <f>VLOOKUP(CLEAN(SUBSTITUTE(TRIM(MID(E:E,FIND("/",E:E)+1,LEN(E:E)))," ","")),'Customs Decl. &amp; Local Delivery'!D:J,7,0)</f>
        <v>45786</v>
      </c>
      <c r="I1181" s="1053" t="s">
        <v>1013</v>
      </c>
      <c r="J1181" s="1053" t="s">
        <v>18</v>
      </c>
      <c r="K1181" s="1053" t="s">
        <v>147</v>
      </c>
      <c r="L1181" s="279" t="s">
        <v>20</v>
      </c>
      <c r="M1181" s="1053" t="s">
        <v>985</v>
      </c>
      <c r="N1181" s="512"/>
      <c r="O1181" s="512"/>
      <c r="P1181" s="512"/>
      <c r="Q1181" s="512"/>
      <c r="R1181" s="512"/>
      <c r="S1181" s="512"/>
      <c r="T1181" s="512"/>
      <c r="U1181" s="512"/>
      <c r="V1181" s="512"/>
      <c r="W1181" s="512"/>
    </row>
    <row r="1182" s="178" customFormat="1" ht="15.4" customHeight="1" spans="1:23">
      <c r="A1182" s="1053" t="s">
        <v>910</v>
      </c>
      <c r="B1182" s="1099" t="s">
        <v>1011</v>
      </c>
      <c r="C1182" s="1048" t="s">
        <v>71</v>
      </c>
      <c r="D1182" s="240">
        <v>140</v>
      </c>
      <c r="E1182" s="976"/>
      <c r="F1182" s="703"/>
      <c r="G1182" s="703">
        <f>G1181</f>
        <v>45768</v>
      </c>
      <c r="H1182" s="713">
        <f>H1181</f>
        <v>45786</v>
      </c>
      <c r="I1182" s="1053" t="s">
        <v>1013</v>
      </c>
      <c r="J1182" s="1053" t="s">
        <v>18</v>
      </c>
      <c r="K1182" s="1053" t="s">
        <v>147</v>
      </c>
      <c r="L1182" s="279" t="s">
        <v>20</v>
      </c>
      <c r="M1182" s="1053"/>
      <c r="N1182" s="512"/>
      <c r="O1182" s="512"/>
      <c r="P1182" s="512"/>
      <c r="Q1182" s="512"/>
      <c r="R1182" s="512"/>
      <c r="S1182" s="512"/>
      <c r="T1182" s="512"/>
      <c r="U1182" s="512"/>
      <c r="V1182" s="512"/>
      <c r="W1182" s="512"/>
    </row>
    <row r="1183" s="178" customFormat="1" ht="15.4" customHeight="1" spans="1:23">
      <c r="A1183" s="1053" t="s">
        <v>910</v>
      </c>
      <c r="B1183" s="1099" t="s">
        <v>1014</v>
      </c>
      <c r="C1183" s="1048" t="s">
        <v>15</v>
      </c>
      <c r="D1183" s="240">
        <v>238</v>
      </c>
      <c r="E1183" s="1055" t="s">
        <v>1015</v>
      </c>
      <c r="F1183" s="675"/>
      <c r="G1183" s="675">
        <f>VLOOKUP(CLEAN(SUBSTITUTE(TRIM(MID(E:E,FIND("/",E:E)+1,LEN(E:E)))," ","")),'Customs Decl. &amp; Local Delivery'!D:I,6,0)</f>
        <v>45768</v>
      </c>
      <c r="H1183" s="676">
        <f>VLOOKUP(CLEAN(SUBSTITUTE(TRIM(MID(E:E,FIND("/",E:E)+1,LEN(E:E)))," ","")),'Customs Decl. &amp; Local Delivery'!D:J,7,0)</f>
        <v>45794</v>
      </c>
      <c r="I1183" s="1053" t="s">
        <v>1016</v>
      </c>
      <c r="J1183" s="1053" t="s">
        <v>18</v>
      </c>
      <c r="K1183" s="1053" t="s">
        <v>147</v>
      </c>
      <c r="L1183" s="279" t="s">
        <v>20</v>
      </c>
      <c r="M1183" s="1053" t="s">
        <v>1017</v>
      </c>
      <c r="N1183" s="512"/>
      <c r="O1183" s="512"/>
      <c r="P1183" s="512"/>
      <c r="Q1183" s="512"/>
      <c r="R1183" s="512"/>
      <c r="S1183" s="512"/>
      <c r="T1183" s="512"/>
      <c r="U1183" s="512"/>
      <c r="V1183" s="512"/>
      <c r="W1183" s="512"/>
    </row>
    <row r="1184" s="178" customFormat="1" ht="15.4" customHeight="1" spans="1:23">
      <c r="A1184" s="1053" t="s">
        <v>910</v>
      </c>
      <c r="B1184" s="1099" t="s">
        <v>1014</v>
      </c>
      <c r="C1184" s="1048" t="s">
        <v>67</v>
      </c>
      <c r="D1184" s="240">
        <v>70</v>
      </c>
      <c r="E1184" s="976"/>
      <c r="F1184" s="840"/>
      <c r="G1184" s="840">
        <f>G1183</f>
        <v>45768</v>
      </c>
      <c r="H1184" s="1123">
        <f>H1183</f>
        <v>45794</v>
      </c>
      <c r="I1184" s="1053" t="s">
        <v>1016</v>
      </c>
      <c r="J1184" s="1053" t="s">
        <v>18</v>
      </c>
      <c r="K1184" s="1053" t="s">
        <v>147</v>
      </c>
      <c r="L1184" s="279" t="s">
        <v>20</v>
      </c>
      <c r="M1184" s="1053"/>
      <c r="N1184" s="512"/>
      <c r="O1184" s="512"/>
      <c r="P1184" s="512"/>
      <c r="Q1184" s="512"/>
      <c r="R1184" s="512"/>
      <c r="S1184" s="512"/>
      <c r="T1184" s="512"/>
      <c r="U1184" s="512"/>
      <c r="V1184" s="512"/>
      <c r="W1184" s="512"/>
    </row>
    <row r="1185" s="178" customFormat="1" ht="15.4" customHeight="1" spans="1:23">
      <c r="A1185" s="1053" t="s">
        <v>910</v>
      </c>
      <c r="B1185" s="1099" t="s">
        <v>1014</v>
      </c>
      <c r="C1185" s="1048" t="s">
        <v>70</v>
      </c>
      <c r="D1185" s="240">
        <v>39</v>
      </c>
      <c r="E1185" s="976"/>
      <c r="F1185" s="840"/>
      <c r="G1185" s="840">
        <f>G1184</f>
        <v>45768</v>
      </c>
      <c r="H1185" s="1123">
        <f>H1184</f>
        <v>45794</v>
      </c>
      <c r="I1185" s="1053" t="s">
        <v>1016</v>
      </c>
      <c r="J1185" s="1053" t="s">
        <v>18</v>
      </c>
      <c r="K1185" s="1053" t="s">
        <v>147</v>
      </c>
      <c r="L1185" s="279" t="s">
        <v>20</v>
      </c>
      <c r="M1185" s="1053" t="s">
        <v>1018</v>
      </c>
      <c r="N1185" s="512"/>
      <c r="O1185" s="512"/>
      <c r="P1185" s="512"/>
      <c r="Q1185" s="512"/>
      <c r="R1185" s="512"/>
      <c r="S1185" s="512"/>
      <c r="T1185" s="512"/>
      <c r="U1185" s="512"/>
      <c r="V1185" s="512"/>
      <c r="W1185" s="512"/>
    </row>
    <row r="1186" s="178" customFormat="1" ht="15.4" customHeight="1" spans="1:23">
      <c r="A1186" s="1053" t="s">
        <v>910</v>
      </c>
      <c r="B1186" s="1099" t="s">
        <v>1014</v>
      </c>
      <c r="C1186" s="1048" t="s">
        <v>348</v>
      </c>
      <c r="D1186" s="240">
        <v>100</v>
      </c>
      <c r="E1186" s="976"/>
      <c r="F1186" s="840"/>
      <c r="G1186" s="840">
        <f>G1185</f>
        <v>45768</v>
      </c>
      <c r="H1186" s="1123">
        <f>H1185</f>
        <v>45794</v>
      </c>
      <c r="I1186" s="1053" t="s">
        <v>1016</v>
      </c>
      <c r="J1186" s="1053" t="s">
        <v>18</v>
      </c>
      <c r="K1186" s="1053" t="s">
        <v>147</v>
      </c>
      <c r="L1186" s="279" t="s">
        <v>20</v>
      </c>
      <c r="M1186" s="1053"/>
      <c r="N1186" s="512"/>
      <c r="O1186" s="512"/>
      <c r="P1186" s="512"/>
      <c r="Q1186" s="512"/>
      <c r="R1186" s="512"/>
      <c r="S1186" s="512"/>
      <c r="T1186" s="512"/>
      <c r="U1186" s="512"/>
      <c r="V1186" s="512"/>
      <c r="W1186" s="512"/>
    </row>
    <row r="1187" s="178" customFormat="1" ht="15.4" customHeight="1" spans="1:23">
      <c r="A1187" s="1053" t="s">
        <v>910</v>
      </c>
      <c r="B1187" s="1099" t="s">
        <v>1014</v>
      </c>
      <c r="C1187" s="1048" t="s">
        <v>144</v>
      </c>
      <c r="D1187" s="240">
        <v>50</v>
      </c>
      <c r="E1187" s="976"/>
      <c r="F1187" s="840"/>
      <c r="G1187" s="840">
        <f>G1186</f>
        <v>45768</v>
      </c>
      <c r="H1187" s="1123">
        <f>H1186</f>
        <v>45794</v>
      </c>
      <c r="I1187" s="1053" t="s">
        <v>1016</v>
      </c>
      <c r="J1187" s="1053" t="s">
        <v>18</v>
      </c>
      <c r="K1187" s="1053" t="s">
        <v>147</v>
      </c>
      <c r="L1187" s="279" t="s">
        <v>20</v>
      </c>
      <c r="M1187" s="1053"/>
      <c r="N1187" s="512"/>
      <c r="O1187" s="512"/>
      <c r="P1187" s="512"/>
      <c r="Q1187" s="512"/>
      <c r="R1187" s="512"/>
      <c r="S1187" s="512"/>
      <c r="T1187" s="512"/>
      <c r="U1187" s="512"/>
      <c r="V1187" s="512"/>
      <c r="W1187" s="512"/>
    </row>
    <row r="1188" s="178" customFormat="1" ht="15.4" customHeight="1" spans="1:23">
      <c r="A1188" s="1134" t="s">
        <v>1019</v>
      </c>
      <c r="B1188" s="1135" t="s">
        <v>1020</v>
      </c>
      <c r="C1188" s="1136" t="s">
        <v>129</v>
      </c>
      <c r="D1188" s="1137">
        <v>150</v>
      </c>
      <c r="E1188" s="1085" t="s">
        <v>1021</v>
      </c>
      <c r="F1188" s="675"/>
      <c r="G1188" s="675">
        <f>VLOOKUP(CLEAN(SUBSTITUTE(TRIM(MID(E:E,FIND("/",E:E)+1,LEN(E:E)))," ","")),'Customs Decl. &amp; Local Delivery'!D:I,6,0)</f>
        <v>45768</v>
      </c>
      <c r="H1188" s="676">
        <f>VLOOKUP(CLEAN(SUBSTITUTE(TRIM(MID(E:E,FIND("/",E:E)+1,LEN(E:E)))," ","")),'Customs Decl. &amp; Local Delivery'!D:J,7,0)</f>
        <v>45792</v>
      </c>
      <c r="I1188" s="1144" t="s">
        <v>1022</v>
      </c>
      <c r="J1188" s="1145" t="s">
        <v>39</v>
      </c>
      <c r="K1188" s="780" t="s">
        <v>147</v>
      </c>
      <c r="L1188" s="279" t="s">
        <v>20</v>
      </c>
      <c r="M1188" s="780" t="s">
        <v>1023</v>
      </c>
      <c r="N1188" s="512"/>
      <c r="O1188" s="512"/>
      <c r="P1188" s="512"/>
      <c r="Q1188" s="512"/>
      <c r="R1188" s="512"/>
      <c r="S1188" s="512"/>
      <c r="T1188" s="512"/>
      <c r="U1188" s="512"/>
      <c r="V1188" s="512"/>
      <c r="W1188" s="512"/>
    </row>
    <row r="1189" s="178" customFormat="1" ht="15.4" customHeight="1" spans="1:23">
      <c r="A1189" s="1138" t="s">
        <v>1019</v>
      </c>
      <c r="B1189" s="1135" t="s">
        <v>1020</v>
      </c>
      <c r="C1189" s="1139" t="s">
        <v>133</v>
      </c>
      <c r="D1189" s="267">
        <v>150</v>
      </c>
      <c r="E1189" s="922"/>
      <c r="F1189" s="703"/>
      <c r="G1189" s="703">
        <f>G1188</f>
        <v>45768</v>
      </c>
      <c r="H1189" s="676">
        <f>H1188</f>
        <v>45792</v>
      </c>
      <c r="I1189" s="1144" t="s">
        <v>1022</v>
      </c>
      <c r="J1189" s="1145" t="s">
        <v>39</v>
      </c>
      <c r="K1189" s="780" t="s">
        <v>147</v>
      </c>
      <c r="L1189" s="279" t="s">
        <v>20</v>
      </c>
      <c r="M1189" s="1143" t="s">
        <v>1024</v>
      </c>
      <c r="N1189" s="512"/>
      <c r="O1189" s="512"/>
      <c r="P1189" s="512"/>
      <c r="Q1189" s="512"/>
      <c r="R1189" s="512"/>
      <c r="S1189" s="512"/>
      <c r="T1189" s="512"/>
      <c r="U1189" s="512"/>
      <c r="V1189" s="512"/>
      <c r="W1189" s="512"/>
    </row>
    <row r="1190" s="178" customFormat="1" ht="15.4" customHeight="1" spans="1:23">
      <c r="A1190" s="1138" t="s">
        <v>1019</v>
      </c>
      <c r="B1190" s="1135" t="s">
        <v>1020</v>
      </c>
      <c r="C1190" s="1139" t="s">
        <v>15</v>
      </c>
      <c r="D1190" s="267">
        <v>90</v>
      </c>
      <c r="E1190" s="922"/>
      <c r="F1190" s="703"/>
      <c r="G1190" s="703">
        <f>G1189</f>
        <v>45768</v>
      </c>
      <c r="H1190" s="676">
        <f>H1189</f>
        <v>45792</v>
      </c>
      <c r="I1190" s="1144" t="s">
        <v>1022</v>
      </c>
      <c r="J1190" s="1145" t="s">
        <v>39</v>
      </c>
      <c r="K1190" s="780" t="s">
        <v>147</v>
      </c>
      <c r="L1190" s="279" t="s">
        <v>20</v>
      </c>
      <c r="M1190" s="1143"/>
      <c r="N1190" s="512"/>
      <c r="O1190" s="512"/>
      <c r="P1190" s="512"/>
      <c r="Q1190" s="512"/>
      <c r="R1190" s="512"/>
      <c r="S1190" s="512"/>
      <c r="T1190" s="512"/>
      <c r="U1190" s="512"/>
      <c r="V1190" s="512"/>
      <c r="W1190" s="512"/>
    </row>
    <row r="1191" s="178" customFormat="1" ht="15.4" customHeight="1" spans="1:23">
      <c r="A1191" s="1140" t="s">
        <v>1019</v>
      </c>
      <c r="B1191" s="1135" t="s">
        <v>1020</v>
      </c>
      <c r="C1191" s="1141" t="s">
        <v>22</v>
      </c>
      <c r="D1191" s="1142">
        <v>90</v>
      </c>
      <c r="E1191" s="922"/>
      <c r="F1191" s="703"/>
      <c r="G1191" s="703">
        <f>G1190</f>
        <v>45768</v>
      </c>
      <c r="H1191" s="676">
        <f>H1190</f>
        <v>45792</v>
      </c>
      <c r="I1191" s="1144" t="s">
        <v>1022</v>
      </c>
      <c r="J1191" s="1146" t="s">
        <v>39</v>
      </c>
      <c r="K1191" s="808" t="s">
        <v>147</v>
      </c>
      <c r="L1191" s="279" t="s">
        <v>20</v>
      </c>
      <c r="M1191" s="1147"/>
      <c r="N1191" s="512"/>
      <c r="O1191" s="512"/>
      <c r="P1191" s="512"/>
      <c r="Q1191" s="512"/>
      <c r="R1191" s="512"/>
      <c r="S1191" s="512"/>
      <c r="T1191" s="512"/>
      <c r="U1191" s="512"/>
      <c r="V1191" s="512"/>
      <c r="W1191" s="512"/>
    </row>
    <row r="1192" s="477" customFormat="1" ht="15.4" customHeight="1" spans="1:23">
      <c r="A1192" s="1064" t="s">
        <v>464</v>
      </c>
      <c r="B1192" s="1050" t="s">
        <v>1025</v>
      </c>
      <c r="C1192" s="789" t="s">
        <v>129</v>
      </c>
      <c r="D1192" s="1051">
        <v>7</v>
      </c>
      <c r="E1192" s="1085" t="s">
        <v>1026</v>
      </c>
      <c r="F1192" s="675"/>
      <c r="G1192" s="675">
        <f>VLOOKUP(CLEAN(SUBSTITUTE(TRIM(MID(E:E,FIND("/",E:E)+1,LEN(E:E)))," ","")),'Customs Decl. &amp; Local Delivery'!D:I,6,0)</f>
        <v>45768</v>
      </c>
      <c r="H1192" s="676">
        <f>VLOOKUP(CLEAN(SUBSTITUTE(TRIM(MID(E:E,FIND("/",E:E)+1,LEN(E:E)))," ","")),'Customs Decl. &amp; Local Delivery'!D:J,7,0)</f>
        <v>45794</v>
      </c>
      <c r="I1192" s="1064" t="s">
        <v>1027</v>
      </c>
      <c r="J1192" s="1064" t="s">
        <v>18</v>
      </c>
      <c r="K1192" s="1064" t="s">
        <v>19</v>
      </c>
      <c r="L1192" s="279" t="s">
        <v>20</v>
      </c>
      <c r="M1192" s="1053" t="s">
        <v>1028</v>
      </c>
      <c r="N1192" s="512"/>
      <c r="O1192" s="512"/>
      <c r="P1192" s="512"/>
      <c r="Q1192" s="512"/>
      <c r="R1192" s="512"/>
      <c r="S1192" s="512"/>
      <c r="T1192" s="512"/>
      <c r="U1192" s="512"/>
      <c r="V1192" s="512"/>
      <c r="W1192" s="512"/>
    </row>
    <row r="1193" s="477" customFormat="1" ht="15.4" customHeight="1" spans="1:23">
      <c r="A1193" s="1064" t="s">
        <v>464</v>
      </c>
      <c r="B1193" s="1050" t="s">
        <v>1025</v>
      </c>
      <c r="C1193" s="789" t="s">
        <v>133</v>
      </c>
      <c r="D1193" s="1051">
        <v>7</v>
      </c>
      <c r="E1193" s="1109"/>
      <c r="F1193" s="675"/>
      <c r="G1193" s="1122">
        <f t="shared" ref="G1193:G1207" si="98">G1192</f>
        <v>45768</v>
      </c>
      <c r="H1193" s="676">
        <f t="shared" ref="H1193:H1207" si="99">H1192</f>
        <v>45794</v>
      </c>
      <c r="I1193" s="1064" t="s">
        <v>1027</v>
      </c>
      <c r="J1193" s="1064" t="s">
        <v>18</v>
      </c>
      <c r="K1193" s="1064" t="s">
        <v>19</v>
      </c>
      <c r="L1193" s="279" t="s">
        <v>20</v>
      </c>
      <c r="M1193" s="1053" t="s">
        <v>1029</v>
      </c>
      <c r="N1193" s="512"/>
      <c r="O1193" s="512"/>
      <c r="P1193" s="512"/>
      <c r="Q1193" s="512"/>
      <c r="R1193" s="512"/>
      <c r="S1193" s="512"/>
      <c r="T1193" s="512"/>
      <c r="U1193" s="512"/>
      <c r="V1193" s="512"/>
      <c r="W1193" s="512"/>
    </row>
    <row r="1194" s="477" customFormat="1" ht="15.4" customHeight="1" spans="1:23">
      <c r="A1194" s="1064" t="s">
        <v>464</v>
      </c>
      <c r="B1194" s="1050" t="s">
        <v>1025</v>
      </c>
      <c r="C1194" s="789" t="s">
        <v>15</v>
      </c>
      <c r="D1194" s="263">
        <v>145</v>
      </c>
      <c r="E1194" s="1109"/>
      <c r="F1194" s="675"/>
      <c r="G1194" s="1122">
        <f t="shared" si="98"/>
        <v>45768</v>
      </c>
      <c r="H1194" s="676">
        <f t="shared" si="99"/>
        <v>45794</v>
      </c>
      <c r="I1194" s="1064" t="s">
        <v>1027</v>
      </c>
      <c r="J1194" s="1064" t="s">
        <v>18</v>
      </c>
      <c r="K1194" s="1064" t="s">
        <v>19</v>
      </c>
      <c r="L1194" s="279" t="s">
        <v>20</v>
      </c>
      <c r="M1194" s="1053" t="s">
        <v>1030</v>
      </c>
      <c r="N1194" s="512"/>
      <c r="O1194" s="512"/>
      <c r="P1194" s="512"/>
      <c r="Q1194" s="512"/>
      <c r="R1194" s="512"/>
      <c r="S1194" s="512"/>
      <c r="T1194" s="512"/>
      <c r="U1194" s="512"/>
      <c r="V1194" s="512"/>
      <c r="W1194" s="512"/>
    </row>
    <row r="1195" s="477" customFormat="1" ht="15.4" customHeight="1" spans="1:23">
      <c r="A1195" s="1064" t="s">
        <v>464</v>
      </c>
      <c r="B1195" s="1050" t="s">
        <v>1025</v>
      </c>
      <c r="C1195" s="789" t="s">
        <v>22</v>
      </c>
      <c r="D1195" s="263">
        <v>0</v>
      </c>
      <c r="E1195" s="1109"/>
      <c r="F1195" s="675"/>
      <c r="G1195" s="1122">
        <f t="shared" si="98"/>
        <v>45768</v>
      </c>
      <c r="H1195" s="676">
        <f t="shared" si="99"/>
        <v>45794</v>
      </c>
      <c r="I1195" s="1064" t="s">
        <v>309</v>
      </c>
      <c r="J1195" s="1064" t="s">
        <v>18</v>
      </c>
      <c r="K1195" s="1064" t="s">
        <v>19</v>
      </c>
      <c r="L1195" s="279" t="s">
        <v>20</v>
      </c>
      <c r="M1195" s="1053" t="s">
        <v>1030</v>
      </c>
      <c r="N1195" s="512"/>
      <c r="O1195" s="512"/>
      <c r="P1195" s="512"/>
      <c r="Q1195" s="588"/>
      <c r="R1195" s="512"/>
      <c r="S1195" s="512"/>
      <c r="T1195" s="512"/>
      <c r="U1195" s="512"/>
      <c r="V1195" s="512"/>
      <c r="W1195" s="512"/>
    </row>
    <row r="1196" s="477" customFormat="1" ht="15.4" customHeight="1" spans="1:23">
      <c r="A1196" s="1064" t="s">
        <v>464</v>
      </c>
      <c r="B1196" s="1050" t="s">
        <v>1025</v>
      </c>
      <c r="C1196" s="789" t="s">
        <v>24</v>
      </c>
      <c r="D1196" s="1051">
        <v>40</v>
      </c>
      <c r="E1196" s="1109"/>
      <c r="F1196" s="675"/>
      <c r="G1196" s="1122">
        <f t="shared" si="98"/>
        <v>45768</v>
      </c>
      <c r="H1196" s="676">
        <f t="shared" si="99"/>
        <v>45794</v>
      </c>
      <c r="I1196" s="1064" t="s">
        <v>1027</v>
      </c>
      <c r="J1196" s="1064" t="s">
        <v>18</v>
      </c>
      <c r="K1196" s="1064" t="s">
        <v>19</v>
      </c>
      <c r="L1196" s="279" t="s">
        <v>20</v>
      </c>
      <c r="M1196" s="1053" t="s">
        <v>1030</v>
      </c>
      <c r="N1196" s="512"/>
      <c r="O1196" s="512"/>
      <c r="P1196" s="512"/>
      <c r="Q1196" s="512"/>
      <c r="R1196" s="512"/>
      <c r="S1196" s="512"/>
      <c r="T1196" s="512"/>
      <c r="U1196" s="512"/>
      <c r="V1196" s="512"/>
      <c r="W1196" s="512"/>
    </row>
    <row r="1197" s="477" customFormat="1" ht="15.4" customHeight="1" spans="1:23">
      <c r="A1197" s="1064" t="s">
        <v>464</v>
      </c>
      <c r="B1197" s="1050" t="s">
        <v>1025</v>
      </c>
      <c r="C1197" s="789" t="s">
        <v>25</v>
      </c>
      <c r="D1197" s="1051">
        <v>22</v>
      </c>
      <c r="E1197" s="1109"/>
      <c r="F1197" s="675"/>
      <c r="G1197" s="1122">
        <f t="shared" si="98"/>
        <v>45768</v>
      </c>
      <c r="H1197" s="676">
        <f t="shared" si="99"/>
        <v>45794</v>
      </c>
      <c r="I1197" s="1064" t="s">
        <v>1027</v>
      </c>
      <c r="J1197" s="1064" t="s">
        <v>18</v>
      </c>
      <c r="K1197" s="1064" t="s">
        <v>19</v>
      </c>
      <c r="L1197" s="279" t="s">
        <v>20</v>
      </c>
      <c r="M1197" s="1053" t="s">
        <v>1030</v>
      </c>
      <c r="N1197" s="512"/>
      <c r="O1197" s="512"/>
      <c r="P1197" s="512"/>
      <c r="Q1197" s="512"/>
      <c r="R1197" s="512"/>
      <c r="S1197" s="512"/>
      <c r="T1197" s="512"/>
      <c r="U1197" s="512"/>
      <c r="V1197" s="512"/>
      <c r="W1197" s="512"/>
    </row>
    <row r="1198" s="477" customFormat="1" ht="15.4" customHeight="1" spans="1:23">
      <c r="A1198" s="1064" t="s">
        <v>464</v>
      </c>
      <c r="B1198" s="1050" t="s">
        <v>1025</v>
      </c>
      <c r="C1198" s="789" t="s">
        <v>27</v>
      </c>
      <c r="D1198" s="1051">
        <v>16</v>
      </c>
      <c r="E1198" s="988"/>
      <c r="F1198" s="675"/>
      <c r="G1198" s="1122">
        <f t="shared" si="98"/>
        <v>45768</v>
      </c>
      <c r="H1198" s="676">
        <f t="shared" si="99"/>
        <v>45794</v>
      </c>
      <c r="I1198" s="1064" t="s">
        <v>1027</v>
      </c>
      <c r="J1198" s="1064" t="s">
        <v>18</v>
      </c>
      <c r="K1198" s="1064" t="s">
        <v>19</v>
      </c>
      <c r="L1198" s="279" t="s">
        <v>20</v>
      </c>
      <c r="M1198" s="1053" t="s">
        <v>1030</v>
      </c>
      <c r="N1198" s="512"/>
      <c r="O1198" s="512"/>
      <c r="P1198" s="512"/>
      <c r="Q1198" s="512"/>
      <c r="R1198" s="512"/>
      <c r="S1198" s="512"/>
      <c r="T1198" s="512"/>
      <c r="U1198" s="512"/>
      <c r="V1198" s="512"/>
      <c r="W1198" s="512"/>
    </row>
    <row r="1199" s="477" customFormat="1" ht="15.4" customHeight="1" spans="1:23">
      <c r="A1199" s="1064" t="s">
        <v>464</v>
      </c>
      <c r="B1199" s="1050" t="s">
        <v>1025</v>
      </c>
      <c r="C1199" s="789" t="s">
        <v>28</v>
      </c>
      <c r="D1199" s="1051">
        <v>11</v>
      </c>
      <c r="E1199" s="1109"/>
      <c r="F1199" s="675"/>
      <c r="G1199" s="1122">
        <f t="shared" si="98"/>
        <v>45768</v>
      </c>
      <c r="H1199" s="676">
        <f t="shared" si="99"/>
        <v>45794</v>
      </c>
      <c r="I1199" s="1064" t="s">
        <v>1027</v>
      </c>
      <c r="J1199" s="1064" t="s">
        <v>18</v>
      </c>
      <c r="K1199" s="1064" t="s">
        <v>19</v>
      </c>
      <c r="L1199" s="279" t="s">
        <v>20</v>
      </c>
      <c r="M1199" s="1053" t="s">
        <v>1030</v>
      </c>
      <c r="N1199" s="512"/>
      <c r="O1199" s="512"/>
      <c r="P1199" s="512"/>
      <c r="Q1199" s="512"/>
      <c r="R1199" s="512"/>
      <c r="S1199" s="512"/>
      <c r="T1199" s="512"/>
      <c r="U1199" s="512"/>
      <c r="V1199" s="512"/>
      <c r="W1199" s="512"/>
    </row>
    <row r="1200" s="477" customFormat="1" ht="15.4" customHeight="1" spans="1:23">
      <c r="A1200" s="1064" t="s">
        <v>464</v>
      </c>
      <c r="B1200" s="1050" t="s">
        <v>1025</v>
      </c>
      <c r="C1200" s="789" t="s">
        <v>67</v>
      </c>
      <c r="D1200" s="1051">
        <v>61</v>
      </c>
      <c r="E1200" s="1109"/>
      <c r="F1200" s="675"/>
      <c r="G1200" s="1122">
        <f t="shared" si="98"/>
        <v>45768</v>
      </c>
      <c r="H1200" s="676">
        <f t="shared" si="99"/>
        <v>45794</v>
      </c>
      <c r="I1200" s="1064" t="s">
        <v>1027</v>
      </c>
      <c r="J1200" s="1064" t="s">
        <v>18</v>
      </c>
      <c r="K1200" s="1064" t="s">
        <v>19</v>
      </c>
      <c r="L1200" s="279" t="s">
        <v>20</v>
      </c>
      <c r="M1200" s="1053" t="s">
        <v>1030</v>
      </c>
      <c r="N1200" s="512"/>
      <c r="O1200" s="512"/>
      <c r="P1200" s="512"/>
      <c r="Q1200" s="512"/>
      <c r="R1200" s="512"/>
      <c r="S1200" s="512"/>
      <c r="T1200" s="512"/>
      <c r="U1200" s="512"/>
      <c r="V1200" s="512"/>
      <c r="W1200" s="512"/>
    </row>
    <row r="1201" s="477" customFormat="1" ht="15.4" customHeight="1" spans="1:23">
      <c r="A1201" s="1064" t="s">
        <v>464</v>
      </c>
      <c r="B1201" s="1050" t="s">
        <v>1025</v>
      </c>
      <c r="C1201" s="789" t="s">
        <v>69</v>
      </c>
      <c r="D1201" s="1051">
        <v>28</v>
      </c>
      <c r="E1201" s="988"/>
      <c r="F1201" s="675"/>
      <c r="G1201" s="1122">
        <f t="shared" si="98"/>
        <v>45768</v>
      </c>
      <c r="H1201" s="676">
        <f t="shared" si="99"/>
        <v>45794</v>
      </c>
      <c r="I1201" s="1064" t="s">
        <v>1027</v>
      </c>
      <c r="J1201" s="1064" t="s">
        <v>18</v>
      </c>
      <c r="K1201" s="1064" t="s">
        <v>19</v>
      </c>
      <c r="L1201" s="279" t="s">
        <v>20</v>
      </c>
      <c r="M1201" s="1053" t="s">
        <v>1030</v>
      </c>
      <c r="N1201" s="512"/>
      <c r="O1201" s="512"/>
      <c r="P1201" s="512"/>
      <c r="Q1201" s="512"/>
      <c r="R1201" s="512"/>
      <c r="S1201" s="512"/>
      <c r="T1201" s="512"/>
      <c r="U1201" s="512"/>
      <c r="V1201" s="512"/>
      <c r="W1201" s="512"/>
    </row>
    <row r="1202" s="477" customFormat="1" ht="15.4" customHeight="1" spans="1:23">
      <c r="A1202" s="1064" t="s">
        <v>464</v>
      </c>
      <c r="B1202" s="1050" t="s">
        <v>1025</v>
      </c>
      <c r="C1202" s="789" t="s">
        <v>70</v>
      </c>
      <c r="D1202" s="1051">
        <v>16</v>
      </c>
      <c r="E1202" s="1109"/>
      <c r="F1202" s="675"/>
      <c r="G1202" s="1122">
        <f t="shared" si="98"/>
        <v>45768</v>
      </c>
      <c r="H1202" s="676">
        <f t="shared" si="99"/>
        <v>45794</v>
      </c>
      <c r="I1202" s="1064" t="s">
        <v>1027</v>
      </c>
      <c r="J1202" s="1064" t="s">
        <v>18</v>
      </c>
      <c r="K1202" s="1064" t="s">
        <v>19</v>
      </c>
      <c r="L1202" s="279" t="s">
        <v>20</v>
      </c>
      <c r="M1202" s="1053" t="s">
        <v>1030</v>
      </c>
      <c r="N1202" s="512"/>
      <c r="O1202" s="512"/>
      <c r="P1202" s="512"/>
      <c r="Q1202" s="512"/>
      <c r="R1202" s="512"/>
      <c r="S1202" s="512"/>
      <c r="T1202" s="512"/>
      <c r="U1202" s="512"/>
      <c r="V1202" s="512"/>
      <c r="W1202" s="512"/>
    </row>
    <row r="1203" s="477" customFormat="1" ht="15.4" customHeight="1" spans="1:23">
      <c r="A1203" s="1064" t="s">
        <v>464</v>
      </c>
      <c r="B1203" s="1050" t="s">
        <v>1025</v>
      </c>
      <c r="C1203" s="789" t="s">
        <v>71</v>
      </c>
      <c r="D1203" s="1051">
        <v>7</v>
      </c>
      <c r="E1203" s="1109"/>
      <c r="F1203" s="675"/>
      <c r="G1203" s="1122">
        <f t="shared" si="98"/>
        <v>45768</v>
      </c>
      <c r="H1203" s="676">
        <f t="shared" si="99"/>
        <v>45794</v>
      </c>
      <c r="I1203" s="1064" t="s">
        <v>1027</v>
      </c>
      <c r="J1203" s="1064" t="s">
        <v>18</v>
      </c>
      <c r="K1203" s="1064" t="s">
        <v>19</v>
      </c>
      <c r="L1203" s="279" t="s">
        <v>20</v>
      </c>
      <c r="M1203" s="1053" t="s">
        <v>1030</v>
      </c>
      <c r="N1203" s="512"/>
      <c r="O1203" s="512"/>
      <c r="P1203" s="512"/>
      <c r="Q1203" s="512"/>
      <c r="R1203" s="512"/>
      <c r="S1203" s="512"/>
      <c r="T1203" s="512"/>
      <c r="U1203" s="512"/>
      <c r="V1203" s="512"/>
      <c r="W1203" s="512"/>
    </row>
    <row r="1204" s="477" customFormat="1" ht="15.4" customHeight="1" spans="1:23">
      <c r="A1204" s="1064" t="s">
        <v>464</v>
      </c>
      <c r="B1204" s="1050" t="s">
        <v>1025</v>
      </c>
      <c r="C1204" s="789" t="s">
        <v>761</v>
      </c>
      <c r="D1204" s="1051">
        <v>5</v>
      </c>
      <c r="E1204" s="1109"/>
      <c r="F1204" s="675"/>
      <c r="G1204" s="1122">
        <f t="shared" si="98"/>
        <v>45768</v>
      </c>
      <c r="H1204" s="676">
        <f t="shared" si="99"/>
        <v>45794</v>
      </c>
      <c r="I1204" s="1064" t="s">
        <v>1027</v>
      </c>
      <c r="J1204" s="1064" t="s">
        <v>18</v>
      </c>
      <c r="K1204" s="1064" t="s">
        <v>19</v>
      </c>
      <c r="L1204" s="279" t="s">
        <v>20</v>
      </c>
      <c r="M1204" s="1053" t="s">
        <v>1030</v>
      </c>
      <c r="N1204" s="512"/>
      <c r="O1204" s="512"/>
      <c r="P1204" s="512"/>
      <c r="Q1204" s="512"/>
      <c r="R1204" s="512"/>
      <c r="S1204" s="512"/>
      <c r="T1204" s="512"/>
      <c r="U1204" s="512"/>
      <c r="V1204" s="512"/>
      <c r="W1204" s="512"/>
    </row>
    <row r="1205" s="477" customFormat="1" ht="15.4" customHeight="1" spans="1:23">
      <c r="A1205" s="1064" t="s">
        <v>464</v>
      </c>
      <c r="B1205" s="1050" t="s">
        <v>1025</v>
      </c>
      <c r="C1205" s="789" t="s">
        <v>342</v>
      </c>
      <c r="D1205" s="1051">
        <v>2</v>
      </c>
      <c r="E1205" s="1109"/>
      <c r="F1205" s="675"/>
      <c r="G1205" s="1122">
        <f t="shared" si="98"/>
        <v>45768</v>
      </c>
      <c r="H1205" s="676">
        <f t="shared" si="99"/>
        <v>45794</v>
      </c>
      <c r="I1205" s="1064" t="s">
        <v>1027</v>
      </c>
      <c r="J1205" s="1064" t="s">
        <v>18</v>
      </c>
      <c r="K1205" s="1064" t="s">
        <v>19</v>
      </c>
      <c r="L1205" s="279" t="s">
        <v>20</v>
      </c>
      <c r="M1205" s="1053" t="s">
        <v>1030</v>
      </c>
      <c r="N1205" s="512"/>
      <c r="O1205" s="512"/>
      <c r="P1205" s="512"/>
      <c r="Q1205" s="512"/>
      <c r="R1205" s="512"/>
      <c r="S1205" s="512"/>
      <c r="T1205" s="512"/>
      <c r="U1205" s="512"/>
      <c r="V1205" s="512"/>
      <c r="W1205" s="512"/>
    </row>
    <row r="1206" s="477" customFormat="1" ht="15.4" customHeight="1" spans="1:23">
      <c r="A1206" s="1064" t="s">
        <v>464</v>
      </c>
      <c r="B1206" s="1050" t="s">
        <v>1025</v>
      </c>
      <c r="C1206" s="789" t="s">
        <v>91</v>
      </c>
      <c r="D1206" s="1051">
        <f>42/3</f>
        <v>14</v>
      </c>
      <c r="E1206" s="1109"/>
      <c r="F1206" s="675"/>
      <c r="G1206" s="1122">
        <f t="shared" si="98"/>
        <v>45768</v>
      </c>
      <c r="H1206" s="676">
        <f t="shared" si="99"/>
        <v>45794</v>
      </c>
      <c r="I1206" s="1064" t="s">
        <v>1027</v>
      </c>
      <c r="J1206" s="1064" t="s">
        <v>18</v>
      </c>
      <c r="K1206" s="1064" t="s">
        <v>19</v>
      </c>
      <c r="L1206" s="279" t="s">
        <v>20</v>
      </c>
      <c r="M1206" s="1053" t="s">
        <v>1030</v>
      </c>
      <c r="N1206" s="512"/>
      <c r="O1206" s="512"/>
      <c r="P1206" s="512"/>
      <c r="Q1206" s="512"/>
      <c r="R1206" s="512"/>
      <c r="S1206" s="512"/>
      <c r="T1206" s="512"/>
      <c r="U1206" s="512"/>
      <c r="V1206" s="512"/>
      <c r="W1206" s="512"/>
    </row>
    <row r="1207" s="477" customFormat="1" ht="15.4" customHeight="1" spans="1:23">
      <c r="A1207" s="1064" t="s">
        <v>464</v>
      </c>
      <c r="B1207" s="1050" t="s">
        <v>1025</v>
      </c>
      <c r="C1207" s="789" t="s">
        <v>77</v>
      </c>
      <c r="D1207" s="1051">
        <v>1</v>
      </c>
      <c r="E1207" s="988"/>
      <c r="F1207" s="675"/>
      <c r="G1207" s="1122">
        <f t="shared" si="98"/>
        <v>45768</v>
      </c>
      <c r="H1207" s="676">
        <f t="shared" si="99"/>
        <v>45794</v>
      </c>
      <c r="I1207" s="1064" t="s">
        <v>1027</v>
      </c>
      <c r="J1207" s="1064" t="s">
        <v>18</v>
      </c>
      <c r="K1207" s="1064" t="s">
        <v>19</v>
      </c>
      <c r="L1207" s="279" t="s">
        <v>20</v>
      </c>
      <c r="M1207" s="1053" t="s">
        <v>1030</v>
      </c>
      <c r="N1207" s="512"/>
      <c r="O1207" s="512"/>
      <c r="P1207" s="512"/>
      <c r="Q1207" s="512"/>
      <c r="R1207" s="512"/>
      <c r="S1207" s="512"/>
      <c r="T1207" s="512"/>
      <c r="U1207" s="512"/>
      <c r="V1207" s="512"/>
      <c r="W1207" s="512"/>
    </row>
    <row r="1208" s="178" customFormat="1" ht="15.4" customHeight="1" spans="1:23">
      <c r="A1208" s="1053" t="s">
        <v>910</v>
      </c>
      <c r="B1208" s="1099" t="s">
        <v>1031</v>
      </c>
      <c r="C1208" s="1048" t="s">
        <v>77</v>
      </c>
      <c r="D1208" s="267">
        <v>48</v>
      </c>
      <c r="E1208" s="1085" t="s">
        <v>1032</v>
      </c>
      <c r="F1208" s="675"/>
      <c r="G1208" s="675">
        <f>VLOOKUP(CLEAN(SUBSTITUTE(TRIM(MID(E:E,FIND("/",E:E)+1,LEN(E:E)))," ","")),'Customs Decl. &amp; Local Delivery'!D:I,6,0)</f>
        <v>45769</v>
      </c>
      <c r="H1208" s="676">
        <f>VLOOKUP(CLEAN(SUBSTITUTE(TRIM(MID(E:E,FIND("/",E:E)+1,LEN(E:E)))," ","")),'Customs Decl. &amp; Local Delivery'!D:J,7,0)</f>
        <v>45789</v>
      </c>
      <c r="I1208" s="1053" t="s">
        <v>1033</v>
      </c>
      <c r="J1208" s="1053" t="s">
        <v>18</v>
      </c>
      <c r="K1208" s="1053" t="s">
        <v>147</v>
      </c>
      <c r="L1208" s="1090" t="s">
        <v>20</v>
      </c>
      <c r="M1208" s="1053" t="s">
        <v>1034</v>
      </c>
      <c r="N1208" s="512"/>
      <c r="O1208" s="512"/>
      <c r="P1208" s="512"/>
      <c r="Q1208" s="512"/>
      <c r="R1208" s="512"/>
      <c r="S1208" s="512"/>
      <c r="T1208" s="512"/>
      <c r="U1208" s="512"/>
      <c r="V1208" s="512"/>
      <c r="W1208" s="512"/>
    </row>
    <row r="1209" s="178" customFormat="1" ht="15.4" customHeight="1" spans="1:23">
      <c r="A1209" s="1053" t="s">
        <v>910</v>
      </c>
      <c r="B1209" s="1099" t="s">
        <v>1031</v>
      </c>
      <c r="C1209" s="1048" t="s">
        <v>15</v>
      </c>
      <c r="D1209" s="267">
        <v>12</v>
      </c>
      <c r="E1209" s="976"/>
      <c r="F1209" s="675"/>
      <c r="G1209" s="1122">
        <f>G1208</f>
        <v>45769</v>
      </c>
      <c r="H1209" s="1123">
        <f>H1208</f>
        <v>45789</v>
      </c>
      <c r="I1209" s="1053" t="s">
        <v>1033</v>
      </c>
      <c r="J1209" s="1053" t="s">
        <v>18</v>
      </c>
      <c r="K1209" s="1053" t="s">
        <v>147</v>
      </c>
      <c r="L1209" s="279" t="s">
        <v>20</v>
      </c>
      <c r="M1209" s="1053"/>
      <c r="N1209" s="512"/>
      <c r="O1209" s="512"/>
      <c r="P1209" s="512"/>
      <c r="Q1209" s="512"/>
      <c r="R1209" s="512"/>
      <c r="S1209" s="512"/>
      <c r="T1209" s="512"/>
      <c r="U1209" s="512"/>
      <c r="V1209" s="512"/>
      <c r="W1209" s="512"/>
    </row>
    <row r="1210" s="178" customFormat="1" ht="15.4" customHeight="1" spans="1:23">
      <c r="A1210" s="1053" t="s">
        <v>910</v>
      </c>
      <c r="B1210" s="1099" t="s">
        <v>1031</v>
      </c>
      <c r="C1210" s="1048" t="s">
        <v>24</v>
      </c>
      <c r="D1210" s="267">
        <v>100</v>
      </c>
      <c r="E1210" s="976"/>
      <c r="F1210" s="675"/>
      <c r="G1210" s="1122">
        <f>G1209</f>
        <v>45769</v>
      </c>
      <c r="H1210" s="1123">
        <f>H1209</f>
        <v>45789</v>
      </c>
      <c r="I1210" s="1053" t="s">
        <v>1033</v>
      </c>
      <c r="J1210" s="1053" t="s">
        <v>18</v>
      </c>
      <c r="K1210" s="1053" t="s">
        <v>147</v>
      </c>
      <c r="L1210" s="279" t="s">
        <v>20</v>
      </c>
      <c r="M1210" s="1053"/>
      <c r="N1210" s="512"/>
      <c r="O1210" s="512"/>
      <c r="P1210" s="512"/>
      <c r="Q1210" s="512"/>
      <c r="R1210" s="512"/>
      <c r="S1210" s="512"/>
      <c r="T1210" s="512"/>
      <c r="U1210" s="512"/>
      <c r="V1210" s="512"/>
      <c r="W1210" s="512"/>
    </row>
    <row r="1211" s="178" customFormat="1" ht="15.4" customHeight="1" spans="1:23">
      <c r="A1211" s="1053" t="s">
        <v>910</v>
      </c>
      <c r="B1211" s="1099" t="s">
        <v>1031</v>
      </c>
      <c r="C1211" s="1048" t="s">
        <v>27</v>
      </c>
      <c r="D1211" s="267">
        <v>30</v>
      </c>
      <c r="E1211" s="976"/>
      <c r="F1211" s="675"/>
      <c r="G1211" s="1122">
        <f>G1210</f>
        <v>45769</v>
      </c>
      <c r="H1211" s="1123">
        <f>H1210</f>
        <v>45789</v>
      </c>
      <c r="I1211" s="1053" t="s">
        <v>1033</v>
      </c>
      <c r="J1211" s="1053" t="s">
        <v>18</v>
      </c>
      <c r="K1211" s="1053" t="s">
        <v>147</v>
      </c>
      <c r="L1211" s="279" t="s">
        <v>20</v>
      </c>
      <c r="M1211" s="1053"/>
      <c r="N1211" s="512"/>
      <c r="O1211" s="512"/>
      <c r="P1211" s="512"/>
      <c r="Q1211" s="512"/>
      <c r="R1211" s="512"/>
      <c r="S1211" s="512"/>
      <c r="T1211" s="512"/>
      <c r="U1211" s="512"/>
      <c r="V1211" s="512"/>
      <c r="W1211" s="512"/>
    </row>
    <row r="1212" s="178" customFormat="1" ht="15.4" customHeight="1" spans="1:23">
      <c r="A1212" s="1053" t="s">
        <v>910</v>
      </c>
      <c r="B1212" s="1099" t="s">
        <v>1031</v>
      </c>
      <c r="C1212" s="1048" t="s">
        <v>67</v>
      </c>
      <c r="D1212" s="267">
        <v>30</v>
      </c>
      <c r="E1212" s="976"/>
      <c r="F1212" s="675"/>
      <c r="G1212" s="1122">
        <f>G1211</f>
        <v>45769</v>
      </c>
      <c r="H1212" s="1123">
        <f>H1211</f>
        <v>45789</v>
      </c>
      <c r="I1212" s="1053" t="s">
        <v>1033</v>
      </c>
      <c r="J1212" s="1053" t="s">
        <v>18</v>
      </c>
      <c r="K1212" s="1053" t="s">
        <v>147</v>
      </c>
      <c r="L1212" s="279" t="s">
        <v>20</v>
      </c>
      <c r="M1212" s="1053"/>
      <c r="N1212" s="512"/>
      <c r="O1212" s="512"/>
      <c r="P1212" s="512"/>
      <c r="Q1212" s="512"/>
      <c r="R1212" s="512"/>
      <c r="S1212" s="512"/>
      <c r="T1212" s="512"/>
      <c r="U1212" s="512"/>
      <c r="V1212" s="512"/>
      <c r="W1212" s="512"/>
    </row>
    <row r="1213" s="178" customFormat="1" ht="15.4" customHeight="1" spans="1:23">
      <c r="A1213" s="1053" t="s">
        <v>910</v>
      </c>
      <c r="B1213" s="1099" t="s">
        <v>1031</v>
      </c>
      <c r="C1213" s="1048" t="s">
        <v>70</v>
      </c>
      <c r="D1213" s="267">
        <v>50</v>
      </c>
      <c r="E1213" s="976"/>
      <c r="F1213" s="675"/>
      <c r="G1213" s="1122">
        <f>G1212</f>
        <v>45769</v>
      </c>
      <c r="H1213" s="1123">
        <f>H1212</f>
        <v>45789</v>
      </c>
      <c r="I1213" s="1053" t="s">
        <v>1033</v>
      </c>
      <c r="J1213" s="1053" t="s">
        <v>18</v>
      </c>
      <c r="K1213" s="1053" t="s">
        <v>147</v>
      </c>
      <c r="L1213" s="279" t="s">
        <v>20</v>
      </c>
      <c r="M1213" s="1053"/>
      <c r="N1213" s="512"/>
      <c r="O1213" s="512"/>
      <c r="P1213" s="512"/>
      <c r="Q1213" s="512"/>
      <c r="R1213" s="512"/>
      <c r="S1213" s="512"/>
      <c r="T1213" s="512"/>
      <c r="U1213" s="512"/>
      <c r="V1213" s="512"/>
      <c r="W1213" s="512"/>
    </row>
    <row r="1214" s="178" customFormat="1" ht="15.4" customHeight="1" spans="1:23">
      <c r="A1214" s="1053" t="s">
        <v>910</v>
      </c>
      <c r="B1214" s="1099" t="s">
        <v>1035</v>
      </c>
      <c r="C1214" s="1048" t="s">
        <v>24</v>
      </c>
      <c r="D1214" s="267">
        <v>300</v>
      </c>
      <c r="E1214" s="1085" t="s">
        <v>1036</v>
      </c>
      <c r="F1214" s="675"/>
      <c r="G1214" s="675">
        <f>VLOOKUP(CLEAN(SUBSTITUTE(TRIM(MID(E:E,FIND("/",E:E)+1,LEN(E:E)))," ","")),'Customs Decl. &amp; Local Delivery'!D:I,6,0)</f>
        <v>45769</v>
      </c>
      <c r="H1214" s="676">
        <f>VLOOKUP(CLEAN(SUBSTITUTE(TRIM(MID(E:E,FIND("/",E:E)+1,LEN(E:E)))," ","")),'Customs Decl. &amp; Local Delivery'!D:J,7,0)</f>
        <v>45789</v>
      </c>
      <c r="I1214" s="1053" t="s">
        <v>1037</v>
      </c>
      <c r="J1214" s="1053" t="s">
        <v>18</v>
      </c>
      <c r="K1214" s="1053" t="s">
        <v>147</v>
      </c>
      <c r="L1214" s="1090" t="s">
        <v>20</v>
      </c>
      <c r="M1214" s="1053" t="s">
        <v>1034</v>
      </c>
      <c r="N1214" s="512"/>
      <c r="O1214" s="512"/>
      <c r="P1214" s="512"/>
      <c r="Q1214" s="512"/>
      <c r="R1214" s="512"/>
      <c r="S1214" s="512"/>
      <c r="T1214" s="512"/>
      <c r="U1214" s="512"/>
      <c r="V1214" s="512"/>
      <c r="W1214" s="512"/>
    </row>
    <row r="1215" s="178" customFormat="1" ht="15.4" customHeight="1" spans="1:23">
      <c r="A1215" s="1053" t="s">
        <v>910</v>
      </c>
      <c r="B1215" s="1099" t="s">
        <v>1035</v>
      </c>
      <c r="C1215" s="1048" t="s">
        <v>27</v>
      </c>
      <c r="D1215" s="267">
        <v>160</v>
      </c>
      <c r="E1215" s="1127"/>
      <c r="F1215" s="675"/>
      <c r="G1215" s="1122">
        <f>G1214</f>
        <v>45769</v>
      </c>
      <c r="H1215" s="1123">
        <f>H1214</f>
        <v>45789</v>
      </c>
      <c r="I1215" s="1053" t="s">
        <v>1037</v>
      </c>
      <c r="J1215" s="1053" t="s">
        <v>18</v>
      </c>
      <c r="K1215" s="1053" t="s">
        <v>147</v>
      </c>
      <c r="L1215" s="279" t="s">
        <v>20</v>
      </c>
      <c r="M1215" s="1053"/>
      <c r="N1215" s="512"/>
      <c r="O1215" s="512"/>
      <c r="P1215" s="512"/>
      <c r="Q1215" s="512"/>
      <c r="R1215" s="512"/>
      <c r="S1215" s="512"/>
      <c r="T1215" s="512"/>
      <c r="U1215" s="512"/>
      <c r="V1215" s="512"/>
      <c r="W1215" s="512"/>
    </row>
    <row r="1216" s="178" customFormat="1" ht="15.4" customHeight="1" spans="1:23">
      <c r="A1216" s="1053" t="s">
        <v>910</v>
      </c>
      <c r="B1216" s="1099" t="s">
        <v>1035</v>
      </c>
      <c r="C1216" s="1048" t="s">
        <v>67</v>
      </c>
      <c r="D1216" s="267">
        <v>100</v>
      </c>
      <c r="E1216" s="1127"/>
      <c r="F1216" s="675"/>
      <c r="G1216" s="1122">
        <f>G1215</f>
        <v>45769</v>
      </c>
      <c r="H1216" s="1123">
        <f>H1215</f>
        <v>45789</v>
      </c>
      <c r="I1216" s="1053" t="s">
        <v>1037</v>
      </c>
      <c r="J1216" s="1053" t="s">
        <v>18</v>
      </c>
      <c r="K1216" s="1053" t="s">
        <v>147</v>
      </c>
      <c r="L1216" s="279" t="s">
        <v>20</v>
      </c>
      <c r="M1216" s="1053"/>
      <c r="N1216" s="512"/>
      <c r="O1216" s="512"/>
      <c r="P1216" s="512"/>
      <c r="Q1216" s="512"/>
      <c r="R1216" s="512"/>
      <c r="S1216" s="512"/>
      <c r="T1216" s="512"/>
      <c r="U1216" s="512"/>
      <c r="V1216" s="512"/>
      <c r="W1216" s="512"/>
    </row>
    <row r="1217" s="178" customFormat="1" ht="15.4" customHeight="1" spans="1:23">
      <c r="A1217" s="1053" t="s">
        <v>910</v>
      </c>
      <c r="B1217" s="1099" t="s">
        <v>1038</v>
      </c>
      <c r="C1217" s="1048" t="s">
        <v>77</v>
      </c>
      <c r="D1217" s="267">
        <v>48</v>
      </c>
      <c r="E1217" s="1085" t="s">
        <v>1039</v>
      </c>
      <c r="F1217" s="675"/>
      <c r="G1217" s="675">
        <f>VLOOKUP(CLEAN(SUBSTITUTE(TRIM(MID(E:E,FIND("/",E:E)+1,LEN(E:E)))," ","")),'Customs Decl. &amp; Local Delivery'!D:I,6,0)</f>
        <v>45769</v>
      </c>
      <c r="H1217" s="676">
        <f>VLOOKUP(CLEAN(SUBSTITUTE(TRIM(MID(E:E,FIND("/",E:E)+1,LEN(E:E)))," ","")),'Customs Decl. &amp; Local Delivery'!D:J,7,0)</f>
        <v>45789</v>
      </c>
      <c r="I1217" s="1053" t="s">
        <v>1040</v>
      </c>
      <c r="J1217" s="1053" t="s">
        <v>18</v>
      </c>
      <c r="K1217" s="1053" t="s">
        <v>147</v>
      </c>
      <c r="L1217" s="279" t="s">
        <v>20</v>
      </c>
      <c r="M1217" s="1053" t="s">
        <v>1034</v>
      </c>
      <c r="N1217" s="512"/>
      <c r="O1217" s="512"/>
      <c r="P1217" s="512"/>
      <c r="Q1217" s="512"/>
      <c r="R1217" s="512"/>
      <c r="S1217" s="512"/>
      <c r="T1217" s="512"/>
      <c r="U1217" s="512"/>
      <c r="V1217" s="512"/>
      <c r="W1217" s="512"/>
    </row>
    <row r="1218" s="178" customFormat="1" ht="15.4" customHeight="1" spans="1:23">
      <c r="A1218" s="1053" t="s">
        <v>910</v>
      </c>
      <c r="B1218" s="1099" t="s">
        <v>1038</v>
      </c>
      <c r="C1218" s="1048" t="s">
        <v>15</v>
      </c>
      <c r="D1218" s="267">
        <v>12</v>
      </c>
      <c r="E1218" s="1127"/>
      <c r="F1218" s="675"/>
      <c r="G1218" s="1122">
        <f>G1217</f>
        <v>45769</v>
      </c>
      <c r="H1218" s="1123">
        <f>H1217</f>
        <v>45789</v>
      </c>
      <c r="I1218" s="1053" t="s">
        <v>1040</v>
      </c>
      <c r="J1218" s="1053" t="s">
        <v>18</v>
      </c>
      <c r="K1218" s="1053" t="s">
        <v>147</v>
      </c>
      <c r="L1218" s="279" t="s">
        <v>20</v>
      </c>
      <c r="M1218" s="1053"/>
      <c r="N1218" s="512"/>
      <c r="O1218" s="512"/>
      <c r="P1218" s="512"/>
      <c r="Q1218" s="512"/>
      <c r="R1218" s="512"/>
      <c r="S1218" s="512"/>
      <c r="T1218" s="512"/>
      <c r="U1218" s="512"/>
      <c r="V1218" s="512"/>
      <c r="W1218" s="512"/>
    </row>
    <row r="1219" s="178" customFormat="1" ht="15.4" customHeight="1" spans="1:23">
      <c r="A1219" s="1053" t="s">
        <v>910</v>
      </c>
      <c r="B1219" s="1099" t="s">
        <v>1038</v>
      </c>
      <c r="C1219" s="1048" t="s">
        <v>24</v>
      </c>
      <c r="D1219" s="267">
        <v>100</v>
      </c>
      <c r="E1219" s="1127"/>
      <c r="F1219" s="675"/>
      <c r="G1219" s="1122">
        <f>G1218</f>
        <v>45769</v>
      </c>
      <c r="H1219" s="1123">
        <f>H1218</f>
        <v>45789</v>
      </c>
      <c r="I1219" s="1053" t="s">
        <v>1040</v>
      </c>
      <c r="J1219" s="1053" t="s">
        <v>18</v>
      </c>
      <c r="K1219" s="1053" t="s">
        <v>147</v>
      </c>
      <c r="L1219" s="279" t="s">
        <v>20</v>
      </c>
      <c r="M1219" s="1053"/>
      <c r="N1219" s="512"/>
      <c r="O1219" s="512"/>
      <c r="P1219" s="512"/>
      <c r="Q1219" s="512"/>
      <c r="R1219" s="512"/>
      <c r="S1219" s="512"/>
      <c r="T1219" s="512"/>
      <c r="U1219" s="512"/>
      <c r="V1219" s="512"/>
      <c r="W1219" s="512"/>
    </row>
    <row r="1220" s="178" customFormat="1" ht="15.4" customHeight="1" spans="1:23">
      <c r="A1220" s="1053" t="s">
        <v>910</v>
      </c>
      <c r="B1220" s="1099" t="s">
        <v>1038</v>
      </c>
      <c r="C1220" s="1048" t="s">
        <v>27</v>
      </c>
      <c r="D1220" s="267">
        <v>30</v>
      </c>
      <c r="E1220" s="1127"/>
      <c r="F1220" s="675"/>
      <c r="G1220" s="1122">
        <f>G1219</f>
        <v>45769</v>
      </c>
      <c r="H1220" s="1123">
        <f>H1219</f>
        <v>45789</v>
      </c>
      <c r="I1220" s="1053" t="s">
        <v>1040</v>
      </c>
      <c r="J1220" s="1053" t="s">
        <v>18</v>
      </c>
      <c r="K1220" s="1053" t="s">
        <v>147</v>
      </c>
      <c r="L1220" s="279" t="s">
        <v>20</v>
      </c>
      <c r="M1220" s="1053"/>
      <c r="N1220" s="512"/>
      <c r="O1220" s="512"/>
      <c r="P1220" s="512"/>
      <c r="Q1220" s="512"/>
      <c r="R1220" s="512"/>
      <c r="S1220" s="512"/>
      <c r="T1220" s="512"/>
      <c r="U1220" s="512"/>
      <c r="V1220" s="512"/>
      <c r="W1220" s="512"/>
    </row>
    <row r="1221" s="178" customFormat="1" ht="15.4" customHeight="1" spans="1:23">
      <c r="A1221" s="1053" t="s">
        <v>910</v>
      </c>
      <c r="B1221" s="1099" t="s">
        <v>1038</v>
      </c>
      <c r="C1221" s="1048" t="s">
        <v>67</v>
      </c>
      <c r="D1221" s="267">
        <v>30</v>
      </c>
      <c r="E1221" s="1127"/>
      <c r="F1221" s="675"/>
      <c r="G1221" s="1122">
        <f>G1220</f>
        <v>45769</v>
      </c>
      <c r="H1221" s="1123">
        <f>H1220</f>
        <v>45789</v>
      </c>
      <c r="I1221" s="1053" t="s">
        <v>1040</v>
      </c>
      <c r="J1221" s="1053" t="s">
        <v>18</v>
      </c>
      <c r="K1221" s="1053" t="s">
        <v>147</v>
      </c>
      <c r="L1221" s="279" t="s">
        <v>20</v>
      </c>
      <c r="M1221" s="1053"/>
      <c r="N1221" s="512"/>
      <c r="O1221" s="512"/>
      <c r="P1221" s="512"/>
      <c r="Q1221" s="512"/>
      <c r="R1221" s="512"/>
      <c r="S1221" s="512"/>
      <c r="T1221" s="512"/>
      <c r="U1221" s="512"/>
      <c r="V1221" s="512"/>
      <c r="W1221" s="512"/>
    </row>
    <row r="1222" s="178" customFormat="1" ht="15.4" customHeight="1" spans="1:23">
      <c r="A1222" s="1053" t="s">
        <v>910</v>
      </c>
      <c r="B1222" s="1099" t="s">
        <v>1038</v>
      </c>
      <c r="C1222" s="1048" t="s">
        <v>70</v>
      </c>
      <c r="D1222" s="267">
        <v>50</v>
      </c>
      <c r="E1222" s="1127"/>
      <c r="F1222" s="675"/>
      <c r="G1222" s="1122">
        <f>G1221</f>
        <v>45769</v>
      </c>
      <c r="H1222" s="1123">
        <f>H1221</f>
        <v>45789</v>
      </c>
      <c r="I1222" s="1053" t="s">
        <v>1040</v>
      </c>
      <c r="J1222" s="1053" t="s">
        <v>18</v>
      </c>
      <c r="K1222" s="1053" t="s">
        <v>147</v>
      </c>
      <c r="L1222" s="279" t="s">
        <v>20</v>
      </c>
      <c r="M1222" s="1053"/>
      <c r="N1222" s="512"/>
      <c r="O1222" s="512"/>
      <c r="P1222" s="512"/>
      <c r="Q1222" s="512"/>
      <c r="R1222" s="512"/>
      <c r="S1222" s="512"/>
      <c r="T1222" s="512"/>
      <c r="U1222" s="512"/>
      <c r="V1222" s="512"/>
      <c r="W1222" s="512"/>
    </row>
    <row r="1223" s="178" customFormat="1" ht="15.4" customHeight="1" spans="1:23">
      <c r="A1223" s="1053" t="s">
        <v>910</v>
      </c>
      <c r="B1223" s="1099" t="s">
        <v>1041</v>
      </c>
      <c r="C1223" s="1048" t="s">
        <v>77</v>
      </c>
      <c r="D1223" s="267">
        <v>48</v>
      </c>
      <c r="E1223" s="1085" t="s">
        <v>1042</v>
      </c>
      <c r="F1223" s="675"/>
      <c r="G1223" s="675">
        <f>VLOOKUP(CLEAN(SUBSTITUTE(TRIM(MID(E:E,FIND("/",E:E)+1,LEN(E:E)))," ","")),'Customs Decl. &amp; Local Delivery'!D:I,6,0)</f>
        <v>45769</v>
      </c>
      <c r="H1223" s="676">
        <f>VLOOKUP(CLEAN(SUBSTITUTE(TRIM(MID(E:E,FIND("/",E:E)+1,LEN(E:E)))," ","")),'Customs Decl. &amp; Local Delivery'!D:J,7,0)</f>
        <v>45789</v>
      </c>
      <c r="I1223" s="1053" t="s">
        <v>1043</v>
      </c>
      <c r="J1223" s="1053" t="s">
        <v>18</v>
      </c>
      <c r="K1223" s="1053" t="s">
        <v>147</v>
      </c>
      <c r="L1223" s="1090" t="s">
        <v>20</v>
      </c>
      <c r="M1223" s="1053" t="s">
        <v>1034</v>
      </c>
      <c r="N1223" s="512"/>
      <c r="O1223" s="512"/>
      <c r="P1223" s="512"/>
      <c r="Q1223" s="512"/>
      <c r="R1223" s="512"/>
      <c r="S1223" s="512"/>
      <c r="T1223" s="512"/>
      <c r="U1223" s="512"/>
      <c r="V1223" s="512"/>
      <c r="W1223" s="512"/>
    </row>
    <row r="1224" s="178" customFormat="1" ht="15.4" customHeight="1" spans="1:23">
      <c r="A1224" s="1053" t="s">
        <v>910</v>
      </c>
      <c r="B1224" s="1099" t="s">
        <v>1041</v>
      </c>
      <c r="C1224" s="1048" t="s">
        <v>15</v>
      </c>
      <c r="D1224" s="267">
        <v>12</v>
      </c>
      <c r="E1224" s="1127"/>
      <c r="F1224" s="675"/>
      <c r="G1224" s="1122">
        <f>G1223</f>
        <v>45769</v>
      </c>
      <c r="H1224" s="1123">
        <f>H1223</f>
        <v>45789</v>
      </c>
      <c r="I1224" s="1053" t="s">
        <v>1043</v>
      </c>
      <c r="J1224" s="1053" t="s">
        <v>18</v>
      </c>
      <c r="K1224" s="1053" t="s">
        <v>147</v>
      </c>
      <c r="L1224" s="279" t="s">
        <v>20</v>
      </c>
      <c r="M1224" s="1053"/>
      <c r="N1224" s="512"/>
      <c r="O1224" s="512"/>
      <c r="P1224" s="512"/>
      <c r="Q1224" s="512"/>
      <c r="R1224" s="512"/>
      <c r="S1224" s="512"/>
      <c r="T1224" s="512"/>
      <c r="U1224" s="512"/>
      <c r="V1224" s="512"/>
      <c r="W1224" s="512"/>
    </row>
    <row r="1225" s="178" customFormat="1" ht="15.4" customHeight="1" spans="1:23">
      <c r="A1225" s="1053" t="s">
        <v>910</v>
      </c>
      <c r="B1225" s="1099" t="s">
        <v>1041</v>
      </c>
      <c r="C1225" s="1048" t="s">
        <v>24</v>
      </c>
      <c r="D1225" s="267">
        <v>100</v>
      </c>
      <c r="E1225" s="1127"/>
      <c r="F1225" s="675"/>
      <c r="G1225" s="1122">
        <f>G1224</f>
        <v>45769</v>
      </c>
      <c r="H1225" s="1123">
        <f>H1224</f>
        <v>45789</v>
      </c>
      <c r="I1225" s="1053" t="s">
        <v>1043</v>
      </c>
      <c r="J1225" s="1053" t="s">
        <v>18</v>
      </c>
      <c r="K1225" s="1053" t="s">
        <v>147</v>
      </c>
      <c r="L1225" s="279" t="s">
        <v>20</v>
      </c>
      <c r="M1225" s="1053"/>
      <c r="N1225" s="512"/>
      <c r="O1225" s="512"/>
      <c r="P1225" s="512"/>
      <c r="Q1225" s="512"/>
      <c r="R1225" s="512"/>
      <c r="S1225" s="512"/>
      <c r="T1225" s="512"/>
      <c r="U1225" s="512"/>
      <c r="V1225" s="512"/>
      <c r="W1225" s="512"/>
    </row>
    <row r="1226" s="178" customFormat="1" ht="15.4" customHeight="1" spans="1:23">
      <c r="A1226" s="1053" t="s">
        <v>910</v>
      </c>
      <c r="B1226" s="1099" t="s">
        <v>1041</v>
      </c>
      <c r="C1226" s="1048" t="s">
        <v>27</v>
      </c>
      <c r="D1226" s="267">
        <v>30</v>
      </c>
      <c r="E1226" s="1127"/>
      <c r="F1226" s="675"/>
      <c r="G1226" s="1122">
        <f>G1225</f>
        <v>45769</v>
      </c>
      <c r="H1226" s="1123">
        <f>H1225</f>
        <v>45789</v>
      </c>
      <c r="I1226" s="1053" t="s">
        <v>1043</v>
      </c>
      <c r="J1226" s="1053" t="s">
        <v>18</v>
      </c>
      <c r="K1226" s="1053" t="s">
        <v>147</v>
      </c>
      <c r="L1226" s="279" t="s">
        <v>20</v>
      </c>
      <c r="M1226" s="1053"/>
      <c r="N1226" s="512"/>
      <c r="O1226" s="512"/>
      <c r="P1226" s="512"/>
      <c r="Q1226" s="512"/>
      <c r="R1226" s="512"/>
      <c r="S1226" s="512"/>
      <c r="T1226" s="512"/>
      <c r="U1226" s="512"/>
      <c r="V1226" s="512"/>
      <c r="W1226" s="512"/>
    </row>
    <row r="1227" s="178" customFormat="1" ht="15.4" customHeight="1" spans="1:23">
      <c r="A1227" s="1053" t="s">
        <v>910</v>
      </c>
      <c r="B1227" s="1099" t="s">
        <v>1041</v>
      </c>
      <c r="C1227" s="1048" t="s">
        <v>67</v>
      </c>
      <c r="D1227" s="267">
        <v>30</v>
      </c>
      <c r="E1227" s="1127"/>
      <c r="F1227" s="675"/>
      <c r="G1227" s="1122">
        <f>G1226</f>
        <v>45769</v>
      </c>
      <c r="H1227" s="1123">
        <f>H1226</f>
        <v>45789</v>
      </c>
      <c r="I1227" s="1053" t="s">
        <v>1043</v>
      </c>
      <c r="J1227" s="1053" t="s">
        <v>18</v>
      </c>
      <c r="K1227" s="1053" t="s">
        <v>147</v>
      </c>
      <c r="L1227" s="279" t="s">
        <v>20</v>
      </c>
      <c r="M1227" s="1053"/>
      <c r="N1227" s="512"/>
      <c r="O1227" s="512"/>
      <c r="P1227" s="512"/>
      <c r="Q1227" s="512"/>
      <c r="R1227" s="512"/>
      <c r="S1227" s="512"/>
      <c r="T1227" s="512"/>
      <c r="U1227" s="512"/>
      <c r="V1227" s="512"/>
      <c r="W1227" s="512"/>
    </row>
    <row r="1228" s="178" customFormat="1" ht="15.4" customHeight="1" spans="1:23">
      <c r="A1228" s="1053" t="s">
        <v>910</v>
      </c>
      <c r="B1228" s="1099" t="s">
        <v>1041</v>
      </c>
      <c r="C1228" s="1048" t="s">
        <v>70</v>
      </c>
      <c r="D1228" s="267">
        <v>50</v>
      </c>
      <c r="E1228" s="1127"/>
      <c r="F1228" s="675"/>
      <c r="G1228" s="1122">
        <f>G1227</f>
        <v>45769</v>
      </c>
      <c r="H1228" s="1123">
        <f>H1227</f>
        <v>45789</v>
      </c>
      <c r="I1228" s="1053" t="s">
        <v>1043</v>
      </c>
      <c r="J1228" s="1053" t="s">
        <v>18</v>
      </c>
      <c r="K1228" s="1053" t="s">
        <v>147</v>
      </c>
      <c r="L1228" s="279" t="s">
        <v>20</v>
      </c>
      <c r="M1228" s="1053"/>
      <c r="N1228" s="512"/>
      <c r="O1228" s="512"/>
      <c r="P1228" s="512"/>
      <c r="Q1228" s="512"/>
      <c r="R1228" s="512"/>
      <c r="S1228" s="512"/>
      <c r="T1228" s="512"/>
      <c r="U1228" s="512"/>
      <c r="V1228" s="512"/>
      <c r="W1228" s="512"/>
    </row>
    <row r="1229" s="178" customFormat="1" ht="15.4" customHeight="1" spans="1:23">
      <c r="A1229" s="1053" t="s">
        <v>910</v>
      </c>
      <c r="B1229" s="1099" t="s">
        <v>1044</v>
      </c>
      <c r="C1229" s="1048" t="s">
        <v>77</v>
      </c>
      <c r="D1229" s="267">
        <v>48</v>
      </c>
      <c r="E1229" s="1085" t="s">
        <v>1045</v>
      </c>
      <c r="F1229" s="675"/>
      <c r="G1229" s="675">
        <f>VLOOKUP(CLEAN(SUBSTITUTE(TRIM(MID(E:E,FIND("/",E:E)+1,LEN(E:E)))," ","")),'Customs Decl. &amp; Local Delivery'!D:I,6,0)</f>
        <v>45769</v>
      </c>
      <c r="H1229" s="676">
        <f>VLOOKUP(CLEAN(SUBSTITUTE(TRIM(MID(E:E,FIND("/",E:E)+1,LEN(E:E)))," ","")),'Customs Decl. &amp; Local Delivery'!D:J,7,0)</f>
        <v>45789</v>
      </c>
      <c r="I1229" s="1053" t="s">
        <v>1046</v>
      </c>
      <c r="J1229" s="1053" t="s">
        <v>18</v>
      </c>
      <c r="K1229" s="1053" t="s">
        <v>147</v>
      </c>
      <c r="L1229" s="1090" t="s">
        <v>20</v>
      </c>
      <c r="M1229" s="1053" t="s">
        <v>1034</v>
      </c>
      <c r="N1229" s="512"/>
      <c r="O1229" s="512"/>
      <c r="P1229" s="512"/>
      <c r="Q1229" s="512"/>
      <c r="R1229" s="512"/>
      <c r="S1229" s="512"/>
      <c r="T1229" s="512"/>
      <c r="U1229" s="512"/>
      <c r="V1229" s="512"/>
      <c r="W1229" s="512"/>
    </row>
    <row r="1230" s="178" customFormat="1" ht="15.4" customHeight="1" spans="1:23">
      <c r="A1230" s="1053" t="s">
        <v>910</v>
      </c>
      <c r="B1230" s="1099" t="s">
        <v>1044</v>
      </c>
      <c r="C1230" s="1048" t="s">
        <v>15</v>
      </c>
      <c r="D1230" s="267">
        <v>12</v>
      </c>
      <c r="E1230" s="1127"/>
      <c r="F1230" s="675"/>
      <c r="G1230" s="1122">
        <f>G1229</f>
        <v>45769</v>
      </c>
      <c r="H1230" s="1123">
        <f>H1229</f>
        <v>45789</v>
      </c>
      <c r="I1230" s="1053" t="s">
        <v>1046</v>
      </c>
      <c r="J1230" s="1053" t="s">
        <v>18</v>
      </c>
      <c r="K1230" s="1053" t="s">
        <v>147</v>
      </c>
      <c r="L1230" s="279" t="s">
        <v>20</v>
      </c>
      <c r="M1230" s="1053"/>
      <c r="N1230" s="512"/>
      <c r="O1230" s="512"/>
      <c r="P1230" s="512"/>
      <c r="Q1230" s="512"/>
      <c r="R1230" s="512"/>
      <c r="S1230" s="512"/>
      <c r="T1230" s="512"/>
      <c r="U1230" s="512"/>
      <c r="V1230" s="512"/>
      <c r="W1230" s="512"/>
    </row>
    <row r="1231" s="178" customFormat="1" ht="15.4" customHeight="1" spans="1:23">
      <c r="A1231" s="1053" t="s">
        <v>910</v>
      </c>
      <c r="B1231" s="1099" t="s">
        <v>1044</v>
      </c>
      <c r="C1231" s="1048" t="s">
        <v>24</v>
      </c>
      <c r="D1231" s="267">
        <v>100</v>
      </c>
      <c r="E1231" s="1127"/>
      <c r="F1231" s="675"/>
      <c r="G1231" s="1122">
        <f>G1230</f>
        <v>45769</v>
      </c>
      <c r="H1231" s="1123">
        <f>H1230</f>
        <v>45789</v>
      </c>
      <c r="I1231" s="1053" t="s">
        <v>1046</v>
      </c>
      <c r="J1231" s="1053" t="s">
        <v>18</v>
      </c>
      <c r="K1231" s="1053" t="s">
        <v>147</v>
      </c>
      <c r="L1231" s="279" t="s">
        <v>20</v>
      </c>
      <c r="M1231" s="1053"/>
      <c r="N1231" s="512"/>
      <c r="O1231" s="512"/>
      <c r="P1231" s="512"/>
      <c r="Q1231" s="512"/>
      <c r="R1231" s="512"/>
      <c r="S1231" s="512"/>
      <c r="T1231" s="512"/>
      <c r="U1231" s="512"/>
      <c r="V1231" s="512"/>
      <c r="W1231" s="512"/>
    </row>
    <row r="1232" s="178" customFormat="1" ht="15.4" customHeight="1" spans="1:23">
      <c r="A1232" s="1053" t="s">
        <v>910</v>
      </c>
      <c r="B1232" s="1099" t="s">
        <v>1044</v>
      </c>
      <c r="C1232" s="1048" t="s">
        <v>27</v>
      </c>
      <c r="D1232" s="267">
        <v>30</v>
      </c>
      <c r="E1232" s="1127"/>
      <c r="F1232" s="675"/>
      <c r="G1232" s="1122">
        <f>G1231</f>
        <v>45769</v>
      </c>
      <c r="H1232" s="1123">
        <f>H1231</f>
        <v>45789</v>
      </c>
      <c r="I1232" s="1053" t="s">
        <v>1046</v>
      </c>
      <c r="J1232" s="1053" t="s">
        <v>18</v>
      </c>
      <c r="K1232" s="1053" t="s">
        <v>147</v>
      </c>
      <c r="L1232" s="279" t="s">
        <v>20</v>
      </c>
      <c r="M1232" s="1053"/>
      <c r="N1232" s="512"/>
      <c r="O1232" s="512"/>
      <c r="P1232" s="512"/>
      <c r="Q1232" s="512"/>
      <c r="R1232" s="512"/>
      <c r="S1232" s="512"/>
      <c r="T1232" s="512"/>
      <c r="U1232" s="512"/>
      <c r="V1232" s="512"/>
      <c r="W1232" s="512"/>
    </row>
    <row r="1233" s="178" customFormat="1" ht="15.4" customHeight="1" spans="1:23">
      <c r="A1233" s="1053" t="s">
        <v>910</v>
      </c>
      <c r="B1233" s="1099" t="s">
        <v>1044</v>
      </c>
      <c r="C1233" s="1048" t="s">
        <v>67</v>
      </c>
      <c r="D1233" s="267">
        <v>30</v>
      </c>
      <c r="E1233" s="1127"/>
      <c r="F1233" s="675"/>
      <c r="G1233" s="1122">
        <f>G1232</f>
        <v>45769</v>
      </c>
      <c r="H1233" s="1123">
        <f>H1232</f>
        <v>45789</v>
      </c>
      <c r="I1233" s="1053" t="s">
        <v>1046</v>
      </c>
      <c r="J1233" s="1053" t="s">
        <v>18</v>
      </c>
      <c r="K1233" s="1053" t="s">
        <v>147</v>
      </c>
      <c r="L1233" s="279" t="s">
        <v>20</v>
      </c>
      <c r="M1233" s="1053"/>
      <c r="N1233" s="512"/>
      <c r="O1233" s="512"/>
      <c r="P1233" s="512"/>
      <c r="Q1233" s="512"/>
      <c r="R1233" s="512"/>
      <c r="S1233" s="512"/>
      <c r="T1233" s="512"/>
      <c r="U1233" s="512"/>
      <c r="V1233" s="512"/>
      <c r="W1233" s="512"/>
    </row>
    <row r="1234" s="178" customFormat="1" ht="15.4" customHeight="1" spans="1:23">
      <c r="A1234" s="1053" t="s">
        <v>910</v>
      </c>
      <c r="B1234" s="1099" t="s">
        <v>1044</v>
      </c>
      <c r="C1234" s="1048" t="s">
        <v>70</v>
      </c>
      <c r="D1234" s="267">
        <v>50</v>
      </c>
      <c r="E1234" s="1127"/>
      <c r="F1234" s="675"/>
      <c r="G1234" s="1122">
        <f>G1233</f>
        <v>45769</v>
      </c>
      <c r="H1234" s="1123">
        <f>H1233</f>
        <v>45789</v>
      </c>
      <c r="I1234" s="1053" t="s">
        <v>1046</v>
      </c>
      <c r="J1234" s="1053" t="s">
        <v>18</v>
      </c>
      <c r="K1234" s="1053" t="s">
        <v>147</v>
      </c>
      <c r="L1234" s="279" t="s">
        <v>20</v>
      </c>
      <c r="M1234" s="1053"/>
      <c r="N1234" s="512"/>
      <c r="O1234" s="512"/>
      <c r="P1234" s="512"/>
      <c r="Q1234" s="512"/>
      <c r="R1234" s="512"/>
      <c r="S1234" s="512"/>
      <c r="T1234" s="512"/>
      <c r="U1234" s="512"/>
      <c r="V1234" s="512"/>
      <c r="W1234" s="512"/>
    </row>
    <row r="1235" s="971" customFormat="1" ht="15.4" customHeight="1" spans="1:23">
      <c r="A1235" s="1064" t="s">
        <v>656</v>
      </c>
      <c r="B1235" s="1050" t="s">
        <v>1047</v>
      </c>
      <c r="C1235" s="789" t="s">
        <v>24</v>
      </c>
      <c r="D1235" s="351">
        <v>645</v>
      </c>
      <c r="E1235" s="1085" t="s">
        <v>1048</v>
      </c>
      <c r="F1235" s="675"/>
      <c r="G1235" s="675">
        <f>VLOOKUP(CLEAN(SUBSTITUTE(TRIM(MID(E:E,FIND("/",E:E)+1,LEN(E:E)))," ","")),'Customs Decl. &amp; Local Delivery'!D:I,6,0)</f>
        <v>45771</v>
      </c>
      <c r="H1235" s="676">
        <f>VLOOKUP(CLEAN(SUBSTITUTE(TRIM(MID(E:E,FIND("/",E:E)+1,LEN(E:E)))," ","")),'Customs Decl. &amp; Local Delivery'!D:J,7,0)</f>
        <v>45786</v>
      </c>
      <c r="I1235" s="1064" t="s">
        <v>1049</v>
      </c>
      <c r="J1235" s="784" t="s">
        <v>18</v>
      </c>
      <c r="K1235" s="1064" t="s">
        <v>147</v>
      </c>
      <c r="L1235" s="279" t="s">
        <v>20</v>
      </c>
      <c r="M1235" s="1064" t="s">
        <v>1050</v>
      </c>
      <c r="N1235" s="512"/>
      <c r="O1235" s="512"/>
      <c r="P1235" s="512"/>
      <c r="Q1235" s="512"/>
      <c r="R1235" s="512"/>
      <c r="S1235" s="512"/>
      <c r="T1235" s="512"/>
      <c r="U1235" s="512"/>
      <c r="V1235" s="512"/>
      <c r="W1235" s="512"/>
    </row>
    <row r="1236" s="971" customFormat="1" ht="15.4" customHeight="1" spans="1:23">
      <c r="A1236" s="1064" t="s">
        <v>579</v>
      </c>
      <c r="B1236" s="789" t="s">
        <v>996</v>
      </c>
      <c r="C1236" s="789" t="s">
        <v>15</v>
      </c>
      <c r="D1236" s="351">
        <v>110</v>
      </c>
      <c r="E1236" s="69"/>
      <c r="F1236" s="840"/>
      <c r="G1236" s="840">
        <f>G1235</f>
        <v>45771</v>
      </c>
      <c r="H1236" s="1123">
        <f>H1235</f>
        <v>45786</v>
      </c>
      <c r="I1236" s="1064" t="s">
        <v>1049</v>
      </c>
      <c r="J1236" s="784" t="s">
        <v>18</v>
      </c>
      <c r="K1236" s="1064" t="s">
        <v>147</v>
      </c>
      <c r="L1236" s="279" t="s">
        <v>20</v>
      </c>
      <c r="M1236" s="1064"/>
      <c r="N1236" s="512"/>
      <c r="O1236" s="512"/>
      <c r="P1236" s="512"/>
      <c r="Q1236" s="512"/>
      <c r="R1236" s="512"/>
      <c r="S1236" s="512"/>
      <c r="T1236" s="512"/>
      <c r="U1236" s="512"/>
      <c r="V1236" s="512"/>
      <c r="W1236" s="512"/>
    </row>
    <row r="1237" s="178" customFormat="1" ht="30.75" customHeight="1" spans="1:23">
      <c r="A1237" s="1053" t="s">
        <v>910</v>
      </c>
      <c r="B1237" s="1099" t="s">
        <v>1051</v>
      </c>
      <c r="C1237" s="1048" t="s">
        <v>27</v>
      </c>
      <c r="D1237" s="267">
        <v>520</v>
      </c>
      <c r="E1237" s="1055" t="s">
        <v>1052</v>
      </c>
      <c r="F1237" s="675"/>
      <c r="G1237" s="675">
        <f>VLOOKUP(CLEAN(SUBSTITUTE(TRIM(MID(E:E,FIND("/",E:E)+1,LEN(E:E)))," ","")),'Customs Decl. &amp; Local Delivery'!D:I,6,0)</f>
        <v>45771</v>
      </c>
      <c r="H1237" s="676">
        <f>VLOOKUP(CLEAN(SUBSTITUTE(TRIM(MID(E:E,FIND("/",E:E)+1,LEN(E:E)))," ","")),'Customs Decl. &amp; Local Delivery'!D:J,7,0)</f>
        <v>45786</v>
      </c>
      <c r="I1237" s="1053" t="s">
        <v>1053</v>
      </c>
      <c r="J1237" s="1053" t="s">
        <v>18</v>
      </c>
      <c r="K1237" s="1053" t="s">
        <v>147</v>
      </c>
      <c r="L1237" s="1090" t="s">
        <v>20</v>
      </c>
      <c r="M1237" s="1053" t="s">
        <v>1054</v>
      </c>
      <c r="N1237" s="512"/>
      <c r="O1237" s="512"/>
      <c r="P1237" s="512"/>
      <c r="Q1237" s="512"/>
      <c r="R1237" s="512"/>
      <c r="S1237" s="512"/>
      <c r="T1237" s="512"/>
      <c r="U1237" s="512"/>
      <c r="V1237" s="512"/>
      <c r="W1237" s="512"/>
    </row>
    <row r="1238" s="178" customFormat="1" ht="30" spans="1:23">
      <c r="A1238" s="1053" t="s">
        <v>910</v>
      </c>
      <c r="B1238" s="1099" t="s">
        <v>1055</v>
      </c>
      <c r="C1238" s="1048" t="s">
        <v>651</v>
      </c>
      <c r="D1238" s="240">
        <v>45</v>
      </c>
      <c r="E1238" s="1055" t="s">
        <v>1056</v>
      </c>
      <c r="F1238" s="675"/>
      <c r="G1238" s="675">
        <f>VLOOKUP(CLEAN(SUBSTITUTE(TRIM(MID(E:E,FIND("/",E:E)+1,LEN(E:E)))," ","")),'Customs Decl. &amp; Local Delivery'!D:I,6,0)</f>
        <v>45774</v>
      </c>
      <c r="H1238" s="676">
        <f>VLOOKUP(CLEAN(SUBSTITUTE(TRIM(MID(E:E,FIND("/",E:E)+1,LEN(E:E)))," ","")),'Customs Decl. &amp; Local Delivery'!D:J,7,0)</f>
        <v>45801</v>
      </c>
      <c r="I1238" s="1053" t="s">
        <v>1057</v>
      </c>
      <c r="J1238" s="1053" t="s">
        <v>18</v>
      </c>
      <c r="K1238" s="1053" t="s">
        <v>147</v>
      </c>
      <c r="L1238" s="279" t="s">
        <v>20</v>
      </c>
      <c r="M1238" s="1053" t="s">
        <v>1058</v>
      </c>
      <c r="N1238" s="512"/>
      <c r="O1238" s="512"/>
      <c r="P1238" s="512"/>
      <c r="Q1238" s="512"/>
      <c r="R1238" s="512"/>
      <c r="S1238" s="512"/>
      <c r="T1238" s="512"/>
      <c r="U1238" s="512"/>
      <c r="V1238" s="512"/>
      <c r="W1238" s="512"/>
    </row>
    <row r="1239" s="178" customFormat="1" ht="30" spans="1:23">
      <c r="A1239" s="1053" t="s">
        <v>910</v>
      </c>
      <c r="B1239" s="1099" t="s">
        <v>1059</v>
      </c>
      <c r="C1239" s="1048" t="s">
        <v>651</v>
      </c>
      <c r="D1239" s="240">
        <v>45</v>
      </c>
      <c r="E1239" s="1055" t="s">
        <v>1060</v>
      </c>
      <c r="F1239" s="675"/>
      <c r="G1239" s="675">
        <f>VLOOKUP(CLEAN(SUBSTITUTE(TRIM(MID(E:E,FIND("/",E:E)+1,LEN(E:E)))," ","")),'Customs Decl. &amp; Local Delivery'!D:I,6,0)</f>
        <v>45774</v>
      </c>
      <c r="H1239" s="676">
        <f>VLOOKUP(CLEAN(SUBSTITUTE(TRIM(MID(E:E,FIND("/",E:E)+1,LEN(E:E)))," ","")),'Customs Decl. &amp; Local Delivery'!D:J,7,0)</f>
        <v>45801</v>
      </c>
      <c r="I1239" s="1053" t="s">
        <v>1061</v>
      </c>
      <c r="J1239" s="1053" t="s">
        <v>18</v>
      </c>
      <c r="K1239" s="1053" t="s">
        <v>147</v>
      </c>
      <c r="L1239" s="1090" t="s">
        <v>20</v>
      </c>
      <c r="M1239" s="1053" t="s">
        <v>1058</v>
      </c>
      <c r="N1239" s="512"/>
      <c r="O1239" s="512"/>
      <c r="P1239" s="512"/>
      <c r="Q1239" s="512"/>
      <c r="R1239" s="512"/>
      <c r="S1239" s="512"/>
      <c r="T1239" s="512"/>
      <c r="U1239" s="512"/>
      <c r="V1239" s="512"/>
      <c r="W1239" s="512"/>
    </row>
    <row r="1240" s="178" customFormat="1" ht="30" spans="1:23">
      <c r="A1240" s="1053" t="s">
        <v>910</v>
      </c>
      <c r="B1240" s="1099" t="s">
        <v>1062</v>
      </c>
      <c r="C1240" s="1048" t="s">
        <v>651</v>
      </c>
      <c r="D1240" s="240">
        <v>45</v>
      </c>
      <c r="E1240" s="1055" t="s">
        <v>1063</v>
      </c>
      <c r="F1240" s="675"/>
      <c r="G1240" s="675">
        <f>VLOOKUP(CLEAN(SUBSTITUTE(TRIM(MID(E:E,FIND("/",E:E)+1,LEN(E:E)))," ","")),'Customs Decl. &amp; Local Delivery'!D:I,6,0)</f>
        <v>45774</v>
      </c>
      <c r="H1240" s="676">
        <f>VLOOKUP(CLEAN(SUBSTITUTE(TRIM(MID(E:E,FIND("/",E:E)+1,LEN(E:E)))," ","")),'Customs Decl. &amp; Local Delivery'!D:J,7,0)</f>
        <v>45800</v>
      </c>
      <c r="I1240" s="1053" t="s">
        <v>1064</v>
      </c>
      <c r="J1240" s="1053" t="s">
        <v>18</v>
      </c>
      <c r="K1240" s="1053" t="s">
        <v>147</v>
      </c>
      <c r="L1240" s="279" t="s">
        <v>20</v>
      </c>
      <c r="M1240" s="1053" t="s">
        <v>1065</v>
      </c>
      <c r="N1240" s="512"/>
      <c r="O1240" s="512"/>
      <c r="P1240" s="512"/>
      <c r="Q1240" s="512"/>
      <c r="R1240" s="512"/>
      <c r="S1240" s="512"/>
      <c r="T1240" s="512"/>
      <c r="U1240" s="512"/>
      <c r="V1240" s="512"/>
      <c r="W1240" s="512"/>
    </row>
    <row r="1241" s="178" customFormat="1" ht="30" spans="1:23">
      <c r="A1241" s="1053" t="s">
        <v>910</v>
      </c>
      <c r="B1241" s="1099" t="s">
        <v>1066</v>
      </c>
      <c r="C1241" s="1048" t="s">
        <v>651</v>
      </c>
      <c r="D1241" s="240">
        <v>45</v>
      </c>
      <c r="E1241" s="1055" t="s">
        <v>1067</v>
      </c>
      <c r="F1241" s="675"/>
      <c r="G1241" s="675">
        <f>VLOOKUP(CLEAN(SUBSTITUTE(TRIM(MID(E:E,FIND("/",E:E)+1,LEN(E:E)))," ","")),'Customs Decl. &amp; Local Delivery'!D:I,6,0)</f>
        <v>45774</v>
      </c>
      <c r="H1241" s="676">
        <f>VLOOKUP(CLEAN(SUBSTITUTE(TRIM(MID(E:E,FIND("/",E:E)+1,LEN(E:E)))," ","")),'Customs Decl. &amp; Local Delivery'!D:J,7,0)</f>
        <v>45805</v>
      </c>
      <c r="I1241" s="1053" t="s">
        <v>1068</v>
      </c>
      <c r="J1241" s="1053" t="s">
        <v>18</v>
      </c>
      <c r="K1241" s="1053" t="s">
        <v>147</v>
      </c>
      <c r="L1241" s="1090" t="s">
        <v>20</v>
      </c>
      <c r="M1241" s="1053" t="s">
        <v>1065</v>
      </c>
      <c r="N1241" s="512"/>
      <c r="O1241" s="512"/>
      <c r="P1241" s="512"/>
      <c r="Q1241" s="512"/>
      <c r="R1241" s="512"/>
      <c r="S1241" s="512"/>
      <c r="T1241" s="512"/>
      <c r="U1241" s="512"/>
      <c r="V1241" s="512"/>
      <c r="W1241" s="512"/>
    </row>
    <row r="1242" s="178" customFormat="1" ht="30" spans="1:23">
      <c r="A1242" s="1053" t="s">
        <v>910</v>
      </c>
      <c r="B1242" s="1099" t="s">
        <v>1069</v>
      </c>
      <c r="C1242" s="1048" t="s">
        <v>651</v>
      </c>
      <c r="D1242" s="240">
        <v>45</v>
      </c>
      <c r="E1242" s="1055" t="s">
        <v>1070</v>
      </c>
      <c r="F1242" s="675"/>
      <c r="G1242" s="675">
        <f>VLOOKUP(CLEAN(SUBSTITUTE(TRIM(MID(E:E,FIND("/",E:E)+1,LEN(E:E)))," ","")),'Customs Decl. &amp; Local Delivery'!D:I,6,0)</f>
        <v>45774</v>
      </c>
      <c r="H1242" s="676">
        <f>VLOOKUP(CLEAN(SUBSTITUTE(TRIM(MID(E:E,FIND("/",E:E)+1,LEN(E:E)))," ","")),'Customs Decl. &amp; Local Delivery'!D:J,7,0)</f>
        <v>45805</v>
      </c>
      <c r="I1242" s="1053" t="s">
        <v>1071</v>
      </c>
      <c r="J1242" s="1053" t="s">
        <v>18</v>
      </c>
      <c r="K1242" s="1053" t="s">
        <v>147</v>
      </c>
      <c r="L1242" s="279" t="s">
        <v>20</v>
      </c>
      <c r="M1242" s="1053" t="s">
        <v>1065</v>
      </c>
      <c r="N1242" s="512"/>
      <c r="O1242" s="512"/>
      <c r="P1242" s="512"/>
      <c r="Q1242" s="512"/>
      <c r="R1242" s="512"/>
      <c r="S1242" s="512"/>
      <c r="T1242" s="512"/>
      <c r="U1242" s="512"/>
      <c r="V1242" s="512"/>
      <c r="W1242" s="512"/>
    </row>
    <row r="1243" s="178" customFormat="1" ht="30" spans="1:23">
      <c r="A1243" s="1053" t="s">
        <v>910</v>
      </c>
      <c r="B1243" s="1099" t="s">
        <v>1072</v>
      </c>
      <c r="C1243" s="1048" t="s">
        <v>651</v>
      </c>
      <c r="D1243" s="240">
        <v>45</v>
      </c>
      <c r="E1243" s="1055" t="s">
        <v>1073</v>
      </c>
      <c r="F1243" s="675"/>
      <c r="G1243" s="675">
        <f>VLOOKUP(CLEAN(SUBSTITUTE(TRIM(MID(E:E,FIND("/",E:E)+1,LEN(E:E)))," ","")),'Customs Decl. &amp; Local Delivery'!D:I,6,0)</f>
        <v>45774</v>
      </c>
      <c r="H1243" s="676">
        <f>VLOOKUP(CLEAN(SUBSTITUTE(TRIM(MID(E:E,FIND("/",E:E)+1,LEN(E:E)))," ","")),'Customs Decl. &amp; Local Delivery'!D:J,7,0)</f>
        <v>45800</v>
      </c>
      <c r="I1243" s="1053" t="s">
        <v>1074</v>
      </c>
      <c r="J1243" s="1053" t="s">
        <v>18</v>
      </c>
      <c r="K1243" s="1053" t="s">
        <v>147</v>
      </c>
      <c r="L1243" s="1090" t="s">
        <v>20</v>
      </c>
      <c r="M1243" s="1053" t="s">
        <v>1065</v>
      </c>
      <c r="N1243" s="512"/>
      <c r="O1243" s="512"/>
      <c r="P1243" s="512"/>
      <c r="Q1243" s="512"/>
      <c r="R1243" s="512"/>
      <c r="S1243" s="512"/>
      <c r="T1243" s="512"/>
      <c r="U1243" s="512"/>
      <c r="V1243" s="512"/>
      <c r="W1243" s="512"/>
    </row>
    <row r="1244" s="178" customFormat="1" ht="30" spans="1:23">
      <c r="A1244" s="1053" t="s">
        <v>910</v>
      </c>
      <c r="B1244" s="1099" t="s">
        <v>1075</v>
      </c>
      <c r="C1244" s="1048" t="s">
        <v>651</v>
      </c>
      <c r="D1244" s="240">
        <v>45</v>
      </c>
      <c r="E1244" s="1055" t="s">
        <v>1076</v>
      </c>
      <c r="F1244" s="675"/>
      <c r="G1244" s="675">
        <f>VLOOKUP(CLEAN(SUBSTITUTE(TRIM(MID(E:E,FIND("/",E:E)+1,LEN(E:E)))," ","")),'Customs Decl. &amp; Local Delivery'!D:I,6,0)</f>
        <v>45774</v>
      </c>
      <c r="H1244" s="676">
        <f>VLOOKUP(CLEAN(SUBSTITUTE(TRIM(MID(E:E,FIND("/",E:E)+1,LEN(E:E)))," ","")),'Customs Decl. &amp; Local Delivery'!D:J,7,0)</f>
        <v>45800</v>
      </c>
      <c r="I1244" s="1053" t="s">
        <v>1077</v>
      </c>
      <c r="J1244" s="1053" t="s">
        <v>18</v>
      </c>
      <c r="K1244" s="1143" t="s">
        <v>654</v>
      </c>
      <c r="L1244" s="279" t="s">
        <v>20</v>
      </c>
      <c r="M1244" s="1143" t="s">
        <v>1078</v>
      </c>
      <c r="N1244" s="512"/>
      <c r="O1244" s="512"/>
      <c r="P1244" s="512"/>
      <c r="Q1244" s="512"/>
      <c r="R1244" s="512"/>
      <c r="S1244" s="512"/>
      <c r="T1244" s="512"/>
      <c r="U1244" s="512"/>
      <c r="V1244" s="512"/>
      <c r="W1244" s="512"/>
    </row>
    <row r="1245" s="178" customFormat="1" ht="30" spans="1:23">
      <c r="A1245" s="1053" t="s">
        <v>910</v>
      </c>
      <c r="B1245" s="1099" t="s">
        <v>1079</v>
      </c>
      <c r="C1245" s="1048" t="s">
        <v>651</v>
      </c>
      <c r="D1245" s="240">
        <v>45</v>
      </c>
      <c r="E1245" s="1055" t="s">
        <v>1080</v>
      </c>
      <c r="F1245" s="675"/>
      <c r="G1245" s="675">
        <f>VLOOKUP(CLEAN(SUBSTITUTE(TRIM(MID(E:E,FIND("/",E:E)+1,LEN(E:E)))," ","")),'Customs Decl. &amp; Local Delivery'!D:I,6,0)</f>
        <v>45774</v>
      </c>
      <c r="H1245" s="676">
        <f>VLOOKUP(CLEAN(SUBSTITUTE(TRIM(MID(E:E,FIND("/",E:E)+1,LEN(E:E)))," ","")),'Customs Decl. &amp; Local Delivery'!D:J,7,0)</f>
        <v>45805</v>
      </c>
      <c r="I1245" s="1053" t="s">
        <v>1081</v>
      </c>
      <c r="J1245" s="1053" t="s">
        <v>18</v>
      </c>
      <c r="K1245" s="1053" t="s">
        <v>654</v>
      </c>
      <c r="L1245" s="279" t="s">
        <v>20</v>
      </c>
      <c r="M1245" s="1078" t="s">
        <v>1082</v>
      </c>
      <c r="N1245" s="512"/>
      <c r="O1245" s="512"/>
      <c r="P1245" s="512"/>
      <c r="Q1245" s="512"/>
      <c r="R1245" s="512"/>
      <c r="S1245" s="512"/>
      <c r="T1245" s="512"/>
      <c r="U1245" s="512"/>
      <c r="V1245" s="512"/>
      <c r="W1245" s="512"/>
    </row>
    <row r="1246" s="178" customFormat="1" ht="30" spans="1:23">
      <c r="A1246" s="1053" t="s">
        <v>910</v>
      </c>
      <c r="B1246" s="1099" t="s">
        <v>1083</v>
      </c>
      <c r="C1246" s="1048" t="s">
        <v>651</v>
      </c>
      <c r="D1246" s="240">
        <v>45</v>
      </c>
      <c r="E1246" s="1055" t="s">
        <v>1084</v>
      </c>
      <c r="F1246" s="675"/>
      <c r="G1246" s="675">
        <f>VLOOKUP(CLEAN(SUBSTITUTE(TRIM(MID(E:E,FIND("/",E:E)+1,LEN(E:E)))," ","")),'Customs Decl. &amp; Local Delivery'!D:I,6,0)</f>
        <v>45774</v>
      </c>
      <c r="H1246" s="676">
        <f>VLOOKUP(CLEAN(SUBSTITUTE(TRIM(MID(E:E,FIND("/",E:E)+1,LEN(E:E)))," ","")),'Customs Decl. &amp; Local Delivery'!D:J,7,0)</f>
        <v>45805</v>
      </c>
      <c r="I1246" s="1053" t="s">
        <v>1085</v>
      </c>
      <c r="J1246" s="1053" t="s">
        <v>18</v>
      </c>
      <c r="K1246" s="1053" t="s">
        <v>654</v>
      </c>
      <c r="L1246" s="279" t="s">
        <v>20</v>
      </c>
      <c r="M1246" s="1078" t="s">
        <v>1086</v>
      </c>
      <c r="N1246" s="512"/>
      <c r="O1246" s="512"/>
      <c r="P1246" s="512"/>
      <c r="Q1246" s="512"/>
      <c r="R1246" s="512"/>
      <c r="S1246" s="512"/>
      <c r="T1246" s="512"/>
      <c r="U1246" s="512"/>
      <c r="V1246" s="512"/>
      <c r="W1246" s="512"/>
    </row>
    <row r="1247" s="178" customFormat="1" ht="30" spans="1:23">
      <c r="A1247" s="1053" t="s">
        <v>910</v>
      </c>
      <c r="B1247" s="1099" t="s">
        <v>1087</v>
      </c>
      <c r="C1247" s="1048" t="s">
        <v>651</v>
      </c>
      <c r="D1247" s="240">
        <v>45</v>
      </c>
      <c r="E1247" s="1055" t="s">
        <v>1088</v>
      </c>
      <c r="F1247" s="675"/>
      <c r="G1247" s="675">
        <f>VLOOKUP(CLEAN(SUBSTITUTE(TRIM(MID(E:E,FIND("/",E:E)+1,LEN(E:E)))," ","")),'Customs Decl. &amp; Local Delivery'!D:I,6,0)</f>
        <v>45774</v>
      </c>
      <c r="H1247" s="676">
        <f>VLOOKUP(CLEAN(SUBSTITUTE(TRIM(MID(E:E,FIND("/",E:E)+1,LEN(E:E)))," ","")),'Customs Decl. &amp; Local Delivery'!D:J,7,0)</f>
        <v>45805</v>
      </c>
      <c r="I1247" s="1053" t="s">
        <v>1089</v>
      </c>
      <c r="J1247" s="1053" t="s">
        <v>18</v>
      </c>
      <c r="K1247" s="1053" t="s">
        <v>654</v>
      </c>
      <c r="L1247" s="279" t="s">
        <v>20</v>
      </c>
      <c r="M1247" s="1078" t="s">
        <v>1090</v>
      </c>
      <c r="N1247" s="512"/>
      <c r="O1247" s="512"/>
      <c r="P1247" s="512"/>
      <c r="Q1247" s="512"/>
      <c r="R1247" s="512"/>
      <c r="S1247" s="512"/>
      <c r="T1247" s="512"/>
      <c r="U1247" s="512"/>
      <c r="V1247" s="512"/>
      <c r="W1247" s="512"/>
    </row>
    <row r="1248" s="178" customFormat="1" ht="30" spans="1:23">
      <c r="A1248" s="1053" t="s">
        <v>910</v>
      </c>
      <c r="B1248" s="1099" t="s">
        <v>1091</v>
      </c>
      <c r="C1248" s="1048" t="s">
        <v>631</v>
      </c>
      <c r="D1248" s="267">
        <v>51</v>
      </c>
      <c r="E1248" s="1055" t="s">
        <v>1092</v>
      </c>
      <c r="F1248" s="675"/>
      <c r="G1248" s="675">
        <f>VLOOKUP(CLEAN(SUBSTITUTE(TRIM(MID(E:E,FIND("/",E:E)+1,LEN(E:E)))," ","")),'Customs Decl. &amp; Local Delivery'!D:I,6,0)</f>
        <v>45774</v>
      </c>
      <c r="H1248" s="676">
        <f>VLOOKUP(CLEAN(SUBSTITUTE(TRIM(MID(E:E,FIND("/",E:E)+1,LEN(E:E)))," ","")),'Customs Decl. &amp; Local Delivery'!D:J,7,0)</f>
        <v>45800</v>
      </c>
      <c r="I1248" s="1053" t="s">
        <v>1093</v>
      </c>
      <c r="J1248" s="1053" t="s">
        <v>18</v>
      </c>
      <c r="K1248" s="1053" t="s">
        <v>147</v>
      </c>
      <c r="L1248" s="1090" t="s">
        <v>20</v>
      </c>
      <c r="M1248" s="1053" t="s">
        <v>1065</v>
      </c>
      <c r="N1248" s="512"/>
      <c r="O1248" s="512"/>
      <c r="P1248" s="512"/>
      <c r="Q1248" s="512"/>
      <c r="R1248" s="512"/>
      <c r="S1248" s="512"/>
      <c r="T1248" s="512"/>
      <c r="U1248" s="512"/>
      <c r="V1248" s="512"/>
      <c r="W1248" s="512"/>
    </row>
    <row r="1249" s="971" customFormat="1" ht="30" spans="1:23">
      <c r="A1249" s="1053" t="s">
        <v>910</v>
      </c>
      <c r="B1249" s="1099" t="s">
        <v>1014</v>
      </c>
      <c r="C1249" s="1048" t="s">
        <v>70</v>
      </c>
      <c r="D1249" s="240">
        <v>80</v>
      </c>
      <c r="E1249" s="789" t="s">
        <v>1094</v>
      </c>
      <c r="F1249" s="675"/>
      <c r="G1249" s="675">
        <f>VLOOKUP(CLEAN(SUBSTITUTE(TRIM(MID(E:E,FIND("/",E:E)+1,LEN(E:E)))," ","")),'Customs Decl. &amp; Local Delivery'!D:I,6,0)</f>
        <v>45778</v>
      </c>
      <c r="H1249" s="676">
        <f>VLOOKUP(CLEAN(SUBSTITUTE(TRIM(MID(E:E,FIND("/",E:E)+1,LEN(E:E)))," ","")),'Customs Decl. &amp; Local Delivery'!D:J,7,0)</f>
        <v>45792</v>
      </c>
      <c r="I1249" s="1053" t="s">
        <v>1095</v>
      </c>
      <c r="J1249" s="1053" t="s">
        <v>18</v>
      </c>
      <c r="K1249" s="1053" t="s">
        <v>147</v>
      </c>
      <c r="L1249" s="1090" t="s">
        <v>20</v>
      </c>
      <c r="M1249" s="1053" t="s">
        <v>1096</v>
      </c>
      <c r="N1249" s="512"/>
      <c r="O1249" s="512"/>
      <c r="P1249" s="512"/>
      <c r="Q1249" s="512"/>
      <c r="R1249" s="512"/>
      <c r="S1249" s="512"/>
      <c r="T1249" s="512"/>
      <c r="U1249" s="512"/>
      <c r="V1249" s="512"/>
      <c r="W1249" s="512"/>
    </row>
    <row r="1250" s="972" customFormat="1" ht="15.4" customHeight="1" spans="1:23">
      <c r="A1250" s="1064" t="s">
        <v>656</v>
      </c>
      <c r="B1250" s="1050" t="s">
        <v>957</v>
      </c>
      <c r="C1250" s="789" t="s">
        <v>70</v>
      </c>
      <c r="D1250" s="279">
        <f>450-396</f>
        <v>54</v>
      </c>
      <c r="E1250" s="1055" t="s">
        <v>1097</v>
      </c>
      <c r="F1250" s="675"/>
      <c r="G1250" s="675">
        <f>VLOOKUP(CLEAN(SUBSTITUTE(TRIM(MID(E:E,FIND("/",E:E)+1,LEN(E:E)))," ","")),'Customs Decl. &amp; Local Delivery'!D:I,6,0)</f>
        <v>45778</v>
      </c>
      <c r="H1250" s="676">
        <f>VLOOKUP(CLEAN(SUBSTITUTE(TRIM(MID(E:E,FIND("/",E:E)+1,LEN(E:E)))," ","")),'Customs Decl. &amp; Local Delivery'!D:J,7,0)</f>
        <v>45792</v>
      </c>
      <c r="I1250" s="1064" t="s">
        <v>1098</v>
      </c>
      <c r="J1250" s="784" t="s">
        <v>18</v>
      </c>
      <c r="K1250" s="1064" t="s">
        <v>147</v>
      </c>
      <c r="L1250" s="279" t="s">
        <v>20</v>
      </c>
      <c r="M1250" s="1064" t="s">
        <v>1099</v>
      </c>
      <c r="N1250" s="512"/>
      <c r="O1250" s="512"/>
      <c r="P1250" s="512"/>
      <c r="Q1250" s="512"/>
      <c r="R1250" s="512"/>
      <c r="S1250" s="512"/>
      <c r="T1250" s="512"/>
      <c r="U1250" s="512"/>
      <c r="V1250" s="512"/>
      <c r="W1250" s="512"/>
    </row>
    <row r="1251" s="971" customFormat="1" ht="15.4" customHeight="1" spans="1:23">
      <c r="A1251" s="1053" t="s">
        <v>910</v>
      </c>
      <c r="B1251" s="1099" t="s">
        <v>1014</v>
      </c>
      <c r="C1251" s="1048" t="s">
        <v>70</v>
      </c>
      <c r="D1251" s="240">
        <f>111-80</f>
        <v>31</v>
      </c>
      <c r="E1251" s="69"/>
      <c r="F1251" s="703"/>
      <c r="G1251" s="703">
        <f>G1250</f>
        <v>45778</v>
      </c>
      <c r="H1251" s="755">
        <f>H1250</f>
        <v>45792</v>
      </c>
      <c r="I1251" s="1064" t="s">
        <v>1098</v>
      </c>
      <c r="J1251" s="1053" t="s">
        <v>18</v>
      </c>
      <c r="K1251" s="1053" t="s">
        <v>147</v>
      </c>
      <c r="L1251" s="279" t="s">
        <v>20</v>
      </c>
      <c r="M1251" s="1053" t="s">
        <v>1100</v>
      </c>
      <c r="N1251" s="512"/>
      <c r="O1251" s="512"/>
      <c r="P1251" s="512"/>
      <c r="Q1251" s="512"/>
      <c r="R1251" s="512"/>
      <c r="S1251" s="512"/>
      <c r="T1251" s="512"/>
      <c r="U1251" s="512"/>
      <c r="V1251" s="512"/>
      <c r="W1251" s="512"/>
    </row>
    <row r="1252" s="477" customFormat="1" ht="15.4" customHeight="1" spans="1:23">
      <c r="A1252" s="749" t="s">
        <v>778</v>
      </c>
      <c r="B1252" s="1101" t="s">
        <v>1101</v>
      </c>
      <c r="C1252" s="794" t="s">
        <v>129</v>
      </c>
      <c r="D1252" s="266">
        <v>2</v>
      </c>
      <c r="E1252" s="1085" t="s">
        <v>1102</v>
      </c>
      <c r="F1252" s="675"/>
      <c r="G1252" s="675">
        <f>VLOOKUP(CLEAN(SUBSTITUTE(TRIM(MID(E:E,FIND("/",E:E)+1,LEN(E:E)))," ","")),'Customs Decl. &amp; Local Delivery'!D:I,6,0)</f>
        <v>45781</v>
      </c>
      <c r="H1252" s="676">
        <f>VLOOKUP(CLEAN(SUBSTITUTE(TRIM(MID(E:E,FIND("/",E:E)+1,LEN(E:E)))," ","")),'Customs Decl. &amp; Local Delivery'!D:J,7,0)</f>
        <v>45798</v>
      </c>
      <c r="I1252" s="780" t="s">
        <v>1103</v>
      </c>
      <c r="J1252" s="749" t="s">
        <v>18</v>
      </c>
      <c r="K1252" s="780" t="s">
        <v>19</v>
      </c>
      <c r="L1252" s="279" t="s">
        <v>20</v>
      </c>
      <c r="M1252" s="780" t="s">
        <v>1104</v>
      </c>
      <c r="N1252" s="512"/>
      <c r="O1252" s="512"/>
      <c r="P1252" s="512"/>
      <c r="Q1252" s="512"/>
      <c r="R1252" s="512"/>
      <c r="S1252" s="512"/>
      <c r="T1252" s="512"/>
      <c r="U1252" s="512"/>
      <c r="V1252" s="512"/>
      <c r="W1252" s="512"/>
    </row>
    <row r="1253" s="477" customFormat="1" ht="15.4" customHeight="1" spans="1:23">
      <c r="A1253" s="749" t="s">
        <v>778</v>
      </c>
      <c r="B1253" s="1101" t="s">
        <v>1101</v>
      </c>
      <c r="C1253" s="794" t="s">
        <v>15</v>
      </c>
      <c r="D1253" s="266">
        <v>30</v>
      </c>
      <c r="E1253" s="1109"/>
      <c r="F1253" s="840"/>
      <c r="G1253" s="840">
        <f t="shared" ref="G1253:G1267" si="100">G1252</f>
        <v>45781</v>
      </c>
      <c r="H1253" s="713">
        <f t="shared" ref="H1253:H1267" si="101">H1252</f>
        <v>45798</v>
      </c>
      <c r="I1253" s="780" t="s">
        <v>1103</v>
      </c>
      <c r="J1253" s="749" t="s">
        <v>18</v>
      </c>
      <c r="K1253" s="780" t="s">
        <v>19</v>
      </c>
      <c r="L1253" s="279" t="s">
        <v>20</v>
      </c>
      <c r="M1253" s="780" t="s">
        <v>1105</v>
      </c>
      <c r="N1253" s="512"/>
      <c r="O1253" s="512"/>
      <c r="P1253" s="512"/>
      <c r="Q1253" s="512"/>
      <c r="R1253" s="512"/>
      <c r="S1253" s="512"/>
      <c r="T1253" s="512"/>
      <c r="U1253" s="512"/>
      <c r="V1253" s="512"/>
      <c r="W1253" s="512"/>
    </row>
    <row r="1254" s="477" customFormat="1" ht="15.4" customHeight="1" spans="1:23">
      <c r="A1254" s="749" t="s">
        <v>778</v>
      </c>
      <c r="B1254" s="1101" t="s">
        <v>1101</v>
      </c>
      <c r="C1254" s="794" t="s">
        <v>24</v>
      </c>
      <c r="D1254" s="266">
        <v>30</v>
      </c>
      <c r="E1254" s="1109"/>
      <c r="F1254" s="840"/>
      <c r="G1254" s="840">
        <f t="shared" si="100"/>
        <v>45781</v>
      </c>
      <c r="H1254" s="713">
        <f t="shared" si="101"/>
        <v>45798</v>
      </c>
      <c r="I1254" s="780" t="s">
        <v>1103</v>
      </c>
      <c r="J1254" s="749" t="s">
        <v>18</v>
      </c>
      <c r="K1254" s="780" t="s">
        <v>19</v>
      </c>
      <c r="L1254" s="279" t="s">
        <v>20</v>
      </c>
      <c r="M1254" s="780" t="s">
        <v>1106</v>
      </c>
      <c r="N1254" s="512"/>
      <c r="O1254" s="512"/>
      <c r="P1254" s="512"/>
      <c r="Q1254" s="512"/>
      <c r="R1254" s="512"/>
      <c r="S1254" s="512"/>
      <c r="T1254" s="512"/>
      <c r="U1254" s="512"/>
      <c r="V1254" s="512"/>
      <c r="W1254" s="512"/>
    </row>
    <row r="1255" s="477" customFormat="1" ht="15.4" customHeight="1" spans="1:23">
      <c r="A1255" s="749" t="s">
        <v>778</v>
      </c>
      <c r="B1255" s="1101" t="s">
        <v>1101</v>
      </c>
      <c r="C1255" s="794" t="s">
        <v>27</v>
      </c>
      <c r="D1255" s="266">
        <v>27</v>
      </c>
      <c r="E1255" s="1109"/>
      <c r="F1255" s="840"/>
      <c r="G1255" s="840">
        <f t="shared" si="100"/>
        <v>45781</v>
      </c>
      <c r="H1255" s="713">
        <f t="shared" si="101"/>
        <v>45798</v>
      </c>
      <c r="I1255" s="780" t="s">
        <v>1103</v>
      </c>
      <c r="J1255" s="749" t="s">
        <v>18</v>
      </c>
      <c r="K1255" s="780" t="s">
        <v>19</v>
      </c>
      <c r="L1255" s="279" t="s">
        <v>20</v>
      </c>
      <c r="M1255" s="718" t="s">
        <v>1107</v>
      </c>
      <c r="N1255" s="512"/>
      <c r="O1255" s="512"/>
      <c r="P1255" s="512"/>
      <c r="Q1255" s="512"/>
      <c r="R1255" s="512"/>
      <c r="S1255" s="512"/>
      <c r="T1255" s="512"/>
      <c r="U1255" s="512"/>
      <c r="V1255" s="512"/>
      <c r="W1255" s="512"/>
    </row>
    <row r="1256" s="477" customFormat="1" ht="15.4" customHeight="1" spans="1:23">
      <c r="A1256" s="749" t="s">
        <v>778</v>
      </c>
      <c r="B1256" s="1101" t="s">
        <v>1101</v>
      </c>
      <c r="C1256" s="794" t="s">
        <v>135</v>
      </c>
      <c r="D1256" s="266">
        <v>3</v>
      </c>
      <c r="E1256" s="1109"/>
      <c r="F1256" s="840"/>
      <c r="G1256" s="840">
        <f t="shared" si="100"/>
        <v>45781</v>
      </c>
      <c r="H1256" s="713">
        <f t="shared" si="101"/>
        <v>45798</v>
      </c>
      <c r="I1256" s="780" t="s">
        <v>1103</v>
      </c>
      <c r="J1256" s="749" t="s">
        <v>18</v>
      </c>
      <c r="K1256" s="780" t="s">
        <v>19</v>
      </c>
      <c r="L1256" s="279" t="s">
        <v>20</v>
      </c>
      <c r="M1256" s="780" t="s">
        <v>1107</v>
      </c>
      <c r="N1256" s="512"/>
      <c r="O1256" s="512"/>
      <c r="P1256" s="512"/>
      <c r="Q1256" s="512"/>
      <c r="R1256" s="512"/>
      <c r="S1256" s="512"/>
      <c r="T1256" s="512"/>
      <c r="U1256" s="512"/>
      <c r="V1256" s="512"/>
      <c r="W1256" s="512"/>
    </row>
    <row r="1257" s="477" customFormat="1" ht="15.4" customHeight="1" spans="1:23">
      <c r="A1257" s="749" t="s">
        <v>778</v>
      </c>
      <c r="B1257" s="1101" t="s">
        <v>1101</v>
      </c>
      <c r="C1257" s="794" t="s">
        <v>67</v>
      </c>
      <c r="D1257" s="266">
        <v>7</v>
      </c>
      <c r="E1257" s="1109"/>
      <c r="F1257" s="840"/>
      <c r="G1257" s="840">
        <f t="shared" si="100"/>
        <v>45781</v>
      </c>
      <c r="H1257" s="713">
        <f t="shared" si="101"/>
        <v>45798</v>
      </c>
      <c r="I1257" s="780" t="s">
        <v>1103</v>
      </c>
      <c r="J1257" s="749" t="s">
        <v>18</v>
      </c>
      <c r="K1257" s="780" t="s">
        <v>19</v>
      </c>
      <c r="L1257" s="279" t="s">
        <v>20</v>
      </c>
      <c r="M1257" s="780" t="s">
        <v>1107</v>
      </c>
      <c r="N1257" s="512"/>
      <c r="O1257" s="512"/>
      <c r="P1257" s="512"/>
      <c r="Q1257" s="512"/>
      <c r="R1257" s="512"/>
      <c r="S1257" s="512"/>
      <c r="T1257" s="512"/>
      <c r="U1257" s="512"/>
      <c r="V1257" s="512"/>
      <c r="W1257" s="512"/>
    </row>
    <row r="1258" s="477" customFormat="1" ht="15.4" customHeight="1" spans="1:23">
      <c r="A1258" s="749" t="s">
        <v>778</v>
      </c>
      <c r="B1258" s="1101" t="s">
        <v>1101</v>
      </c>
      <c r="C1258" s="794" t="s">
        <v>70</v>
      </c>
      <c r="D1258" s="266">
        <v>13</v>
      </c>
      <c r="E1258" s="1109"/>
      <c r="F1258" s="840"/>
      <c r="G1258" s="840">
        <f t="shared" si="100"/>
        <v>45781</v>
      </c>
      <c r="H1258" s="713">
        <f t="shared" si="101"/>
        <v>45798</v>
      </c>
      <c r="I1258" s="780" t="s">
        <v>1103</v>
      </c>
      <c r="J1258" s="749" t="s">
        <v>18</v>
      </c>
      <c r="K1258" s="780" t="s">
        <v>19</v>
      </c>
      <c r="L1258" s="279" t="s">
        <v>20</v>
      </c>
      <c r="M1258" s="780" t="s">
        <v>1107</v>
      </c>
      <c r="N1258" s="512"/>
      <c r="O1258" s="512"/>
      <c r="P1258" s="512"/>
      <c r="Q1258" s="512"/>
      <c r="R1258" s="512"/>
      <c r="S1258" s="512"/>
      <c r="T1258" s="512"/>
      <c r="U1258" s="512"/>
      <c r="V1258" s="512"/>
      <c r="W1258" s="512"/>
    </row>
    <row r="1259" s="477" customFormat="1" ht="15.4" customHeight="1" spans="1:23">
      <c r="A1259" s="749" t="s">
        <v>778</v>
      </c>
      <c r="B1259" s="1101" t="s">
        <v>1101</v>
      </c>
      <c r="C1259" s="794" t="s">
        <v>29</v>
      </c>
      <c r="D1259" s="266">
        <v>1</v>
      </c>
      <c r="E1259" s="1109"/>
      <c r="F1259" s="840"/>
      <c r="G1259" s="840">
        <f t="shared" si="100"/>
        <v>45781</v>
      </c>
      <c r="H1259" s="713">
        <f t="shared" si="101"/>
        <v>45798</v>
      </c>
      <c r="I1259" s="780" t="s">
        <v>1103</v>
      </c>
      <c r="J1259" s="749" t="s">
        <v>18</v>
      </c>
      <c r="K1259" s="780" t="s">
        <v>19</v>
      </c>
      <c r="L1259" s="279" t="s">
        <v>20</v>
      </c>
      <c r="M1259" s="780" t="s">
        <v>1107</v>
      </c>
      <c r="N1259" s="512"/>
      <c r="O1259" s="512"/>
      <c r="P1259" s="512"/>
      <c r="Q1259" s="512"/>
      <c r="R1259" s="512"/>
      <c r="S1259" s="512"/>
      <c r="T1259" s="512"/>
      <c r="U1259" s="512"/>
      <c r="V1259" s="512"/>
      <c r="W1259" s="512"/>
    </row>
    <row r="1260" s="477" customFormat="1" ht="15.4" customHeight="1" spans="1:23">
      <c r="A1260" s="749" t="s">
        <v>778</v>
      </c>
      <c r="B1260" s="1101" t="s">
        <v>1101</v>
      </c>
      <c r="C1260" s="794" t="s">
        <v>30</v>
      </c>
      <c r="D1260" s="266">
        <v>1</v>
      </c>
      <c r="E1260" s="1109"/>
      <c r="F1260" s="840"/>
      <c r="G1260" s="840">
        <f t="shared" si="100"/>
        <v>45781</v>
      </c>
      <c r="H1260" s="713">
        <f t="shared" si="101"/>
        <v>45798</v>
      </c>
      <c r="I1260" s="780" t="s">
        <v>1103</v>
      </c>
      <c r="J1260" s="749" t="s">
        <v>18</v>
      </c>
      <c r="K1260" s="780" t="s">
        <v>19</v>
      </c>
      <c r="L1260" s="279" t="s">
        <v>20</v>
      </c>
      <c r="M1260" s="780" t="s">
        <v>1107</v>
      </c>
      <c r="N1260" s="512"/>
      <c r="O1260" s="512"/>
      <c r="P1260" s="512"/>
      <c r="Q1260" s="512"/>
      <c r="R1260" s="512"/>
      <c r="S1260" s="512"/>
      <c r="T1260" s="512"/>
      <c r="U1260" s="512"/>
      <c r="V1260" s="512"/>
      <c r="W1260" s="512"/>
    </row>
    <row r="1261" s="477" customFormat="1" ht="15.4" customHeight="1" spans="1:23">
      <c r="A1261" s="749" t="s">
        <v>778</v>
      </c>
      <c r="B1261" s="1101" t="s">
        <v>1101</v>
      </c>
      <c r="C1261" s="794" t="s">
        <v>31</v>
      </c>
      <c r="D1261" s="266">
        <v>1</v>
      </c>
      <c r="E1261" s="1109"/>
      <c r="F1261" s="840"/>
      <c r="G1261" s="840">
        <f t="shared" si="100"/>
        <v>45781</v>
      </c>
      <c r="H1261" s="713">
        <f t="shared" si="101"/>
        <v>45798</v>
      </c>
      <c r="I1261" s="780" t="s">
        <v>1103</v>
      </c>
      <c r="J1261" s="749" t="s">
        <v>18</v>
      </c>
      <c r="K1261" s="780" t="s">
        <v>19</v>
      </c>
      <c r="L1261" s="279" t="s">
        <v>20</v>
      </c>
      <c r="M1261" s="780" t="s">
        <v>1107</v>
      </c>
      <c r="N1261" s="512"/>
      <c r="O1261" s="512"/>
      <c r="P1261" s="512"/>
      <c r="Q1261" s="512"/>
      <c r="R1261" s="512"/>
      <c r="S1261" s="512"/>
      <c r="T1261" s="512"/>
      <c r="U1261" s="512"/>
      <c r="V1261" s="512"/>
      <c r="W1261" s="512"/>
    </row>
    <row r="1262" s="477" customFormat="1" ht="15.4" customHeight="1" spans="1:23">
      <c r="A1262" s="749" t="s">
        <v>778</v>
      </c>
      <c r="B1262" s="1101" t="s">
        <v>1101</v>
      </c>
      <c r="C1262" s="794" t="s">
        <v>32</v>
      </c>
      <c r="D1262" s="266">
        <v>1</v>
      </c>
      <c r="E1262" s="1109"/>
      <c r="F1262" s="840"/>
      <c r="G1262" s="840">
        <f t="shared" si="100"/>
        <v>45781</v>
      </c>
      <c r="H1262" s="713">
        <f t="shared" si="101"/>
        <v>45798</v>
      </c>
      <c r="I1262" s="780" t="s">
        <v>1103</v>
      </c>
      <c r="J1262" s="749" t="s">
        <v>18</v>
      </c>
      <c r="K1262" s="780" t="s">
        <v>19</v>
      </c>
      <c r="L1262" s="279" t="s">
        <v>20</v>
      </c>
      <c r="M1262" s="780" t="s">
        <v>1107</v>
      </c>
      <c r="N1262" s="512"/>
      <c r="O1262" s="512"/>
      <c r="P1262" s="512"/>
      <c r="Q1262" s="512"/>
      <c r="R1262" s="512"/>
      <c r="S1262" s="512"/>
      <c r="T1262" s="512"/>
      <c r="U1262" s="512"/>
      <c r="V1262" s="512"/>
      <c r="W1262" s="512"/>
    </row>
    <row r="1263" s="477" customFormat="1" ht="15.4" customHeight="1" spans="1:23">
      <c r="A1263" s="749" t="s">
        <v>778</v>
      </c>
      <c r="B1263" s="1101" t="s">
        <v>1101</v>
      </c>
      <c r="C1263" s="794" t="s">
        <v>59</v>
      </c>
      <c r="D1263" s="266">
        <v>14</v>
      </c>
      <c r="E1263" s="1109"/>
      <c r="F1263" s="840"/>
      <c r="G1263" s="840">
        <f t="shared" si="100"/>
        <v>45781</v>
      </c>
      <c r="H1263" s="713">
        <f t="shared" si="101"/>
        <v>45798</v>
      </c>
      <c r="I1263" s="780" t="s">
        <v>1103</v>
      </c>
      <c r="J1263" s="749" t="s">
        <v>18</v>
      </c>
      <c r="K1263" s="780" t="s">
        <v>19</v>
      </c>
      <c r="L1263" s="279" t="s">
        <v>20</v>
      </c>
      <c r="M1263" s="780" t="s">
        <v>1107</v>
      </c>
      <c r="N1263" s="512"/>
      <c r="O1263" s="512"/>
      <c r="P1263" s="512"/>
      <c r="Q1263" s="512"/>
      <c r="R1263" s="512"/>
      <c r="S1263" s="512"/>
      <c r="T1263" s="512"/>
      <c r="U1263" s="512"/>
      <c r="V1263" s="512"/>
      <c r="W1263" s="512"/>
    </row>
    <row r="1264" s="477" customFormat="1" ht="15.4" customHeight="1" spans="1:23">
      <c r="A1264" s="749" t="s">
        <v>778</v>
      </c>
      <c r="B1264" s="1101" t="s">
        <v>1101</v>
      </c>
      <c r="C1264" s="794" t="s">
        <v>60</v>
      </c>
      <c r="D1264" s="266">
        <v>14</v>
      </c>
      <c r="E1264" s="1109"/>
      <c r="F1264" s="840"/>
      <c r="G1264" s="840">
        <f t="shared" si="100"/>
        <v>45781</v>
      </c>
      <c r="H1264" s="713">
        <f t="shared" si="101"/>
        <v>45798</v>
      </c>
      <c r="I1264" s="780" t="s">
        <v>1103</v>
      </c>
      <c r="J1264" s="749" t="s">
        <v>18</v>
      </c>
      <c r="K1264" s="780" t="s">
        <v>19</v>
      </c>
      <c r="L1264" s="279" t="s">
        <v>20</v>
      </c>
      <c r="M1264" s="780" t="s">
        <v>1107</v>
      </c>
      <c r="N1264" s="512"/>
      <c r="O1264" s="512"/>
      <c r="P1264" s="512"/>
      <c r="Q1264" s="512"/>
      <c r="R1264" s="512"/>
      <c r="S1264" s="512"/>
      <c r="T1264" s="512"/>
      <c r="U1264" s="512"/>
      <c r="V1264" s="512"/>
      <c r="W1264" s="512"/>
    </row>
    <row r="1265" s="477" customFormat="1" ht="15.4" customHeight="1" spans="1:23">
      <c r="A1265" s="749" t="s">
        <v>778</v>
      </c>
      <c r="B1265" s="1101" t="s">
        <v>1101</v>
      </c>
      <c r="C1265" s="794" t="s">
        <v>342</v>
      </c>
      <c r="D1265" s="266">
        <v>2</v>
      </c>
      <c r="E1265" s="1109"/>
      <c r="F1265" s="840"/>
      <c r="G1265" s="840">
        <f t="shared" si="100"/>
        <v>45781</v>
      </c>
      <c r="H1265" s="713">
        <f t="shared" si="101"/>
        <v>45798</v>
      </c>
      <c r="I1265" s="780" t="s">
        <v>1103</v>
      </c>
      <c r="J1265" s="749" t="s">
        <v>18</v>
      </c>
      <c r="K1265" s="780" t="s">
        <v>19</v>
      </c>
      <c r="L1265" s="279" t="s">
        <v>20</v>
      </c>
      <c r="M1265" s="780" t="s">
        <v>1107</v>
      </c>
      <c r="N1265" s="512"/>
      <c r="O1265" s="512"/>
      <c r="P1265" s="512"/>
      <c r="Q1265" s="512"/>
      <c r="R1265" s="512"/>
      <c r="S1265" s="512"/>
      <c r="T1265" s="512"/>
      <c r="U1265" s="512"/>
      <c r="V1265" s="512"/>
      <c r="W1265" s="512"/>
    </row>
    <row r="1266" s="477" customFormat="1" ht="15.4" customHeight="1" spans="1:23">
      <c r="A1266" s="749" t="s">
        <v>778</v>
      </c>
      <c r="B1266" s="1101" t="s">
        <v>1101</v>
      </c>
      <c r="C1266" s="794" t="s">
        <v>91</v>
      </c>
      <c r="D1266" s="266">
        <v>13</v>
      </c>
      <c r="E1266" s="1109"/>
      <c r="F1266" s="840"/>
      <c r="G1266" s="840">
        <f t="shared" si="100"/>
        <v>45781</v>
      </c>
      <c r="H1266" s="713">
        <f t="shared" si="101"/>
        <v>45798</v>
      </c>
      <c r="I1266" s="780" t="s">
        <v>1103</v>
      </c>
      <c r="J1266" s="749" t="s">
        <v>18</v>
      </c>
      <c r="K1266" s="780" t="s">
        <v>19</v>
      </c>
      <c r="L1266" s="279" t="s">
        <v>20</v>
      </c>
      <c r="M1266" s="780" t="s">
        <v>1107</v>
      </c>
      <c r="N1266" s="512"/>
      <c r="O1266" s="512"/>
      <c r="P1266" s="512"/>
      <c r="Q1266" s="512"/>
      <c r="R1266" s="512"/>
      <c r="S1266" s="512"/>
      <c r="T1266" s="512"/>
      <c r="U1266" s="512"/>
      <c r="V1266" s="512"/>
      <c r="W1266" s="512"/>
    </row>
    <row r="1267" s="477" customFormat="1" ht="15.4" customHeight="1" spans="1:23">
      <c r="A1267" s="749" t="s">
        <v>778</v>
      </c>
      <c r="B1267" s="1101" t="s">
        <v>1101</v>
      </c>
      <c r="C1267" s="794" t="s">
        <v>77</v>
      </c>
      <c r="D1267" s="266">
        <v>21</v>
      </c>
      <c r="E1267" s="1109"/>
      <c r="F1267" s="840"/>
      <c r="G1267" s="840">
        <f t="shared" si="100"/>
        <v>45781</v>
      </c>
      <c r="H1267" s="713">
        <f t="shared" si="101"/>
        <v>45798</v>
      </c>
      <c r="I1267" s="780" t="s">
        <v>1103</v>
      </c>
      <c r="J1267" s="749" t="s">
        <v>18</v>
      </c>
      <c r="K1267" s="780" t="s">
        <v>19</v>
      </c>
      <c r="L1267" s="279" t="s">
        <v>20</v>
      </c>
      <c r="M1267" s="780" t="s">
        <v>1107</v>
      </c>
      <c r="N1267" s="512"/>
      <c r="O1267" s="512"/>
      <c r="P1267" s="512"/>
      <c r="Q1267" s="512"/>
      <c r="R1267" s="512"/>
      <c r="S1267" s="512"/>
      <c r="T1267" s="512"/>
      <c r="U1267" s="512"/>
      <c r="V1267" s="512"/>
      <c r="W1267" s="512"/>
    </row>
    <row r="1268" s="178" customFormat="1" ht="30" spans="1:23">
      <c r="A1268" s="1053" t="s">
        <v>910</v>
      </c>
      <c r="B1268" s="1099" t="s">
        <v>1108</v>
      </c>
      <c r="C1268" s="1089" t="s">
        <v>349</v>
      </c>
      <c r="D1268" s="266">
        <v>218</v>
      </c>
      <c r="E1268" s="1055" t="s">
        <v>1109</v>
      </c>
      <c r="F1268" s="675"/>
      <c r="G1268" s="675">
        <f>VLOOKUP(CLEAN(SUBSTITUTE(TRIM(MID(E:E,FIND("/",E:E)+1,LEN(E:E)))," ","")),'Customs Decl. &amp; Local Delivery'!D:I,6,0)</f>
        <v>45782</v>
      </c>
      <c r="H1268" s="676">
        <f>VLOOKUP(CLEAN(SUBSTITUTE(TRIM(MID(E:E,FIND("/",E:E)+1,LEN(E:E)))," ","")),'Customs Decl. &amp; Local Delivery'!D:J,7,0)</f>
        <v>45801</v>
      </c>
      <c r="I1268" s="1053" t="s">
        <v>1110</v>
      </c>
      <c r="J1268" s="1053" t="s">
        <v>18</v>
      </c>
      <c r="K1268" s="1053" t="s">
        <v>147</v>
      </c>
      <c r="L1268" s="1090" t="s">
        <v>20</v>
      </c>
      <c r="M1268" s="1053" t="s">
        <v>1111</v>
      </c>
      <c r="N1268" s="512"/>
      <c r="O1268" s="512"/>
      <c r="P1268" s="512"/>
      <c r="Q1268" s="512"/>
      <c r="R1268" s="512"/>
      <c r="S1268" s="512"/>
      <c r="T1268" s="512"/>
      <c r="U1268" s="512"/>
      <c r="V1268" s="512"/>
      <c r="W1268" s="512"/>
    </row>
    <row r="1269" s="178" customFormat="1" ht="15.4" customHeight="1" spans="1:23">
      <c r="A1269" s="1064" t="s">
        <v>656</v>
      </c>
      <c r="B1269" s="1050" t="s">
        <v>1112</v>
      </c>
      <c r="C1269" s="789" t="s">
        <v>69</v>
      </c>
      <c r="D1269" s="279">
        <v>90</v>
      </c>
      <c r="E1269" s="1085" t="s">
        <v>1113</v>
      </c>
      <c r="F1269" s="675"/>
      <c r="G1269" s="675">
        <f>VLOOKUP(CLEAN(SUBSTITUTE(TRIM(MID(E:E,FIND("/",E:E)+1,LEN(E:E)))," ","")),'Customs Decl. &amp; Local Delivery'!D:I,6,0)</f>
        <v>45782</v>
      </c>
      <c r="H1269" s="676">
        <f>VLOOKUP(CLEAN(SUBSTITUTE(TRIM(MID(E:E,FIND("/",E:E)+1,LEN(E:E)))," ","")),'Customs Decl. &amp; Local Delivery'!D:J,7,0)</f>
        <v>45801</v>
      </c>
      <c r="I1269" s="1064" t="s">
        <v>1114</v>
      </c>
      <c r="J1269" s="784" t="s">
        <v>18</v>
      </c>
      <c r="K1269" s="1064" t="s">
        <v>147</v>
      </c>
      <c r="L1269" s="279" t="s">
        <v>20</v>
      </c>
      <c r="M1269" s="1053" t="s">
        <v>1111</v>
      </c>
      <c r="N1269" s="512"/>
      <c r="O1269" s="512"/>
      <c r="P1269" s="512"/>
      <c r="Q1269" s="512"/>
      <c r="R1269" s="512"/>
      <c r="S1269" s="512"/>
      <c r="T1269" s="512"/>
      <c r="U1269" s="512"/>
      <c r="V1269" s="512"/>
      <c r="W1269" s="512"/>
    </row>
    <row r="1270" s="178" customFormat="1" ht="15.4" customHeight="1" spans="1:23">
      <c r="A1270" s="1064" t="s">
        <v>656</v>
      </c>
      <c r="B1270" s="1050" t="s">
        <v>1112</v>
      </c>
      <c r="C1270" s="789" t="s">
        <v>71</v>
      </c>
      <c r="D1270" s="279">
        <v>90</v>
      </c>
      <c r="E1270" s="988"/>
      <c r="F1270" s="703"/>
      <c r="G1270" s="703">
        <f>G1269</f>
        <v>45782</v>
      </c>
      <c r="H1270" s="713">
        <f>H1269</f>
        <v>45801</v>
      </c>
      <c r="I1270" s="1064" t="s">
        <v>1114</v>
      </c>
      <c r="J1270" s="784" t="s">
        <v>18</v>
      </c>
      <c r="K1270" s="1064" t="s">
        <v>147</v>
      </c>
      <c r="L1270" s="279" t="s">
        <v>20</v>
      </c>
      <c r="M1270" s="1064"/>
      <c r="N1270" s="512"/>
      <c r="O1270" s="512"/>
      <c r="P1270" s="512"/>
      <c r="Q1270" s="512"/>
      <c r="R1270" s="512"/>
      <c r="S1270" s="512"/>
      <c r="T1270" s="512"/>
      <c r="U1270" s="512"/>
      <c r="V1270" s="512"/>
      <c r="W1270" s="512"/>
    </row>
    <row r="1271" s="178" customFormat="1" ht="30" spans="1:23">
      <c r="A1271" s="1053" t="s">
        <v>910</v>
      </c>
      <c r="B1271" s="1099" t="s">
        <v>1115</v>
      </c>
      <c r="C1271" s="1089" t="s">
        <v>651</v>
      </c>
      <c r="D1271" s="266">
        <v>45</v>
      </c>
      <c r="E1271" s="1085" t="s">
        <v>1116</v>
      </c>
      <c r="F1271" s="675"/>
      <c r="G1271" s="675">
        <f>VLOOKUP(CLEAN(SUBSTITUTE(TRIM(MID(E:E,FIND("/",E:E)+1,LEN(E:E)))," ","")),'Customs Decl. &amp; Local Delivery'!D:I,6,0)</f>
        <v>45784</v>
      </c>
      <c r="H1271" s="676">
        <f>VLOOKUP(CLEAN(SUBSTITUTE(TRIM(MID(E:E,FIND("/",E:E)+1,LEN(E:E)))," ","")),'Customs Decl. &amp; Local Delivery'!D:J,7,0)</f>
        <v>45811</v>
      </c>
      <c r="I1271" s="1053" t="s">
        <v>1117</v>
      </c>
      <c r="J1271" s="1053" t="s">
        <v>18</v>
      </c>
      <c r="K1271" s="1053" t="s">
        <v>147</v>
      </c>
      <c r="L1271" s="1090" t="s">
        <v>20</v>
      </c>
      <c r="M1271" s="1053" t="s">
        <v>1118</v>
      </c>
      <c r="N1271" s="512"/>
      <c r="O1271" s="512"/>
      <c r="P1271" s="512"/>
      <c r="Q1271" s="512"/>
      <c r="R1271" s="512"/>
      <c r="S1271" s="512"/>
      <c r="T1271" s="512"/>
      <c r="U1271" s="512"/>
      <c r="V1271" s="512"/>
      <c r="W1271" s="512"/>
    </row>
    <row r="1272" s="178" customFormat="1" ht="30" spans="1:23">
      <c r="A1272" s="1053" t="s">
        <v>910</v>
      </c>
      <c r="B1272" s="1099" t="s">
        <v>1119</v>
      </c>
      <c r="C1272" s="1048" t="s">
        <v>1120</v>
      </c>
      <c r="D1272" s="267">
        <v>45</v>
      </c>
      <c r="E1272" s="1055" t="s">
        <v>1121</v>
      </c>
      <c r="F1272" s="675"/>
      <c r="G1272" s="675">
        <f>VLOOKUP(CLEAN(SUBSTITUTE(TRIM(MID(E:E,FIND("/",E:E)+1,LEN(E:E)))," ","")),'Customs Decl. &amp; Local Delivery'!D:I,6,0)</f>
        <v>45784</v>
      </c>
      <c r="H1272" s="676">
        <f>VLOOKUP(CLEAN(SUBSTITUTE(TRIM(MID(E:E,FIND("/",E:E)+1,LEN(E:E)))," ","")),'Customs Decl. &amp; Local Delivery'!D:J,7,0)</f>
        <v>45818</v>
      </c>
      <c r="I1272" s="1053" t="s">
        <v>1122</v>
      </c>
      <c r="J1272" s="1053" t="s">
        <v>18</v>
      </c>
      <c r="K1272" s="1053" t="s">
        <v>147</v>
      </c>
      <c r="L1272" s="279" t="s">
        <v>20</v>
      </c>
      <c r="M1272" s="1053" t="s">
        <v>1123</v>
      </c>
      <c r="N1272" s="512"/>
      <c r="O1272" s="512"/>
      <c r="P1272" s="512"/>
      <c r="Q1272" s="512"/>
      <c r="R1272" s="512"/>
      <c r="S1272" s="512"/>
      <c r="T1272" s="512"/>
      <c r="U1272" s="512"/>
      <c r="V1272" s="512"/>
      <c r="W1272" s="512"/>
    </row>
    <row r="1273" s="178" customFormat="1" ht="30" spans="1:23">
      <c r="A1273" s="1053" t="s">
        <v>910</v>
      </c>
      <c r="B1273" s="1099" t="s">
        <v>1124</v>
      </c>
      <c r="C1273" s="1048" t="s">
        <v>1120</v>
      </c>
      <c r="D1273" s="267">
        <v>45</v>
      </c>
      <c r="E1273" s="1055" t="s">
        <v>1125</v>
      </c>
      <c r="F1273" s="675"/>
      <c r="G1273" s="675">
        <f>VLOOKUP(CLEAN(SUBSTITUTE(TRIM(MID(E:E,FIND("/",E:E)+1,LEN(E:E)))," ","")),'Customs Decl. &amp; Local Delivery'!D:I,6,0)</f>
        <v>45784</v>
      </c>
      <c r="H1273" s="676">
        <f>VLOOKUP(CLEAN(SUBSTITUTE(TRIM(MID(E:E,FIND("/",E:E)+1,LEN(E:E)))," ","")),'Customs Decl. &amp; Local Delivery'!D:J,7,0)</f>
        <v>45811</v>
      </c>
      <c r="I1273" s="1053" t="s">
        <v>1126</v>
      </c>
      <c r="J1273" s="1053" t="s">
        <v>18</v>
      </c>
      <c r="K1273" s="1053" t="s">
        <v>147</v>
      </c>
      <c r="L1273" s="1090" t="s">
        <v>20</v>
      </c>
      <c r="M1273" s="1053" t="s">
        <v>1118</v>
      </c>
      <c r="N1273" s="512"/>
      <c r="O1273" s="512"/>
      <c r="P1273" s="512"/>
      <c r="Q1273" s="512"/>
      <c r="R1273" s="512"/>
      <c r="S1273" s="512"/>
      <c r="T1273" s="512"/>
      <c r="U1273" s="512"/>
      <c r="V1273" s="512"/>
      <c r="W1273" s="512"/>
    </row>
    <row r="1274" s="178" customFormat="1" ht="30" spans="1:23">
      <c r="A1274" s="1053" t="s">
        <v>910</v>
      </c>
      <c r="B1274" s="1099" t="s">
        <v>1127</v>
      </c>
      <c r="C1274" s="1048" t="s">
        <v>1120</v>
      </c>
      <c r="D1274" s="267">
        <v>45</v>
      </c>
      <c r="E1274" s="1055" t="s">
        <v>1128</v>
      </c>
      <c r="F1274" s="675"/>
      <c r="G1274" s="675">
        <f>VLOOKUP(CLEAN(SUBSTITUTE(TRIM(MID(E:E,FIND("/",E:E)+1,LEN(E:E)))," ","")),'Customs Decl. &amp; Local Delivery'!D:I,6,0)</f>
        <v>45784</v>
      </c>
      <c r="H1274" s="676">
        <f>VLOOKUP(CLEAN(SUBSTITUTE(TRIM(MID(E:E,FIND("/",E:E)+1,LEN(E:E)))," ","")),'Customs Decl. &amp; Local Delivery'!D:J,7,0)</f>
        <v>45818</v>
      </c>
      <c r="I1274" s="1053" t="s">
        <v>1129</v>
      </c>
      <c r="J1274" s="1053" t="s">
        <v>18</v>
      </c>
      <c r="K1274" s="1053" t="s">
        <v>147</v>
      </c>
      <c r="L1274" s="279" t="s">
        <v>20</v>
      </c>
      <c r="M1274" s="1053" t="s">
        <v>1123</v>
      </c>
      <c r="N1274" s="203"/>
      <c r="O1274" s="203"/>
      <c r="P1274" s="203"/>
      <c r="Q1274" s="203"/>
      <c r="R1274" s="203"/>
      <c r="S1274" s="203"/>
      <c r="T1274" s="203"/>
      <c r="U1274" s="203"/>
      <c r="V1274" s="203"/>
      <c r="W1274" s="203"/>
    </row>
    <row r="1275" s="178" customFormat="1" ht="30" spans="1:23">
      <c r="A1275" s="1053" t="s">
        <v>910</v>
      </c>
      <c r="B1275" s="1099" t="s">
        <v>1130</v>
      </c>
      <c r="C1275" s="1048" t="s">
        <v>1120</v>
      </c>
      <c r="D1275" s="267">
        <v>45</v>
      </c>
      <c r="E1275" s="1055" t="s">
        <v>1131</v>
      </c>
      <c r="F1275" s="675"/>
      <c r="G1275" s="675">
        <f>VLOOKUP(CLEAN(SUBSTITUTE(TRIM(MID(E:E,FIND("/",E:E)+1,LEN(E:E)))," ","")),'Customs Decl. &amp; Local Delivery'!D:I,6,0)</f>
        <v>45784</v>
      </c>
      <c r="H1275" s="676">
        <f>VLOOKUP(CLEAN(SUBSTITUTE(TRIM(MID(E:E,FIND("/",E:E)+1,LEN(E:E)))," ","")),'Customs Decl. &amp; Local Delivery'!D:J,7,0)</f>
        <v>45818</v>
      </c>
      <c r="I1275" s="1053" t="s">
        <v>1132</v>
      </c>
      <c r="J1275" s="1053" t="s">
        <v>18</v>
      </c>
      <c r="K1275" s="1053" t="s">
        <v>147</v>
      </c>
      <c r="L1275" s="1090" t="s">
        <v>20</v>
      </c>
      <c r="M1275" s="1053" t="s">
        <v>1123</v>
      </c>
      <c r="N1275" s="512"/>
      <c r="O1275" s="512"/>
      <c r="P1275" s="512"/>
      <c r="Q1275" s="512"/>
      <c r="R1275" s="512"/>
      <c r="S1275" s="512"/>
      <c r="T1275" s="512"/>
      <c r="U1275" s="512"/>
      <c r="V1275" s="512"/>
      <c r="W1275" s="512"/>
    </row>
    <row r="1276" s="178" customFormat="1" ht="30" spans="1:23">
      <c r="A1276" s="1053" t="s">
        <v>910</v>
      </c>
      <c r="B1276" s="1099" t="s">
        <v>1133</v>
      </c>
      <c r="C1276" s="1048" t="s">
        <v>1120</v>
      </c>
      <c r="D1276" s="267">
        <v>45</v>
      </c>
      <c r="E1276" s="1055" t="s">
        <v>1134</v>
      </c>
      <c r="F1276" s="675"/>
      <c r="G1276" s="675">
        <f>VLOOKUP(CLEAN(SUBSTITUTE(TRIM(MID(E:E,FIND("/",E:E)+1,LEN(E:E)))," ","")),'Customs Decl. &amp; Local Delivery'!D:I,6,0)</f>
        <v>45784</v>
      </c>
      <c r="H1276" s="676">
        <f>VLOOKUP(CLEAN(SUBSTITUTE(TRIM(MID(E:E,FIND("/",E:E)+1,LEN(E:E)))," ","")),'Customs Decl. &amp; Local Delivery'!D:J,7,0)</f>
        <v>45818</v>
      </c>
      <c r="I1276" s="1053" t="s">
        <v>1135</v>
      </c>
      <c r="J1276" s="1053" t="s">
        <v>18</v>
      </c>
      <c r="K1276" s="1053" t="s">
        <v>147</v>
      </c>
      <c r="L1276" s="1090" t="s">
        <v>20</v>
      </c>
      <c r="M1276" s="1053" t="s">
        <v>1123</v>
      </c>
      <c r="N1276" s="203"/>
      <c r="O1276" s="203"/>
      <c r="P1276" s="203"/>
      <c r="Q1276" s="203"/>
      <c r="R1276" s="203"/>
      <c r="S1276" s="203"/>
      <c r="T1276" s="203"/>
      <c r="U1276" s="203"/>
      <c r="V1276" s="203"/>
      <c r="W1276" s="203"/>
    </row>
    <row r="1277" s="178" customFormat="1" ht="30" spans="1:23">
      <c r="A1277" s="1053" t="s">
        <v>910</v>
      </c>
      <c r="B1277" s="1099" t="s">
        <v>1136</v>
      </c>
      <c r="C1277" s="1089" t="s">
        <v>318</v>
      </c>
      <c r="D1277" s="266">
        <v>312</v>
      </c>
      <c r="E1277" s="1055" t="s">
        <v>1137</v>
      </c>
      <c r="F1277" s="675"/>
      <c r="G1277" s="675">
        <f>VLOOKUP(CLEAN(SUBSTITUTE(TRIM(MID(E:E,FIND("/",E:E)+1,LEN(E:E)))," ","")),'Customs Decl. &amp; Local Delivery'!D:I,6,0)</f>
        <v>45785</v>
      </c>
      <c r="H1277" s="676">
        <f>VLOOKUP(CLEAN(SUBSTITUTE(TRIM(MID(E:E,FIND("/",E:E)+1,LEN(E:E)))," ","")),'Customs Decl. &amp; Local Delivery'!D:J,7,0)</f>
        <v>45803</v>
      </c>
      <c r="I1277" s="1053" t="s">
        <v>1138</v>
      </c>
      <c r="J1277" s="1053" t="s">
        <v>18</v>
      </c>
      <c r="K1277" s="1053" t="s">
        <v>147</v>
      </c>
      <c r="L1277" s="1090" t="s">
        <v>20</v>
      </c>
      <c r="M1277" s="1053" t="s">
        <v>1139</v>
      </c>
      <c r="N1277" s="1148"/>
      <c r="O1277" s="512"/>
      <c r="P1277" s="512"/>
      <c r="Q1277" s="512"/>
      <c r="R1277" s="512"/>
      <c r="S1277" s="512"/>
      <c r="T1277" s="512"/>
      <c r="U1277" s="512"/>
      <c r="V1277" s="512"/>
      <c r="W1277" s="512"/>
    </row>
    <row r="1278" s="178" customFormat="1" ht="15.4" customHeight="1" spans="1:23">
      <c r="A1278" s="1053" t="s">
        <v>910</v>
      </c>
      <c r="B1278" s="1099" t="s">
        <v>1140</v>
      </c>
      <c r="C1278" s="1048" t="s">
        <v>761</v>
      </c>
      <c r="D1278" s="240">
        <v>40</v>
      </c>
      <c r="E1278" s="1055" t="s">
        <v>1141</v>
      </c>
      <c r="F1278" s="675"/>
      <c r="G1278" s="675">
        <f>VLOOKUP(CLEAN(SUBSTITUTE(TRIM(MID(E:E,FIND("/",E:E)+1,LEN(E:E)))," ","")),'Customs Decl. &amp; Local Delivery'!D:I,6,0)</f>
        <v>45786</v>
      </c>
      <c r="H1278" s="676">
        <f>VLOOKUP(CLEAN(SUBSTITUTE(TRIM(MID(E:E,FIND("/",E:E)+1,LEN(E:E)))," ","")),'Customs Decl. &amp; Local Delivery'!D:J,7,0)</f>
        <v>45802</v>
      </c>
      <c r="I1278" s="1053" t="s">
        <v>1142</v>
      </c>
      <c r="J1278" s="1053" t="s">
        <v>18</v>
      </c>
      <c r="K1278" s="1053" t="s">
        <v>147</v>
      </c>
      <c r="L1278" s="279" t="s">
        <v>20</v>
      </c>
      <c r="M1278" s="1053" t="s">
        <v>773</v>
      </c>
      <c r="N1278" s="512"/>
      <c r="O1278" s="512"/>
      <c r="P1278" s="512"/>
      <c r="Q1278" s="512"/>
      <c r="R1278" s="512"/>
      <c r="S1278" s="512"/>
      <c r="T1278" s="512"/>
      <c r="U1278" s="512"/>
      <c r="V1278" s="512"/>
      <c r="W1278" s="512"/>
    </row>
    <row r="1279" s="178" customFormat="1" ht="15.4" customHeight="1" spans="1:23">
      <c r="A1279" s="1053" t="s">
        <v>910</v>
      </c>
      <c r="B1279" s="1099" t="s">
        <v>1140</v>
      </c>
      <c r="C1279" s="1048" t="s">
        <v>15</v>
      </c>
      <c r="D1279" s="240">
        <v>270</v>
      </c>
      <c r="E1279" s="1127"/>
      <c r="F1279" s="840"/>
      <c r="G1279" s="840">
        <f>G1278</f>
        <v>45786</v>
      </c>
      <c r="H1279" s="713">
        <f>H1278</f>
        <v>45802</v>
      </c>
      <c r="I1279" s="1053" t="s">
        <v>1142</v>
      </c>
      <c r="J1279" s="1053" t="s">
        <v>18</v>
      </c>
      <c r="K1279" s="1053" t="s">
        <v>147</v>
      </c>
      <c r="L1279" s="279" t="s">
        <v>20</v>
      </c>
      <c r="M1279" s="1149"/>
      <c r="N1279" s="512"/>
      <c r="O1279" s="512"/>
      <c r="P1279" s="512"/>
      <c r="Q1279" s="512"/>
      <c r="R1279" s="512"/>
      <c r="S1279" s="512"/>
      <c r="T1279" s="512"/>
      <c r="U1279" s="512"/>
      <c r="V1279" s="512"/>
      <c r="W1279" s="512"/>
    </row>
    <row r="1280" s="178" customFormat="1" ht="15.4" customHeight="1" spans="1:23">
      <c r="A1280" s="1053" t="s">
        <v>910</v>
      </c>
      <c r="B1280" s="1099" t="s">
        <v>1140</v>
      </c>
      <c r="C1280" s="1048" t="s">
        <v>129</v>
      </c>
      <c r="D1280" s="240">
        <v>150</v>
      </c>
      <c r="E1280" s="1127"/>
      <c r="F1280" s="840"/>
      <c r="G1280" s="840">
        <f>G1279</f>
        <v>45786</v>
      </c>
      <c r="H1280" s="713">
        <f>H1279</f>
        <v>45802</v>
      </c>
      <c r="I1280" s="1053" t="s">
        <v>1142</v>
      </c>
      <c r="J1280" s="1053" t="s">
        <v>18</v>
      </c>
      <c r="K1280" s="1053" t="s">
        <v>147</v>
      </c>
      <c r="L1280" s="279" t="s">
        <v>20</v>
      </c>
      <c r="M1280" s="1053"/>
      <c r="N1280" s="512"/>
      <c r="O1280" s="512"/>
      <c r="P1280" s="512"/>
      <c r="Q1280" s="512"/>
      <c r="R1280" s="512"/>
      <c r="S1280" s="512"/>
      <c r="T1280" s="512"/>
      <c r="U1280" s="512"/>
      <c r="V1280" s="512"/>
      <c r="W1280" s="512"/>
    </row>
    <row r="1281" s="178" customFormat="1" ht="15.4" customHeight="1" spans="1:23">
      <c r="A1281" s="1053" t="s">
        <v>910</v>
      </c>
      <c r="B1281" s="1099" t="s">
        <v>1140</v>
      </c>
      <c r="C1281" s="1048" t="s">
        <v>133</v>
      </c>
      <c r="D1281" s="240">
        <v>98</v>
      </c>
      <c r="E1281" s="1127"/>
      <c r="F1281" s="840"/>
      <c r="G1281" s="840">
        <f>G1280</f>
        <v>45786</v>
      </c>
      <c r="H1281" s="713">
        <f>H1280</f>
        <v>45802</v>
      </c>
      <c r="I1281" s="1053" t="s">
        <v>1142</v>
      </c>
      <c r="J1281" s="1053" t="s">
        <v>18</v>
      </c>
      <c r="K1281" s="1053" t="s">
        <v>147</v>
      </c>
      <c r="L1281" s="279" t="s">
        <v>20</v>
      </c>
      <c r="M1281" s="1053"/>
      <c r="N1281" s="512"/>
      <c r="O1281" s="512"/>
      <c r="P1281" s="512"/>
      <c r="Q1281" s="512"/>
      <c r="R1281" s="512"/>
      <c r="S1281" s="512"/>
      <c r="T1281" s="512"/>
      <c r="U1281" s="512"/>
      <c r="V1281" s="512"/>
      <c r="W1281" s="512"/>
    </row>
    <row r="1282" s="178" customFormat="1" ht="30.75" customHeight="1" spans="1:23">
      <c r="A1282" s="1053" t="s">
        <v>910</v>
      </c>
      <c r="B1282" s="1099" t="s">
        <v>1143</v>
      </c>
      <c r="C1282" s="1048" t="s">
        <v>396</v>
      </c>
      <c r="D1282" s="240">
        <v>138</v>
      </c>
      <c r="E1282" s="1055" t="s">
        <v>1144</v>
      </c>
      <c r="F1282" s="675"/>
      <c r="G1282" s="675">
        <f>VLOOKUP(CLEAN(SUBSTITUTE(TRIM(MID(E:E,FIND("/",E:E)+1,LEN(E:E)))," ","")),'Customs Decl. &amp; Local Delivery'!D:I,6,0)</f>
        <v>45786</v>
      </c>
      <c r="H1282" s="676">
        <f>VLOOKUP(CLEAN(SUBSTITUTE(TRIM(MID(E:E,FIND("/",E:E)+1,LEN(E:E)))," ","")),'Customs Decl. &amp; Local Delivery'!D:J,7,0)</f>
        <v>45802</v>
      </c>
      <c r="I1282" s="1053" t="s">
        <v>1145</v>
      </c>
      <c r="J1282" s="1053" t="s">
        <v>18</v>
      </c>
      <c r="K1282" s="1053" t="s">
        <v>147</v>
      </c>
      <c r="L1282" s="279" t="s">
        <v>20</v>
      </c>
      <c r="M1282" s="1053" t="s">
        <v>773</v>
      </c>
      <c r="N1282" s="512"/>
      <c r="O1282" s="512"/>
      <c r="P1282" s="512"/>
      <c r="Q1282" s="512"/>
      <c r="R1282" s="512"/>
      <c r="S1282" s="512"/>
      <c r="T1282" s="512"/>
      <c r="U1282" s="512"/>
      <c r="V1282" s="512"/>
      <c r="W1282" s="512"/>
    </row>
    <row r="1283" s="178" customFormat="1" ht="15.4" customHeight="1" spans="1:23">
      <c r="A1283" s="1053" t="s">
        <v>910</v>
      </c>
      <c r="B1283" s="1099" t="s">
        <v>1146</v>
      </c>
      <c r="C1283" s="1048" t="s">
        <v>757</v>
      </c>
      <c r="D1283" s="240">
        <v>30</v>
      </c>
      <c r="E1283" s="1055" t="s">
        <v>1147</v>
      </c>
      <c r="F1283" s="675"/>
      <c r="G1283" s="675">
        <f>VLOOKUP(CLEAN(SUBSTITUTE(TRIM(MID(E:E,FIND("/",E:E)+1,LEN(E:E)))," ","")),'Customs Decl. &amp; Local Delivery'!D:I,6,0)</f>
        <v>45786</v>
      </c>
      <c r="H1283" s="676">
        <f>VLOOKUP(CLEAN(SUBSTITUTE(TRIM(MID(E:E,FIND("/",E:E)+1,LEN(E:E)))," ","")),'Customs Decl. &amp; Local Delivery'!D:J,7,0)</f>
        <v>45802</v>
      </c>
      <c r="I1283" s="1053" t="s">
        <v>1148</v>
      </c>
      <c r="J1283" s="1053" t="s">
        <v>18</v>
      </c>
      <c r="K1283" s="1053" t="s">
        <v>147</v>
      </c>
      <c r="L1283" s="279" t="s">
        <v>20</v>
      </c>
      <c r="M1283" s="1053" t="s">
        <v>773</v>
      </c>
      <c r="N1283" s="512"/>
      <c r="O1283" s="512"/>
      <c r="P1283" s="512"/>
      <c r="Q1283" s="512"/>
      <c r="R1283" s="512"/>
      <c r="S1283" s="512"/>
      <c r="T1283" s="512"/>
      <c r="U1283" s="512"/>
      <c r="V1283" s="512"/>
      <c r="W1283" s="512"/>
    </row>
    <row r="1284" s="178" customFormat="1" ht="15.4" customHeight="1" spans="1:23">
      <c r="A1284" s="1053" t="s">
        <v>910</v>
      </c>
      <c r="B1284" s="1099" t="s">
        <v>1146</v>
      </c>
      <c r="C1284" s="1048" t="s">
        <v>761</v>
      </c>
      <c r="D1284" s="240">
        <v>10</v>
      </c>
      <c r="E1284" s="1127"/>
      <c r="F1284" s="840"/>
      <c r="G1284" s="840">
        <f t="shared" ref="G1284:G1290" si="102">G1283</f>
        <v>45786</v>
      </c>
      <c r="H1284" s="713">
        <f t="shared" ref="H1284:H1290" si="103">H1283</f>
        <v>45802</v>
      </c>
      <c r="I1284" s="1053" t="s">
        <v>1148</v>
      </c>
      <c r="J1284" s="1053" t="s">
        <v>18</v>
      </c>
      <c r="K1284" s="1053" t="s">
        <v>147</v>
      </c>
      <c r="L1284" s="279" t="s">
        <v>20</v>
      </c>
      <c r="M1284" s="1053"/>
      <c r="N1284" s="512"/>
      <c r="O1284" s="512"/>
      <c r="P1284" s="512"/>
      <c r="Q1284" s="512"/>
      <c r="R1284" s="512"/>
      <c r="S1284" s="512"/>
      <c r="T1284" s="512"/>
      <c r="U1284" s="512"/>
      <c r="V1284" s="512"/>
      <c r="W1284" s="512"/>
    </row>
    <row r="1285" s="178" customFormat="1" ht="15.4" customHeight="1" spans="1:23">
      <c r="A1285" s="1053" t="s">
        <v>910</v>
      </c>
      <c r="B1285" s="1099" t="s">
        <v>1146</v>
      </c>
      <c r="C1285" s="1048" t="s">
        <v>15</v>
      </c>
      <c r="D1285" s="240">
        <v>50</v>
      </c>
      <c r="E1285" s="976"/>
      <c r="F1285" s="840"/>
      <c r="G1285" s="840">
        <f t="shared" si="102"/>
        <v>45786</v>
      </c>
      <c r="H1285" s="713">
        <f t="shared" si="103"/>
        <v>45802</v>
      </c>
      <c r="I1285" s="1053" t="s">
        <v>1148</v>
      </c>
      <c r="J1285" s="1053" t="s">
        <v>18</v>
      </c>
      <c r="K1285" s="1053" t="s">
        <v>147</v>
      </c>
      <c r="L1285" s="279" t="s">
        <v>20</v>
      </c>
      <c r="M1285" s="1053"/>
      <c r="N1285" s="512"/>
      <c r="O1285" s="512"/>
      <c r="P1285" s="512"/>
      <c r="Q1285" s="512"/>
      <c r="R1285" s="512"/>
      <c r="S1285" s="512"/>
      <c r="T1285" s="512"/>
      <c r="U1285" s="512"/>
      <c r="V1285" s="512"/>
      <c r="W1285" s="512"/>
    </row>
    <row r="1286" s="178" customFormat="1" ht="15.4" customHeight="1" spans="1:23">
      <c r="A1286" s="1053" t="s">
        <v>910</v>
      </c>
      <c r="B1286" s="1099" t="s">
        <v>1146</v>
      </c>
      <c r="C1286" s="1048" t="s">
        <v>24</v>
      </c>
      <c r="D1286" s="240">
        <v>100</v>
      </c>
      <c r="E1286" s="976"/>
      <c r="F1286" s="840"/>
      <c r="G1286" s="840">
        <f t="shared" si="102"/>
        <v>45786</v>
      </c>
      <c r="H1286" s="713">
        <f t="shared" si="103"/>
        <v>45802</v>
      </c>
      <c r="I1286" s="1053" t="s">
        <v>1148</v>
      </c>
      <c r="J1286" s="1053" t="s">
        <v>18</v>
      </c>
      <c r="K1286" s="1053" t="s">
        <v>147</v>
      </c>
      <c r="L1286" s="279" t="s">
        <v>20</v>
      </c>
      <c r="M1286" s="1053"/>
      <c r="N1286" s="512"/>
      <c r="O1286" s="512"/>
      <c r="P1286" s="512"/>
      <c r="Q1286" s="512"/>
      <c r="R1286" s="512"/>
      <c r="S1286" s="512"/>
      <c r="T1286" s="512"/>
      <c r="U1286" s="512"/>
      <c r="V1286" s="512"/>
      <c r="W1286" s="512"/>
    </row>
    <row r="1287" s="178" customFormat="1" ht="15.4" customHeight="1" spans="1:23">
      <c r="A1287" s="1053" t="s">
        <v>910</v>
      </c>
      <c r="B1287" s="1099" t="s">
        <v>1146</v>
      </c>
      <c r="C1287" s="1048" t="s">
        <v>70</v>
      </c>
      <c r="D1287" s="240">
        <v>20</v>
      </c>
      <c r="E1287" s="976"/>
      <c r="F1287" s="840"/>
      <c r="G1287" s="840">
        <f t="shared" si="102"/>
        <v>45786</v>
      </c>
      <c r="H1287" s="713">
        <f t="shared" si="103"/>
        <v>45802</v>
      </c>
      <c r="I1287" s="1053" t="s">
        <v>1148</v>
      </c>
      <c r="J1287" s="1053" t="s">
        <v>18</v>
      </c>
      <c r="K1287" s="1053" t="s">
        <v>147</v>
      </c>
      <c r="L1287" s="279" t="s">
        <v>20</v>
      </c>
      <c r="M1287" s="1053"/>
      <c r="N1287" s="512"/>
      <c r="O1287" s="512"/>
      <c r="P1287" s="512"/>
      <c r="Q1287" s="512"/>
      <c r="R1287" s="512"/>
      <c r="S1287" s="512"/>
      <c r="T1287" s="512"/>
      <c r="U1287" s="512"/>
      <c r="V1287" s="512"/>
      <c r="W1287" s="512"/>
    </row>
    <row r="1288" s="178" customFormat="1" ht="15.4" customHeight="1" spans="1:23">
      <c r="A1288" s="1053" t="s">
        <v>910</v>
      </c>
      <c r="B1288" s="1099" t="s">
        <v>1146</v>
      </c>
      <c r="C1288" s="1048" t="s">
        <v>22</v>
      </c>
      <c r="D1288" s="240">
        <v>50</v>
      </c>
      <c r="E1288" s="976"/>
      <c r="F1288" s="840"/>
      <c r="G1288" s="840">
        <f t="shared" si="102"/>
        <v>45786</v>
      </c>
      <c r="H1288" s="713">
        <f t="shared" si="103"/>
        <v>45802</v>
      </c>
      <c r="I1288" s="1053" t="s">
        <v>1148</v>
      </c>
      <c r="J1288" s="1053" t="s">
        <v>18</v>
      </c>
      <c r="K1288" s="1053" t="s">
        <v>147</v>
      </c>
      <c r="L1288" s="279" t="s">
        <v>20</v>
      </c>
      <c r="M1288" s="1053"/>
      <c r="N1288" s="512"/>
      <c r="O1288" s="512"/>
      <c r="P1288" s="512"/>
      <c r="Q1288" s="512"/>
      <c r="R1288" s="512"/>
      <c r="S1288" s="512"/>
      <c r="T1288" s="512"/>
      <c r="U1288" s="512"/>
      <c r="V1288" s="512"/>
      <c r="W1288" s="512"/>
    </row>
    <row r="1289" s="178" customFormat="1" ht="15.4" customHeight="1" spans="1:23">
      <c r="A1289" s="1053" t="s">
        <v>910</v>
      </c>
      <c r="B1289" s="1099" t="s">
        <v>1146</v>
      </c>
      <c r="C1289" s="1048" t="s">
        <v>25</v>
      </c>
      <c r="D1289" s="240">
        <v>100</v>
      </c>
      <c r="E1289" s="976"/>
      <c r="F1289" s="840"/>
      <c r="G1289" s="840">
        <f t="shared" si="102"/>
        <v>45786</v>
      </c>
      <c r="H1289" s="713">
        <f t="shared" si="103"/>
        <v>45802</v>
      </c>
      <c r="I1289" s="1053" t="s">
        <v>1148</v>
      </c>
      <c r="J1289" s="1053" t="s">
        <v>18</v>
      </c>
      <c r="K1289" s="1053" t="s">
        <v>147</v>
      </c>
      <c r="L1289" s="279" t="s">
        <v>20</v>
      </c>
      <c r="M1289" s="1053"/>
      <c r="N1289" s="512"/>
      <c r="O1289" s="512"/>
      <c r="P1289" s="512"/>
      <c r="Q1289" s="512"/>
      <c r="R1289" s="512"/>
      <c r="S1289" s="512"/>
      <c r="T1289" s="512"/>
      <c r="U1289" s="512"/>
      <c r="V1289" s="512"/>
      <c r="W1289" s="512"/>
    </row>
    <row r="1290" s="178" customFormat="1" ht="15.4" customHeight="1" spans="1:23">
      <c r="A1290" s="1053" t="s">
        <v>910</v>
      </c>
      <c r="B1290" s="1099" t="s">
        <v>1146</v>
      </c>
      <c r="C1290" s="1048" t="s">
        <v>71</v>
      </c>
      <c r="D1290" s="240">
        <v>20</v>
      </c>
      <c r="E1290" s="1127"/>
      <c r="F1290" s="840"/>
      <c r="G1290" s="840">
        <f t="shared" si="102"/>
        <v>45786</v>
      </c>
      <c r="H1290" s="713">
        <f t="shared" si="103"/>
        <v>45802</v>
      </c>
      <c r="I1290" s="1053" t="s">
        <v>1148</v>
      </c>
      <c r="J1290" s="1053" t="s">
        <v>18</v>
      </c>
      <c r="K1290" s="1053" t="s">
        <v>147</v>
      </c>
      <c r="L1290" s="279" t="s">
        <v>20</v>
      </c>
      <c r="M1290" s="1053"/>
      <c r="N1290" s="512"/>
      <c r="O1290" s="512"/>
      <c r="P1290" s="512"/>
      <c r="Q1290" s="512"/>
      <c r="R1290" s="512"/>
      <c r="S1290" s="512"/>
      <c r="T1290" s="512"/>
      <c r="U1290" s="512"/>
      <c r="V1290" s="512"/>
      <c r="W1290" s="512"/>
    </row>
    <row r="1291" s="178" customFormat="1" ht="30" spans="1:23">
      <c r="A1291" s="1064" t="s">
        <v>656</v>
      </c>
      <c r="B1291" s="1050" t="s">
        <v>1149</v>
      </c>
      <c r="C1291" s="789" t="s">
        <v>70</v>
      </c>
      <c r="D1291" s="279">
        <v>450</v>
      </c>
      <c r="E1291" s="1085" t="s">
        <v>1150</v>
      </c>
      <c r="F1291" s="675"/>
      <c r="G1291" s="675">
        <f>VLOOKUP(CLEAN(SUBSTITUTE(TRIM(MID(E:E,FIND("/",E:E)+1,LEN(E:E)))," ","")),'Customs Decl. &amp; Local Delivery'!D:I,6,0)</f>
        <v>45786</v>
      </c>
      <c r="H1291" s="676">
        <f>VLOOKUP(CLEAN(SUBSTITUTE(TRIM(MID(E:E,FIND("/",E:E)+1,LEN(E:E)))," ","")),'Customs Decl. &amp; Local Delivery'!D:J,7,0)</f>
        <v>45808</v>
      </c>
      <c r="I1291" s="1064" t="s">
        <v>1151</v>
      </c>
      <c r="J1291" s="784" t="s">
        <v>18</v>
      </c>
      <c r="K1291" s="1064" t="s">
        <v>147</v>
      </c>
      <c r="L1291" s="279" t="s">
        <v>20</v>
      </c>
      <c r="M1291" s="1064" t="s">
        <v>1152</v>
      </c>
      <c r="N1291" s="512"/>
      <c r="O1291" s="512"/>
      <c r="P1291" s="512"/>
      <c r="Q1291" s="512"/>
      <c r="R1291" s="512"/>
      <c r="S1291" s="512"/>
      <c r="T1291" s="512"/>
      <c r="U1291" s="512"/>
      <c r="V1291" s="512"/>
      <c r="W1291" s="512"/>
    </row>
    <row r="1292" s="178" customFormat="1" ht="15.4" customHeight="1" spans="1:23">
      <c r="A1292" s="1064" t="s">
        <v>656</v>
      </c>
      <c r="B1292" s="1050" t="s">
        <v>1153</v>
      </c>
      <c r="C1292" s="789" t="s">
        <v>67</v>
      </c>
      <c r="D1292" s="279">
        <v>115</v>
      </c>
      <c r="E1292" s="1085" t="s">
        <v>1154</v>
      </c>
      <c r="F1292" s="675"/>
      <c r="G1292" s="675">
        <f>VLOOKUP(CLEAN(SUBSTITUTE(TRIM(MID(E:E,FIND("/",E:E)+1,LEN(E:E)))," ","")),'Customs Decl. &amp; Local Delivery'!D:I,6,0)</f>
        <v>45786</v>
      </c>
      <c r="H1292" s="676">
        <f>VLOOKUP(CLEAN(SUBSTITUTE(TRIM(MID(E:E,FIND("/",E:E)+1,LEN(E:E)))," ","")),'Customs Decl. &amp; Local Delivery'!D:J,7,0)</f>
        <v>45808</v>
      </c>
      <c r="I1292" s="1064" t="s">
        <v>1155</v>
      </c>
      <c r="J1292" s="784" t="s">
        <v>18</v>
      </c>
      <c r="K1292" s="1064" t="s">
        <v>147</v>
      </c>
      <c r="L1292" s="1090" t="s">
        <v>20</v>
      </c>
      <c r="M1292" s="1064" t="s">
        <v>1156</v>
      </c>
      <c r="N1292" s="512"/>
      <c r="O1292" s="512"/>
      <c r="P1292" s="512"/>
      <c r="Q1292" s="512"/>
      <c r="R1292" s="512"/>
      <c r="S1292" s="512"/>
      <c r="T1292" s="512"/>
      <c r="U1292" s="512"/>
      <c r="V1292" s="512"/>
      <c r="W1292" s="512"/>
    </row>
    <row r="1293" s="178" customFormat="1" ht="15.4" customHeight="1" spans="1:23">
      <c r="A1293" s="1064" t="s">
        <v>656</v>
      </c>
      <c r="B1293" s="1050" t="s">
        <v>1153</v>
      </c>
      <c r="C1293" s="789" t="s">
        <v>70</v>
      </c>
      <c r="D1293" s="279">
        <v>115</v>
      </c>
      <c r="E1293" s="988"/>
      <c r="F1293" s="840"/>
      <c r="G1293" s="840">
        <f>G1292</f>
        <v>45786</v>
      </c>
      <c r="H1293" s="713">
        <f>H1292</f>
        <v>45808</v>
      </c>
      <c r="I1293" s="1064" t="s">
        <v>1155</v>
      </c>
      <c r="J1293" s="784" t="s">
        <v>18</v>
      </c>
      <c r="K1293" s="1064" t="s">
        <v>147</v>
      </c>
      <c r="L1293" s="279" t="s">
        <v>20</v>
      </c>
      <c r="M1293" s="1064"/>
      <c r="N1293" s="512"/>
      <c r="O1293" s="512"/>
      <c r="P1293" s="512"/>
      <c r="Q1293" s="512"/>
      <c r="R1293" s="512"/>
      <c r="S1293" s="512"/>
      <c r="T1293" s="512"/>
      <c r="U1293" s="512"/>
      <c r="V1293" s="512"/>
      <c r="W1293" s="512"/>
    </row>
    <row r="1294" s="178" customFormat="1" ht="15.4" customHeight="1" spans="1:23">
      <c r="A1294" s="1064" t="s">
        <v>656</v>
      </c>
      <c r="B1294" s="1050" t="s">
        <v>1153</v>
      </c>
      <c r="C1294" s="789" t="s">
        <v>761</v>
      </c>
      <c r="D1294" s="279">
        <v>10</v>
      </c>
      <c r="E1294" s="988"/>
      <c r="F1294" s="840"/>
      <c r="G1294" s="840">
        <f>G1293</f>
        <v>45786</v>
      </c>
      <c r="H1294" s="713">
        <f>H1293</f>
        <v>45808</v>
      </c>
      <c r="I1294" s="1064" t="s">
        <v>1155</v>
      </c>
      <c r="J1294" s="784" t="s">
        <v>18</v>
      </c>
      <c r="K1294" s="1064" t="s">
        <v>147</v>
      </c>
      <c r="L1294" s="279" t="s">
        <v>20</v>
      </c>
      <c r="M1294" s="1064"/>
      <c r="N1294" s="512"/>
      <c r="O1294" s="512"/>
      <c r="P1294" s="512"/>
      <c r="Q1294" s="512"/>
      <c r="R1294" s="512"/>
      <c r="S1294" s="512"/>
      <c r="T1294" s="512"/>
      <c r="U1294" s="512"/>
      <c r="V1294" s="512"/>
      <c r="W1294" s="512"/>
    </row>
    <row r="1295" s="178" customFormat="1" ht="15.4" customHeight="1" spans="1:23">
      <c r="A1295" s="1064" t="s">
        <v>656</v>
      </c>
      <c r="B1295" s="1050" t="s">
        <v>1153</v>
      </c>
      <c r="C1295" s="789" t="s">
        <v>22</v>
      </c>
      <c r="D1295" s="279">
        <v>100</v>
      </c>
      <c r="E1295" s="988"/>
      <c r="F1295" s="840"/>
      <c r="G1295" s="840">
        <f>G1294</f>
        <v>45786</v>
      </c>
      <c r="H1295" s="713">
        <f>H1294</f>
        <v>45808</v>
      </c>
      <c r="I1295" s="1064" t="s">
        <v>1155</v>
      </c>
      <c r="J1295" s="784" t="s">
        <v>18</v>
      </c>
      <c r="K1295" s="1064" t="s">
        <v>147</v>
      </c>
      <c r="L1295" s="279" t="s">
        <v>20</v>
      </c>
      <c r="M1295" s="1064"/>
      <c r="N1295" s="512"/>
      <c r="O1295" s="512"/>
      <c r="P1295" s="512"/>
      <c r="Q1295" s="512"/>
      <c r="R1295" s="512"/>
      <c r="S1295" s="512"/>
      <c r="T1295" s="512"/>
      <c r="U1295" s="512"/>
      <c r="V1295" s="512"/>
      <c r="W1295" s="512"/>
    </row>
    <row r="1296" s="178" customFormat="1" ht="15.4" customHeight="1" spans="1:23">
      <c r="A1296" s="1064" t="s">
        <v>656</v>
      </c>
      <c r="B1296" s="1050" t="s">
        <v>1153</v>
      </c>
      <c r="C1296" s="789" t="s">
        <v>69</v>
      </c>
      <c r="D1296" s="279">
        <v>10</v>
      </c>
      <c r="E1296" s="988"/>
      <c r="F1296" s="840"/>
      <c r="G1296" s="840">
        <f>G1295</f>
        <v>45786</v>
      </c>
      <c r="H1296" s="713">
        <f>H1295</f>
        <v>45808</v>
      </c>
      <c r="I1296" s="1064" t="s">
        <v>1155</v>
      </c>
      <c r="J1296" s="784" t="s">
        <v>18</v>
      </c>
      <c r="K1296" s="1064" t="s">
        <v>147</v>
      </c>
      <c r="L1296" s="279" t="s">
        <v>20</v>
      </c>
      <c r="M1296" s="1064"/>
      <c r="N1296" s="512"/>
      <c r="O1296" s="512"/>
      <c r="P1296" s="512"/>
      <c r="Q1296" s="512"/>
      <c r="R1296" s="512"/>
      <c r="S1296" s="512"/>
      <c r="T1296" s="512"/>
      <c r="U1296" s="512"/>
      <c r="V1296" s="512"/>
      <c r="W1296" s="512"/>
    </row>
    <row r="1297" s="178" customFormat="1" ht="15.4" customHeight="1" spans="1:23">
      <c r="A1297" s="1064" t="s">
        <v>656</v>
      </c>
      <c r="B1297" s="1050" t="s">
        <v>1153</v>
      </c>
      <c r="C1297" s="789" t="s">
        <v>71</v>
      </c>
      <c r="D1297" s="279">
        <v>10</v>
      </c>
      <c r="E1297" s="988"/>
      <c r="F1297" s="840"/>
      <c r="G1297" s="840">
        <f>G1296</f>
        <v>45786</v>
      </c>
      <c r="H1297" s="713">
        <f>H1296</f>
        <v>45808</v>
      </c>
      <c r="I1297" s="1064" t="s">
        <v>1155</v>
      </c>
      <c r="J1297" s="784" t="s">
        <v>18</v>
      </c>
      <c r="K1297" s="1064" t="s">
        <v>147</v>
      </c>
      <c r="L1297" s="279" t="s">
        <v>20</v>
      </c>
      <c r="M1297" s="1064"/>
      <c r="N1297" s="512"/>
      <c r="O1297" s="512"/>
      <c r="P1297" s="512"/>
      <c r="Q1297" s="512"/>
      <c r="R1297" s="512"/>
      <c r="S1297" s="512"/>
      <c r="T1297" s="512"/>
      <c r="U1297" s="512"/>
      <c r="V1297" s="512"/>
      <c r="W1297" s="512"/>
    </row>
    <row r="1298" s="178" customFormat="1" ht="30" spans="1:23">
      <c r="A1298" s="1053" t="s">
        <v>910</v>
      </c>
      <c r="B1298" s="1099" t="s">
        <v>1157</v>
      </c>
      <c r="C1298" s="1089" t="s">
        <v>318</v>
      </c>
      <c r="D1298" s="266">
        <v>312</v>
      </c>
      <c r="E1298" s="1055" t="s">
        <v>1158</v>
      </c>
      <c r="F1298" s="675"/>
      <c r="G1298" s="675">
        <f>VLOOKUP(CLEAN(SUBSTITUTE(TRIM(MID(E:E,FIND("/",E:E)+1,LEN(E:E)))," ","")),'Customs Decl. &amp; Local Delivery'!D:I,6,0)</f>
        <v>45786</v>
      </c>
      <c r="H1298" s="676">
        <f>VLOOKUP(CLEAN(SUBSTITUTE(TRIM(MID(E:E,FIND("/",E:E)+1,LEN(E:E)))," ","")),'Customs Decl. &amp; Local Delivery'!D:J,7,0)</f>
        <v>45808</v>
      </c>
      <c r="I1298" s="1053" t="s">
        <v>1159</v>
      </c>
      <c r="J1298" s="1053" t="s">
        <v>18</v>
      </c>
      <c r="K1298" s="1053" t="s">
        <v>147</v>
      </c>
      <c r="L1298" s="1090" t="s">
        <v>20</v>
      </c>
      <c r="M1298" s="1053" t="s">
        <v>1160</v>
      </c>
      <c r="N1298" s="512"/>
      <c r="O1298" s="512"/>
      <c r="P1298" s="512"/>
      <c r="Q1298" s="512"/>
      <c r="R1298" s="512"/>
      <c r="S1298" s="512"/>
      <c r="T1298" s="512"/>
      <c r="U1298" s="512"/>
      <c r="V1298" s="512"/>
      <c r="W1298" s="512"/>
    </row>
    <row r="1299" s="477" customFormat="1" ht="15.4" customHeight="1" spans="1:23">
      <c r="A1299" s="749" t="s">
        <v>778</v>
      </c>
      <c r="B1299" s="1101" t="s">
        <v>1161</v>
      </c>
      <c r="C1299" s="794" t="s">
        <v>129</v>
      </c>
      <c r="D1299" s="266">
        <v>2</v>
      </c>
      <c r="E1299" s="1085" t="s">
        <v>1162</v>
      </c>
      <c r="F1299" s="675"/>
      <c r="G1299" s="675">
        <f>VLOOKUP(CLEAN(SUBSTITUTE(TRIM(MID(E:E,FIND("/",E:E)+1,LEN(E:E)))," ","")),'Customs Decl. &amp; Local Delivery'!D:I,6,0)</f>
        <v>45786</v>
      </c>
      <c r="H1299" s="676">
        <f>VLOOKUP(CLEAN(SUBSTITUTE(TRIM(MID(E:E,FIND("/",E:E)+1,LEN(E:E)))," ","")),'Customs Decl. &amp; Local Delivery'!D:J,7,0)</f>
        <v>45808</v>
      </c>
      <c r="I1299" s="780" t="s">
        <v>1163</v>
      </c>
      <c r="J1299" s="749" t="s">
        <v>18</v>
      </c>
      <c r="K1299" s="780" t="s">
        <v>19</v>
      </c>
      <c r="L1299" s="279" t="s">
        <v>20</v>
      </c>
      <c r="M1299" s="780" t="s">
        <v>1164</v>
      </c>
      <c r="N1299" s="512"/>
      <c r="O1299" s="512"/>
      <c r="P1299" s="512"/>
      <c r="Q1299" s="512"/>
      <c r="R1299" s="512"/>
      <c r="S1299" s="512"/>
      <c r="T1299" s="512"/>
      <c r="U1299" s="512"/>
      <c r="V1299" s="512"/>
      <c r="W1299" s="512"/>
    </row>
    <row r="1300" s="477" customFormat="1" ht="15.4" customHeight="1" spans="1:23">
      <c r="A1300" s="749" t="s">
        <v>778</v>
      </c>
      <c r="B1300" s="1101" t="s">
        <v>1161</v>
      </c>
      <c r="C1300" s="794" t="s">
        <v>15</v>
      </c>
      <c r="D1300" s="266">
        <v>30</v>
      </c>
      <c r="E1300" s="988"/>
      <c r="F1300" s="840"/>
      <c r="G1300" s="840">
        <f t="shared" ref="G1300:G1314" si="104">G1299</f>
        <v>45786</v>
      </c>
      <c r="H1300" s="713">
        <f t="shared" ref="H1300:H1314" si="105">H1299</f>
        <v>45808</v>
      </c>
      <c r="I1300" s="780" t="s">
        <v>1163</v>
      </c>
      <c r="J1300" s="749" t="s">
        <v>18</v>
      </c>
      <c r="K1300" s="780" t="s">
        <v>19</v>
      </c>
      <c r="L1300" s="279" t="s">
        <v>20</v>
      </c>
      <c r="M1300" s="780" t="s">
        <v>1165</v>
      </c>
      <c r="N1300" s="512"/>
      <c r="O1300" s="512"/>
      <c r="P1300" s="512"/>
      <c r="Q1300" s="512"/>
      <c r="R1300" s="512"/>
      <c r="S1300" s="512"/>
      <c r="T1300" s="512"/>
      <c r="U1300" s="512"/>
      <c r="V1300" s="512"/>
      <c r="W1300" s="512"/>
    </row>
    <row r="1301" s="477" customFormat="1" ht="15.4" customHeight="1" spans="1:23">
      <c r="A1301" s="749" t="s">
        <v>778</v>
      </c>
      <c r="B1301" s="1101" t="s">
        <v>1161</v>
      </c>
      <c r="C1301" s="794" t="s">
        <v>24</v>
      </c>
      <c r="D1301" s="266">
        <v>30</v>
      </c>
      <c r="E1301" s="988"/>
      <c r="F1301" s="840"/>
      <c r="G1301" s="840">
        <f t="shared" si="104"/>
        <v>45786</v>
      </c>
      <c r="H1301" s="713">
        <f t="shared" si="105"/>
        <v>45808</v>
      </c>
      <c r="I1301" s="780" t="s">
        <v>1163</v>
      </c>
      <c r="J1301" s="749" t="s">
        <v>18</v>
      </c>
      <c r="K1301" s="780" t="s">
        <v>19</v>
      </c>
      <c r="L1301" s="279" t="s">
        <v>20</v>
      </c>
      <c r="M1301" s="780" t="s">
        <v>1166</v>
      </c>
      <c r="N1301" s="512"/>
      <c r="O1301" s="512"/>
      <c r="P1301" s="512"/>
      <c r="Q1301" s="512"/>
      <c r="R1301" s="512"/>
      <c r="S1301" s="512"/>
      <c r="T1301" s="512"/>
      <c r="U1301" s="512"/>
      <c r="V1301" s="512"/>
      <c r="W1301" s="512"/>
    </row>
    <row r="1302" s="477" customFormat="1" ht="15.4" customHeight="1" spans="1:23">
      <c r="A1302" s="749" t="s">
        <v>778</v>
      </c>
      <c r="B1302" s="1101" t="s">
        <v>1161</v>
      </c>
      <c r="C1302" s="794" t="s">
        <v>27</v>
      </c>
      <c r="D1302" s="266">
        <v>27</v>
      </c>
      <c r="E1302" s="988"/>
      <c r="F1302" s="840"/>
      <c r="G1302" s="840">
        <f t="shared" si="104"/>
        <v>45786</v>
      </c>
      <c r="H1302" s="713">
        <f t="shared" si="105"/>
        <v>45808</v>
      </c>
      <c r="I1302" s="780" t="s">
        <v>1163</v>
      </c>
      <c r="J1302" s="749" t="s">
        <v>18</v>
      </c>
      <c r="K1302" s="780" t="s">
        <v>19</v>
      </c>
      <c r="L1302" s="279" t="s">
        <v>20</v>
      </c>
      <c r="M1302" s="780" t="s">
        <v>1166</v>
      </c>
      <c r="N1302" s="512"/>
      <c r="O1302" s="512"/>
      <c r="P1302" s="512"/>
      <c r="Q1302" s="512"/>
      <c r="R1302" s="512"/>
      <c r="S1302" s="512"/>
      <c r="T1302" s="512"/>
      <c r="U1302" s="512"/>
      <c r="V1302" s="512"/>
      <c r="W1302" s="512"/>
    </row>
    <row r="1303" s="477" customFormat="1" ht="15.4" customHeight="1" spans="1:23">
      <c r="A1303" s="749" t="s">
        <v>778</v>
      </c>
      <c r="B1303" s="1101" t="s">
        <v>1161</v>
      </c>
      <c r="C1303" s="794" t="s">
        <v>135</v>
      </c>
      <c r="D1303" s="266">
        <v>3</v>
      </c>
      <c r="E1303" s="988"/>
      <c r="F1303" s="840"/>
      <c r="G1303" s="840">
        <f t="shared" si="104"/>
        <v>45786</v>
      </c>
      <c r="H1303" s="713">
        <f t="shared" si="105"/>
        <v>45808</v>
      </c>
      <c r="I1303" s="780" t="s">
        <v>1163</v>
      </c>
      <c r="J1303" s="749" t="s">
        <v>18</v>
      </c>
      <c r="K1303" s="780" t="s">
        <v>19</v>
      </c>
      <c r="L1303" s="279" t="s">
        <v>20</v>
      </c>
      <c r="M1303" s="780" t="s">
        <v>1166</v>
      </c>
      <c r="N1303" s="512"/>
      <c r="O1303" s="512"/>
      <c r="P1303" s="512"/>
      <c r="Q1303" s="512"/>
      <c r="R1303" s="512"/>
      <c r="S1303" s="512"/>
      <c r="T1303" s="512"/>
      <c r="U1303" s="512"/>
      <c r="V1303" s="512"/>
      <c r="W1303" s="512"/>
    </row>
    <row r="1304" s="477" customFormat="1" ht="15.4" customHeight="1" spans="1:23">
      <c r="A1304" s="749" t="s">
        <v>778</v>
      </c>
      <c r="B1304" s="1101" t="s">
        <v>1161</v>
      </c>
      <c r="C1304" s="794" t="s">
        <v>67</v>
      </c>
      <c r="D1304" s="266">
        <v>7</v>
      </c>
      <c r="E1304" s="988"/>
      <c r="F1304" s="840"/>
      <c r="G1304" s="840">
        <f t="shared" si="104"/>
        <v>45786</v>
      </c>
      <c r="H1304" s="713">
        <f t="shared" si="105"/>
        <v>45808</v>
      </c>
      <c r="I1304" s="780" t="s">
        <v>1163</v>
      </c>
      <c r="J1304" s="749" t="s">
        <v>18</v>
      </c>
      <c r="K1304" s="780" t="s">
        <v>19</v>
      </c>
      <c r="L1304" s="279" t="s">
        <v>20</v>
      </c>
      <c r="M1304" s="780" t="s">
        <v>1166</v>
      </c>
      <c r="N1304" s="512"/>
      <c r="O1304" s="512"/>
      <c r="P1304" s="512"/>
      <c r="Q1304" s="512"/>
      <c r="R1304" s="512"/>
      <c r="S1304" s="512"/>
      <c r="T1304" s="512"/>
      <c r="U1304" s="512"/>
      <c r="V1304" s="512"/>
      <c r="W1304" s="512"/>
    </row>
    <row r="1305" s="477" customFormat="1" ht="15.4" customHeight="1" spans="1:23">
      <c r="A1305" s="749" t="s">
        <v>778</v>
      </c>
      <c r="B1305" s="1101" t="s">
        <v>1161</v>
      </c>
      <c r="C1305" s="794" t="s">
        <v>70</v>
      </c>
      <c r="D1305" s="266">
        <v>13</v>
      </c>
      <c r="E1305" s="988"/>
      <c r="F1305" s="840"/>
      <c r="G1305" s="840">
        <f t="shared" si="104"/>
        <v>45786</v>
      </c>
      <c r="H1305" s="713">
        <f t="shared" si="105"/>
        <v>45808</v>
      </c>
      <c r="I1305" s="780" t="s">
        <v>1163</v>
      </c>
      <c r="J1305" s="749" t="s">
        <v>18</v>
      </c>
      <c r="K1305" s="780" t="s">
        <v>19</v>
      </c>
      <c r="L1305" s="279" t="s">
        <v>20</v>
      </c>
      <c r="M1305" s="780" t="s">
        <v>1166</v>
      </c>
      <c r="N1305" s="512"/>
      <c r="O1305" s="512"/>
      <c r="P1305" s="512"/>
      <c r="Q1305" s="512"/>
      <c r="R1305" s="512"/>
      <c r="S1305" s="512"/>
      <c r="T1305" s="512"/>
      <c r="U1305" s="512"/>
      <c r="V1305" s="512"/>
      <c r="W1305" s="512"/>
    </row>
    <row r="1306" s="477" customFormat="1" ht="15.4" customHeight="1" spans="1:23">
      <c r="A1306" s="749" t="s">
        <v>778</v>
      </c>
      <c r="B1306" s="1101" t="s">
        <v>1161</v>
      </c>
      <c r="C1306" s="794" t="s">
        <v>29</v>
      </c>
      <c r="D1306" s="266">
        <v>1</v>
      </c>
      <c r="E1306" s="988"/>
      <c r="F1306" s="840"/>
      <c r="G1306" s="840">
        <f t="shared" si="104"/>
        <v>45786</v>
      </c>
      <c r="H1306" s="713">
        <f t="shared" si="105"/>
        <v>45808</v>
      </c>
      <c r="I1306" s="780" t="s">
        <v>1163</v>
      </c>
      <c r="J1306" s="749" t="s">
        <v>18</v>
      </c>
      <c r="K1306" s="780" t="s">
        <v>19</v>
      </c>
      <c r="L1306" s="279" t="s">
        <v>20</v>
      </c>
      <c r="M1306" s="780" t="s">
        <v>1166</v>
      </c>
      <c r="N1306" s="512"/>
      <c r="O1306" s="512"/>
      <c r="P1306" s="512"/>
      <c r="Q1306" s="512"/>
      <c r="R1306" s="512"/>
      <c r="S1306" s="512"/>
      <c r="T1306" s="512"/>
      <c r="U1306" s="512"/>
      <c r="V1306" s="512"/>
      <c r="W1306" s="512"/>
    </row>
    <row r="1307" s="477" customFormat="1" ht="15.4" customHeight="1" spans="1:23">
      <c r="A1307" s="749" t="s">
        <v>778</v>
      </c>
      <c r="B1307" s="1101" t="s">
        <v>1161</v>
      </c>
      <c r="C1307" s="794" t="s">
        <v>30</v>
      </c>
      <c r="D1307" s="266">
        <v>1</v>
      </c>
      <c r="E1307" s="988"/>
      <c r="F1307" s="840"/>
      <c r="G1307" s="840">
        <f t="shared" si="104"/>
        <v>45786</v>
      </c>
      <c r="H1307" s="713">
        <f t="shared" si="105"/>
        <v>45808</v>
      </c>
      <c r="I1307" s="780" t="s">
        <v>1163</v>
      </c>
      <c r="J1307" s="749" t="s">
        <v>18</v>
      </c>
      <c r="K1307" s="780" t="s">
        <v>19</v>
      </c>
      <c r="L1307" s="279" t="s">
        <v>20</v>
      </c>
      <c r="M1307" s="780" t="s">
        <v>1166</v>
      </c>
      <c r="N1307" s="512"/>
      <c r="O1307" s="512"/>
      <c r="P1307" s="512"/>
      <c r="Q1307" s="512"/>
      <c r="R1307" s="512"/>
      <c r="S1307" s="512"/>
      <c r="T1307" s="512"/>
      <c r="U1307" s="512"/>
      <c r="V1307" s="512"/>
      <c r="W1307" s="512"/>
    </row>
    <row r="1308" s="477" customFormat="1" ht="15.4" customHeight="1" spans="1:23">
      <c r="A1308" s="749" t="s">
        <v>778</v>
      </c>
      <c r="B1308" s="1101" t="s">
        <v>1161</v>
      </c>
      <c r="C1308" s="794" t="s">
        <v>31</v>
      </c>
      <c r="D1308" s="266">
        <v>1</v>
      </c>
      <c r="E1308" s="988"/>
      <c r="F1308" s="840"/>
      <c r="G1308" s="840">
        <f t="shared" si="104"/>
        <v>45786</v>
      </c>
      <c r="H1308" s="713">
        <f t="shared" si="105"/>
        <v>45808</v>
      </c>
      <c r="I1308" s="780" t="s">
        <v>1163</v>
      </c>
      <c r="J1308" s="749" t="s">
        <v>18</v>
      </c>
      <c r="K1308" s="780" t="s">
        <v>19</v>
      </c>
      <c r="L1308" s="279" t="s">
        <v>20</v>
      </c>
      <c r="M1308" s="780" t="s">
        <v>1166</v>
      </c>
      <c r="N1308" s="512"/>
      <c r="O1308" s="512"/>
      <c r="P1308" s="512"/>
      <c r="Q1308" s="512"/>
      <c r="R1308" s="512"/>
      <c r="S1308" s="512"/>
      <c r="T1308" s="512"/>
      <c r="U1308" s="512"/>
      <c r="V1308" s="512"/>
      <c r="W1308" s="512"/>
    </row>
    <row r="1309" s="477" customFormat="1" ht="15.4" customHeight="1" spans="1:23">
      <c r="A1309" s="749" t="s">
        <v>778</v>
      </c>
      <c r="B1309" s="1101" t="s">
        <v>1161</v>
      </c>
      <c r="C1309" s="794" t="s">
        <v>32</v>
      </c>
      <c r="D1309" s="266">
        <v>1</v>
      </c>
      <c r="E1309" s="988"/>
      <c r="F1309" s="840"/>
      <c r="G1309" s="840">
        <f t="shared" si="104"/>
        <v>45786</v>
      </c>
      <c r="H1309" s="713">
        <f t="shared" si="105"/>
        <v>45808</v>
      </c>
      <c r="I1309" s="780" t="s">
        <v>1163</v>
      </c>
      <c r="J1309" s="749" t="s">
        <v>18</v>
      </c>
      <c r="K1309" s="780" t="s">
        <v>19</v>
      </c>
      <c r="L1309" s="279" t="s">
        <v>20</v>
      </c>
      <c r="M1309" s="780" t="s">
        <v>1166</v>
      </c>
      <c r="N1309" s="512"/>
      <c r="O1309" s="512"/>
      <c r="P1309" s="512"/>
      <c r="Q1309" s="512"/>
      <c r="R1309" s="512"/>
      <c r="S1309" s="512"/>
      <c r="T1309" s="512"/>
      <c r="U1309" s="512"/>
      <c r="V1309" s="512"/>
      <c r="W1309" s="512"/>
    </row>
    <row r="1310" s="477" customFormat="1" ht="15.4" customHeight="1" spans="1:23">
      <c r="A1310" s="749" t="s">
        <v>778</v>
      </c>
      <c r="B1310" s="1101" t="s">
        <v>1161</v>
      </c>
      <c r="C1310" s="794" t="s">
        <v>59</v>
      </c>
      <c r="D1310" s="266">
        <v>14</v>
      </c>
      <c r="E1310" s="988"/>
      <c r="F1310" s="840"/>
      <c r="G1310" s="840">
        <f t="shared" si="104"/>
        <v>45786</v>
      </c>
      <c r="H1310" s="713">
        <f t="shared" si="105"/>
        <v>45808</v>
      </c>
      <c r="I1310" s="780" t="s">
        <v>1163</v>
      </c>
      <c r="J1310" s="749" t="s">
        <v>18</v>
      </c>
      <c r="K1310" s="780" t="s">
        <v>19</v>
      </c>
      <c r="L1310" s="279" t="s">
        <v>20</v>
      </c>
      <c r="M1310" s="780" t="s">
        <v>1166</v>
      </c>
      <c r="N1310" s="512"/>
      <c r="O1310" s="512"/>
      <c r="P1310" s="512"/>
      <c r="Q1310" s="512"/>
      <c r="R1310" s="512"/>
      <c r="S1310" s="512"/>
      <c r="T1310" s="512"/>
      <c r="U1310" s="512"/>
      <c r="V1310" s="512"/>
      <c r="W1310" s="512"/>
    </row>
    <row r="1311" s="477" customFormat="1" ht="15.4" customHeight="1" spans="1:23">
      <c r="A1311" s="749" t="s">
        <v>778</v>
      </c>
      <c r="B1311" s="1101" t="s">
        <v>1161</v>
      </c>
      <c r="C1311" s="794" t="s">
        <v>60</v>
      </c>
      <c r="D1311" s="266">
        <v>14</v>
      </c>
      <c r="E1311" s="988"/>
      <c r="F1311" s="840"/>
      <c r="G1311" s="840">
        <f t="shared" si="104"/>
        <v>45786</v>
      </c>
      <c r="H1311" s="713">
        <f t="shared" si="105"/>
        <v>45808</v>
      </c>
      <c r="I1311" s="780" t="s">
        <v>1163</v>
      </c>
      <c r="J1311" s="749" t="s">
        <v>18</v>
      </c>
      <c r="K1311" s="780" t="s">
        <v>19</v>
      </c>
      <c r="L1311" s="279" t="s">
        <v>20</v>
      </c>
      <c r="M1311" s="780" t="s">
        <v>1166</v>
      </c>
      <c r="N1311" s="512"/>
      <c r="O1311" s="512"/>
      <c r="P1311" s="512"/>
      <c r="Q1311" s="512"/>
      <c r="R1311" s="512"/>
      <c r="S1311" s="512"/>
      <c r="T1311" s="512"/>
      <c r="U1311" s="512"/>
      <c r="V1311" s="512"/>
      <c r="W1311" s="512"/>
    </row>
    <row r="1312" s="477" customFormat="1" ht="15.4" customHeight="1" spans="1:23">
      <c r="A1312" s="749" t="s">
        <v>778</v>
      </c>
      <c r="B1312" s="1101" t="s">
        <v>1161</v>
      </c>
      <c r="C1312" s="794" t="s">
        <v>342</v>
      </c>
      <c r="D1312" s="266">
        <v>2</v>
      </c>
      <c r="E1312" s="988"/>
      <c r="F1312" s="840"/>
      <c r="G1312" s="840">
        <f t="shared" si="104"/>
        <v>45786</v>
      </c>
      <c r="H1312" s="713">
        <f t="shared" si="105"/>
        <v>45808</v>
      </c>
      <c r="I1312" s="780" t="s">
        <v>1163</v>
      </c>
      <c r="J1312" s="749" t="s">
        <v>18</v>
      </c>
      <c r="K1312" s="780" t="s">
        <v>19</v>
      </c>
      <c r="L1312" s="279" t="s">
        <v>20</v>
      </c>
      <c r="M1312" s="780" t="s">
        <v>1166</v>
      </c>
      <c r="N1312" s="512"/>
      <c r="O1312" s="512"/>
      <c r="P1312" s="512"/>
      <c r="Q1312" s="512"/>
      <c r="R1312" s="512"/>
      <c r="S1312" s="512"/>
      <c r="T1312" s="512"/>
      <c r="U1312" s="512"/>
      <c r="V1312" s="512"/>
      <c r="W1312" s="512"/>
    </row>
    <row r="1313" s="477" customFormat="1" ht="15.4" customHeight="1" spans="1:23">
      <c r="A1313" s="749" t="s">
        <v>778</v>
      </c>
      <c r="B1313" s="1101" t="s">
        <v>1161</v>
      </c>
      <c r="C1313" s="794" t="s">
        <v>91</v>
      </c>
      <c r="D1313" s="266">
        <v>13</v>
      </c>
      <c r="E1313" s="988"/>
      <c r="F1313" s="840"/>
      <c r="G1313" s="840">
        <f t="shared" si="104"/>
        <v>45786</v>
      </c>
      <c r="H1313" s="713">
        <f t="shared" si="105"/>
        <v>45808</v>
      </c>
      <c r="I1313" s="780" t="s">
        <v>1163</v>
      </c>
      <c r="J1313" s="749" t="s">
        <v>18</v>
      </c>
      <c r="K1313" s="780" t="s">
        <v>19</v>
      </c>
      <c r="L1313" s="279" t="s">
        <v>20</v>
      </c>
      <c r="M1313" s="780" t="s">
        <v>1166</v>
      </c>
      <c r="N1313" s="512"/>
      <c r="O1313" s="512"/>
      <c r="P1313" s="512"/>
      <c r="Q1313" s="512"/>
      <c r="R1313" s="512"/>
      <c r="S1313" s="512"/>
      <c r="T1313" s="512"/>
      <c r="U1313" s="512"/>
      <c r="V1313" s="512"/>
      <c r="W1313" s="512"/>
    </row>
    <row r="1314" s="477" customFormat="1" ht="15.4" customHeight="1" spans="1:23">
      <c r="A1314" s="749" t="s">
        <v>778</v>
      </c>
      <c r="B1314" s="1101" t="s">
        <v>1161</v>
      </c>
      <c r="C1314" s="794" t="s">
        <v>77</v>
      </c>
      <c r="D1314" s="266">
        <v>21</v>
      </c>
      <c r="E1314" s="988"/>
      <c r="F1314" s="840"/>
      <c r="G1314" s="840">
        <f t="shared" si="104"/>
        <v>45786</v>
      </c>
      <c r="H1314" s="713">
        <f t="shared" si="105"/>
        <v>45808</v>
      </c>
      <c r="I1314" s="780" t="s">
        <v>1163</v>
      </c>
      <c r="J1314" s="749" t="s">
        <v>18</v>
      </c>
      <c r="K1314" s="780" t="s">
        <v>19</v>
      </c>
      <c r="L1314" s="279" t="s">
        <v>20</v>
      </c>
      <c r="M1314" s="780" t="s">
        <v>1166</v>
      </c>
      <c r="N1314" s="512"/>
      <c r="O1314" s="512"/>
      <c r="P1314" s="512"/>
      <c r="Q1314" s="512"/>
      <c r="R1314" s="512"/>
      <c r="S1314" s="512"/>
      <c r="T1314" s="512"/>
      <c r="U1314" s="512"/>
      <c r="V1314" s="512"/>
      <c r="W1314" s="512"/>
    </row>
    <row r="1315" s="178" customFormat="1" ht="15.4" customHeight="1" spans="1:23">
      <c r="A1315" s="1053" t="s">
        <v>910</v>
      </c>
      <c r="B1315" s="1099" t="s">
        <v>1167</v>
      </c>
      <c r="C1315" s="1089" t="s">
        <v>77</v>
      </c>
      <c r="D1315" s="266">
        <v>48</v>
      </c>
      <c r="E1315" s="1055" t="s">
        <v>1168</v>
      </c>
      <c r="F1315" s="675"/>
      <c r="G1315" s="675">
        <f>VLOOKUP(CLEAN(SUBSTITUTE(TRIM(MID(E:E,FIND("/",E:E)+1,LEN(E:E)))," ","")),'Customs Decl. &amp; Local Delivery'!D:I,6,0)</f>
        <v>45786</v>
      </c>
      <c r="H1315" s="676">
        <f>VLOOKUP(CLEAN(SUBSTITUTE(TRIM(MID(E:E,FIND("/",E:E)+1,LEN(E:E)))," ","")),'Customs Decl. &amp; Local Delivery'!D:J,7,0)</f>
        <v>45808</v>
      </c>
      <c r="I1315" s="1053" t="s">
        <v>1169</v>
      </c>
      <c r="J1315" s="1053" t="s">
        <v>18</v>
      </c>
      <c r="K1315" s="1053" t="s">
        <v>147</v>
      </c>
      <c r="L1315" s="279" t="s">
        <v>20</v>
      </c>
      <c r="M1315" s="672" t="s">
        <v>1160</v>
      </c>
      <c r="N1315" s="512"/>
      <c r="O1315" s="512"/>
      <c r="P1315" s="512"/>
      <c r="Q1315" s="512"/>
      <c r="R1315" s="512"/>
      <c r="S1315" s="512"/>
      <c r="T1315" s="512"/>
      <c r="U1315" s="512"/>
      <c r="V1315" s="512"/>
      <c r="W1315" s="512"/>
    </row>
    <row r="1316" s="178" customFormat="1" ht="15.4" customHeight="1" spans="1:23">
      <c r="A1316" s="1053" t="s">
        <v>910</v>
      </c>
      <c r="B1316" s="1099" t="s">
        <v>1167</v>
      </c>
      <c r="C1316" s="1089" t="s">
        <v>15</v>
      </c>
      <c r="D1316" s="266">
        <v>12</v>
      </c>
      <c r="E1316" s="1127"/>
      <c r="F1316" s="840"/>
      <c r="G1316" s="840">
        <f>G1315</f>
        <v>45786</v>
      </c>
      <c r="H1316" s="713">
        <f>H1315</f>
        <v>45808</v>
      </c>
      <c r="I1316" s="1053" t="s">
        <v>1169</v>
      </c>
      <c r="J1316" s="1053" t="s">
        <v>18</v>
      </c>
      <c r="K1316" s="1053" t="s">
        <v>147</v>
      </c>
      <c r="L1316" s="279" t="s">
        <v>20</v>
      </c>
      <c r="M1316" s="785"/>
      <c r="N1316" s="512"/>
      <c r="O1316" s="512"/>
      <c r="P1316" s="512"/>
      <c r="Q1316" s="512"/>
      <c r="R1316" s="512"/>
      <c r="S1316" s="512"/>
      <c r="T1316" s="512"/>
      <c r="U1316" s="512"/>
      <c r="V1316" s="512"/>
      <c r="W1316" s="512"/>
    </row>
    <row r="1317" s="178" customFormat="1" ht="15.4" customHeight="1" spans="1:23">
      <c r="A1317" s="1053" t="s">
        <v>910</v>
      </c>
      <c r="B1317" s="1099" t="s">
        <v>1167</v>
      </c>
      <c r="C1317" s="1089" t="s">
        <v>24</v>
      </c>
      <c r="D1317" s="266">
        <v>100</v>
      </c>
      <c r="E1317" s="1127"/>
      <c r="F1317" s="840"/>
      <c r="G1317" s="840">
        <f>G1316</f>
        <v>45786</v>
      </c>
      <c r="H1317" s="713">
        <f>H1316</f>
        <v>45808</v>
      </c>
      <c r="I1317" s="1053" t="s">
        <v>1169</v>
      </c>
      <c r="J1317" s="1053" t="s">
        <v>18</v>
      </c>
      <c r="K1317" s="1053" t="s">
        <v>147</v>
      </c>
      <c r="L1317" s="279" t="s">
        <v>20</v>
      </c>
      <c r="M1317" s="687"/>
      <c r="N1317" s="512"/>
      <c r="O1317" s="512"/>
      <c r="P1317" s="512"/>
      <c r="Q1317" s="512"/>
      <c r="R1317" s="512"/>
      <c r="S1317" s="512"/>
      <c r="T1317" s="512"/>
      <c r="U1317" s="512"/>
      <c r="V1317" s="512"/>
      <c r="W1317" s="512"/>
    </row>
    <row r="1318" s="178" customFormat="1" ht="15.4" customHeight="1" spans="1:23">
      <c r="A1318" s="1053" t="s">
        <v>910</v>
      </c>
      <c r="B1318" s="1099" t="s">
        <v>1167</v>
      </c>
      <c r="C1318" s="1089" t="s">
        <v>27</v>
      </c>
      <c r="D1318" s="266">
        <v>30</v>
      </c>
      <c r="E1318" s="976"/>
      <c r="F1318" s="840"/>
      <c r="G1318" s="840">
        <f>G1317</f>
        <v>45786</v>
      </c>
      <c r="H1318" s="713">
        <f>H1317</f>
        <v>45808</v>
      </c>
      <c r="I1318" s="1053" t="s">
        <v>1169</v>
      </c>
      <c r="J1318" s="1053" t="s">
        <v>18</v>
      </c>
      <c r="K1318" s="1053" t="s">
        <v>147</v>
      </c>
      <c r="L1318" s="279" t="s">
        <v>20</v>
      </c>
      <c r="M1318" s="687"/>
      <c r="N1318" s="512"/>
      <c r="O1318" s="512"/>
      <c r="P1318" s="512"/>
      <c r="Q1318" s="512"/>
      <c r="R1318" s="512"/>
      <c r="S1318" s="512"/>
      <c r="T1318" s="512"/>
      <c r="U1318" s="512"/>
      <c r="V1318" s="512"/>
      <c r="W1318" s="512"/>
    </row>
    <row r="1319" s="178" customFormat="1" ht="15.4" customHeight="1" spans="1:23">
      <c r="A1319" s="1053" t="s">
        <v>910</v>
      </c>
      <c r="B1319" s="1099" t="s">
        <v>1167</v>
      </c>
      <c r="C1319" s="1089" t="s">
        <v>67</v>
      </c>
      <c r="D1319" s="266">
        <v>30</v>
      </c>
      <c r="E1319" s="976"/>
      <c r="F1319" s="840"/>
      <c r="G1319" s="840">
        <f>G1318</f>
        <v>45786</v>
      </c>
      <c r="H1319" s="713">
        <f>H1318</f>
        <v>45808</v>
      </c>
      <c r="I1319" s="1053" t="s">
        <v>1169</v>
      </c>
      <c r="J1319" s="1053" t="s">
        <v>18</v>
      </c>
      <c r="K1319" s="1053" t="s">
        <v>147</v>
      </c>
      <c r="L1319" s="279" t="s">
        <v>20</v>
      </c>
      <c r="M1319" s="687"/>
      <c r="N1319" s="512"/>
      <c r="O1319" s="512"/>
      <c r="P1319" s="512"/>
      <c r="Q1319" s="512"/>
      <c r="R1319" s="512"/>
      <c r="S1319" s="512"/>
      <c r="T1319" s="512"/>
      <c r="U1319" s="512"/>
      <c r="V1319" s="512"/>
      <c r="W1319" s="512"/>
    </row>
    <row r="1320" s="178" customFormat="1" ht="15.4" customHeight="1" spans="1:23">
      <c r="A1320" s="1053" t="s">
        <v>910</v>
      </c>
      <c r="B1320" s="1099" t="s">
        <v>1167</v>
      </c>
      <c r="C1320" s="1089" t="s">
        <v>70</v>
      </c>
      <c r="D1320" s="266">
        <v>50</v>
      </c>
      <c r="E1320" s="976"/>
      <c r="F1320" s="840"/>
      <c r="G1320" s="840">
        <f>G1319</f>
        <v>45786</v>
      </c>
      <c r="H1320" s="713">
        <f>H1319</f>
        <v>45808</v>
      </c>
      <c r="I1320" s="1053" t="s">
        <v>1169</v>
      </c>
      <c r="J1320" s="1053" t="s">
        <v>18</v>
      </c>
      <c r="K1320" s="1053" t="s">
        <v>147</v>
      </c>
      <c r="L1320" s="279" t="s">
        <v>20</v>
      </c>
      <c r="M1320" s="687"/>
      <c r="N1320" s="512"/>
      <c r="O1320" s="512"/>
      <c r="P1320" s="512"/>
      <c r="Q1320" s="512"/>
      <c r="R1320" s="512"/>
      <c r="S1320" s="512"/>
      <c r="T1320" s="512"/>
      <c r="U1320" s="512"/>
      <c r="V1320" s="512"/>
      <c r="W1320" s="512"/>
    </row>
    <row r="1321" s="178" customFormat="1" ht="15.4" customHeight="1" spans="1:23">
      <c r="A1321" s="1053" t="s">
        <v>910</v>
      </c>
      <c r="B1321" s="1099" t="s">
        <v>1170</v>
      </c>
      <c r="C1321" s="1089" t="s">
        <v>77</v>
      </c>
      <c r="D1321" s="266">
        <v>48</v>
      </c>
      <c r="E1321" s="1085" t="s">
        <v>1171</v>
      </c>
      <c r="F1321" s="675"/>
      <c r="G1321" s="675">
        <f>VLOOKUP(CLEAN(SUBSTITUTE(TRIM(MID(E:E,FIND("/",E:E)+1,LEN(E:E)))," ","")),'Customs Decl. &amp; Local Delivery'!D:I,6,0)</f>
        <v>45786</v>
      </c>
      <c r="H1321" s="676">
        <f>VLOOKUP(CLEAN(SUBSTITUTE(TRIM(MID(E:E,FIND("/",E:E)+1,LEN(E:E)))," ","")),'Customs Decl. &amp; Local Delivery'!D:J,7,0)</f>
        <v>45808</v>
      </c>
      <c r="I1321" s="1053" t="s">
        <v>1172</v>
      </c>
      <c r="J1321" s="1053" t="s">
        <v>18</v>
      </c>
      <c r="K1321" s="1053" t="s">
        <v>147</v>
      </c>
      <c r="L1321" s="1090" t="s">
        <v>20</v>
      </c>
      <c r="M1321" s="672" t="s">
        <v>1160</v>
      </c>
      <c r="N1321" s="512"/>
      <c r="O1321" s="512"/>
      <c r="P1321" s="512"/>
      <c r="Q1321" s="512"/>
      <c r="R1321" s="512"/>
      <c r="S1321" s="512"/>
      <c r="T1321" s="512"/>
      <c r="U1321" s="512"/>
      <c r="V1321" s="512"/>
      <c r="W1321" s="512"/>
    </row>
    <row r="1322" s="178" customFormat="1" ht="15.4" customHeight="1" spans="1:23">
      <c r="A1322" s="1053" t="s">
        <v>910</v>
      </c>
      <c r="B1322" s="1099" t="s">
        <v>1170</v>
      </c>
      <c r="C1322" s="1089" t="s">
        <v>15</v>
      </c>
      <c r="D1322" s="266">
        <v>12</v>
      </c>
      <c r="E1322" s="976"/>
      <c r="F1322" s="840"/>
      <c r="G1322" s="840">
        <f>G1321</f>
        <v>45786</v>
      </c>
      <c r="H1322" s="713">
        <f>H1321</f>
        <v>45808</v>
      </c>
      <c r="I1322" s="1053" t="s">
        <v>1172</v>
      </c>
      <c r="J1322" s="1053" t="s">
        <v>18</v>
      </c>
      <c r="K1322" s="1053" t="s">
        <v>147</v>
      </c>
      <c r="L1322" s="279" t="s">
        <v>20</v>
      </c>
      <c r="M1322" s="1093"/>
      <c r="N1322" s="512"/>
      <c r="O1322" s="512"/>
      <c r="P1322" s="512"/>
      <c r="Q1322" s="512"/>
      <c r="R1322" s="512"/>
      <c r="S1322" s="512"/>
      <c r="T1322" s="512"/>
      <c r="U1322" s="512"/>
      <c r="V1322" s="512"/>
      <c r="W1322" s="512"/>
    </row>
    <row r="1323" s="178" customFormat="1" ht="15.4" customHeight="1" spans="1:23">
      <c r="A1323" s="1053" t="s">
        <v>910</v>
      </c>
      <c r="B1323" s="1099" t="s">
        <v>1170</v>
      </c>
      <c r="C1323" s="1089" t="s">
        <v>24</v>
      </c>
      <c r="D1323" s="266">
        <v>100</v>
      </c>
      <c r="E1323" s="1127"/>
      <c r="F1323" s="840"/>
      <c r="G1323" s="840">
        <f>G1322</f>
        <v>45786</v>
      </c>
      <c r="H1323" s="713">
        <f>H1322</f>
        <v>45808</v>
      </c>
      <c r="I1323" s="1053" t="s">
        <v>1172</v>
      </c>
      <c r="J1323" s="1053" t="s">
        <v>18</v>
      </c>
      <c r="K1323" s="1053" t="s">
        <v>147</v>
      </c>
      <c r="L1323" s="279" t="s">
        <v>20</v>
      </c>
      <c r="M1323" s="687"/>
      <c r="N1323" s="512"/>
      <c r="O1323" s="512"/>
      <c r="P1323" s="512"/>
      <c r="Q1323" s="512"/>
      <c r="R1323" s="512"/>
      <c r="S1323" s="512"/>
      <c r="T1323" s="512"/>
      <c r="U1323" s="512"/>
      <c r="V1323" s="512"/>
      <c r="W1323" s="512"/>
    </row>
    <row r="1324" s="178" customFormat="1" ht="15.4" customHeight="1" spans="1:23">
      <c r="A1324" s="1053" t="s">
        <v>910</v>
      </c>
      <c r="B1324" s="1099" t="s">
        <v>1170</v>
      </c>
      <c r="C1324" s="1089" t="s">
        <v>27</v>
      </c>
      <c r="D1324" s="266">
        <v>30</v>
      </c>
      <c r="E1324" s="1127"/>
      <c r="F1324" s="840"/>
      <c r="G1324" s="840">
        <f>G1323</f>
        <v>45786</v>
      </c>
      <c r="H1324" s="713">
        <f>H1323</f>
        <v>45808</v>
      </c>
      <c r="I1324" s="1053" t="s">
        <v>1172</v>
      </c>
      <c r="J1324" s="1053" t="s">
        <v>18</v>
      </c>
      <c r="K1324" s="1053" t="s">
        <v>147</v>
      </c>
      <c r="L1324" s="279" t="s">
        <v>20</v>
      </c>
      <c r="M1324" s="687"/>
      <c r="N1324" s="512"/>
      <c r="O1324" s="512"/>
      <c r="P1324" s="512"/>
      <c r="Q1324" s="512"/>
      <c r="R1324" s="512"/>
      <c r="S1324" s="512"/>
      <c r="T1324" s="512"/>
      <c r="U1324" s="512"/>
      <c r="V1324" s="512"/>
      <c r="W1324" s="512"/>
    </row>
    <row r="1325" s="178" customFormat="1" ht="15.4" customHeight="1" spans="1:23">
      <c r="A1325" s="1053" t="s">
        <v>910</v>
      </c>
      <c r="B1325" s="1099" t="s">
        <v>1170</v>
      </c>
      <c r="C1325" s="1089" t="s">
        <v>67</v>
      </c>
      <c r="D1325" s="266">
        <v>30</v>
      </c>
      <c r="E1325" s="1127"/>
      <c r="F1325" s="840"/>
      <c r="G1325" s="840">
        <f>G1324</f>
        <v>45786</v>
      </c>
      <c r="H1325" s="713">
        <f>H1324</f>
        <v>45808</v>
      </c>
      <c r="I1325" s="1053" t="s">
        <v>1172</v>
      </c>
      <c r="J1325" s="1053" t="s">
        <v>18</v>
      </c>
      <c r="K1325" s="1053" t="s">
        <v>147</v>
      </c>
      <c r="L1325" s="279" t="s">
        <v>20</v>
      </c>
      <c r="M1325" s="687"/>
      <c r="N1325" s="512"/>
      <c r="O1325" s="512"/>
      <c r="P1325" s="512"/>
      <c r="Q1325" s="512"/>
      <c r="R1325" s="512"/>
      <c r="S1325" s="512"/>
      <c r="T1325" s="512"/>
      <c r="U1325" s="512"/>
      <c r="V1325" s="512"/>
      <c r="W1325" s="512"/>
    </row>
    <row r="1326" s="178" customFormat="1" ht="15.4" customHeight="1" spans="1:23">
      <c r="A1326" s="1053" t="s">
        <v>910</v>
      </c>
      <c r="B1326" s="1099" t="s">
        <v>1170</v>
      </c>
      <c r="C1326" s="1089" t="s">
        <v>70</v>
      </c>
      <c r="D1326" s="266">
        <v>50</v>
      </c>
      <c r="E1326" s="1127"/>
      <c r="F1326" s="840"/>
      <c r="G1326" s="840">
        <f>G1325</f>
        <v>45786</v>
      </c>
      <c r="H1326" s="713">
        <f>H1325</f>
        <v>45808</v>
      </c>
      <c r="I1326" s="1053" t="s">
        <v>1172</v>
      </c>
      <c r="J1326" s="1053" t="s">
        <v>18</v>
      </c>
      <c r="K1326" s="1053" t="s">
        <v>147</v>
      </c>
      <c r="L1326" s="279" t="s">
        <v>20</v>
      </c>
      <c r="M1326" s="687"/>
      <c r="N1326" s="512"/>
      <c r="O1326" s="512"/>
      <c r="P1326" s="512"/>
      <c r="Q1326" s="512"/>
      <c r="R1326" s="512"/>
      <c r="S1326" s="512"/>
      <c r="T1326" s="512"/>
      <c r="U1326" s="512"/>
      <c r="V1326" s="512"/>
      <c r="W1326" s="512"/>
    </row>
    <row r="1327" s="178" customFormat="1" ht="15.4" customHeight="1" spans="1:23">
      <c r="A1327" s="1053" t="s">
        <v>910</v>
      </c>
      <c r="B1327" s="1099" t="s">
        <v>1173</v>
      </c>
      <c r="C1327" s="1089" t="s">
        <v>77</v>
      </c>
      <c r="D1327" s="266">
        <v>48</v>
      </c>
      <c r="E1327" s="1085" t="s">
        <v>1174</v>
      </c>
      <c r="F1327" s="675"/>
      <c r="G1327" s="675">
        <f>VLOOKUP(CLEAN(SUBSTITUTE(TRIM(MID(E:E,FIND("/",E:E)+1,LEN(E:E)))," ","")),'Customs Decl. &amp; Local Delivery'!D:I,6,0)</f>
        <v>45786</v>
      </c>
      <c r="H1327" s="676">
        <f>VLOOKUP(CLEAN(SUBSTITUTE(TRIM(MID(E:E,FIND("/",E:E)+1,LEN(E:E)))," ","")),'Customs Decl. &amp; Local Delivery'!D:J,7,0)</f>
        <v>45808</v>
      </c>
      <c r="I1327" s="1053" t="s">
        <v>1175</v>
      </c>
      <c r="J1327" s="1053" t="s">
        <v>18</v>
      </c>
      <c r="K1327" s="1053" t="s">
        <v>147</v>
      </c>
      <c r="L1327" s="279" t="s">
        <v>20</v>
      </c>
      <c r="M1327" s="672" t="s">
        <v>1160</v>
      </c>
      <c r="N1327" s="512"/>
      <c r="O1327" s="512"/>
      <c r="P1327" s="512"/>
      <c r="Q1327" s="512"/>
      <c r="R1327" s="512"/>
      <c r="S1327" s="512"/>
      <c r="T1327" s="512"/>
      <c r="U1327" s="512"/>
      <c r="V1327" s="512"/>
      <c r="W1327" s="512"/>
    </row>
    <row r="1328" s="178" customFormat="1" ht="15.4" customHeight="1" spans="1:23">
      <c r="A1328" s="1053" t="s">
        <v>910</v>
      </c>
      <c r="B1328" s="1099" t="s">
        <v>1173</v>
      </c>
      <c r="C1328" s="1089" t="s">
        <v>15</v>
      </c>
      <c r="D1328" s="266">
        <v>12</v>
      </c>
      <c r="E1328" s="1127"/>
      <c r="F1328" s="840"/>
      <c r="G1328" s="840">
        <f>G1327</f>
        <v>45786</v>
      </c>
      <c r="H1328" s="713">
        <f>H1327</f>
        <v>45808</v>
      </c>
      <c r="I1328" s="1053" t="s">
        <v>1175</v>
      </c>
      <c r="J1328" s="1053" t="s">
        <v>18</v>
      </c>
      <c r="K1328" s="1053" t="s">
        <v>147</v>
      </c>
      <c r="L1328" s="279" t="s">
        <v>20</v>
      </c>
      <c r="M1328" s="1093"/>
      <c r="N1328" s="512"/>
      <c r="O1328" s="512"/>
      <c r="P1328" s="512"/>
      <c r="Q1328" s="512"/>
      <c r="R1328" s="512"/>
      <c r="S1328" s="512"/>
      <c r="T1328" s="512"/>
      <c r="U1328" s="512"/>
      <c r="V1328" s="512"/>
      <c r="W1328" s="512"/>
    </row>
    <row r="1329" s="178" customFormat="1" ht="15.4" customHeight="1" spans="1:23">
      <c r="A1329" s="1053" t="s">
        <v>910</v>
      </c>
      <c r="B1329" s="1099" t="s">
        <v>1173</v>
      </c>
      <c r="C1329" s="1089" t="s">
        <v>24</v>
      </c>
      <c r="D1329" s="266">
        <v>100</v>
      </c>
      <c r="E1329" s="1127"/>
      <c r="F1329" s="840"/>
      <c r="G1329" s="840">
        <f>G1328</f>
        <v>45786</v>
      </c>
      <c r="H1329" s="713">
        <f>H1328</f>
        <v>45808</v>
      </c>
      <c r="I1329" s="1053" t="s">
        <v>1175</v>
      </c>
      <c r="J1329" s="1053" t="s">
        <v>18</v>
      </c>
      <c r="K1329" s="1053" t="s">
        <v>147</v>
      </c>
      <c r="L1329" s="279" t="s">
        <v>20</v>
      </c>
      <c r="M1329" s="687"/>
      <c r="N1329" s="512"/>
      <c r="O1329" s="512"/>
      <c r="P1329" s="512"/>
      <c r="Q1329" s="512"/>
      <c r="R1329" s="512"/>
      <c r="S1329" s="512"/>
      <c r="T1329" s="512"/>
      <c r="U1329" s="512"/>
      <c r="V1329" s="512"/>
      <c r="W1329" s="512"/>
    </row>
    <row r="1330" s="178" customFormat="1" ht="15.4" customHeight="1" spans="1:23">
      <c r="A1330" s="1053" t="s">
        <v>910</v>
      </c>
      <c r="B1330" s="1099" t="s">
        <v>1173</v>
      </c>
      <c r="C1330" s="1089" t="s">
        <v>27</v>
      </c>
      <c r="D1330" s="266">
        <v>30</v>
      </c>
      <c r="E1330" s="1127"/>
      <c r="F1330" s="840"/>
      <c r="G1330" s="840">
        <f>G1329</f>
        <v>45786</v>
      </c>
      <c r="H1330" s="713">
        <f>H1329</f>
        <v>45808</v>
      </c>
      <c r="I1330" s="1053" t="s">
        <v>1175</v>
      </c>
      <c r="J1330" s="1053" t="s">
        <v>18</v>
      </c>
      <c r="K1330" s="1053" t="s">
        <v>147</v>
      </c>
      <c r="L1330" s="279" t="s">
        <v>20</v>
      </c>
      <c r="M1330" s="687"/>
      <c r="N1330" s="512"/>
      <c r="O1330" s="512"/>
      <c r="P1330" s="512"/>
      <c r="Q1330" s="512"/>
      <c r="R1330" s="512"/>
      <c r="S1330" s="512"/>
      <c r="T1330" s="512"/>
      <c r="U1330" s="512"/>
      <c r="V1330" s="512"/>
      <c r="W1330" s="512"/>
    </row>
    <row r="1331" s="178" customFormat="1" ht="15.4" customHeight="1" spans="1:23">
      <c r="A1331" s="1053" t="s">
        <v>910</v>
      </c>
      <c r="B1331" s="1099" t="s">
        <v>1173</v>
      </c>
      <c r="C1331" s="1089" t="s">
        <v>67</v>
      </c>
      <c r="D1331" s="266">
        <v>30</v>
      </c>
      <c r="E1331" s="1127"/>
      <c r="F1331" s="840"/>
      <c r="G1331" s="840">
        <f>G1330</f>
        <v>45786</v>
      </c>
      <c r="H1331" s="713">
        <f>H1330</f>
        <v>45808</v>
      </c>
      <c r="I1331" s="1053" t="s">
        <v>1175</v>
      </c>
      <c r="J1331" s="1053" t="s">
        <v>18</v>
      </c>
      <c r="K1331" s="1053" t="s">
        <v>147</v>
      </c>
      <c r="L1331" s="279" t="s">
        <v>20</v>
      </c>
      <c r="M1331" s="687"/>
      <c r="N1331" s="512"/>
      <c r="O1331" s="512"/>
      <c r="P1331" s="512"/>
      <c r="Q1331" s="512"/>
      <c r="R1331" s="512"/>
      <c r="S1331" s="512"/>
      <c r="T1331" s="512"/>
      <c r="U1331" s="512"/>
      <c r="V1331" s="512"/>
      <c r="W1331" s="512"/>
    </row>
    <row r="1332" s="178" customFormat="1" ht="15.4" customHeight="1" spans="1:23">
      <c r="A1332" s="1053" t="s">
        <v>910</v>
      </c>
      <c r="B1332" s="1099" t="s">
        <v>1173</v>
      </c>
      <c r="C1332" s="1089" t="s">
        <v>70</v>
      </c>
      <c r="D1332" s="266">
        <v>50</v>
      </c>
      <c r="E1332" s="1127"/>
      <c r="F1332" s="840"/>
      <c r="G1332" s="840">
        <f>G1331</f>
        <v>45786</v>
      </c>
      <c r="H1332" s="713">
        <f>H1331</f>
        <v>45808</v>
      </c>
      <c r="I1332" s="1053" t="s">
        <v>1175</v>
      </c>
      <c r="J1332" s="1053" t="s">
        <v>18</v>
      </c>
      <c r="K1332" s="1053" t="s">
        <v>147</v>
      </c>
      <c r="L1332" s="279" t="s">
        <v>20</v>
      </c>
      <c r="M1332" s="687"/>
      <c r="N1332" s="512"/>
      <c r="O1332" s="512"/>
      <c r="P1332" s="512"/>
      <c r="Q1332" s="512"/>
      <c r="R1332" s="512"/>
      <c r="S1332" s="512"/>
      <c r="T1332" s="512"/>
      <c r="U1332" s="512"/>
      <c r="V1332" s="512"/>
      <c r="W1332" s="512"/>
    </row>
    <row r="1333" s="178" customFormat="1" ht="15.4" customHeight="1" spans="1:23">
      <c r="A1333" s="1053" t="s">
        <v>910</v>
      </c>
      <c r="B1333" s="1099" t="s">
        <v>1176</v>
      </c>
      <c r="C1333" s="1089" t="s">
        <v>77</v>
      </c>
      <c r="D1333" s="266">
        <v>48</v>
      </c>
      <c r="E1333" s="1085" t="s">
        <v>1177</v>
      </c>
      <c r="F1333" s="675"/>
      <c r="G1333" s="675">
        <f>VLOOKUP(CLEAN(SUBSTITUTE(TRIM(MID(E:E,FIND("/",E:E)+1,LEN(E:E)))," ","")),'Customs Decl. &amp; Local Delivery'!D:I,6,0)</f>
        <v>45786</v>
      </c>
      <c r="H1333" s="676">
        <f>VLOOKUP(CLEAN(SUBSTITUTE(TRIM(MID(E:E,FIND("/",E:E)+1,LEN(E:E)))," ","")),'Customs Decl. &amp; Local Delivery'!D:J,7,0)</f>
        <v>45808</v>
      </c>
      <c r="I1333" s="1053" t="s">
        <v>1178</v>
      </c>
      <c r="J1333" s="1053" t="s">
        <v>18</v>
      </c>
      <c r="K1333" s="1053" t="s">
        <v>147</v>
      </c>
      <c r="L1333" s="1090" t="s">
        <v>20</v>
      </c>
      <c r="M1333" s="672" t="s">
        <v>1160</v>
      </c>
      <c r="N1333" s="512"/>
      <c r="O1333" s="512"/>
      <c r="P1333" s="512"/>
      <c r="Q1333" s="512"/>
      <c r="R1333" s="512"/>
      <c r="S1333" s="512"/>
      <c r="T1333" s="512"/>
      <c r="U1333" s="512"/>
      <c r="V1333" s="512"/>
      <c r="W1333" s="512"/>
    </row>
    <row r="1334" s="178" customFormat="1" ht="15.4" customHeight="1" spans="1:23">
      <c r="A1334" s="1053" t="s">
        <v>910</v>
      </c>
      <c r="B1334" s="1099" t="s">
        <v>1176</v>
      </c>
      <c r="C1334" s="1089" t="s">
        <v>15</v>
      </c>
      <c r="D1334" s="266">
        <v>12</v>
      </c>
      <c r="E1334" s="1127"/>
      <c r="F1334" s="840"/>
      <c r="G1334" s="840">
        <f>G1333</f>
        <v>45786</v>
      </c>
      <c r="H1334" s="713">
        <f>H1333</f>
        <v>45808</v>
      </c>
      <c r="I1334" s="1053" t="s">
        <v>1178</v>
      </c>
      <c r="J1334" s="1053" t="s">
        <v>18</v>
      </c>
      <c r="K1334" s="1053" t="s">
        <v>147</v>
      </c>
      <c r="L1334" s="279" t="s">
        <v>20</v>
      </c>
      <c r="M1334" s="1093"/>
      <c r="N1334" s="512"/>
      <c r="O1334" s="512"/>
      <c r="P1334" s="512"/>
      <c r="Q1334" s="512"/>
      <c r="R1334" s="512"/>
      <c r="S1334" s="512"/>
      <c r="T1334" s="512"/>
      <c r="U1334" s="512"/>
      <c r="V1334" s="512"/>
      <c r="W1334" s="512"/>
    </row>
    <row r="1335" s="178" customFormat="1" ht="15.4" customHeight="1" spans="1:23">
      <c r="A1335" s="1053" t="s">
        <v>910</v>
      </c>
      <c r="B1335" s="1099" t="s">
        <v>1176</v>
      </c>
      <c r="C1335" s="1089" t="s">
        <v>24</v>
      </c>
      <c r="D1335" s="266">
        <v>100</v>
      </c>
      <c r="E1335" s="1127"/>
      <c r="F1335" s="840"/>
      <c r="G1335" s="840">
        <f>G1334</f>
        <v>45786</v>
      </c>
      <c r="H1335" s="713">
        <f>H1334</f>
        <v>45808</v>
      </c>
      <c r="I1335" s="1053" t="s">
        <v>1178</v>
      </c>
      <c r="J1335" s="1053" t="s">
        <v>18</v>
      </c>
      <c r="K1335" s="1053" t="s">
        <v>147</v>
      </c>
      <c r="L1335" s="279" t="s">
        <v>20</v>
      </c>
      <c r="M1335" s="687"/>
      <c r="N1335" s="512"/>
      <c r="O1335" s="512"/>
      <c r="P1335" s="512"/>
      <c r="Q1335" s="512"/>
      <c r="R1335" s="512"/>
      <c r="S1335" s="512"/>
      <c r="T1335" s="512"/>
      <c r="U1335" s="512"/>
      <c r="V1335" s="512"/>
      <c r="W1335" s="512"/>
    </row>
    <row r="1336" s="178" customFormat="1" ht="15.4" customHeight="1" spans="1:23">
      <c r="A1336" s="1053" t="s">
        <v>910</v>
      </c>
      <c r="B1336" s="1099" t="s">
        <v>1176</v>
      </c>
      <c r="C1336" s="1089" t="s">
        <v>27</v>
      </c>
      <c r="D1336" s="266">
        <v>30</v>
      </c>
      <c r="E1336" s="1127"/>
      <c r="F1336" s="840"/>
      <c r="G1336" s="840">
        <f>G1335</f>
        <v>45786</v>
      </c>
      <c r="H1336" s="713">
        <f>H1335</f>
        <v>45808</v>
      </c>
      <c r="I1336" s="1053" t="s">
        <v>1178</v>
      </c>
      <c r="J1336" s="1053" t="s">
        <v>18</v>
      </c>
      <c r="K1336" s="1053" t="s">
        <v>147</v>
      </c>
      <c r="L1336" s="279" t="s">
        <v>20</v>
      </c>
      <c r="M1336" s="687"/>
      <c r="N1336" s="512"/>
      <c r="O1336" s="512"/>
      <c r="P1336" s="512"/>
      <c r="Q1336" s="512"/>
      <c r="R1336" s="512"/>
      <c r="S1336" s="512"/>
      <c r="T1336" s="512"/>
      <c r="U1336" s="512"/>
      <c r="V1336" s="512"/>
      <c r="W1336" s="512"/>
    </row>
    <row r="1337" s="178" customFormat="1" ht="15.4" customHeight="1" spans="1:23">
      <c r="A1337" s="1053" t="s">
        <v>910</v>
      </c>
      <c r="B1337" s="1099" t="s">
        <v>1176</v>
      </c>
      <c r="C1337" s="1089" t="s">
        <v>67</v>
      </c>
      <c r="D1337" s="266">
        <v>30</v>
      </c>
      <c r="E1337" s="1127"/>
      <c r="F1337" s="840"/>
      <c r="G1337" s="840">
        <f>G1336</f>
        <v>45786</v>
      </c>
      <c r="H1337" s="713">
        <f>H1336</f>
        <v>45808</v>
      </c>
      <c r="I1337" s="1053" t="s">
        <v>1178</v>
      </c>
      <c r="J1337" s="1053" t="s">
        <v>18</v>
      </c>
      <c r="K1337" s="1053" t="s">
        <v>147</v>
      </c>
      <c r="L1337" s="279" t="s">
        <v>20</v>
      </c>
      <c r="M1337" s="687"/>
      <c r="N1337" s="512"/>
      <c r="O1337" s="512"/>
      <c r="P1337" s="512"/>
      <c r="Q1337" s="512"/>
      <c r="R1337" s="512"/>
      <c r="S1337" s="512"/>
      <c r="T1337" s="512"/>
      <c r="U1337" s="512"/>
      <c r="V1337" s="512"/>
      <c r="W1337" s="512"/>
    </row>
    <row r="1338" s="178" customFormat="1" ht="15.4" customHeight="1" spans="1:23">
      <c r="A1338" s="1053" t="s">
        <v>910</v>
      </c>
      <c r="B1338" s="1099" t="s">
        <v>1176</v>
      </c>
      <c r="C1338" s="1089" t="s">
        <v>70</v>
      </c>
      <c r="D1338" s="266">
        <v>50</v>
      </c>
      <c r="E1338" s="1127"/>
      <c r="F1338" s="840"/>
      <c r="G1338" s="840">
        <f>G1337</f>
        <v>45786</v>
      </c>
      <c r="H1338" s="713">
        <f>H1337</f>
        <v>45808</v>
      </c>
      <c r="I1338" s="1053" t="s">
        <v>1178</v>
      </c>
      <c r="J1338" s="1053" t="s">
        <v>18</v>
      </c>
      <c r="K1338" s="1053" t="s">
        <v>147</v>
      </c>
      <c r="L1338" s="279" t="s">
        <v>20</v>
      </c>
      <c r="M1338" s="687"/>
      <c r="N1338" s="512"/>
      <c r="O1338" s="512"/>
      <c r="P1338" s="512"/>
      <c r="Q1338" s="512"/>
      <c r="R1338" s="512"/>
      <c r="S1338" s="512"/>
      <c r="T1338" s="512"/>
      <c r="U1338" s="512"/>
      <c r="V1338" s="512"/>
      <c r="W1338" s="512"/>
    </row>
    <row r="1339" s="178" customFormat="1" ht="15.4" customHeight="1" spans="1:23">
      <c r="A1339" s="1053" t="s">
        <v>910</v>
      </c>
      <c r="B1339" s="1099" t="s">
        <v>1179</v>
      </c>
      <c r="C1339" s="1089" t="s">
        <v>77</v>
      </c>
      <c r="D1339" s="266">
        <v>48</v>
      </c>
      <c r="E1339" s="1085" t="s">
        <v>1180</v>
      </c>
      <c r="F1339" s="675"/>
      <c r="G1339" s="675">
        <f>VLOOKUP(CLEAN(SUBSTITUTE(TRIM(MID(E:E,FIND("/",E:E)+1,LEN(E:E)))," ","")),'Customs Decl. &amp; Local Delivery'!D:I,6,0)</f>
        <v>45786</v>
      </c>
      <c r="H1339" s="676">
        <f>VLOOKUP(CLEAN(SUBSTITUTE(TRIM(MID(E:E,FIND("/",E:E)+1,LEN(E:E)))," ","")),'Customs Decl. &amp; Local Delivery'!D:J,7,0)</f>
        <v>45808</v>
      </c>
      <c r="I1339" s="1053" t="s">
        <v>1181</v>
      </c>
      <c r="J1339" s="1053" t="s">
        <v>18</v>
      </c>
      <c r="K1339" s="1053" t="s">
        <v>147</v>
      </c>
      <c r="L1339" s="279" t="s">
        <v>20</v>
      </c>
      <c r="M1339" s="672" t="s">
        <v>1160</v>
      </c>
      <c r="N1339" s="512"/>
      <c r="O1339" s="512"/>
      <c r="P1339" s="512"/>
      <c r="Q1339" s="512"/>
      <c r="R1339" s="512"/>
      <c r="S1339" s="512"/>
      <c r="T1339" s="512"/>
      <c r="U1339" s="512"/>
      <c r="V1339" s="512"/>
      <c r="W1339" s="512"/>
    </row>
    <row r="1340" s="178" customFormat="1" ht="15.4" customHeight="1" spans="1:23">
      <c r="A1340" s="1053" t="s">
        <v>910</v>
      </c>
      <c r="B1340" s="1099" t="s">
        <v>1179</v>
      </c>
      <c r="C1340" s="1089" t="s">
        <v>15</v>
      </c>
      <c r="D1340" s="266">
        <v>60</v>
      </c>
      <c r="E1340" s="1127"/>
      <c r="F1340" s="840"/>
      <c r="G1340" s="840">
        <f>G1339</f>
        <v>45786</v>
      </c>
      <c r="H1340" s="713">
        <f>H1339</f>
        <v>45808</v>
      </c>
      <c r="I1340" s="1053" t="s">
        <v>1181</v>
      </c>
      <c r="J1340" s="1053" t="s">
        <v>18</v>
      </c>
      <c r="K1340" s="1053" t="s">
        <v>147</v>
      </c>
      <c r="L1340" s="279" t="s">
        <v>20</v>
      </c>
      <c r="M1340" s="1093"/>
      <c r="N1340" s="512"/>
      <c r="O1340" s="512"/>
      <c r="P1340" s="512"/>
      <c r="Q1340" s="512"/>
      <c r="R1340" s="512"/>
      <c r="S1340" s="512"/>
      <c r="T1340" s="512"/>
      <c r="U1340" s="512"/>
      <c r="V1340" s="512"/>
      <c r="W1340" s="512"/>
    </row>
    <row r="1341" s="178" customFormat="1" ht="15.4" customHeight="1" spans="1:23">
      <c r="A1341" s="1053" t="s">
        <v>910</v>
      </c>
      <c r="B1341" s="1099" t="s">
        <v>1179</v>
      </c>
      <c r="C1341" s="1089" t="s">
        <v>24</v>
      </c>
      <c r="D1341" s="266">
        <v>10</v>
      </c>
      <c r="E1341" s="1127"/>
      <c r="F1341" s="840"/>
      <c r="G1341" s="840">
        <f>G1340</f>
        <v>45786</v>
      </c>
      <c r="H1341" s="713">
        <f>H1340</f>
        <v>45808</v>
      </c>
      <c r="I1341" s="1053" t="s">
        <v>1181</v>
      </c>
      <c r="J1341" s="1053" t="s">
        <v>18</v>
      </c>
      <c r="K1341" s="1053" t="s">
        <v>147</v>
      </c>
      <c r="L1341" s="279" t="s">
        <v>20</v>
      </c>
      <c r="M1341" s="687"/>
      <c r="N1341" s="512"/>
      <c r="O1341" s="512"/>
      <c r="P1341" s="512"/>
      <c r="Q1341" s="512"/>
      <c r="R1341" s="512"/>
      <c r="S1341" s="512"/>
      <c r="T1341" s="512"/>
      <c r="U1341" s="512"/>
      <c r="V1341" s="512"/>
      <c r="W1341" s="512"/>
    </row>
    <row r="1342" s="178" customFormat="1" ht="15.4" customHeight="1" spans="1:23">
      <c r="A1342" s="1053" t="s">
        <v>910</v>
      </c>
      <c r="B1342" s="1099" t="s">
        <v>1179</v>
      </c>
      <c r="C1342" s="1089" t="s">
        <v>27</v>
      </c>
      <c r="D1342" s="266">
        <v>100</v>
      </c>
      <c r="E1342" s="1127"/>
      <c r="F1342" s="840"/>
      <c r="G1342" s="840">
        <f>G1341</f>
        <v>45786</v>
      </c>
      <c r="H1342" s="713">
        <f>H1341</f>
        <v>45808</v>
      </c>
      <c r="I1342" s="1053" t="s">
        <v>1181</v>
      </c>
      <c r="J1342" s="1053" t="s">
        <v>18</v>
      </c>
      <c r="K1342" s="1053" t="s">
        <v>147</v>
      </c>
      <c r="L1342" s="279" t="s">
        <v>20</v>
      </c>
      <c r="M1342" s="687"/>
      <c r="N1342" s="512"/>
      <c r="O1342" s="512"/>
      <c r="P1342" s="512"/>
      <c r="Q1342" s="512"/>
      <c r="R1342" s="512"/>
      <c r="S1342" s="512"/>
      <c r="T1342" s="512"/>
      <c r="U1342" s="512"/>
      <c r="V1342" s="512"/>
      <c r="W1342" s="512"/>
    </row>
    <row r="1343" s="178" customFormat="1" ht="15.4" customHeight="1" spans="1:23">
      <c r="A1343" s="1053" t="s">
        <v>910</v>
      </c>
      <c r="B1343" s="1099" t="s">
        <v>1179</v>
      </c>
      <c r="C1343" s="1089" t="s">
        <v>67</v>
      </c>
      <c r="D1343" s="266">
        <v>50</v>
      </c>
      <c r="E1343" s="1127"/>
      <c r="F1343" s="840"/>
      <c r="G1343" s="840">
        <f>G1342</f>
        <v>45786</v>
      </c>
      <c r="H1343" s="713">
        <f>H1342</f>
        <v>45808</v>
      </c>
      <c r="I1343" s="1053" t="s">
        <v>1181</v>
      </c>
      <c r="J1343" s="1053" t="s">
        <v>18</v>
      </c>
      <c r="K1343" s="1053" t="s">
        <v>147</v>
      </c>
      <c r="L1343" s="279" t="s">
        <v>20</v>
      </c>
      <c r="M1343" s="687"/>
      <c r="N1343" s="512"/>
      <c r="O1343" s="512"/>
      <c r="P1343" s="512"/>
      <c r="Q1343" s="512"/>
      <c r="R1343" s="512"/>
      <c r="S1343" s="512"/>
      <c r="T1343" s="512"/>
      <c r="U1343" s="512"/>
      <c r="V1343" s="512"/>
      <c r="W1343" s="512"/>
    </row>
    <row r="1344" s="178" customFormat="1" ht="15.4" customHeight="1" spans="1:23">
      <c r="A1344" s="1150" t="s">
        <v>1019</v>
      </c>
      <c r="B1344" s="1135" t="s">
        <v>1182</v>
      </c>
      <c r="C1344" s="1139" t="s">
        <v>29</v>
      </c>
      <c r="D1344" s="267">
        <v>20</v>
      </c>
      <c r="E1344" s="1085" t="s">
        <v>1183</v>
      </c>
      <c r="F1344" s="675"/>
      <c r="G1344" s="675">
        <f>VLOOKUP(CLEAN(SUBSTITUTE(TRIM(MID(E:E,FIND("/",E:E)+1,LEN(E:E)))," ","")),'Customs Decl. &amp; Local Delivery'!D:I,6,0)</f>
        <v>45786</v>
      </c>
      <c r="H1344" s="676">
        <f>VLOOKUP(CLEAN(SUBSTITUTE(TRIM(MID(E:E,FIND("/",E:E)+1,LEN(E:E)))," ","")),'Customs Decl. &amp; Local Delivery'!D:J,7,0)</f>
        <v>45817</v>
      </c>
      <c r="I1344" s="1143" t="s">
        <v>1184</v>
      </c>
      <c r="J1344" s="1150" t="s">
        <v>39</v>
      </c>
      <c r="K1344" s="1143" t="s">
        <v>147</v>
      </c>
      <c r="L1344" s="1090" t="s">
        <v>20</v>
      </c>
      <c r="M1344" s="1143" t="s">
        <v>1185</v>
      </c>
      <c r="N1344" s="512"/>
      <c r="O1344" s="512"/>
      <c r="P1344" s="512"/>
      <c r="Q1344" s="512"/>
      <c r="R1344" s="512"/>
      <c r="S1344" s="512"/>
      <c r="T1344" s="512"/>
      <c r="U1344" s="512"/>
      <c r="V1344" s="512"/>
      <c r="W1344" s="512"/>
    </row>
    <row r="1345" s="178" customFormat="1" ht="15.4" customHeight="1" spans="1:23">
      <c r="A1345" s="1150" t="s">
        <v>1019</v>
      </c>
      <c r="B1345" s="1135" t="s">
        <v>1182</v>
      </c>
      <c r="C1345" s="1139" t="s">
        <v>30</v>
      </c>
      <c r="D1345" s="267">
        <v>20</v>
      </c>
      <c r="E1345" s="1113"/>
      <c r="F1345" s="840"/>
      <c r="G1345" s="840">
        <f>G1344</f>
        <v>45786</v>
      </c>
      <c r="H1345" s="713">
        <f>H1344</f>
        <v>45817</v>
      </c>
      <c r="I1345" s="1143" t="s">
        <v>1184</v>
      </c>
      <c r="J1345" s="1150" t="s">
        <v>39</v>
      </c>
      <c r="K1345" s="1143" t="s">
        <v>147</v>
      </c>
      <c r="L1345" s="279" t="s">
        <v>20</v>
      </c>
      <c r="M1345" s="1143"/>
      <c r="N1345" s="512"/>
      <c r="O1345" s="512"/>
      <c r="P1345" s="512"/>
      <c r="Q1345" s="512"/>
      <c r="R1345" s="512"/>
      <c r="S1345" s="512"/>
      <c r="T1345" s="512"/>
      <c r="U1345" s="512"/>
      <c r="V1345" s="512"/>
      <c r="W1345" s="512"/>
    </row>
    <row r="1346" s="178" customFormat="1" ht="15.4" customHeight="1" spans="1:23">
      <c r="A1346" s="1150" t="s">
        <v>1019</v>
      </c>
      <c r="B1346" s="1135" t="s">
        <v>1182</v>
      </c>
      <c r="C1346" s="1139" t="s">
        <v>24</v>
      </c>
      <c r="D1346" s="267">
        <v>120</v>
      </c>
      <c r="E1346" s="1113"/>
      <c r="F1346" s="840"/>
      <c r="G1346" s="840">
        <f>G1345</f>
        <v>45786</v>
      </c>
      <c r="H1346" s="713">
        <f>H1345</f>
        <v>45817</v>
      </c>
      <c r="I1346" s="1143" t="s">
        <v>1184</v>
      </c>
      <c r="J1346" s="1150" t="s">
        <v>39</v>
      </c>
      <c r="K1346" s="1143" t="s">
        <v>147</v>
      </c>
      <c r="L1346" s="279" t="s">
        <v>20</v>
      </c>
      <c r="M1346" s="1143"/>
      <c r="N1346" s="512"/>
      <c r="O1346" s="512"/>
      <c r="P1346" s="512"/>
      <c r="Q1346" s="512"/>
      <c r="R1346" s="512"/>
      <c r="S1346" s="512"/>
      <c r="T1346" s="512"/>
      <c r="U1346" s="512"/>
      <c r="V1346" s="512"/>
      <c r="W1346" s="512"/>
    </row>
    <row r="1347" s="178" customFormat="1" ht="15.4" customHeight="1" spans="1:23">
      <c r="A1347" s="1150" t="s">
        <v>1019</v>
      </c>
      <c r="B1347" s="1135" t="s">
        <v>1182</v>
      </c>
      <c r="C1347" s="1139" t="s">
        <v>25</v>
      </c>
      <c r="D1347" s="267">
        <v>120</v>
      </c>
      <c r="E1347" s="1113"/>
      <c r="F1347" s="840"/>
      <c r="G1347" s="840">
        <f>G1346</f>
        <v>45786</v>
      </c>
      <c r="H1347" s="713">
        <f>H1346</f>
        <v>45817</v>
      </c>
      <c r="I1347" s="1143" t="s">
        <v>1184</v>
      </c>
      <c r="J1347" s="1150" t="s">
        <v>39</v>
      </c>
      <c r="K1347" s="1143" t="s">
        <v>147</v>
      </c>
      <c r="L1347" s="279" t="s">
        <v>20</v>
      </c>
      <c r="M1347" s="1143"/>
      <c r="N1347" s="512"/>
      <c r="O1347" s="512"/>
      <c r="P1347" s="512"/>
      <c r="Q1347" s="512"/>
      <c r="R1347" s="512"/>
      <c r="S1347" s="512"/>
      <c r="T1347" s="512"/>
      <c r="U1347" s="512"/>
      <c r="V1347" s="512"/>
      <c r="W1347" s="512"/>
    </row>
    <row r="1348" s="178" customFormat="1" ht="15.4" customHeight="1" spans="1:23">
      <c r="A1348" s="1150" t="s">
        <v>1019</v>
      </c>
      <c r="B1348" s="1135" t="s">
        <v>1182</v>
      </c>
      <c r="C1348" s="1139" t="s">
        <v>15</v>
      </c>
      <c r="D1348" s="267">
        <v>35</v>
      </c>
      <c r="E1348" s="1113"/>
      <c r="F1348" s="840"/>
      <c r="G1348" s="840">
        <f>G1347</f>
        <v>45786</v>
      </c>
      <c r="H1348" s="713">
        <f>H1347</f>
        <v>45817</v>
      </c>
      <c r="I1348" s="1143" t="s">
        <v>1184</v>
      </c>
      <c r="J1348" s="1150" t="s">
        <v>39</v>
      </c>
      <c r="K1348" s="1143" t="s">
        <v>147</v>
      </c>
      <c r="L1348" s="279" t="s">
        <v>20</v>
      </c>
      <c r="M1348" s="1143"/>
      <c r="N1348" s="512"/>
      <c r="O1348" s="512"/>
      <c r="P1348" s="512"/>
      <c r="Q1348" s="512"/>
      <c r="R1348" s="512"/>
      <c r="S1348" s="512"/>
      <c r="T1348" s="512"/>
      <c r="U1348" s="512"/>
      <c r="V1348" s="512"/>
      <c r="W1348" s="512"/>
    </row>
    <row r="1349" s="178" customFormat="1" ht="15.4" customHeight="1" spans="1:23">
      <c r="A1349" s="1150" t="s">
        <v>1019</v>
      </c>
      <c r="B1349" s="1135" t="s">
        <v>1182</v>
      </c>
      <c r="C1349" s="1139" t="s">
        <v>22</v>
      </c>
      <c r="D1349" s="267">
        <v>35</v>
      </c>
      <c r="E1349" s="1113"/>
      <c r="F1349" s="840"/>
      <c r="G1349" s="840">
        <f>G1348</f>
        <v>45786</v>
      </c>
      <c r="H1349" s="713">
        <f>H1348</f>
        <v>45817</v>
      </c>
      <c r="I1349" s="1143" t="s">
        <v>1184</v>
      </c>
      <c r="J1349" s="1150" t="s">
        <v>39</v>
      </c>
      <c r="K1349" s="1143" t="s">
        <v>147</v>
      </c>
      <c r="L1349" s="279" t="s">
        <v>20</v>
      </c>
      <c r="M1349" s="1143"/>
      <c r="N1349" s="512"/>
      <c r="O1349" s="512"/>
      <c r="P1349" s="512"/>
      <c r="Q1349" s="512"/>
      <c r="R1349" s="512"/>
      <c r="S1349" s="512"/>
      <c r="T1349" s="512"/>
      <c r="U1349" s="512"/>
      <c r="V1349" s="512"/>
      <c r="W1349" s="512"/>
    </row>
    <row r="1350" ht="15.4" customHeight="1" spans="1:23">
      <c r="A1350" s="1053" t="s">
        <v>579</v>
      </c>
      <c r="B1350" s="1054" t="s">
        <v>996</v>
      </c>
      <c r="C1350" s="1048" t="s">
        <v>77</v>
      </c>
      <c r="D1350" s="240">
        <v>48</v>
      </c>
      <c r="E1350" s="1085" t="s">
        <v>1186</v>
      </c>
      <c r="F1350" s="675"/>
      <c r="G1350" s="675">
        <f>VLOOKUP(CLEAN(SUBSTITUTE(TRIM(MID(E:E,FIND("/",E:E)+1,LEN(E:E)))," ","")),'Customs Decl. &amp; Local Delivery'!D:I,6,0)</f>
        <v>45790</v>
      </c>
      <c r="H1350" s="676">
        <f>VLOOKUP(CLEAN(SUBSTITUTE(TRIM(MID(E:E,FIND("/",E:E)+1,LEN(E:E)))," ","")),'Customs Decl. &amp; Local Delivery'!D:J,7,0)</f>
        <v>45813</v>
      </c>
      <c r="I1350" s="1063" t="s">
        <v>1187</v>
      </c>
      <c r="J1350" s="1058" t="s">
        <v>18</v>
      </c>
      <c r="K1350" s="718" t="s">
        <v>19</v>
      </c>
      <c r="L1350" s="279" t="s">
        <v>20</v>
      </c>
      <c r="M1350" s="1063" t="s">
        <v>1188</v>
      </c>
      <c r="N1350" s="512"/>
      <c r="O1350" s="512"/>
      <c r="P1350" s="512"/>
      <c r="Q1350" s="512"/>
      <c r="R1350" s="512"/>
      <c r="S1350" s="512"/>
      <c r="T1350" s="512"/>
      <c r="U1350" s="512"/>
      <c r="V1350" s="512"/>
      <c r="W1350" s="512"/>
    </row>
    <row r="1351" ht="15.4" customHeight="1" spans="1:23">
      <c r="A1351" s="1053" t="s">
        <v>579</v>
      </c>
      <c r="B1351" s="1054" t="s">
        <v>996</v>
      </c>
      <c r="C1351" s="1048" t="s">
        <v>15</v>
      </c>
      <c r="D1351" s="240">
        <v>12</v>
      </c>
      <c r="E1351" s="976"/>
      <c r="F1351" s="840"/>
      <c r="G1351" s="840">
        <f>G1350</f>
        <v>45790</v>
      </c>
      <c r="H1351" s="713">
        <f>H1350</f>
        <v>45813</v>
      </c>
      <c r="I1351" s="1058" t="s">
        <v>1187</v>
      </c>
      <c r="J1351" s="1058" t="s">
        <v>18</v>
      </c>
      <c r="K1351" s="718" t="s">
        <v>19</v>
      </c>
      <c r="L1351" s="279" t="s">
        <v>20</v>
      </c>
      <c r="M1351" s="1063" t="s">
        <v>1189</v>
      </c>
      <c r="N1351" s="512"/>
      <c r="O1351" s="512"/>
      <c r="P1351" s="512"/>
      <c r="Q1351" s="512"/>
      <c r="R1351" s="512"/>
      <c r="S1351" s="512"/>
      <c r="T1351" s="512"/>
      <c r="U1351" s="512"/>
      <c r="V1351" s="512"/>
      <c r="W1351" s="512"/>
    </row>
    <row r="1352" ht="15.4" customHeight="1" spans="1:23">
      <c r="A1352" s="1096" t="s">
        <v>1190</v>
      </c>
      <c r="B1352" s="1099" t="s">
        <v>1047</v>
      </c>
      <c r="C1352" s="1048" t="s">
        <v>24</v>
      </c>
      <c r="D1352" s="240">
        <v>100</v>
      </c>
      <c r="E1352" s="976"/>
      <c r="F1352" s="840"/>
      <c r="G1352" s="840">
        <f>G1351</f>
        <v>45790</v>
      </c>
      <c r="H1352" s="713">
        <f>H1351</f>
        <v>45813</v>
      </c>
      <c r="I1352" s="1058" t="s">
        <v>1187</v>
      </c>
      <c r="J1352" s="1058" t="s">
        <v>18</v>
      </c>
      <c r="K1352" s="718" t="s">
        <v>19</v>
      </c>
      <c r="L1352" s="279" t="s">
        <v>20</v>
      </c>
      <c r="M1352" s="1058" t="s">
        <v>1191</v>
      </c>
      <c r="N1352" s="512"/>
      <c r="O1352" s="512"/>
      <c r="P1352" s="512"/>
      <c r="Q1352" s="512"/>
      <c r="R1352" s="512"/>
      <c r="S1352" s="512"/>
      <c r="T1352" s="512"/>
      <c r="U1352" s="512"/>
      <c r="V1352" s="512"/>
      <c r="W1352" s="512"/>
    </row>
    <row r="1353" ht="15.4" customHeight="1" spans="1:23">
      <c r="A1353" s="1053" t="s">
        <v>579</v>
      </c>
      <c r="B1353" s="1054" t="s">
        <v>996</v>
      </c>
      <c r="C1353" s="1048" t="s">
        <v>27</v>
      </c>
      <c r="D1353" s="240">
        <v>30</v>
      </c>
      <c r="E1353" s="976"/>
      <c r="F1353" s="840"/>
      <c r="G1353" s="840">
        <f>G1352</f>
        <v>45790</v>
      </c>
      <c r="H1353" s="713">
        <f>H1352</f>
        <v>45813</v>
      </c>
      <c r="I1353" s="1058" t="s">
        <v>1187</v>
      </c>
      <c r="J1353" s="1058" t="s">
        <v>18</v>
      </c>
      <c r="K1353" s="718" t="s">
        <v>19</v>
      </c>
      <c r="L1353" s="279" t="s">
        <v>20</v>
      </c>
      <c r="M1353" s="1058" t="s">
        <v>1191</v>
      </c>
      <c r="N1353" s="512"/>
      <c r="O1353" s="512"/>
      <c r="P1353" s="512"/>
      <c r="Q1353" s="512"/>
      <c r="R1353" s="512"/>
      <c r="S1353" s="512"/>
      <c r="T1353" s="512"/>
      <c r="U1353" s="512"/>
      <c r="V1353" s="512"/>
      <c r="W1353" s="512"/>
    </row>
    <row r="1354" ht="15.4" customHeight="1" spans="1:23">
      <c r="A1354" s="1096" t="s">
        <v>1190</v>
      </c>
      <c r="B1354" s="1099" t="s">
        <v>992</v>
      </c>
      <c r="C1354" s="1048" t="s">
        <v>67</v>
      </c>
      <c r="D1354" s="240">
        <v>30</v>
      </c>
      <c r="E1354" s="976"/>
      <c r="F1354" s="840"/>
      <c r="G1354" s="840">
        <f>G1353</f>
        <v>45790</v>
      </c>
      <c r="H1354" s="713">
        <f>H1353</f>
        <v>45813</v>
      </c>
      <c r="I1354" s="1058" t="s">
        <v>1187</v>
      </c>
      <c r="J1354" s="1058" t="s">
        <v>18</v>
      </c>
      <c r="K1354" s="718" t="s">
        <v>19</v>
      </c>
      <c r="L1354" s="279" t="s">
        <v>20</v>
      </c>
      <c r="M1354" s="1058" t="s">
        <v>1191</v>
      </c>
      <c r="N1354" s="512"/>
      <c r="O1354" s="512"/>
      <c r="P1354" s="512"/>
      <c r="Q1354" s="512"/>
      <c r="R1354" s="512"/>
      <c r="S1354" s="512"/>
      <c r="T1354" s="512"/>
      <c r="U1354" s="512"/>
      <c r="V1354" s="512"/>
      <c r="W1354" s="512"/>
    </row>
    <row r="1355" ht="15.4" customHeight="1" spans="1:23">
      <c r="A1355" s="1053" t="s">
        <v>579</v>
      </c>
      <c r="B1355" s="1054" t="s">
        <v>996</v>
      </c>
      <c r="C1355" s="1048" t="s">
        <v>70</v>
      </c>
      <c r="D1355" s="240">
        <v>50</v>
      </c>
      <c r="E1355" s="976"/>
      <c r="F1355" s="840"/>
      <c r="G1355" s="840">
        <f>G1354</f>
        <v>45790</v>
      </c>
      <c r="H1355" s="713">
        <f>H1354</f>
        <v>45813</v>
      </c>
      <c r="I1355" s="1058" t="s">
        <v>1187</v>
      </c>
      <c r="J1355" s="1058" t="s">
        <v>18</v>
      </c>
      <c r="K1355" s="718" t="s">
        <v>19</v>
      </c>
      <c r="L1355" s="279" t="s">
        <v>20</v>
      </c>
      <c r="M1355" s="1058" t="s">
        <v>1191</v>
      </c>
      <c r="N1355" s="512"/>
      <c r="O1355" s="512"/>
      <c r="P1355" s="512"/>
      <c r="Q1355" s="512"/>
      <c r="R1355" s="512"/>
      <c r="S1355" s="512"/>
      <c r="T1355" s="512"/>
      <c r="U1355" s="512"/>
      <c r="V1355" s="512"/>
      <c r="W1355" s="512"/>
    </row>
    <row r="1356" s="178" customFormat="1" ht="30" spans="1:23">
      <c r="A1356" s="1053" t="s">
        <v>910</v>
      </c>
      <c r="B1356" s="1099" t="s">
        <v>1192</v>
      </c>
      <c r="C1356" s="1089" t="s">
        <v>651</v>
      </c>
      <c r="D1356" s="266">
        <v>45</v>
      </c>
      <c r="E1356" s="1055" t="s">
        <v>1193</v>
      </c>
      <c r="F1356" s="675"/>
      <c r="G1356" s="675">
        <f>VLOOKUP(CLEAN(SUBSTITUTE(TRIM(MID(E:E,FIND("/",E:E)+1,LEN(E:E)))," ","")),'Customs Decl. &amp; Local Delivery'!D:I,6,0)</f>
        <v>45791</v>
      </c>
      <c r="H1356" s="676">
        <f>VLOOKUP(CLEAN(SUBSTITUTE(TRIM(MID(E:E,FIND("/",E:E)+1,LEN(E:E)))," ","")),'Customs Decl. &amp; Local Delivery'!D:J,7,0)</f>
        <v>45820</v>
      </c>
      <c r="I1356" s="1053" t="s">
        <v>1194</v>
      </c>
      <c r="J1356" s="1053" t="s">
        <v>18</v>
      </c>
      <c r="K1356" s="1053" t="s">
        <v>147</v>
      </c>
      <c r="L1356" s="279" t="s">
        <v>20</v>
      </c>
      <c r="M1356" s="1053" t="s">
        <v>1195</v>
      </c>
      <c r="N1356" s="512"/>
      <c r="O1356" s="512"/>
      <c r="P1356" s="512"/>
      <c r="Q1356" s="512"/>
      <c r="R1356" s="512"/>
      <c r="S1356" s="512"/>
      <c r="T1356" s="512"/>
      <c r="U1356" s="512"/>
      <c r="V1356" s="512"/>
      <c r="W1356" s="512"/>
    </row>
    <row r="1357" s="178" customFormat="1" ht="30" spans="1:23">
      <c r="A1357" s="1053" t="s">
        <v>910</v>
      </c>
      <c r="B1357" s="1099" t="s">
        <v>1196</v>
      </c>
      <c r="C1357" s="1089" t="s">
        <v>651</v>
      </c>
      <c r="D1357" s="266">
        <v>45</v>
      </c>
      <c r="E1357" s="1055" t="s">
        <v>1197</v>
      </c>
      <c r="F1357" s="675"/>
      <c r="G1357" s="675">
        <f>VLOOKUP(CLEAN(SUBSTITUTE(TRIM(MID(E:E,FIND("/",E:E)+1,LEN(E:E)))," ","")),'Customs Decl. &amp; Local Delivery'!D:I,6,0)</f>
        <v>45791</v>
      </c>
      <c r="H1357" s="676">
        <f>VLOOKUP(CLEAN(SUBSTITUTE(TRIM(MID(E:E,FIND("/",E:E)+1,LEN(E:E)))," ","")),'Customs Decl. &amp; Local Delivery'!D:J,7,0)</f>
        <v>45820</v>
      </c>
      <c r="I1357" s="1053" t="s">
        <v>1198</v>
      </c>
      <c r="J1357" s="1053" t="s">
        <v>18</v>
      </c>
      <c r="K1357" s="1053" t="s">
        <v>147</v>
      </c>
      <c r="L1357" s="279" t="s">
        <v>20</v>
      </c>
      <c r="M1357" s="1053" t="s">
        <v>1195</v>
      </c>
      <c r="N1357" s="512"/>
      <c r="O1357" s="512"/>
      <c r="P1357" s="512"/>
      <c r="Q1357" s="512"/>
      <c r="R1357" s="512"/>
      <c r="S1357" s="512"/>
      <c r="T1357" s="512"/>
      <c r="U1357" s="512"/>
      <c r="V1357" s="512"/>
      <c r="W1357" s="512"/>
    </row>
    <row r="1358" s="178" customFormat="1" ht="30" spans="1:23">
      <c r="A1358" s="1053" t="s">
        <v>910</v>
      </c>
      <c r="B1358" s="1099" t="s">
        <v>1199</v>
      </c>
      <c r="C1358" s="1089" t="s">
        <v>651</v>
      </c>
      <c r="D1358" s="266">
        <v>45</v>
      </c>
      <c r="E1358" s="1055" t="s">
        <v>1200</v>
      </c>
      <c r="F1358" s="675"/>
      <c r="G1358" s="675">
        <f>VLOOKUP(CLEAN(SUBSTITUTE(TRIM(MID(E:E,FIND("/",E:E)+1,LEN(E:E)))," ","")),'Customs Decl. &amp; Local Delivery'!D:I,6,0)</f>
        <v>45791</v>
      </c>
      <c r="H1358" s="676">
        <f>VLOOKUP(CLEAN(SUBSTITUTE(TRIM(MID(E:E,FIND("/",E:E)+1,LEN(E:E)))," ","")),'Customs Decl. &amp; Local Delivery'!D:J,7,0)</f>
        <v>45820</v>
      </c>
      <c r="I1358" s="1053" t="s">
        <v>1201</v>
      </c>
      <c r="J1358" s="1053" t="s">
        <v>18</v>
      </c>
      <c r="K1358" s="1053" t="s">
        <v>147</v>
      </c>
      <c r="L1358" s="279" t="s">
        <v>20</v>
      </c>
      <c r="M1358" s="1053" t="s">
        <v>1195</v>
      </c>
      <c r="N1358" s="512"/>
      <c r="O1358" s="512"/>
      <c r="P1358" s="512"/>
      <c r="Q1358" s="512"/>
      <c r="R1358" s="512"/>
      <c r="S1358" s="512"/>
      <c r="T1358" s="512"/>
      <c r="U1358" s="512"/>
      <c r="V1358" s="512"/>
      <c r="W1358" s="512"/>
    </row>
    <row r="1359" s="178" customFormat="1" ht="30" spans="1:23">
      <c r="A1359" s="1053" t="s">
        <v>910</v>
      </c>
      <c r="B1359" s="1099" t="s">
        <v>1202</v>
      </c>
      <c r="C1359" s="1089" t="s">
        <v>651</v>
      </c>
      <c r="D1359" s="266">
        <v>45</v>
      </c>
      <c r="E1359" s="1055" t="s">
        <v>1203</v>
      </c>
      <c r="F1359" s="675"/>
      <c r="G1359" s="675">
        <f>VLOOKUP(CLEAN(SUBSTITUTE(TRIM(MID(E:E,FIND("/",E:E)+1,LEN(E:E)))," ","")),'Customs Decl. &amp; Local Delivery'!D:I,6,0)</f>
        <v>45791</v>
      </c>
      <c r="H1359" s="676">
        <f>VLOOKUP(CLEAN(SUBSTITUTE(TRIM(MID(E:E,FIND("/",E:E)+1,LEN(E:E)))," ","")),'Customs Decl. &amp; Local Delivery'!D:J,7,0)</f>
        <v>45820</v>
      </c>
      <c r="I1359" s="1153" t="s">
        <v>1204</v>
      </c>
      <c r="J1359" s="1053" t="s">
        <v>18</v>
      </c>
      <c r="K1359" s="1053" t="s">
        <v>147</v>
      </c>
      <c r="L1359" s="279" t="s">
        <v>20</v>
      </c>
      <c r="M1359" s="1053" t="s">
        <v>1195</v>
      </c>
      <c r="N1359" s="512"/>
      <c r="O1359" s="512"/>
      <c r="P1359" s="512"/>
      <c r="Q1359" s="512"/>
      <c r="R1359" s="512"/>
      <c r="S1359" s="512"/>
      <c r="T1359" s="512"/>
      <c r="U1359" s="512"/>
      <c r="V1359" s="512"/>
      <c r="W1359" s="512"/>
    </row>
    <row r="1360" s="178" customFormat="1" ht="30" spans="1:23">
      <c r="A1360" s="1053" t="s">
        <v>910</v>
      </c>
      <c r="B1360" s="1099" t="s">
        <v>1205</v>
      </c>
      <c r="C1360" s="1048" t="s">
        <v>1206</v>
      </c>
      <c r="D1360" s="267">
        <v>45</v>
      </c>
      <c r="E1360" s="1055" t="s">
        <v>1207</v>
      </c>
      <c r="F1360" s="675"/>
      <c r="G1360" s="675">
        <f>VLOOKUP(CLEAN(SUBSTITUTE(TRIM(MID(E:E,FIND("/",E:E)+1,LEN(E:E)))," ","")),'Customs Decl. &amp; Local Delivery'!D:I,6,0)</f>
        <v>45792</v>
      </c>
      <c r="H1360" s="676">
        <f>VLOOKUP(CLEAN(SUBSTITUTE(TRIM(MID(E:E,FIND("/",E:E)+1,LEN(E:E)))," ","")),'Customs Decl. &amp; Local Delivery'!D:J,7,0)</f>
        <v>45821</v>
      </c>
      <c r="I1360" s="1053" t="s">
        <v>1208</v>
      </c>
      <c r="J1360" s="1053" t="s">
        <v>18</v>
      </c>
      <c r="K1360" s="1053" t="s">
        <v>147</v>
      </c>
      <c r="L1360" s="279" t="s">
        <v>20</v>
      </c>
      <c r="M1360" s="1053" t="s">
        <v>1209</v>
      </c>
      <c r="N1360" s="512"/>
      <c r="O1360" s="512"/>
      <c r="P1360" s="512"/>
      <c r="Q1360" s="512"/>
      <c r="R1360" s="512"/>
      <c r="S1360" s="512"/>
      <c r="T1360" s="512"/>
      <c r="U1360" s="512"/>
      <c r="V1360" s="512"/>
      <c r="W1360" s="512"/>
    </row>
    <row r="1361" s="178" customFormat="1" ht="30.75" customHeight="1" spans="1:23">
      <c r="A1361" s="1053" t="s">
        <v>910</v>
      </c>
      <c r="B1361" s="1099" t="s">
        <v>1210</v>
      </c>
      <c r="C1361" s="1048" t="s">
        <v>1211</v>
      </c>
      <c r="D1361" s="267">
        <v>45</v>
      </c>
      <c r="E1361" s="1055" t="s">
        <v>1212</v>
      </c>
      <c r="F1361" s="675"/>
      <c r="G1361" s="675">
        <f>VLOOKUP(CLEAN(SUBSTITUTE(TRIM(MID(E:E,FIND("/",E:E)+1,LEN(E:E)))," ","")),'Customs Decl. &amp; Local Delivery'!D:I,6,0)</f>
        <v>45793</v>
      </c>
      <c r="H1361" s="676">
        <f>VLOOKUP(CLEAN(SUBSTITUTE(TRIM(MID(E:E,FIND("/",E:E)+1,LEN(E:E)))," ","")),'Customs Decl. &amp; Local Delivery'!D:J,7,0)</f>
        <v>45811</v>
      </c>
      <c r="I1361" s="1053" t="s">
        <v>1213</v>
      </c>
      <c r="J1361" s="1053" t="s">
        <v>18</v>
      </c>
      <c r="K1361" s="1053" t="s">
        <v>147</v>
      </c>
      <c r="L1361" s="279" t="s">
        <v>20</v>
      </c>
      <c r="M1361" s="1053" t="s">
        <v>1214</v>
      </c>
      <c r="N1361" s="512"/>
      <c r="O1361" s="512"/>
      <c r="P1361" s="512"/>
      <c r="Q1361" s="512"/>
      <c r="R1361" s="512"/>
      <c r="S1361" s="512"/>
      <c r="T1361" s="512"/>
      <c r="U1361" s="512"/>
      <c r="V1361" s="512"/>
      <c r="W1361" s="512"/>
    </row>
    <row r="1362" s="178" customFormat="1" ht="30.75" customHeight="1" spans="1:23">
      <c r="A1362" s="1053" t="s">
        <v>910</v>
      </c>
      <c r="B1362" s="1099" t="s">
        <v>1215</v>
      </c>
      <c r="C1362" s="1048" t="s">
        <v>1211</v>
      </c>
      <c r="D1362" s="267">
        <v>43</v>
      </c>
      <c r="E1362" s="1055" t="s">
        <v>1216</v>
      </c>
      <c r="F1362" s="675"/>
      <c r="G1362" s="675">
        <f>VLOOKUP(CLEAN(SUBSTITUTE(TRIM(MID(E:E,FIND("/",E:E)+1,LEN(E:E)))," ","")),'Customs Decl. &amp; Local Delivery'!D:I,6,0)</f>
        <v>45793</v>
      </c>
      <c r="H1362" s="676">
        <f>VLOOKUP(CLEAN(SUBSTITUTE(TRIM(MID(E:E,FIND("/",E:E)+1,LEN(E:E)))," ","")),'Customs Decl. &amp; Local Delivery'!D:J,7,0)</f>
        <v>45811</v>
      </c>
      <c r="I1362" s="1053" t="s">
        <v>1217</v>
      </c>
      <c r="J1362" s="1053" t="s">
        <v>18</v>
      </c>
      <c r="K1362" s="1053" t="s">
        <v>147</v>
      </c>
      <c r="L1362" s="279" t="s">
        <v>20</v>
      </c>
      <c r="M1362" s="1053" t="s">
        <v>1218</v>
      </c>
      <c r="N1362" s="512"/>
      <c r="O1362" s="512"/>
      <c r="P1362" s="512"/>
      <c r="Q1362" s="512"/>
      <c r="R1362" s="512"/>
      <c r="S1362" s="512"/>
      <c r="T1362" s="512"/>
      <c r="U1362" s="512"/>
      <c r="V1362" s="512"/>
      <c r="W1362" s="512"/>
    </row>
    <row r="1363" s="178" customFormat="1" ht="15.4" customHeight="1" spans="1:23">
      <c r="A1363" s="1053" t="s">
        <v>910</v>
      </c>
      <c r="B1363" s="1099" t="s">
        <v>1219</v>
      </c>
      <c r="C1363" s="1089" t="s">
        <v>342</v>
      </c>
      <c r="D1363" s="266">
        <v>25</v>
      </c>
      <c r="E1363" s="1055" t="s">
        <v>1220</v>
      </c>
      <c r="F1363" s="675"/>
      <c r="G1363" s="675">
        <f>VLOOKUP(CLEAN(SUBSTITUTE(TRIM(MID(E:E,FIND("/",E:E)+1,LEN(E:E)))," ","")),'Customs Decl. &amp; Local Delivery'!D:I,6,0)</f>
        <v>45793</v>
      </c>
      <c r="H1363" s="676">
        <f>VLOOKUP(CLEAN(SUBSTITUTE(TRIM(MID(E:E,FIND("/",E:E)+1,LEN(E:E)))," ","")),'Customs Decl. &amp; Local Delivery'!D:J,7,0)</f>
        <v>45814</v>
      </c>
      <c r="I1363" s="1053" t="s">
        <v>1221</v>
      </c>
      <c r="J1363" s="1053" t="s">
        <v>18</v>
      </c>
      <c r="K1363" s="1053" t="s">
        <v>147</v>
      </c>
      <c r="L1363" s="279" t="s">
        <v>20</v>
      </c>
      <c r="M1363" s="1053" t="s">
        <v>1160</v>
      </c>
      <c r="N1363" s="512"/>
      <c r="O1363" s="512"/>
      <c r="P1363" s="512"/>
      <c r="Q1363" s="512"/>
      <c r="R1363" s="512"/>
      <c r="S1363" s="512"/>
      <c r="T1363" s="512"/>
      <c r="U1363" s="512"/>
      <c r="V1363" s="512"/>
      <c r="W1363" s="512"/>
    </row>
    <row r="1364" s="178" customFormat="1" ht="15.4" customHeight="1" spans="1:23">
      <c r="A1364" s="1053" t="s">
        <v>910</v>
      </c>
      <c r="B1364" s="1099" t="s">
        <v>1219</v>
      </c>
      <c r="C1364" s="1089" t="s">
        <v>15</v>
      </c>
      <c r="D1364" s="266">
        <v>130</v>
      </c>
      <c r="E1364" s="1127"/>
      <c r="F1364" s="840"/>
      <c r="G1364" s="840">
        <f>G1363</f>
        <v>45793</v>
      </c>
      <c r="H1364" s="713">
        <f>H1363</f>
        <v>45814</v>
      </c>
      <c r="I1364" s="1053" t="s">
        <v>1221</v>
      </c>
      <c r="J1364" s="1053" t="s">
        <v>18</v>
      </c>
      <c r="K1364" s="1053" t="s">
        <v>147</v>
      </c>
      <c r="L1364" s="279" t="s">
        <v>20</v>
      </c>
      <c r="M1364" s="1053"/>
      <c r="N1364" s="512"/>
      <c r="O1364" s="512"/>
      <c r="P1364" s="512"/>
      <c r="Q1364" s="512"/>
      <c r="R1364" s="512"/>
      <c r="S1364" s="512"/>
      <c r="T1364" s="512"/>
      <c r="U1364" s="512"/>
      <c r="V1364" s="512"/>
      <c r="W1364" s="512"/>
    </row>
    <row r="1365" s="178" customFormat="1" ht="15.4" customHeight="1" spans="1:23">
      <c r="A1365" s="1053" t="s">
        <v>910</v>
      </c>
      <c r="B1365" s="1099" t="s">
        <v>1219</v>
      </c>
      <c r="C1365" s="1089" t="s">
        <v>27</v>
      </c>
      <c r="D1365" s="266">
        <v>130</v>
      </c>
      <c r="E1365" s="1127"/>
      <c r="F1365" s="840"/>
      <c r="G1365" s="840">
        <f>G1364</f>
        <v>45793</v>
      </c>
      <c r="H1365" s="713">
        <f>H1364</f>
        <v>45814</v>
      </c>
      <c r="I1365" s="1053" t="s">
        <v>1221</v>
      </c>
      <c r="J1365" s="1053" t="s">
        <v>18</v>
      </c>
      <c r="K1365" s="1053" t="s">
        <v>147</v>
      </c>
      <c r="L1365" s="279" t="s">
        <v>20</v>
      </c>
      <c r="M1365" s="1053"/>
      <c r="N1365" s="512"/>
      <c r="O1365" s="512"/>
      <c r="P1365" s="512"/>
      <c r="Q1365" s="512"/>
      <c r="R1365" s="512"/>
      <c r="S1365" s="512"/>
      <c r="T1365" s="512"/>
      <c r="U1365" s="512"/>
      <c r="V1365" s="512"/>
      <c r="W1365" s="512"/>
    </row>
    <row r="1366" s="178" customFormat="1" ht="15.4" customHeight="1" spans="1:23">
      <c r="A1366" s="1053" t="s">
        <v>910</v>
      </c>
      <c r="B1366" s="1099" t="s">
        <v>1219</v>
      </c>
      <c r="C1366" s="1089" t="s">
        <v>67</v>
      </c>
      <c r="D1366" s="266">
        <v>90</v>
      </c>
      <c r="E1366" s="1127"/>
      <c r="F1366" s="840"/>
      <c r="G1366" s="840">
        <f>G1365</f>
        <v>45793</v>
      </c>
      <c r="H1366" s="713">
        <f>H1365</f>
        <v>45814</v>
      </c>
      <c r="I1366" s="1053" t="s">
        <v>1221</v>
      </c>
      <c r="J1366" s="1053" t="s">
        <v>18</v>
      </c>
      <c r="K1366" s="1053" t="s">
        <v>147</v>
      </c>
      <c r="L1366" s="279" t="s">
        <v>20</v>
      </c>
      <c r="M1366" s="1053"/>
      <c r="N1366" s="512"/>
      <c r="O1366" s="512"/>
      <c r="P1366" s="512"/>
      <c r="Q1366" s="512"/>
      <c r="R1366" s="512"/>
      <c r="S1366" s="512"/>
      <c r="T1366" s="512"/>
      <c r="U1366" s="512"/>
      <c r="V1366" s="512"/>
      <c r="W1366" s="512"/>
    </row>
    <row r="1367" s="178" customFormat="1" ht="15.4" customHeight="1" spans="1:23">
      <c r="A1367" s="1053" t="s">
        <v>910</v>
      </c>
      <c r="B1367" s="1099" t="s">
        <v>1219</v>
      </c>
      <c r="C1367" s="1089" t="s">
        <v>70</v>
      </c>
      <c r="D1367" s="266">
        <v>75</v>
      </c>
      <c r="E1367" s="1127"/>
      <c r="F1367" s="840"/>
      <c r="G1367" s="840">
        <f>G1366</f>
        <v>45793</v>
      </c>
      <c r="H1367" s="713">
        <f>H1366</f>
        <v>45814</v>
      </c>
      <c r="I1367" s="1053" t="s">
        <v>1221</v>
      </c>
      <c r="J1367" s="1053" t="s">
        <v>18</v>
      </c>
      <c r="K1367" s="1053" t="s">
        <v>147</v>
      </c>
      <c r="L1367" s="279" t="s">
        <v>20</v>
      </c>
      <c r="M1367" s="1053"/>
      <c r="N1367" s="512"/>
      <c r="O1367" s="512"/>
      <c r="P1367" s="512"/>
      <c r="Q1367" s="512"/>
      <c r="R1367" s="512"/>
      <c r="S1367" s="512"/>
      <c r="T1367" s="512"/>
      <c r="U1367" s="512"/>
      <c r="V1367" s="512"/>
      <c r="W1367" s="512"/>
    </row>
    <row r="1368" s="178" customFormat="1" ht="15.4" customHeight="1" spans="1:23">
      <c r="A1368" s="1053" t="s">
        <v>910</v>
      </c>
      <c r="B1368" s="1099" t="s">
        <v>1222</v>
      </c>
      <c r="C1368" s="1048" t="s">
        <v>342</v>
      </c>
      <c r="D1368" s="240">
        <v>25</v>
      </c>
      <c r="E1368" s="1055" t="s">
        <v>1223</v>
      </c>
      <c r="F1368" s="675"/>
      <c r="G1368" s="675">
        <f>VLOOKUP(CLEAN(SUBSTITUTE(TRIM(MID(E:E,FIND("/",E:E)+1,LEN(E:E)))," ","")),'Customs Decl. &amp; Local Delivery'!D:I,6,0)</f>
        <v>45797</v>
      </c>
      <c r="H1368" s="676">
        <f>VLOOKUP(CLEAN(SUBSTITUTE(TRIM(MID(E:E,FIND("/",E:E)+1,LEN(E:E)))," ","")),'Customs Decl. &amp; Local Delivery'!D:J,7,0)</f>
        <v>45812</v>
      </c>
      <c r="I1368" s="1053" t="s">
        <v>1224</v>
      </c>
      <c r="J1368" s="1053" t="s">
        <v>18</v>
      </c>
      <c r="K1368" s="1053" t="s">
        <v>147</v>
      </c>
      <c r="L1368" s="279" t="s">
        <v>20</v>
      </c>
      <c r="M1368" s="1053" t="s">
        <v>1225</v>
      </c>
      <c r="N1368" s="512"/>
      <c r="O1368" s="512"/>
      <c r="P1368" s="512"/>
      <c r="Q1368" s="512"/>
      <c r="R1368" s="512"/>
      <c r="S1368" s="512"/>
      <c r="T1368" s="512"/>
      <c r="U1368" s="512"/>
      <c r="V1368" s="512"/>
      <c r="W1368" s="512"/>
    </row>
    <row r="1369" s="178" customFormat="1" ht="15.4" customHeight="1" spans="1:23">
      <c r="A1369" s="1053" t="s">
        <v>910</v>
      </c>
      <c r="B1369" s="1099" t="s">
        <v>1222</v>
      </c>
      <c r="C1369" s="1048" t="s">
        <v>77</v>
      </c>
      <c r="D1369" s="240">
        <v>12</v>
      </c>
      <c r="E1369" s="1127"/>
      <c r="F1369" s="840"/>
      <c r="G1369" s="840">
        <f>G1368</f>
        <v>45797</v>
      </c>
      <c r="H1369" s="713">
        <f>H1368</f>
        <v>45812</v>
      </c>
      <c r="I1369" s="1053" t="s">
        <v>1224</v>
      </c>
      <c r="J1369" s="1053" t="s">
        <v>18</v>
      </c>
      <c r="K1369" s="1053" t="s">
        <v>147</v>
      </c>
      <c r="L1369" s="279" t="s">
        <v>20</v>
      </c>
      <c r="M1369" s="1093"/>
      <c r="N1369" s="512"/>
      <c r="O1369" s="512"/>
      <c r="P1369" s="512"/>
      <c r="Q1369" s="512"/>
      <c r="R1369" s="512"/>
      <c r="S1369" s="512"/>
      <c r="T1369" s="512"/>
      <c r="U1369" s="512"/>
      <c r="V1369" s="512"/>
      <c r="W1369" s="512"/>
    </row>
    <row r="1370" s="178" customFormat="1" ht="15.4" customHeight="1" spans="1:23">
      <c r="A1370" s="1053" t="s">
        <v>910</v>
      </c>
      <c r="B1370" s="1099" t="s">
        <v>1222</v>
      </c>
      <c r="C1370" s="1048" t="s">
        <v>15</v>
      </c>
      <c r="D1370" s="240">
        <v>300</v>
      </c>
      <c r="E1370" s="1127"/>
      <c r="F1370" s="840"/>
      <c r="G1370" s="840">
        <f>G1369</f>
        <v>45797</v>
      </c>
      <c r="H1370" s="713">
        <f>H1369</f>
        <v>45812</v>
      </c>
      <c r="I1370" s="1053" t="s">
        <v>1224</v>
      </c>
      <c r="J1370" s="1053" t="s">
        <v>18</v>
      </c>
      <c r="K1370" s="1053" t="s">
        <v>147</v>
      </c>
      <c r="L1370" s="279" t="s">
        <v>20</v>
      </c>
      <c r="M1370" s="1053"/>
      <c r="N1370" s="512"/>
      <c r="O1370" s="512"/>
      <c r="P1370" s="512"/>
      <c r="Q1370" s="512"/>
      <c r="R1370" s="512"/>
      <c r="S1370" s="512"/>
      <c r="T1370" s="512"/>
      <c r="U1370" s="512"/>
      <c r="V1370" s="512"/>
      <c r="W1370" s="512"/>
    </row>
    <row r="1371" s="178" customFormat="1" ht="15.4" customHeight="1" spans="1:23">
      <c r="A1371" s="1053" t="s">
        <v>910</v>
      </c>
      <c r="B1371" s="1099" t="s">
        <v>1222</v>
      </c>
      <c r="C1371" s="1048" t="s">
        <v>24</v>
      </c>
      <c r="D1371" s="240">
        <v>10</v>
      </c>
      <c r="E1371" s="1127"/>
      <c r="F1371" s="840"/>
      <c r="G1371" s="840">
        <f>G1370</f>
        <v>45797</v>
      </c>
      <c r="H1371" s="713">
        <f>H1370</f>
        <v>45812</v>
      </c>
      <c r="I1371" s="1053" t="s">
        <v>1224</v>
      </c>
      <c r="J1371" s="1053" t="s">
        <v>18</v>
      </c>
      <c r="K1371" s="1053" t="s">
        <v>147</v>
      </c>
      <c r="L1371" s="279" t="s">
        <v>20</v>
      </c>
      <c r="M1371" s="1053"/>
      <c r="N1371" s="512"/>
      <c r="O1371" s="512"/>
      <c r="P1371" s="512"/>
      <c r="Q1371" s="512"/>
      <c r="R1371" s="512"/>
      <c r="S1371" s="512"/>
      <c r="T1371" s="512"/>
      <c r="U1371" s="512"/>
      <c r="V1371" s="512"/>
      <c r="W1371" s="512"/>
    </row>
    <row r="1372" s="178" customFormat="1" ht="15.4" customHeight="1" spans="1:23">
      <c r="A1372" s="1053" t="s">
        <v>910</v>
      </c>
      <c r="B1372" s="1099" t="s">
        <v>1222</v>
      </c>
      <c r="C1372" s="1048" t="s">
        <v>27</v>
      </c>
      <c r="D1372" s="240">
        <v>60</v>
      </c>
      <c r="E1372" s="1127"/>
      <c r="F1372" s="840"/>
      <c r="G1372" s="840">
        <f>G1371</f>
        <v>45797</v>
      </c>
      <c r="H1372" s="713">
        <f>H1371</f>
        <v>45812</v>
      </c>
      <c r="I1372" s="1053" t="s">
        <v>1224</v>
      </c>
      <c r="J1372" s="1053" t="s">
        <v>18</v>
      </c>
      <c r="K1372" s="1053" t="s">
        <v>147</v>
      </c>
      <c r="L1372" s="279" t="s">
        <v>20</v>
      </c>
      <c r="M1372" s="1053"/>
      <c r="N1372" s="512"/>
      <c r="O1372" s="512"/>
      <c r="P1372" s="512"/>
      <c r="Q1372" s="512"/>
      <c r="R1372" s="512"/>
      <c r="S1372" s="512"/>
      <c r="T1372" s="512"/>
      <c r="U1372" s="512"/>
      <c r="V1372" s="512"/>
      <c r="W1372" s="512"/>
    </row>
    <row r="1373" s="178" customFormat="1" ht="15.4" customHeight="1" spans="1:23">
      <c r="A1373" s="1053" t="s">
        <v>910</v>
      </c>
      <c r="B1373" s="1099" t="s">
        <v>1222</v>
      </c>
      <c r="C1373" s="1048" t="s">
        <v>70</v>
      </c>
      <c r="D1373" s="240">
        <v>70</v>
      </c>
      <c r="E1373" s="1127"/>
      <c r="F1373" s="840"/>
      <c r="G1373" s="840">
        <f>G1372</f>
        <v>45797</v>
      </c>
      <c r="H1373" s="713">
        <f>H1372</f>
        <v>45812</v>
      </c>
      <c r="I1373" s="1053" t="s">
        <v>1224</v>
      </c>
      <c r="J1373" s="1053" t="s">
        <v>18</v>
      </c>
      <c r="K1373" s="1053" t="s">
        <v>147</v>
      </c>
      <c r="L1373" s="279" t="s">
        <v>20</v>
      </c>
      <c r="M1373" s="1053"/>
      <c r="N1373" s="512"/>
      <c r="O1373" s="512"/>
      <c r="P1373" s="512"/>
      <c r="Q1373" s="512"/>
      <c r="R1373" s="512"/>
      <c r="S1373" s="512"/>
      <c r="T1373" s="512"/>
      <c r="U1373" s="512"/>
      <c r="V1373" s="512"/>
      <c r="W1373" s="512"/>
    </row>
    <row r="1374" s="178" customFormat="1" ht="15.4" customHeight="1" spans="1:23">
      <c r="A1374" s="1064" t="s">
        <v>656</v>
      </c>
      <c r="B1374" s="1050" t="s">
        <v>1226</v>
      </c>
      <c r="C1374" s="789" t="s">
        <v>91</v>
      </c>
      <c r="D1374" s="279">
        <v>92</v>
      </c>
      <c r="E1374" s="1085" t="s">
        <v>1227</v>
      </c>
      <c r="F1374" s="675"/>
      <c r="G1374" s="675">
        <f>VLOOKUP(CLEAN(SUBSTITUTE(TRIM(MID(E:E,FIND("/",E:E)+1,LEN(E:E)))," ","")),'Customs Decl. &amp; Local Delivery'!D:I,6,0)</f>
        <v>45797</v>
      </c>
      <c r="H1374" s="676">
        <f>VLOOKUP(CLEAN(SUBSTITUTE(TRIM(MID(E:E,FIND("/",E:E)+1,LEN(E:E)))," ","")),'Customs Decl. &amp; Local Delivery'!D:J,7,0)</f>
        <v>45812</v>
      </c>
      <c r="I1374" s="1064" t="s">
        <v>1228</v>
      </c>
      <c r="J1374" s="784" t="s">
        <v>18</v>
      </c>
      <c r="K1374" s="1064" t="s">
        <v>147</v>
      </c>
      <c r="L1374" s="279" t="s">
        <v>20</v>
      </c>
      <c r="M1374" s="1064" t="s">
        <v>1229</v>
      </c>
      <c r="N1374" s="512"/>
      <c r="O1374" s="512"/>
      <c r="P1374" s="512"/>
      <c r="Q1374" s="512"/>
      <c r="R1374" s="512"/>
      <c r="S1374" s="512"/>
      <c r="T1374" s="512"/>
      <c r="U1374" s="512"/>
      <c r="V1374" s="512"/>
      <c r="W1374" s="512"/>
    </row>
    <row r="1375" s="178" customFormat="1" ht="15.4" customHeight="1" spans="1:23">
      <c r="A1375" s="1064" t="s">
        <v>656</v>
      </c>
      <c r="B1375" s="1050" t="s">
        <v>1226</v>
      </c>
      <c r="C1375" s="789" t="s">
        <v>15</v>
      </c>
      <c r="D1375" s="279">
        <v>15</v>
      </c>
      <c r="E1375" s="988"/>
      <c r="F1375" s="840"/>
      <c r="G1375" s="840">
        <f>G1374</f>
        <v>45797</v>
      </c>
      <c r="H1375" s="676">
        <f>H1374</f>
        <v>45812</v>
      </c>
      <c r="I1375" s="1064" t="s">
        <v>1228</v>
      </c>
      <c r="J1375" s="784" t="s">
        <v>18</v>
      </c>
      <c r="K1375" s="1064" t="s">
        <v>147</v>
      </c>
      <c r="L1375" s="279" t="s">
        <v>20</v>
      </c>
      <c r="M1375" s="1064"/>
      <c r="N1375" s="512"/>
      <c r="O1375" s="512"/>
      <c r="P1375" s="512"/>
      <c r="Q1375" s="512"/>
      <c r="R1375" s="512"/>
      <c r="S1375" s="512"/>
      <c r="T1375" s="512"/>
      <c r="U1375" s="512"/>
      <c r="V1375" s="512"/>
      <c r="W1375" s="512"/>
    </row>
    <row r="1376" s="178" customFormat="1" ht="15.4" customHeight="1" spans="1:23">
      <c r="A1376" s="1064" t="s">
        <v>656</v>
      </c>
      <c r="B1376" s="1050" t="s">
        <v>1226</v>
      </c>
      <c r="C1376" s="789" t="s">
        <v>24</v>
      </c>
      <c r="D1376" s="279">
        <v>15</v>
      </c>
      <c r="E1376" s="988"/>
      <c r="F1376" s="840"/>
      <c r="G1376" s="840">
        <f>G1375</f>
        <v>45797</v>
      </c>
      <c r="H1376" s="676">
        <f>H1375</f>
        <v>45812</v>
      </c>
      <c r="I1376" s="1064" t="s">
        <v>1228</v>
      </c>
      <c r="J1376" s="784" t="s">
        <v>18</v>
      </c>
      <c r="K1376" s="1064" t="s">
        <v>147</v>
      </c>
      <c r="L1376" s="279" t="s">
        <v>20</v>
      </c>
      <c r="M1376" s="1064"/>
      <c r="N1376" s="512"/>
      <c r="O1376" s="512"/>
      <c r="P1376" s="512"/>
      <c r="Q1376" s="512"/>
      <c r="R1376" s="512"/>
      <c r="S1376" s="512"/>
      <c r="T1376" s="512"/>
      <c r="U1376" s="512"/>
      <c r="V1376" s="512"/>
      <c r="W1376" s="512"/>
    </row>
    <row r="1377" s="178" customFormat="1" ht="15.4" customHeight="1" spans="1:23">
      <c r="A1377" s="1064" t="s">
        <v>656</v>
      </c>
      <c r="B1377" s="1050" t="s">
        <v>1226</v>
      </c>
      <c r="C1377" s="789" t="s">
        <v>27</v>
      </c>
      <c r="D1377" s="279">
        <v>15</v>
      </c>
      <c r="E1377" s="988"/>
      <c r="F1377" s="840"/>
      <c r="G1377" s="840">
        <f>G1376</f>
        <v>45797</v>
      </c>
      <c r="H1377" s="676">
        <f>H1376</f>
        <v>45812</v>
      </c>
      <c r="I1377" s="1064" t="s">
        <v>1228</v>
      </c>
      <c r="J1377" s="784" t="s">
        <v>18</v>
      </c>
      <c r="K1377" s="1064" t="s">
        <v>147</v>
      </c>
      <c r="L1377" s="279" t="s">
        <v>20</v>
      </c>
      <c r="M1377" s="1064"/>
      <c r="N1377" s="512"/>
      <c r="O1377" s="512"/>
      <c r="P1377" s="512"/>
      <c r="Q1377" s="512"/>
      <c r="R1377" s="512"/>
      <c r="S1377" s="512"/>
      <c r="T1377" s="512"/>
      <c r="U1377" s="512"/>
      <c r="V1377" s="512"/>
      <c r="W1377" s="512"/>
    </row>
    <row r="1378" s="178" customFormat="1" ht="15.4" customHeight="1" spans="1:23">
      <c r="A1378" s="1064" t="s">
        <v>656</v>
      </c>
      <c r="B1378" s="1050" t="s">
        <v>1226</v>
      </c>
      <c r="C1378" s="789" t="s">
        <v>67</v>
      </c>
      <c r="D1378" s="279">
        <v>15</v>
      </c>
      <c r="E1378" s="988"/>
      <c r="F1378" s="840"/>
      <c r="G1378" s="840">
        <f>G1377</f>
        <v>45797</v>
      </c>
      <c r="H1378" s="676">
        <f>H1377</f>
        <v>45812</v>
      </c>
      <c r="I1378" s="1064" t="s">
        <v>1228</v>
      </c>
      <c r="J1378" s="784" t="s">
        <v>18</v>
      </c>
      <c r="K1378" s="1064" t="s">
        <v>147</v>
      </c>
      <c r="L1378" s="279" t="s">
        <v>20</v>
      </c>
      <c r="M1378" s="1064"/>
      <c r="N1378" s="512"/>
      <c r="O1378" s="512"/>
      <c r="P1378" s="512"/>
      <c r="Q1378" s="512"/>
      <c r="R1378" s="512"/>
      <c r="S1378" s="512"/>
      <c r="T1378" s="512"/>
      <c r="U1378" s="512"/>
      <c r="V1378" s="512"/>
      <c r="W1378" s="512"/>
    </row>
    <row r="1379" s="178" customFormat="1" ht="15.4" customHeight="1" spans="1:23">
      <c r="A1379" s="1064" t="s">
        <v>656</v>
      </c>
      <c r="B1379" s="1050" t="s">
        <v>1226</v>
      </c>
      <c r="C1379" s="789" t="s">
        <v>70</v>
      </c>
      <c r="D1379" s="279">
        <v>15</v>
      </c>
      <c r="E1379" s="1109"/>
      <c r="F1379" s="840"/>
      <c r="G1379" s="840">
        <f>G1378</f>
        <v>45797</v>
      </c>
      <c r="H1379" s="676">
        <f>H1378</f>
        <v>45812</v>
      </c>
      <c r="I1379" s="1064" t="s">
        <v>1228</v>
      </c>
      <c r="J1379" s="784" t="s">
        <v>18</v>
      </c>
      <c r="K1379" s="1064" t="s">
        <v>147</v>
      </c>
      <c r="L1379" s="279" t="s">
        <v>20</v>
      </c>
      <c r="M1379" s="1064"/>
      <c r="N1379" s="512"/>
      <c r="O1379" s="512"/>
      <c r="P1379" s="512"/>
      <c r="Q1379" s="512"/>
      <c r="R1379" s="512"/>
      <c r="S1379" s="512"/>
      <c r="T1379" s="512"/>
      <c r="U1379" s="512"/>
      <c r="V1379" s="512"/>
      <c r="W1379" s="512"/>
    </row>
    <row r="1380" s="178" customFormat="1" ht="15.4" customHeight="1" spans="1:23">
      <c r="A1380" s="1064" t="s">
        <v>656</v>
      </c>
      <c r="B1380" s="1050" t="s">
        <v>1230</v>
      </c>
      <c r="C1380" s="789" t="s">
        <v>91</v>
      </c>
      <c r="D1380" s="279">
        <v>92</v>
      </c>
      <c r="E1380" s="1085" t="s">
        <v>1231</v>
      </c>
      <c r="F1380" s="675"/>
      <c r="G1380" s="675">
        <f>VLOOKUP(CLEAN(SUBSTITUTE(TRIM(MID(E:E,FIND("/",E:E)+1,LEN(E:E)))," ","")),'Customs Decl. &amp; Local Delivery'!D:I,6,0)</f>
        <v>45797</v>
      </c>
      <c r="H1380" s="676">
        <f>VLOOKUP(CLEAN(SUBSTITUTE(TRIM(MID(E:E,FIND("/",E:E)+1,LEN(E:E)))," ","")),'Customs Decl. &amp; Local Delivery'!D:J,7,0)</f>
        <v>45812</v>
      </c>
      <c r="I1380" s="1064" t="s">
        <v>1232</v>
      </c>
      <c r="J1380" s="784" t="s">
        <v>18</v>
      </c>
      <c r="K1380" s="1064" t="s">
        <v>147</v>
      </c>
      <c r="L1380" s="279" t="s">
        <v>20</v>
      </c>
      <c r="M1380" s="1064" t="s">
        <v>1233</v>
      </c>
      <c r="N1380" s="512"/>
      <c r="O1380" s="512"/>
      <c r="P1380" s="512"/>
      <c r="Q1380" s="512"/>
      <c r="R1380" s="512"/>
      <c r="S1380" s="512"/>
      <c r="T1380" s="512"/>
      <c r="U1380" s="512"/>
      <c r="V1380" s="512"/>
      <c r="W1380" s="512"/>
    </row>
    <row r="1381" s="178" customFormat="1" ht="15.4" customHeight="1" spans="1:23">
      <c r="A1381" s="1064" t="s">
        <v>656</v>
      </c>
      <c r="B1381" s="1050" t="s">
        <v>1230</v>
      </c>
      <c r="C1381" s="789" t="s">
        <v>15</v>
      </c>
      <c r="D1381" s="279">
        <v>15</v>
      </c>
      <c r="E1381" s="988"/>
      <c r="F1381" s="840"/>
      <c r="G1381" s="840">
        <f>G1380</f>
        <v>45797</v>
      </c>
      <c r="H1381" s="676">
        <f>H1380</f>
        <v>45812</v>
      </c>
      <c r="I1381" s="1064" t="s">
        <v>1232</v>
      </c>
      <c r="J1381" s="784" t="s">
        <v>18</v>
      </c>
      <c r="K1381" s="1064" t="s">
        <v>147</v>
      </c>
      <c r="L1381" s="279" t="s">
        <v>20</v>
      </c>
      <c r="M1381" s="1064"/>
      <c r="N1381" s="512"/>
      <c r="O1381" s="512"/>
      <c r="P1381" s="512"/>
      <c r="Q1381" s="512"/>
      <c r="R1381" s="512"/>
      <c r="S1381" s="512"/>
      <c r="T1381" s="512"/>
      <c r="U1381" s="512"/>
      <c r="V1381" s="512"/>
      <c r="W1381" s="512"/>
    </row>
    <row r="1382" s="178" customFormat="1" ht="15.4" customHeight="1" spans="1:23">
      <c r="A1382" s="1064" t="s">
        <v>656</v>
      </c>
      <c r="B1382" s="1050" t="s">
        <v>1230</v>
      </c>
      <c r="C1382" s="789" t="s">
        <v>24</v>
      </c>
      <c r="D1382" s="279">
        <v>15</v>
      </c>
      <c r="E1382" s="988"/>
      <c r="F1382" s="840"/>
      <c r="G1382" s="840">
        <f>G1381</f>
        <v>45797</v>
      </c>
      <c r="H1382" s="676">
        <f>H1381</f>
        <v>45812</v>
      </c>
      <c r="I1382" s="1064" t="s">
        <v>1232</v>
      </c>
      <c r="J1382" s="784" t="s">
        <v>18</v>
      </c>
      <c r="K1382" s="1064" t="s">
        <v>147</v>
      </c>
      <c r="L1382" s="279" t="s">
        <v>20</v>
      </c>
      <c r="M1382" s="1064"/>
      <c r="N1382" s="512"/>
      <c r="O1382" s="512"/>
      <c r="P1382" s="512"/>
      <c r="Q1382" s="512"/>
      <c r="R1382" s="512"/>
      <c r="S1382" s="512"/>
      <c r="T1382" s="512"/>
      <c r="U1382" s="512"/>
      <c r="V1382" s="512"/>
      <c r="W1382" s="512"/>
    </row>
    <row r="1383" s="178" customFormat="1" ht="15.4" customHeight="1" spans="1:23">
      <c r="A1383" s="1064" t="s">
        <v>656</v>
      </c>
      <c r="B1383" s="1050" t="s">
        <v>1230</v>
      </c>
      <c r="C1383" s="789" t="s">
        <v>27</v>
      </c>
      <c r="D1383" s="279">
        <v>15</v>
      </c>
      <c r="E1383" s="988"/>
      <c r="F1383" s="840"/>
      <c r="G1383" s="840">
        <f>G1382</f>
        <v>45797</v>
      </c>
      <c r="H1383" s="676">
        <f>H1382</f>
        <v>45812</v>
      </c>
      <c r="I1383" s="1064" t="s">
        <v>1232</v>
      </c>
      <c r="J1383" s="784" t="s">
        <v>18</v>
      </c>
      <c r="K1383" s="1064" t="s">
        <v>147</v>
      </c>
      <c r="L1383" s="279" t="s">
        <v>20</v>
      </c>
      <c r="M1383" s="1064"/>
      <c r="N1383" s="512"/>
      <c r="O1383" s="512"/>
      <c r="P1383" s="512"/>
      <c r="Q1383" s="512"/>
      <c r="R1383" s="512"/>
      <c r="S1383" s="512"/>
      <c r="T1383" s="512"/>
      <c r="U1383" s="512"/>
      <c r="V1383" s="512"/>
      <c r="W1383" s="512"/>
    </row>
    <row r="1384" s="178" customFormat="1" ht="15.4" customHeight="1" spans="1:23">
      <c r="A1384" s="1064" t="s">
        <v>656</v>
      </c>
      <c r="B1384" s="1050" t="s">
        <v>1230</v>
      </c>
      <c r="C1384" s="789" t="s">
        <v>67</v>
      </c>
      <c r="D1384" s="279">
        <v>15</v>
      </c>
      <c r="E1384" s="988"/>
      <c r="F1384" s="840"/>
      <c r="G1384" s="840">
        <f>G1383</f>
        <v>45797</v>
      </c>
      <c r="H1384" s="676">
        <f>H1383</f>
        <v>45812</v>
      </c>
      <c r="I1384" s="1064" t="s">
        <v>1232</v>
      </c>
      <c r="J1384" s="784" t="s">
        <v>18</v>
      </c>
      <c r="K1384" s="1064" t="s">
        <v>147</v>
      </c>
      <c r="L1384" s="279" t="s">
        <v>20</v>
      </c>
      <c r="M1384" s="1064"/>
      <c r="N1384" s="512"/>
      <c r="O1384" s="512"/>
      <c r="P1384" s="512"/>
      <c r="Q1384" s="512"/>
      <c r="R1384" s="512"/>
      <c r="S1384" s="512"/>
      <c r="T1384" s="512"/>
      <c r="U1384" s="512"/>
      <c r="V1384" s="512"/>
      <c r="W1384" s="512"/>
    </row>
    <row r="1385" s="178" customFormat="1" ht="15.4" customHeight="1" spans="1:23">
      <c r="A1385" s="1064" t="s">
        <v>656</v>
      </c>
      <c r="B1385" s="1050" t="s">
        <v>1230</v>
      </c>
      <c r="C1385" s="789" t="s">
        <v>70</v>
      </c>
      <c r="D1385" s="279">
        <v>15</v>
      </c>
      <c r="E1385" s="988"/>
      <c r="F1385" s="840"/>
      <c r="G1385" s="840">
        <f>G1384</f>
        <v>45797</v>
      </c>
      <c r="H1385" s="676">
        <f>H1384</f>
        <v>45812</v>
      </c>
      <c r="I1385" s="1064" t="s">
        <v>1232</v>
      </c>
      <c r="J1385" s="784" t="s">
        <v>18</v>
      </c>
      <c r="K1385" s="1064" t="s">
        <v>147</v>
      </c>
      <c r="L1385" s="279" t="s">
        <v>20</v>
      </c>
      <c r="M1385" s="1064"/>
      <c r="N1385" s="512"/>
      <c r="O1385" s="512"/>
      <c r="P1385" s="512"/>
      <c r="Q1385" s="512"/>
      <c r="R1385" s="512"/>
      <c r="S1385" s="512"/>
      <c r="T1385" s="512"/>
      <c r="U1385" s="512"/>
      <c r="V1385" s="512"/>
      <c r="W1385" s="512"/>
    </row>
    <row r="1386" s="178" customFormat="1" ht="15.4" customHeight="1" spans="1:23">
      <c r="A1386" s="1053" t="s">
        <v>910</v>
      </c>
      <c r="B1386" s="1099" t="s">
        <v>1234</v>
      </c>
      <c r="C1386" s="1089" t="s">
        <v>15</v>
      </c>
      <c r="D1386" s="266">
        <v>140</v>
      </c>
      <c r="E1386" s="1055" t="s">
        <v>1235</v>
      </c>
      <c r="F1386" s="675"/>
      <c r="G1386" s="675">
        <f>VLOOKUP(CLEAN(SUBSTITUTE(TRIM(MID(E:E,FIND("/",E:E)+1,LEN(E:E)))," ","")),'Customs Decl. &amp; Local Delivery'!D:I,6,0)</f>
        <v>45797</v>
      </c>
      <c r="H1386" s="676">
        <f>VLOOKUP(CLEAN(SUBSTITUTE(TRIM(MID(E:E,FIND("/",E:E)+1,LEN(E:E)))," ","")),'Customs Decl. &amp; Local Delivery'!D:J,7,0)</f>
        <v>45812</v>
      </c>
      <c r="I1386" s="1053" t="s">
        <v>1236</v>
      </c>
      <c r="J1386" s="1053" t="s">
        <v>18</v>
      </c>
      <c r="K1386" s="1053" t="s">
        <v>147</v>
      </c>
      <c r="L1386" s="279" t="s">
        <v>20</v>
      </c>
      <c r="M1386" s="1053" t="s">
        <v>1225</v>
      </c>
      <c r="N1386" s="512"/>
      <c r="O1386" s="512"/>
      <c r="P1386" s="512"/>
      <c r="Q1386" s="512"/>
      <c r="R1386" s="512"/>
      <c r="S1386" s="512"/>
      <c r="T1386" s="512"/>
      <c r="U1386" s="512"/>
      <c r="V1386" s="512"/>
      <c r="W1386" s="512"/>
    </row>
    <row r="1387" s="178" customFormat="1" ht="15.4" customHeight="1" spans="1:23">
      <c r="A1387" s="1053" t="s">
        <v>910</v>
      </c>
      <c r="B1387" s="1099" t="s">
        <v>1234</v>
      </c>
      <c r="C1387" s="1089" t="s">
        <v>59</v>
      </c>
      <c r="D1387" s="266">
        <v>34</v>
      </c>
      <c r="E1387" s="1127"/>
      <c r="F1387" s="840"/>
      <c r="G1387" s="840">
        <f>G1386</f>
        <v>45797</v>
      </c>
      <c r="H1387" s="676">
        <f>H1386</f>
        <v>45812</v>
      </c>
      <c r="I1387" s="1053" t="s">
        <v>1236</v>
      </c>
      <c r="J1387" s="1053" t="s">
        <v>18</v>
      </c>
      <c r="K1387" s="1053" t="s">
        <v>147</v>
      </c>
      <c r="L1387" s="279" t="s">
        <v>20</v>
      </c>
      <c r="M1387" s="1053"/>
      <c r="N1387" s="512"/>
      <c r="O1387" s="512"/>
      <c r="P1387" s="512"/>
      <c r="Q1387" s="512"/>
      <c r="R1387" s="512"/>
      <c r="S1387" s="512"/>
      <c r="T1387" s="512"/>
      <c r="U1387" s="512"/>
      <c r="V1387" s="512"/>
      <c r="W1387" s="512"/>
    </row>
    <row r="1388" s="178" customFormat="1" ht="15.4" customHeight="1" spans="1:23">
      <c r="A1388" s="1053" t="s">
        <v>910</v>
      </c>
      <c r="B1388" s="1099" t="s">
        <v>1234</v>
      </c>
      <c r="C1388" s="1089" t="s">
        <v>60</v>
      </c>
      <c r="D1388" s="266">
        <v>34</v>
      </c>
      <c r="E1388" s="1127"/>
      <c r="F1388" s="840"/>
      <c r="G1388" s="840">
        <f>G1387</f>
        <v>45797</v>
      </c>
      <c r="H1388" s="676">
        <f>H1387</f>
        <v>45812</v>
      </c>
      <c r="I1388" s="1053" t="s">
        <v>1236</v>
      </c>
      <c r="J1388" s="1053" t="s">
        <v>18</v>
      </c>
      <c r="K1388" s="1053" t="s">
        <v>147</v>
      </c>
      <c r="L1388" s="279" t="s">
        <v>20</v>
      </c>
      <c r="M1388" s="1053"/>
      <c r="N1388" s="512"/>
      <c r="O1388" s="512"/>
      <c r="P1388" s="512"/>
      <c r="Q1388" s="512"/>
      <c r="R1388" s="512"/>
      <c r="S1388" s="512"/>
      <c r="T1388" s="512"/>
      <c r="U1388" s="512"/>
      <c r="V1388" s="512"/>
      <c r="W1388" s="512"/>
    </row>
    <row r="1389" s="178" customFormat="1" ht="15.4" customHeight="1" spans="1:23">
      <c r="A1389" s="1053" t="s">
        <v>910</v>
      </c>
      <c r="B1389" s="1099" t="s">
        <v>1237</v>
      </c>
      <c r="C1389" s="1089" t="s">
        <v>15</v>
      </c>
      <c r="D1389" s="266">
        <v>140</v>
      </c>
      <c r="E1389" s="1055" t="s">
        <v>1238</v>
      </c>
      <c r="F1389" s="675"/>
      <c r="G1389" s="675">
        <f>VLOOKUP(CLEAN(SUBSTITUTE(TRIM(MID(E:E,FIND("/",E:E)+1,LEN(E:E)))," ","")),'Customs Decl. &amp; Local Delivery'!D:I,6,0)</f>
        <v>45797</v>
      </c>
      <c r="H1389" s="676">
        <f>VLOOKUP(CLEAN(SUBSTITUTE(TRIM(MID(E:E,FIND("/",E:E)+1,LEN(E:E)))," ","")),'Customs Decl. &amp; Local Delivery'!D:J,7,0)</f>
        <v>45812</v>
      </c>
      <c r="I1389" s="1053" t="s">
        <v>1239</v>
      </c>
      <c r="J1389" s="1053" t="s">
        <v>18</v>
      </c>
      <c r="K1389" s="1053" t="s">
        <v>147</v>
      </c>
      <c r="L1389" s="279" t="s">
        <v>20</v>
      </c>
      <c r="M1389" s="1053" t="s">
        <v>1225</v>
      </c>
      <c r="N1389" s="512"/>
      <c r="O1389" s="512"/>
      <c r="P1389" s="512"/>
      <c r="Q1389" s="512"/>
      <c r="R1389" s="512"/>
      <c r="S1389" s="512"/>
      <c r="T1389" s="512"/>
      <c r="U1389" s="512"/>
      <c r="V1389" s="512"/>
      <c r="W1389" s="512"/>
    </row>
    <row r="1390" s="178" customFormat="1" ht="15.4" customHeight="1" spans="1:23">
      <c r="A1390" s="1053" t="s">
        <v>910</v>
      </c>
      <c r="B1390" s="1099" t="s">
        <v>1237</v>
      </c>
      <c r="C1390" s="1089" t="s">
        <v>59</v>
      </c>
      <c r="D1390" s="266">
        <v>34</v>
      </c>
      <c r="E1390" s="1127"/>
      <c r="F1390" s="840"/>
      <c r="G1390" s="840">
        <f>G1389</f>
        <v>45797</v>
      </c>
      <c r="H1390" s="676">
        <f>H1389</f>
        <v>45812</v>
      </c>
      <c r="I1390" s="1053" t="s">
        <v>1239</v>
      </c>
      <c r="J1390" s="1053" t="s">
        <v>18</v>
      </c>
      <c r="K1390" s="1053" t="s">
        <v>147</v>
      </c>
      <c r="L1390" s="279" t="s">
        <v>20</v>
      </c>
      <c r="M1390" s="1053"/>
      <c r="N1390" s="512"/>
      <c r="O1390" s="512"/>
      <c r="P1390" s="512"/>
      <c r="Q1390" s="512"/>
      <c r="R1390" s="512"/>
      <c r="S1390" s="512"/>
      <c r="T1390" s="512"/>
      <c r="U1390" s="512"/>
      <c r="V1390" s="512"/>
      <c r="W1390" s="512"/>
    </row>
    <row r="1391" s="178" customFormat="1" ht="15.4" customHeight="1" spans="1:23">
      <c r="A1391" s="1053" t="s">
        <v>910</v>
      </c>
      <c r="B1391" s="1099" t="s">
        <v>1237</v>
      </c>
      <c r="C1391" s="1089" t="s">
        <v>60</v>
      </c>
      <c r="D1391" s="266">
        <v>34</v>
      </c>
      <c r="E1391" s="1127"/>
      <c r="F1391" s="840"/>
      <c r="G1391" s="840">
        <f>G1390</f>
        <v>45797</v>
      </c>
      <c r="H1391" s="676">
        <f>H1390</f>
        <v>45812</v>
      </c>
      <c r="I1391" s="1053" t="s">
        <v>1239</v>
      </c>
      <c r="J1391" s="1053" t="s">
        <v>18</v>
      </c>
      <c r="K1391" s="1053" t="s">
        <v>147</v>
      </c>
      <c r="L1391" s="279" t="s">
        <v>20</v>
      </c>
      <c r="M1391" s="1053"/>
      <c r="N1391" s="512"/>
      <c r="O1391" s="512"/>
      <c r="P1391" s="512"/>
      <c r="Q1391" s="512"/>
      <c r="R1391" s="512"/>
      <c r="S1391" s="512"/>
      <c r="T1391" s="512"/>
      <c r="U1391" s="512"/>
      <c r="V1391" s="512"/>
      <c r="W1391" s="512"/>
    </row>
    <row r="1392" s="477" customFormat="1" ht="15.4" customHeight="1" spans="1:23">
      <c r="A1392" s="1150" t="s">
        <v>1240</v>
      </c>
      <c r="B1392" s="1151" t="s">
        <v>1241</v>
      </c>
      <c r="C1392" s="1089" t="s">
        <v>129</v>
      </c>
      <c r="D1392" s="267">
        <v>20</v>
      </c>
      <c r="E1392" s="1085" t="s">
        <v>1242</v>
      </c>
      <c r="F1392" s="675"/>
      <c r="G1392" s="675">
        <f>VLOOKUP(CLEAN(SUBSTITUTE(TRIM(MID(E:E,FIND("/",E:E)+1,LEN(E:E)))," ","")),'Customs Decl. &amp; Local Delivery'!D:I,6,0)</f>
        <v>45798</v>
      </c>
      <c r="H1392" s="676">
        <f>VLOOKUP(CLEAN(SUBSTITUTE(TRIM(MID(E:E,FIND("/",E:E)+1,LEN(E:E)))," ","")),'Customs Decl. &amp; Local Delivery'!D:J,7,0)</f>
        <v>45821</v>
      </c>
      <c r="I1392" s="1143" t="s">
        <v>1243</v>
      </c>
      <c r="J1392" s="1150" t="s">
        <v>18</v>
      </c>
      <c r="K1392" s="1143" t="s">
        <v>19</v>
      </c>
      <c r="L1392" s="279" t="s">
        <v>20</v>
      </c>
      <c r="M1392" s="1143" t="s">
        <v>1244</v>
      </c>
      <c r="N1392" s="512"/>
      <c r="O1392" s="512"/>
      <c r="P1392" s="512"/>
      <c r="Q1392" s="512"/>
      <c r="R1392" s="512"/>
      <c r="S1392" s="512"/>
      <c r="T1392" s="512"/>
      <c r="U1392" s="512"/>
      <c r="V1392" s="512"/>
      <c r="W1392" s="512"/>
    </row>
    <row r="1393" s="477" customFormat="1" ht="15.4" customHeight="1" spans="1:23">
      <c r="A1393" s="1150" t="s">
        <v>1240</v>
      </c>
      <c r="B1393" s="1151" t="s">
        <v>1241</v>
      </c>
      <c r="C1393" s="1089" t="s">
        <v>135</v>
      </c>
      <c r="D1393" s="267">
        <v>30</v>
      </c>
      <c r="E1393" s="1113"/>
      <c r="F1393" s="840"/>
      <c r="G1393" s="840">
        <f t="shared" ref="G1393:G1398" si="106">G1392</f>
        <v>45798</v>
      </c>
      <c r="H1393" s="676">
        <f t="shared" ref="H1393:H1398" si="107">H1392</f>
        <v>45821</v>
      </c>
      <c r="I1393" s="1143" t="s">
        <v>1243</v>
      </c>
      <c r="J1393" s="1150" t="s">
        <v>18</v>
      </c>
      <c r="K1393" s="1143" t="s">
        <v>19</v>
      </c>
      <c r="L1393" s="279" t="s">
        <v>20</v>
      </c>
      <c r="M1393" s="1053" t="s">
        <v>1245</v>
      </c>
      <c r="N1393" s="512"/>
      <c r="O1393" s="512"/>
      <c r="P1393" s="512"/>
      <c r="Q1393" s="512"/>
      <c r="R1393" s="512"/>
      <c r="S1393" s="512"/>
      <c r="T1393" s="512"/>
      <c r="U1393" s="512"/>
      <c r="V1393" s="512"/>
      <c r="W1393" s="512"/>
    </row>
    <row r="1394" s="477" customFormat="1" ht="15.4" customHeight="1" spans="1:23">
      <c r="A1394" s="1150" t="s">
        <v>1240</v>
      </c>
      <c r="B1394" s="1151" t="s">
        <v>1241</v>
      </c>
      <c r="C1394" s="1089" t="s">
        <v>136</v>
      </c>
      <c r="D1394" s="267">
        <v>15</v>
      </c>
      <c r="E1394" s="1113"/>
      <c r="F1394" s="840"/>
      <c r="G1394" s="840">
        <f t="shared" si="106"/>
        <v>45798</v>
      </c>
      <c r="H1394" s="676">
        <f t="shared" si="107"/>
        <v>45821</v>
      </c>
      <c r="I1394" s="1143" t="s">
        <v>1243</v>
      </c>
      <c r="J1394" s="1150" t="s">
        <v>18</v>
      </c>
      <c r="K1394" s="1143" t="s">
        <v>19</v>
      </c>
      <c r="L1394" s="279" t="s">
        <v>20</v>
      </c>
      <c r="M1394" s="1053" t="s">
        <v>1246</v>
      </c>
      <c r="N1394" s="512"/>
      <c r="O1394" s="512"/>
      <c r="P1394" s="512"/>
      <c r="Q1394" s="512"/>
      <c r="R1394" s="512"/>
      <c r="S1394" s="512"/>
      <c r="T1394" s="512"/>
      <c r="U1394" s="512"/>
      <c r="V1394" s="512"/>
      <c r="W1394" s="512"/>
    </row>
    <row r="1395" s="477" customFormat="1" ht="15.4" customHeight="1" spans="1:23">
      <c r="A1395" s="1150" t="s">
        <v>1240</v>
      </c>
      <c r="B1395" s="1151" t="s">
        <v>1241</v>
      </c>
      <c r="C1395" s="1089" t="s">
        <v>67</v>
      </c>
      <c r="D1395" s="267">
        <v>36</v>
      </c>
      <c r="E1395" s="922"/>
      <c r="F1395" s="840"/>
      <c r="G1395" s="840">
        <f t="shared" si="106"/>
        <v>45798</v>
      </c>
      <c r="H1395" s="676">
        <f t="shared" si="107"/>
        <v>45821</v>
      </c>
      <c r="I1395" s="1143" t="s">
        <v>1243</v>
      </c>
      <c r="J1395" s="1150" t="s">
        <v>18</v>
      </c>
      <c r="K1395" s="1143" t="s">
        <v>19</v>
      </c>
      <c r="L1395" s="279" t="s">
        <v>20</v>
      </c>
      <c r="M1395" s="1053" t="s">
        <v>1246</v>
      </c>
      <c r="N1395" s="512"/>
      <c r="O1395" s="512"/>
      <c r="P1395" s="512"/>
      <c r="Q1395" s="512"/>
      <c r="R1395" s="512"/>
      <c r="S1395" s="512"/>
      <c r="T1395" s="512"/>
      <c r="U1395" s="512"/>
      <c r="V1395" s="512"/>
      <c r="W1395" s="512"/>
    </row>
    <row r="1396" s="477" customFormat="1" ht="15.4" customHeight="1" spans="1:23">
      <c r="A1396" s="1150" t="s">
        <v>1240</v>
      </c>
      <c r="B1396" s="1151" t="s">
        <v>1241</v>
      </c>
      <c r="C1396" s="1089" t="s">
        <v>59</v>
      </c>
      <c r="D1396" s="267">
        <v>20</v>
      </c>
      <c r="E1396" s="1113"/>
      <c r="F1396" s="840"/>
      <c r="G1396" s="840">
        <f t="shared" si="106"/>
        <v>45798</v>
      </c>
      <c r="H1396" s="676">
        <f t="shared" si="107"/>
        <v>45821</v>
      </c>
      <c r="I1396" s="1143" t="s">
        <v>1243</v>
      </c>
      <c r="J1396" s="1150" t="s">
        <v>18</v>
      </c>
      <c r="K1396" s="1143" t="s">
        <v>19</v>
      </c>
      <c r="L1396" s="279" t="s">
        <v>20</v>
      </c>
      <c r="M1396" s="1053" t="s">
        <v>1246</v>
      </c>
      <c r="N1396" s="512"/>
      <c r="O1396" s="512"/>
      <c r="P1396" s="512"/>
      <c r="Q1396" s="512"/>
      <c r="R1396" s="512"/>
      <c r="S1396" s="512"/>
      <c r="T1396" s="512"/>
      <c r="U1396" s="512"/>
      <c r="V1396" s="512"/>
      <c r="W1396" s="512"/>
    </row>
    <row r="1397" s="477" customFormat="1" ht="15.4" customHeight="1" spans="1:23">
      <c r="A1397" s="1150" t="s">
        <v>1240</v>
      </c>
      <c r="B1397" s="1151" t="s">
        <v>1241</v>
      </c>
      <c r="C1397" s="1089" t="s">
        <v>60</v>
      </c>
      <c r="D1397" s="267">
        <v>20</v>
      </c>
      <c r="E1397" s="1113"/>
      <c r="F1397" s="840"/>
      <c r="G1397" s="840">
        <f t="shared" si="106"/>
        <v>45798</v>
      </c>
      <c r="H1397" s="676">
        <f t="shared" si="107"/>
        <v>45821</v>
      </c>
      <c r="I1397" s="1143" t="s">
        <v>1243</v>
      </c>
      <c r="J1397" s="1150" t="s">
        <v>18</v>
      </c>
      <c r="K1397" s="1143" t="s">
        <v>19</v>
      </c>
      <c r="L1397" s="279" t="s">
        <v>20</v>
      </c>
      <c r="M1397" s="1053" t="s">
        <v>1246</v>
      </c>
      <c r="N1397" s="512"/>
      <c r="O1397" s="512"/>
      <c r="P1397" s="512"/>
      <c r="Q1397" s="512"/>
      <c r="R1397" s="512"/>
      <c r="S1397" s="512"/>
      <c r="T1397" s="512"/>
      <c r="U1397" s="512"/>
      <c r="V1397" s="512"/>
      <c r="W1397" s="512"/>
    </row>
    <row r="1398" s="477" customFormat="1" ht="15.4" customHeight="1" spans="1:23">
      <c r="A1398" s="1150" t="s">
        <v>1240</v>
      </c>
      <c r="B1398" s="1151" t="s">
        <v>1241</v>
      </c>
      <c r="C1398" s="1089" t="s">
        <v>77</v>
      </c>
      <c r="D1398" s="267">
        <v>20</v>
      </c>
      <c r="E1398" s="922"/>
      <c r="F1398" s="840"/>
      <c r="G1398" s="840">
        <f t="shared" si="106"/>
        <v>45798</v>
      </c>
      <c r="H1398" s="676">
        <f t="shared" si="107"/>
        <v>45821</v>
      </c>
      <c r="I1398" s="1143" t="s">
        <v>1243</v>
      </c>
      <c r="J1398" s="1150" t="s">
        <v>18</v>
      </c>
      <c r="K1398" s="1143" t="s">
        <v>19</v>
      </c>
      <c r="L1398" s="279" t="s">
        <v>20</v>
      </c>
      <c r="M1398" s="1053" t="s">
        <v>1246</v>
      </c>
      <c r="N1398" s="512"/>
      <c r="O1398" s="512"/>
      <c r="P1398" s="512"/>
      <c r="Q1398" s="512"/>
      <c r="R1398" s="512"/>
      <c r="S1398" s="512"/>
      <c r="T1398" s="512"/>
      <c r="U1398" s="512"/>
      <c r="V1398" s="512"/>
      <c r="W1398" s="512"/>
    </row>
    <row r="1399" ht="15.4" customHeight="1" spans="1:23">
      <c r="A1399" s="1047" t="s">
        <v>1247</v>
      </c>
      <c r="B1399" s="1047" t="s">
        <v>1248</v>
      </c>
      <c r="C1399" s="671" t="s">
        <v>523</v>
      </c>
      <c r="D1399" s="347">
        <v>52</v>
      </c>
      <c r="E1399" s="674" t="s">
        <v>1249</v>
      </c>
      <c r="F1399" s="675"/>
      <c r="G1399" s="675">
        <f>VLOOKUP(CLEAN(SUBSTITUTE(TRIM(MID(E:E,FIND("/",E:E)+1,LEN(E:E)))," ","")),'Customs Decl. &amp; Local Delivery'!D:I,6,0)</f>
        <v>45800</v>
      </c>
      <c r="H1399" s="676">
        <f>VLOOKUP(CLEAN(SUBSTITUTE(TRIM(MID(E:E,FIND("/",E:E)+1,LEN(E:E)))," ","")),'Customs Decl. &amp; Local Delivery'!D:J,7,0)</f>
        <v>45827</v>
      </c>
      <c r="I1399" s="784" t="s">
        <v>1250</v>
      </c>
      <c r="J1399" s="1047" t="s">
        <v>39</v>
      </c>
      <c r="K1399" s="1075" t="s">
        <v>147</v>
      </c>
      <c r="L1399" s="279" t="s">
        <v>20</v>
      </c>
      <c r="M1399" s="784" t="s">
        <v>1251</v>
      </c>
      <c r="N1399" s="512"/>
      <c r="O1399" s="1154"/>
      <c r="P1399" s="1154"/>
      <c r="Q1399" s="1154"/>
      <c r="R1399" s="1154"/>
      <c r="S1399" s="1154"/>
      <c r="T1399" s="1154"/>
      <c r="U1399" s="1154"/>
      <c r="V1399" s="1154"/>
      <c r="W1399" s="1154"/>
    </row>
    <row r="1400" ht="15.4" customHeight="1" spans="1:23">
      <c r="A1400" s="1047" t="s">
        <v>1247</v>
      </c>
      <c r="B1400" s="1047" t="s">
        <v>1248</v>
      </c>
      <c r="C1400" s="671" t="s">
        <v>1252</v>
      </c>
      <c r="D1400" s="347">
        <v>180</v>
      </c>
      <c r="E1400" s="281"/>
      <c r="F1400" s="840"/>
      <c r="G1400" s="840">
        <f>G1399</f>
        <v>45800</v>
      </c>
      <c r="H1400" s="676">
        <f>H1399</f>
        <v>45827</v>
      </c>
      <c r="I1400" s="784" t="s">
        <v>1250</v>
      </c>
      <c r="J1400" s="1047" t="s">
        <v>39</v>
      </c>
      <c r="K1400" s="1075" t="s">
        <v>147</v>
      </c>
      <c r="L1400" s="279" t="s">
        <v>20</v>
      </c>
      <c r="M1400" s="784"/>
      <c r="N1400" s="512"/>
      <c r="O1400" s="1154"/>
      <c r="P1400" s="1154"/>
      <c r="Q1400" s="1154"/>
      <c r="R1400" s="1154"/>
      <c r="S1400" s="1154"/>
      <c r="T1400" s="1154"/>
      <c r="U1400" s="1154"/>
      <c r="V1400" s="1154"/>
      <c r="W1400" s="1154"/>
    </row>
    <row r="1401" ht="15.4" customHeight="1" spans="1:23">
      <c r="A1401" s="1047" t="s">
        <v>1247</v>
      </c>
      <c r="B1401" s="1047" t="s">
        <v>1248</v>
      </c>
      <c r="C1401" s="671" t="s">
        <v>67</v>
      </c>
      <c r="D1401" s="347">
        <v>15</v>
      </c>
      <c r="E1401" s="281"/>
      <c r="F1401" s="1152"/>
      <c r="G1401" s="840">
        <f>G1400</f>
        <v>45800</v>
      </c>
      <c r="H1401" s="676">
        <f>H1400</f>
        <v>45827</v>
      </c>
      <c r="I1401" s="784" t="s">
        <v>1250</v>
      </c>
      <c r="J1401" s="1047" t="s">
        <v>39</v>
      </c>
      <c r="K1401" s="1075" t="s">
        <v>147</v>
      </c>
      <c r="L1401" s="279" t="s">
        <v>20</v>
      </c>
      <c r="M1401" s="784"/>
      <c r="N1401" s="512"/>
      <c r="O1401" s="1154"/>
      <c r="P1401" s="1154"/>
      <c r="Q1401" s="1154"/>
      <c r="R1401" s="1154"/>
      <c r="S1401" s="1154"/>
      <c r="T1401" s="1154"/>
      <c r="U1401" s="1154"/>
      <c r="V1401" s="1154"/>
      <c r="W1401" s="1154"/>
    </row>
    <row r="1402" ht="15.4" customHeight="1" spans="1:23">
      <c r="A1402" s="1053" t="s">
        <v>1253</v>
      </c>
      <c r="B1402" s="1099" t="s">
        <v>1254</v>
      </c>
      <c r="C1402" s="1089" t="s">
        <v>15</v>
      </c>
      <c r="D1402" s="240">
        <v>25</v>
      </c>
      <c r="E1402" s="1055" t="s">
        <v>1255</v>
      </c>
      <c r="F1402" s="675">
        <v>45855</v>
      </c>
      <c r="G1402" s="675">
        <f>VLOOKUP(CLEAN(SUBSTITUTE(TRIM(MID(E:E,FIND("/",E:E)+1,LEN(E:E)))," ","")),'Customs Decl. &amp; Local Delivery'!D:I,6,0)</f>
        <v>45801</v>
      </c>
      <c r="H1402" s="676">
        <f>VLOOKUP(CLEAN(SUBSTITUTE(TRIM(MID(E:E,FIND("/",E:E)+1,LEN(E:E)))," ","")),'Customs Decl. &amp; Local Delivery'!D:J,7,0)</f>
        <v>45849</v>
      </c>
      <c r="I1402" s="1053" t="s">
        <v>1256</v>
      </c>
      <c r="J1402" s="1053" t="s">
        <v>215</v>
      </c>
      <c r="K1402" s="1053" t="s">
        <v>19</v>
      </c>
      <c r="L1402" s="279" t="s">
        <v>20</v>
      </c>
      <c r="M1402" s="687" t="s">
        <v>1257</v>
      </c>
      <c r="N1402" s="512"/>
      <c r="O1402" s="512"/>
      <c r="P1402" s="512"/>
      <c r="Q1402" s="512"/>
      <c r="R1402" s="512"/>
      <c r="S1402" s="512"/>
      <c r="T1402" s="512"/>
      <c r="U1402" s="512"/>
      <c r="V1402" s="512"/>
      <c r="W1402" s="512"/>
    </row>
    <row r="1403" ht="15.4" customHeight="1" spans="1:23">
      <c r="A1403" s="1053" t="s">
        <v>1253</v>
      </c>
      <c r="B1403" s="1099" t="s">
        <v>1254</v>
      </c>
      <c r="C1403" s="1089" t="s">
        <v>22</v>
      </c>
      <c r="D1403" s="240">
        <v>25</v>
      </c>
      <c r="E1403" s="1127"/>
      <c r="F1403" s="675">
        <v>45855</v>
      </c>
      <c r="G1403" s="840">
        <f t="shared" ref="G1403:G1415" si="108">G1402</f>
        <v>45801</v>
      </c>
      <c r="H1403" s="676">
        <f t="shared" ref="H1403:H1415" si="109">H1402</f>
        <v>45849</v>
      </c>
      <c r="I1403" s="1053" t="s">
        <v>1256</v>
      </c>
      <c r="J1403" s="1053" t="s">
        <v>215</v>
      </c>
      <c r="K1403" s="1053" t="s">
        <v>19</v>
      </c>
      <c r="L1403" s="279" t="s">
        <v>20</v>
      </c>
      <c r="M1403" s="687" t="s">
        <v>1258</v>
      </c>
      <c r="N1403" s="512"/>
      <c r="O1403" s="512"/>
      <c r="P1403" s="512"/>
      <c r="Q1403" s="512"/>
      <c r="R1403" s="512"/>
      <c r="S1403" s="512"/>
      <c r="T1403" s="512"/>
      <c r="U1403" s="512"/>
      <c r="V1403" s="512"/>
      <c r="W1403" s="512"/>
    </row>
    <row r="1404" ht="15.4" customHeight="1" spans="1:23">
      <c r="A1404" s="1053" t="s">
        <v>1253</v>
      </c>
      <c r="B1404" s="1099" t="s">
        <v>1254</v>
      </c>
      <c r="C1404" s="1089" t="s">
        <v>24</v>
      </c>
      <c r="D1404" s="240">
        <v>45</v>
      </c>
      <c r="E1404" s="1127"/>
      <c r="F1404" s="675">
        <v>45855</v>
      </c>
      <c r="G1404" s="840">
        <f t="shared" si="108"/>
        <v>45801</v>
      </c>
      <c r="H1404" s="676">
        <f t="shared" si="109"/>
        <v>45849</v>
      </c>
      <c r="I1404" s="1053" t="s">
        <v>1256</v>
      </c>
      <c r="J1404" s="1053" t="s">
        <v>215</v>
      </c>
      <c r="K1404" s="1053" t="s">
        <v>19</v>
      </c>
      <c r="L1404" s="279" t="s">
        <v>20</v>
      </c>
      <c r="M1404" s="687"/>
      <c r="N1404" s="512"/>
      <c r="O1404" s="512"/>
      <c r="P1404" s="512"/>
      <c r="Q1404" s="512"/>
      <c r="R1404" s="512"/>
      <c r="S1404" s="512"/>
      <c r="T1404" s="512"/>
      <c r="U1404" s="512"/>
      <c r="V1404" s="512"/>
      <c r="W1404" s="512"/>
    </row>
    <row r="1405" ht="15.4" customHeight="1" spans="1:23">
      <c r="A1405" s="1053" t="s">
        <v>1253</v>
      </c>
      <c r="B1405" s="1099" t="s">
        <v>1254</v>
      </c>
      <c r="C1405" s="1089" t="s">
        <v>25</v>
      </c>
      <c r="D1405" s="240">
        <v>45</v>
      </c>
      <c r="E1405" s="1127"/>
      <c r="F1405" s="675">
        <v>45855</v>
      </c>
      <c r="G1405" s="840">
        <f t="shared" si="108"/>
        <v>45801</v>
      </c>
      <c r="H1405" s="676">
        <f t="shared" si="109"/>
        <v>45849</v>
      </c>
      <c r="I1405" s="1053" t="s">
        <v>1256</v>
      </c>
      <c r="J1405" s="1053" t="s">
        <v>215</v>
      </c>
      <c r="K1405" s="1053" t="s">
        <v>19</v>
      </c>
      <c r="L1405" s="279" t="s">
        <v>20</v>
      </c>
      <c r="M1405" s="687"/>
      <c r="N1405" s="512"/>
      <c r="O1405" s="512"/>
      <c r="P1405" s="512"/>
      <c r="Q1405" s="512"/>
      <c r="R1405" s="512"/>
      <c r="S1405" s="512"/>
      <c r="T1405" s="512"/>
      <c r="U1405" s="512"/>
      <c r="V1405" s="512"/>
      <c r="W1405" s="512"/>
    </row>
    <row r="1406" ht="15.4" customHeight="1" spans="1:23">
      <c r="A1406" s="1053" t="s">
        <v>1253</v>
      </c>
      <c r="B1406" s="1099" t="s">
        <v>1254</v>
      </c>
      <c r="C1406" s="1089" t="s">
        <v>27</v>
      </c>
      <c r="D1406" s="240">
        <v>18</v>
      </c>
      <c r="E1406" s="1127"/>
      <c r="F1406" s="675">
        <v>45855</v>
      </c>
      <c r="G1406" s="840">
        <f t="shared" si="108"/>
        <v>45801</v>
      </c>
      <c r="H1406" s="676">
        <f t="shared" si="109"/>
        <v>45849</v>
      </c>
      <c r="I1406" s="1053" t="s">
        <v>1256</v>
      </c>
      <c r="J1406" s="1053" t="s">
        <v>215</v>
      </c>
      <c r="K1406" s="1053" t="s">
        <v>19</v>
      </c>
      <c r="L1406" s="279" t="s">
        <v>20</v>
      </c>
      <c r="M1406" s="687"/>
      <c r="N1406" s="512"/>
      <c r="O1406" s="512"/>
      <c r="P1406" s="512"/>
      <c r="Q1406" s="512"/>
      <c r="R1406" s="512"/>
      <c r="S1406" s="512"/>
      <c r="T1406" s="512"/>
      <c r="U1406" s="512"/>
      <c r="V1406" s="512"/>
      <c r="W1406" s="512"/>
    </row>
    <row r="1407" ht="15.4" customHeight="1" spans="1:23">
      <c r="A1407" s="1053" t="s">
        <v>1253</v>
      </c>
      <c r="B1407" s="1099" t="s">
        <v>1254</v>
      </c>
      <c r="C1407" s="1089" t="s">
        <v>28</v>
      </c>
      <c r="D1407" s="240">
        <v>18</v>
      </c>
      <c r="E1407" s="1127"/>
      <c r="F1407" s="675">
        <v>45855</v>
      </c>
      <c r="G1407" s="840">
        <f t="shared" si="108"/>
        <v>45801</v>
      </c>
      <c r="H1407" s="676">
        <f t="shared" si="109"/>
        <v>45849</v>
      </c>
      <c r="I1407" s="1053" t="s">
        <v>1256</v>
      </c>
      <c r="J1407" s="1053" t="s">
        <v>215</v>
      </c>
      <c r="K1407" s="1053" t="s">
        <v>19</v>
      </c>
      <c r="L1407" s="279" t="s">
        <v>20</v>
      </c>
      <c r="M1407" s="687"/>
      <c r="N1407" s="512"/>
      <c r="O1407" s="512"/>
      <c r="P1407" s="512"/>
      <c r="Q1407" s="512"/>
      <c r="R1407" s="512"/>
      <c r="S1407" s="512"/>
      <c r="T1407" s="512"/>
      <c r="U1407" s="512"/>
      <c r="V1407" s="512"/>
      <c r="W1407" s="512"/>
    </row>
    <row r="1408" ht="15.4" customHeight="1" spans="1:23">
      <c r="A1408" s="1053" t="s">
        <v>1253</v>
      </c>
      <c r="B1408" s="1099" t="s">
        <v>1254</v>
      </c>
      <c r="C1408" s="1089" t="s">
        <v>135</v>
      </c>
      <c r="D1408" s="240">
        <v>18</v>
      </c>
      <c r="E1408" s="1127"/>
      <c r="F1408" s="675">
        <v>45855</v>
      </c>
      <c r="G1408" s="840">
        <f t="shared" si="108"/>
        <v>45801</v>
      </c>
      <c r="H1408" s="676">
        <f t="shared" si="109"/>
        <v>45849</v>
      </c>
      <c r="I1408" s="1053" t="s">
        <v>1256</v>
      </c>
      <c r="J1408" s="1053" t="s">
        <v>215</v>
      </c>
      <c r="K1408" s="1053" t="s">
        <v>19</v>
      </c>
      <c r="L1408" s="279" t="s">
        <v>20</v>
      </c>
      <c r="M1408" s="687"/>
      <c r="N1408" s="512"/>
      <c r="O1408" s="512"/>
      <c r="P1408" s="512"/>
      <c r="Q1408" s="512"/>
      <c r="R1408" s="512"/>
      <c r="S1408" s="512"/>
      <c r="T1408" s="512"/>
      <c r="U1408" s="512"/>
      <c r="V1408" s="512"/>
      <c r="W1408" s="512"/>
    </row>
    <row r="1409" ht="15.4" customHeight="1" spans="1:23">
      <c r="A1409" s="1053" t="s">
        <v>1253</v>
      </c>
      <c r="B1409" s="1099" t="s">
        <v>1254</v>
      </c>
      <c r="C1409" s="1089" t="s">
        <v>136</v>
      </c>
      <c r="D1409" s="240">
        <v>18</v>
      </c>
      <c r="E1409" s="1127"/>
      <c r="F1409" s="675">
        <v>45855</v>
      </c>
      <c r="G1409" s="840">
        <f t="shared" si="108"/>
        <v>45801</v>
      </c>
      <c r="H1409" s="676">
        <f t="shared" si="109"/>
        <v>45849</v>
      </c>
      <c r="I1409" s="1053" t="s">
        <v>1256</v>
      </c>
      <c r="J1409" s="1053" t="s">
        <v>215</v>
      </c>
      <c r="K1409" s="1053" t="s">
        <v>19</v>
      </c>
      <c r="L1409" s="279" t="s">
        <v>20</v>
      </c>
      <c r="M1409" s="687"/>
      <c r="N1409" s="512"/>
      <c r="O1409" s="512"/>
      <c r="P1409" s="512"/>
      <c r="Q1409" s="512"/>
      <c r="R1409" s="512"/>
      <c r="S1409" s="512"/>
      <c r="T1409" s="512"/>
      <c r="U1409" s="512"/>
      <c r="V1409" s="512"/>
      <c r="W1409" s="512"/>
    </row>
    <row r="1410" ht="15.4" customHeight="1" spans="1:23">
      <c r="A1410" s="1053" t="s">
        <v>1253</v>
      </c>
      <c r="B1410" s="1099" t="s">
        <v>1254</v>
      </c>
      <c r="C1410" s="1089" t="s">
        <v>67</v>
      </c>
      <c r="D1410" s="240">
        <v>15</v>
      </c>
      <c r="E1410" s="1127"/>
      <c r="F1410" s="675">
        <v>45855</v>
      </c>
      <c r="G1410" s="840">
        <f t="shared" si="108"/>
        <v>45801</v>
      </c>
      <c r="H1410" s="676">
        <f t="shared" si="109"/>
        <v>45849</v>
      </c>
      <c r="I1410" s="1053" t="s">
        <v>1256</v>
      </c>
      <c r="J1410" s="1053" t="s">
        <v>215</v>
      </c>
      <c r="K1410" s="1053" t="s">
        <v>19</v>
      </c>
      <c r="L1410" s="279" t="s">
        <v>20</v>
      </c>
      <c r="M1410" s="687"/>
      <c r="N1410" s="512"/>
      <c r="O1410" s="512"/>
      <c r="P1410" s="512"/>
      <c r="Q1410" s="512"/>
      <c r="R1410" s="512"/>
      <c r="S1410" s="512"/>
      <c r="T1410" s="512"/>
      <c r="U1410" s="512"/>
      <c r="V1410" s="512"/>
      <c r="W1410" s="512"/>
    </row>
    <row r="1411" ht="15.4" customHeight="1" spans="1:23">
      <c r="A1411" s="1053" t="s">
        <v>1253</v>
      </c>
      <c r="B1411" s="1099" t="s">
        <v>1254</v>
      </c>
      <c r="C1411" s="1089" t="s">
        <v>69</v>
      </c>
      <c r="D1411" s="240">
        <v>15</v>
      </c>
      <c r="E1411" s="1127"/>
      <c r="F1411" s="675">
        <v>45855</v>
      </c>
      <c r="G1411" s="840">
        <f t="shared" si="108"/>
        <v>45801</v>
      </c>
      <c r="H1411" s="676">
        <f t="shared" si="109"/>
        <v>45849</v>
      </c>
      <c r="I1411" s="1053" t="s">
        <v>1256</v>
      </c>
      <c r="J1411" s="1053" t="s">
        <v>215</v>
      </c>
      <c r="K1411" s="1053" t="s">
        <v>19</v>
      </c>
      <c r="L1411" s="279" t="s">
        <v>20</v>
      </c>
      <c r="M1411" s="687"/>
      <c r="N1411" s="512"/>
      <c r="O1411" s="512"/>
      <c r="P1411" s="512"/>
      <c r="Q1411" s="512"/>
      <c r="R1411" s="512"/>
      <c r="S1411" s="512"/>
      <c r="T1411" s="512"/>
      <c r="U1411" s="512"/>
      <c r="V1411" s="512"/>
      <c r="W1411" s="512"/>
    </row>
    <row r="1412" ht="15.4" customHeight="1" spans="1:23">
      <c r="A1412" s="1053" t="s">
        <v>1253</v>
      </c>
      <c r="B1412" s="1099" t="s">
        <v>1254</v>
      </c>
      <c r="C1412" s="1089" t="s">
        <v>70</v>
      </c>
      <c r="D1412" s="240">
        <v>30</v>
      </c>
      <c r="E1412" s="1127"/>
      <c r="F1412" s="675">
        <v>45855</v>
      </c>
      <c r="G1412" s="840">
        <f t="shared" si="108"/>
        <v>45801</v>
      </c>
      <c r="H1412" s="676">
        <f t="shared" si="109"/>
        <v>45849</v>
      </c>
      <c r="I1412" s="1053" t="s">
        <v>1256</v>
      </c>
      <c r="J1412" s="1053" t="s">
        <v>215</v>
      </c>
      <c r="K1412" s="1053" t="s">
        <v>19</v>
      </c>
      <c r="L1412" s="279" t="s">
        <v>20</v>
      </c>
      <c r="M1412" s="687"/>
      <c r="N1412" s="512"/>
      <c r="O1412" s="512"/>
      <c r="P1412" s="512"/>
      <c r="Q1412" s="512"/>
      <c r="R1412" s="512"/>
      <c r="S1412" s="512"/>
      <c r="T1412" s="512"/>
      <c r="U1412" s="512"/>
      <c r="V1412" s="512"/>
      <c r="W1412" s="512"/>
    </row>
    <row r="1413" ht="15.4" customHeight="1" spans="1:23">
      <c r="A1413" s="1053" t="s">
        <v>1253</v>
      </c>
      <c r="B1413" s="1099" t="s">
        <v>1254</v>
      </c>
      <c r="C1413" s="1089" t="s">
        <v>71</v>
      </c>
      <c r="D1413" s="240">
        <v>30</v>
      </c>
      <c r="E1413" s="1127"/>
      <c r="F1413" s="675">
        <v>45855</v>
      </c>
      <c r="G1413" s="840">
        <f t="shared" si="108"/>
        <v>45801</v>
      </c>
      <c r="H1413" s="676">
        <f t="shared" si="109"/>
        <v>45849</v>
      </c>
      <c r="I1413" s="1053" t="s">
        <v>1256</v>
      </c>
      <c r="J1413" s="1053" t="s">
        <v>215</v>
      </c>
      <c r="K1413" s="1053" t="s">
        <v>19</v>
      </c>
      <c r="L1413" s="279" t="s">
        <v>20</v>
      </c>
      <c r="M1413" s="687"/>
      <c r="N1413" s="512"/>
      <c r="O1413" s="512"/>
      <c r="P1413" s="512"/>
      <c r="Q1413" s="512"/>
      <c r="R1413" s="512"/>
      <c r="S1413" s="512"/>
      <c r="T1413" s="512"/>
      <c r="U1413" s="512"/>
      <c r="V1413" s="512"/>
      <c r="W1413" s="512"/>
    </row>
    <row r="1414" ht="15.4" customHeight="1" spans="1:23">
      <c r="A1414" s="1053" t="s">
        <v>1253</v>
      </c>
      <c r="B1414" s="1099" t="s">
        <v>1254</v>
      </c>
      <c r="C1414" s="1089" t="s">
        <v>31</v>
      </c>
      <c r="D1414" s="240">
        <v>3</v>
      </c>
      <c r="E1414" s="1127"/>
      <c r="F1414" s="675">
        <v>45855</v>
      </c>
      <c r="G1414" s="840">
        <f t="shared" si="108"/>
        <v>45801</v>
      </c>
      <c r="H1414" s="676">
        <f t="shared" si="109"/>
        <v>45849</v>
      </c>
      <c r="I1414" s="1053" t="s">
        <v>1256</v>
      </c>
      <c r="J1414" s="1053" t="s">
        <v>215</v>
      </c>
      <c r="K1414" s="1053" t="s">
        <v>19</v>
      </c>
      <c r="L1414" s="279" t="s">
        <v>20</v>
      </c>
      <c r="M1414" s="687"/>
      <c r="N1414" s="512"/>
      <c r="O1414" s="512"/>
      <c r="P1414" s="512"/>
      <c r="Q1414" s="512"/>
      <c r="R1414" s="512"/>
      <c r="S1414" s="512"/>
      <c r="T1414" s="512"/>
      <c r="U1414" s="512"/>
      <c r="V1414" s="512"/>
      <c r="W1414" s="512"/>
    </row>
    <row r="1415" ht="15.4" customHeight="1" spans="1:23">
      <c r="A1415" s="1053" t="s">
        <v>1253</v>
      </c>
      <c r="B1415" s="1099" t="s">
        <v>1254</v>
      </c>
      <c r="C1415" s="1089" t="s">
        <v>32</v>
      </c>
      <c r="D1415" s="240">
        <v>3</v>
      </c>
      <c r="E1415" s="1127"/>
      <c r="F1415" s="675">
        <v>45855</v>
      </c>
      <c r="G1415" s="840">
        <f t="shared" si="108"/>
        <v>45801</v>
      </c>
      <c r="H1415" s="676">
        <f t="shared" si="109"/>
        <v>45849</v>
      </c>
      <c r="I1415" s="1053" t="s">
        <v>1256</v>
      </c>
      <c r="J1415" s="1053" t="s">
        <v>215</v>
      </c>
      <c r="K1415" s="1053" t="s">
        <v>19</v>
      </c>
      <c r="L1415" s="279" t="s">
        <v>20</v>
      </c>
      <c r="M1415" s="687"/>
      <c r="N1415" s="512"/>
      <c r="O1415" s="512"/>
      <c r="P1415" s="512"/>
      <c r="Q1415" s="512"/>
      <c r="R1415" s="512"/>
      <c r="S1415" s="512"/>
      <c r="T1415" s="512"/>
      <c r="U1415" s="512"/>
      <c r="V1415" s="512"/>
      <c r="W1415" s="512"/>
    </row>
    <row r="1416" ht="15.4" customHeight="1" spans="1:23">
      <c r="A1416" s="1047" t="s">
        <v>1247</v>
      </c>
      <c r="B1416" s="1155" t="s">
        <v>1259</v>
      </c>
      <c r="C1416" s="674" t="s">
        <v>518</v>
      </c>
      <c r="D1416" s="313">
        <v>400</v>
      </c>
      <c r="E1416" s="792" t="s">
        <v>1260</v>
      </c>
      <c r="F1416" s="1156"/>
      <c r="G1416" s="675">
        <f>VLOOKUP(CLEAN(SUBSTITUTE(TRIM(MID(E:E,FIND("/",E:E)+1,LEN(E:E)))," ","")),'Customs Decl. &amp; Local Delivery'!D:I,6,0)</f>
        <v>45803</v>
      </c>
      <c r="H1416" s="676">
        <f>VLOOKUP(CLEAN(SUBSTITUTE(TRIM(MID(E:E,FIND("/",E:E)+1,LEN(E:E)))," ","")),'Customs Decl. &amp; Local Delivery'!D:J,7,0)</f>
        <v>45827</v>
      </c>
      <c r="I1416" s="784" t="s">
        <v>1261</v>
      </c>
      <c r="J1416" s="1047" t="s">
        <v>39</v>
      </c>
      <c r="K1416" s="1064" t="s">
        <v>147</v>
      </c>
      <c r="L1416" s="279" t="s">
        <v>20</v>
      </c>
      <c r="M1416" s="784" t="s">
        <v>1262</v>
      </c>
      <c r="N1416" s="1154"/>
      <c r="O1416" s="1154"/>
      <c r="P1416" s="1154"/>
      <c r="Q1416" s="1154"/>
      <c r="R1416" s="1154"/>
      <c r="S1416" s="1154"/>
      <c r="T1416" s="1154"/>
      <c r="U1416" s="1154"/>
      <c r="V1416" s="1154"/>
      <c r="W1416" s="1154"/>
    </row>
    <row r="1417" ht="15.4" customHeight="1" spans="1:23">
      <c r="A1417" s="1047" t="s">
        <v>1247</v>
      </c>
      <c r="B1417" s="1155" t="s">
        <v>1259</v>
      </c>
      <c r="C1417" s="674" t="s">
        <v>155</v>
      </c>
      <c r="D1417" s="313">
        <v>30</v>
      </c>
      <c r="E1417" s="69"/>
      <c r="F1417" s="840"/>
      <c r="G1417" s="840">
        <f>G1416</f>
        <v>45803</v>
      </c>
      <c r="H1417" s="676">
        <f>H1416</f>
        <v>45827</v>
      </c>
      <c r="I1417" s="784" t="s">
        <v>1261</v>
      </c>
      <c r="J1417" s="1047" t="s">
        <v>39</v>
      </c>
      <c r="K1417" s="1064" t="s">
        <v>147</v>
      </c>
      <c r="L1417" s="279" t="s">
        <v>20</v>
      </c>
      <c r="M1417" s="784"/>
      <c r="N1417" s="1154"/>
      <c r="O1417" s="1154"/>
      <c r="P1417" s="1154"/>
      <c r="Q1417" s="1154"/>
      <c r="R1417" s="1154"/>
      <c r="S1417" s="1154"/>
      <c r="T1417" s="1154"/>
      <c r="U1417" s="1154"/>
      <c r="V1417" s="1154"/>
      <c r="W1417" s="1154"/>
    </row>
    <row r="1418" ht="15.4" customHeight="1" spans="1:23">
      <c r="A1418" s="1047" t="s">
        <v>1247</v>
      </c>
      <c r="B1418" s="1155" t="s">
        <v>1259</v>
      </c>
      <c r="C1418" s="674" t="s">
        <v>549</v>
      </c>
      <c r="D1418" s="313">
        <v>75</v>
      </c>
      <c r="E1418" s="69"/>
      <c r="F1418" s="840"/>
      <c r="G1418" s="840">
        <f>G1417</f>
        <v>45803</v>
      </c>
      <c r="H1418" s="676">
        <f>H1417</f>
        <v>45827</v>
      </c>
      <c r="I1418" s="784" t="s">
        <v>1261</v>
      </c>
      <c r="J1418" s="1047" t="s">
        <v>39</v>
      </c>
      <c r="K1418" s="1064" t="s">
        <v>147</v>
      </c>
      <c r="L1418" s="279" t="s">
        <v>20</v>
      </c>
      <c r="M1418" s="784"/>
      <c r="N1418" s="1154"/>
      <c r="O1418" s="1154"/>
      <c r="P1418" s="1154"/>
      <c r="Q1418" s="1154"/>
      <c r="R1418" s="1154"/>
      <c r="S1418" s="1154"/>
      <c r="T1418" s="1154"/>
      <c r="U1418" s="1154"/>
      <c r="V1418" s="1154"/>
      <c r="W1418" s="1154"/>
    </row>
    <row r="1419" ht="15.4" customHeight="1" spans="1:23">
      <c r="A1419" s="1047" t="s">
        <v>1247</v>
      </c>
      <c r="B1419" s="1155" t="s">
        <v>1259</v>
      </c>
      <c r="C1419" s="674" t="s">
        <v>1263</v>
      </c>
      <c r="D1419" s="313">
        <v>5</v>
      </c>
      <c r="E1419" s="69"/>
      <c r="F1419" s="840"/>
      <c r="G1419" s="840">
        <f>G1418</f>
        <v>45803</v>
      </c>
      <c r="H1419" s="676">
        <f>H1418</f>
        <v>45827</v>
      </c>
      <c r="I1419" s="784" t="s">
        <v>1261</v>
      </c>
      <c r="J1419" s="1047" t="s">
        <v>39</v>
      </c>
      <c r="K1419" s="1064" t="s">
        <v>147</v>
      </c>
      <c r="L1419" s="279" t="s">
        <v>20</v>
      </c>
      <c r="M1419" s="784"/>
      <c r="N1419" s="1154"/>
      <c r="O1419" s="1154"/>
      <c r="P1419" s="1154"/>
      <c r="Q1419" s="1154"/>
      <c r="R1419" s="1154"/>
      <c r="S1419" s="1154"/>
      <c r="T1419" s="1154"/>
      <c r="U1419" s="1154"/>
      <c r="V1419" s="1154"/>
      <c r="W1419" s="1154"/>
    </row>
    <row r="1420" ht="30" spans="1:23">
      <c r="A1420" s="1047" t="s">
        <v>1247</v>
      </c>
      <c r="B1420" s="1047" t="s">
        <v>1264</v>
      </c>
      <c r="C1420" s="1157" t="s">
        <v>523</v>
      </c>
      <c r="D1420" s="1158">
        <v>352</v>
      </c>
      <c r="E1420" s="674" t="s">
        <v>1265</v>
      </c>
      <c r="F1420" s="675"/>
      <c r="G1420" s="675">
        <f>VLOOKUP(CLEAN(SUBSTITUTE(TRIM(MID(E:E,FIND("/",E:E)+1,LEN(E:E)))," ","")),'Customs Decl. &amp; Local Delivery'!D:I,6,0)</f>
        <v>45803</v>
      </c>
      <c r="H1420" s="676">
        <f>VLOOKUP(CLEAN(SUBSTITUTE(TRIM(MID(E:E,FIND("/",E:E)+1,LEN(E:E)))," ","")),'Customs Decl. &amp; Local Delivery'!D:J,7,0)</f>
        <v>45827</v>
      </c>
      <c r="I1420" s="784" t="s">
        <v>1266</v>
      </c>
      <c r="J1420" s="1047" t="s">
        <v>39</v>
      </c>
      <c r="K1420" s="1064" t="s">
        <v>147</v>
      </c>
      <c r="L1420" s="279" t="s">
        <v>20</v>
      </c>
      <c r="M1420" s="784" t="s">
        <v>1262</v>
      </c>
      <c r="N1420" s="1154"/>
      <c r="O1420" s="1154"/>
      <c r="P1420" s="1154"/>
      <c r="Q1420" s="1154"/>
      <c r="R1420" s="1154"/>
      <c r="S1420" s="1154"/>
      <c r="T1420" s="1154"/>
      <c r="U1420" s="1154"/>
      <c r="V1420" s="1154"/>
      <c r="W1420" s="1154"/>
    </row>
    <row r="1421" s="477" customFormat="1" ht="15.4" customHeight="1" spans="1:23">
      <c r="A1421" s="1058" t="s">
        <v>1267</v>
      </c>
      <c r="B1421" s="1159"/>
      <c r="C1421" s="1047" t="s">
        <v>77</v>
      </c>
      <c r="D1421" s="279">
        <v>0</v>
      </c>
      <c r="E1421" s="1047" t="s">
        <v>564</v>
      </c>
      <c r="F1421" s="1086"/>
      <c r="G1421" s="1160" t="s">
        <v>309</v>
      </c>
      <c r="H1421" s="1161" t="s">
        <v>309</v>
      </c>
      <c r="I1421" s="718" t="s">
        <v>309</v>
      </c>
      <c r="J1421" s="718" t="s">
        <v>18</v>
      </c>
      <c r="K1421" s="718" t="s">
        <v>19</v>
      </c>
      <c r="L1421" s="1170" t="s">
        <v>309</v>
      </c>
      <c r="M1421" s="1058" t="s">
        <v>1268</v>
      </c>
      <c r="N1421" s="512"/>
      <c r="O1421" s="512"/>
      <c r="P1421" s="512"/>
      <c r="Q1421" s="512"/>
      <c r="R1421" s="512"/>
      <c r="S1421" s="512"/>
      <c r="T1421" s="512"/>
      <c r="U1421" s="512"/>
      <c r="V1421" s="512"/>
      <c r="W1421" s="512"/>
    </row>
    <row r="1422" s="477" customFormat="1" ht="16.5" customHeight="1" spans="1:23">
      <c r="A1422" s="749" t="s">
        <v>778</v>
      </c>
      <c r="B1422" s="811"/>
      <c r="C1422" s="794" t="s">
        <v>129</v>
      </c>
      <c r="D1422" s="266">
        <v>0</v>
      </c>
      <c r="E1422" s="672" t="s">
        <v>564</v>
      </c>
      <c r="F1422" s="1086"/>
      <c r="G1422" s="1160" t="s">
        <v>309</v>
      </c>
      <c r="H1422" s="1161" t="s">
        <v>309</v>
      </c>
      <c r="I1422" s="718" t="s">
        <v>309</v>
      </c>
      <c r="J1422" s="749" t="s">
        <v>18</v>
      </c>
      <c r="K1422" s="780" t="s">
        <v>19</v>
      </c>
      <c r="L1422" s="1170" t="s">
        <v>309</v>
      </c>
      <c r="M1422" s="1150" t="s">
        <v>1269</v>
      </c>
      <c r="N1422" s="512"/>
      <c r="O1422" s="512"/>
      <c r="P1422" s="512"/>
      <c r="Q1422" s="512"/>
      <c r="R1422" s="512"/>
      <c r="S1422" s="512"/>
      <c r="T1422" s="512"/>
      <c r="U1422" s="512"/>
      <c r="V1422" s="512"/>
      <c r="W1422" s="512"/>
    </row>
    <row r="1423" s="477" customFormat="1" ht="16.5" customHeight="1" spans="1:23">
      <c r="A1423" s="749" t="s">
        <v>778</v>
      </c>
      <c r="B1423" s="811" t="s">
        <v>309</v>
      </c>
      <c r="C1423" s="794" t="s">
        <v>15</v>
      </c>
      <c r="D1423" s="240">
        <v>0</v>
      </c>
      <c r="E1423" s="1121"/>
      <c r="F1423" s="1086"/>
      <c r="G1423" s="1160" t="s">
        <v>309</v>
      </c>
      <c r="H1423" s="1161" t="s">
        <v>309</v>
      </c>
      <c r="I1423" s="718" t="s">
        <v>309</v>
      </c>
      <c r="J1423" s="749" t="s">
        <v>18</v>
      </c>
      <c r="K1423" s="780" t="s">
        <v>19</v>
      </c>
      <c r="L1423" s="1170" t="s">
        <v>309</v>
      </c>
      <c r="M1423" s="1171" t="s">
        <v>1270</v>
      </c>
      <c r="N1423" s="512"/>
      <c r="O1423" s="512"/>
      <c r="P1423" s="512"/>
      <c r="Q1423" s="512"/>
      <c r="R1423" s="512"/>
      <c r="S1423" s="512"/>
      <c r="T1423" s="512"/>
      <c r="U1423" s="512"/>
      <c r="V1423" s="512"/>
      <c r="W1423" s="512"/>
    </row>
    <row r="1424" s="477" customFormat="1" ht="16.5" customHeight="1" spans="1:23">
      <c r="A1424" s="749" t="s">
        <v>778</v>
      </c>
      <c r="B1424" s="811" t="s">
        <v>309</v>
      </c>
      <c r="C1424" s="794" t="s">
        <v>24</v>
      </c>
      <c r="D1424" s="240">
        <v>0</v>
      </c>
      <c r="E1424" s="1121"/>
      <c r="F1424" s="1086"/>
      <c r="G1424" s="1160" t="s">
        <v>309</v>
      </c>
      <c r="H1424" s="1161" t="s">
        <v>309</v>
      </c>
      <c r="I1424" s="718" t="s">
        <v>309</v>
      </c>
      <c r="J1424" s="749" t="s">
        <v>18</v>
      </c>
      <c r="K1424" s="780" t="s">
        <v>19</v>
      </c>
      <c r="L1424" s="1170" t="s">
        <v>309</v>
      </c>
      <c r="M1424" s="1171" t="s">
        <v>1270</v>
      </c>
      <c r="N1424" s="512"/>
      <c r="O1424" s="512"/>
      <c r="P1424" s="512"/>
      <c r="Q1424" s="512"/>
      <c r="R1424" s="512"/>
      <c r="S1424" s="512"/>
      <c r="T1424" s="512"/>
      <c r="U1424" s="512"/>
      <c r="V1424" s="512"/>
      <c r="W1424" s="512"/>
    </row>
    <row r="1425" s="477" customFormat="1" ht="16.5" customHeight="1" spans="1:23">
      <c r="A1425" s="749" t="s">
        <v>778</v>
      </c>
      <c r="B1425" s="811" t="s">
        <v>309</v>
      </c>
      <c r="C1425" s="794" t="s">
        <v>27</v>
      </c>
      <c r="D1425" s="266">
        <v>0</v>
      </c>
      <c r="E1425" s="1121"/>
      <c r="F1425" s="1086"/>
      <c r="G1425" s="1160" t="s">
        <v>309</v>
      </c>
      <c r="H1425" s="1161" t="s">
        <v>309</v>
      </c>
      <c r="I1425" s="718" t="s">
        <v>309</v>
      </c>
      <c r="J1425" s="749" t="s">
        <v>18</v>
      </c>
      <c r="K1425" s="780" t="s">
        <v>19</v>
      </c>
      <c r="L1425" s="1170" t="s">
        <v>309</v>
      </c>
      <c r="M1425" s="1171" t="s">
        <v>1270</v>
      </c>
      <c r="N1425" s="512"/>
      <c r="O1425" s="512"/>
      <c r="P1425" s="512"/>
      <c r="Q1425" s="512"/>
      <c r="R1425" s="512"/>
      <c r="S1425" s="512"/>
      <c r="T1425" s="512"/>
      <c r="U1425" s="512"/>
      <c r="V1425" s="512"/>
      <c r="W1425" s="512"/>
    </row>
    <row r="1426" s="477" customFormat="1" ht="16.5" customHeight="1" spans="1:23">
      <c r="A1426" s="749" t="s">
        <v>778</v>
      </c>
      <c r="B1426" s="811" t="s">
        <v>309</v>
      </c>
      <c r="C1426" s="794" t="s">
        <v>135</v>
      </c>
      <c r="D1426" s="240">
        <v>0</v>
      </c>
      <c r="E1426" s="1121"/>
      <c r="F1426" s="1086"/>
      <c r="G1426" s="1160" t="s">
        <v>309</v>
      </c>
      <c r="H1426" s="1161" t="s">
        <v>309</v>
      </c>
      <c r="I1426" s="718" t="s">
        <v>309</v>
      </c>
      <c r="J1426" s="749" t="s">
        <v>18</v>
      </c>
      <c r="K1426" s="780" t="s">
        <v>19</v>
      </c>
      <c r="L1426" s="1170" t="s">
        <v>309</v>
      </c>
      <c r="M1426" s="1171" t="s">
        <v>1270</v>
      </c>
      <c r="N1426" s="512"/>
      <c r="O1426" s="512"/>
      <c r="P1426" s="512"/>
      <c r="Q1426" s="512"/>
      <c r="R1426" s="512"/>
      <c r="S1426" s="512"/>
      <c r="T1426" s="512"/>
      <c r="U1426" s="512"/>
      <c r="V1426" s="512"/>
      <c r="W1426" s="512"/>
    </row>
    <row r="1427" s="477" customFormat="1" ht="16.5" customHeight="1" spans="1:23">
      <c r="A1427" s="749" t="s">
        <v>778</v>
      </c>
      <c r="B1427" s="811" t="s">
        <v>309</v>
      </c>
      <c r="C1427" s="794" t="s">
        <v>67</v>
      </c>
      <c r="D1427" s="266">
        <v>0</v>
      </c>
      <c r="E1427" s="1121"/>
      <c r="F1427" s="1086"/>
      <c r="G1427" s="1160" t="s">
        <v>309</v>
      </c>
      <c r="H1427" s="1161" t="s">
        <v>309</v>
      </c>
      <c r="I1427" s="718" t="s">
        <v>309</v>
      </c>
      <c r="J1427" s="749" t="s">
        <v>18</v>
      </c>
      <c r="K1427" s="780" t="s">
        <v>19</v>
      </c>
      <c r="L1427" s="1170" t="s">
        <v>309</v>
      </c>
      <c r="M1427" s="1171" t="s">
        <v>1270</v>
      </c>
      <c r="N1427" s="512"/>
      <c r="O1427" s="512"/>
      <c r="P1427" s="512"/>
      <c r="Q1427" s="512"/>
      <c r="R1427" s="512"/>
      <c r="S1427" s="512"/>
      <c r="T1427" s="512"/>
      <c r="U1427" s="512"/>
      <c r="V1427" s="512"/>
      <c r="W1427" s="512"/>
    </row>
    <row r="1428" s="477" customFormat="1" ht="16.5" customHeight="1" spans="1:23">
      <c r="A1428" s="749" t="s">
        <v>778</v>
      </c>
      <c r="B1428" s="811" t="s">
        <v>309</v>
      </c>
      <c r="C1428" s="794" t="s">
        <v>70</v>
      </c>
      <c r="D1428" s="266">
        <v>0</v>
      </c>
      <c r="E1428" s="1121"/>
      <c r="F1428" s="1086"/>
      <c r="G1428" s="1160" t="s">
        <v>309</v>
      </c>
      <c r="H1428" s="1161" t="s">
        <v>309</v>
      </c>
      <c r="I1428" s="718" t="s">
        <v>309</v>
      </c>
      <c r="J1428" s="749" t="s">
        <v>18</v>
      </c>
      <c r="K1428" s="780" t="s">
        <v>19</v>
      </c>
      <c r="L1428" s="1170" t="s">
        <v>309</v>
      </c>
      <c r="M1428" s="1171" t="s">
        <v>1270</v>
      </c>
      <c r="N1428" s="512"/>
      <c r="O1428" s="512"/>
      <c r="P1428" s="512"/>
      <c r="Q1428" s="512"/>
      <c r="R1428" s="512"/>
      <c r="S1428" s="512"/>
      <c r="T1428" s="512"/>
      <c r="U1428" s="512"/>
      <c r="V1428" s="512"/>
      <c r="W1428" s="512"/>
    </row>
    <row r="1429" s="477" customFormat="1" ht="16.5" customHeight="1" spans="1:23">
      <c r="A1429" s="749" t="s">
        <v>778</v>
      </c>
      <c r="B1429" s="811" t="s">
        <v>309</v>
      </c>
      <c r="C1429" s="794" t="s">
        <v>29</v>
      </c>
      <c r="D1429" s="240">
        <v>0</v>
      </c>
      <c r="E1429" s="1121"/>
      <c r="F1429" s="1086"/>
      <c r="G1429" s="1160" t="s">
        <v>309</v>
      </c>
      <c r="H1429" s="1161" t="s">
        <v>309</v>
      </c>
      <c r="I1429" s="718" t="s">
        <v>309</v>
      </c>
      <c r="J1429" s="749" t="s">
        <v>18</v>
      </c>
      <c r="K1429" s="780" t="s">
        <v>19</v>
      </c>
      <c r="L1429" s="1170" t="s">
        <v>309</v>
      </c>
      <c r="M1429" s="1171" t="s">
        <v>1270</v>
      </c>
      <c r="N1429" s="512"/>
      <c r="O1429" s="512"/>
      <c r="P1429" s="512"/>
      <c r="Q1429" s="512"/>
      <c r="R1429" s="512"/>
      <c r="S1429" s="512"/>
      <c r="T1429" s="512"/>
      <c r="U1429" s="512"/>
      <c r="V1429" s="512"/>
      <c r="W1429" s="512"/>
    </row>
    <row r="1430" s="477" customFormat="1" ht="16.5" customHeight="1" spans="1:23">
      <c r="A1430" s="749" t="s">
        <v>778</v>
      </c>
      <c r="B1430" s="811" t="s">
        <v>309</v>
      </c>
      <c r="C1430" s="794" t="s">
        <v>30</v>
      </c>
      <c r="D1430" s="240">
        <v>0</v>
      </c>
      <c r="E1430" s="1121"/>
      <c r="F1430" s="1086"/>
      <c r="G1430" s="1160" t="s">
        <v>309</v>
      </c>
      <c r="H1430" s="1161" t="s">
        <v>309</v>
      </c>
      <c r="I1430" s="718" t="s">
        <v>309</v>
      </c>
      <c r="J1430" s="749" t="s">
        <v>18</v>
      </c>
      <c r="K1430" s="780" t="s">
        <v>19</v>
      </c>
      <c r="L1430" s="1170" t="s">
        <v>309</v>
      </c>
      <c r="M1430" s="1171" t="s">
        <v>1270</v>
      </c>
      <c r="N1430" s="512"/>
      <c r="O1430" s="512"/>
      <c r="P1430" s="512"/>
      <c r="Q1430" s="512"/>
      <c r="R1430" s="512"/>
      <c r="S1430" s="512"/>
      <c r="T1430" s="512"/>
      <c r="U1430" s="512"/>
      <c r="V1430" s="512"/>
      <c r="W1430" s="512"/>
    </row>
    <row r="1431" s="477" customFormat="1" ht="16.5" customHeight="1" spans="1:23">
      <c r="A1431" s="749" t="s">
        <v>778</v>
      </c>
      <c r="B1431" s="811" t="s">
        <v>309</v>
      </c>
      <c r="C1431" s="794" t="s">
        <v>31</v>
      </c>
      <c r="D1431" s="240">
        <v>0</v>
      </c>
      <c r="E1431" s="1121"/>
      <c r="F1431" s="1086"/>
      <c r="G1431" s="1160" t="s">
        <v>309</v>
      </c>
      <c r="H1431" s="1161" t="s">
        <v>309</v>
      </c>
      <c r="I1431" s="718" t="s">
        <v>309</v>
      </c>
      <c r="J1431" s="749" t="s">
        <v>18</v>
      </c>
      <c r="K1431" s="780" t="s">
        <v>19</v>
      </c>
      <c r="L1431" s="1170" t="s">
        <v>309</v>
      </c>
      <c r="M1431" s="1171" t="s">
        <v>1270</v>
      </c>
      <c r="N1431" s="512"/>
      <c r="O1431" s="512"/>
      <c r="P1431" s="512"/>
      <c r="Q1431" s="512"/>
      <c r="R1431" s="512"/>
      <c r="S1431" s="512"/>
      <c r="T1431" s="512"/>
      <c r="U1431" s="512"/>
      <c r="V1431" s="512"/>
      <c r="W1431" s="512"/>
    </row>
    <row r="1432" s="477" customFormat="1" ht="16.5" customHeight="1" spans="1:23">
      <c r="A1432" s="749" t="s">
        <v>778</v>
      </c>
      <c r="B1432" s="811" t="s">
        <v>309</v>
      </c>
      <c r="C1432" s="794" t="s">
        <v>32</v>
      </c>
      <c r="D1432" s="240">
        <v>0</v>
      </c>
      <c r="E1432" s="1121"/>
      <c r="F1432" s="1086"/>
      <c r="G1432" s="1160" t="s">
        <v>309</v>
      </c>
      <c r="H1432" s="1161" t="s">
        <v>309</v>
      </c>
      <c r="I1432" s="718" t="s">
        <v>309</v>
      </c>
      <c r="J1432" s="749" t="s">
        <v>18</v>
      </c>
      <c r="K1432" s="780" t="s">
        <v>19</v>
      </c>
      <c r="L1432" s="1170" t="s">
        <v>309</v>
      </c>
      <c r="M1432" s="1171" t="s">
        <v>1270</v>
      </c>
      <c r="N1432" s="512"/>
      <c r="O1432" s="512"/>
      <c r="P1432" s="512"/>
      <c r="Q1432" s="512"/>
      <c r="R1432" s="512"/>
      <c r="S1432" s="512"/>
      <c r="T1432" s="512"/>
      <c r="U1432" s="512"/>
      <c r="V1432" s="512"/>
      <c r="W1432" s="512"/>
    </row>
    <row r="1433" s="477" customFormat="1" ht="16.5" customHeight="1" spans="1:23">
      <c r="A1433" s="749" t="s">
        <v>778</v>
      </c>
      <c r="B1433" s="811" t="s">
        <v>309</v>
      </c>
      <c r="C1433" s="794" t="s">
        <v>59</v>
      </c>
      <c r="D1433" s="266">
        <v>0</v>
      </c>
      <c r="E1433" s="1121"/>
      <c r="F1433" s="1086"/>
      <c r="G1433" s="1160" t="s">
        <v>309</v>
      </c>
      <c r="H1433" s="1161" t="s">
        <v>309</v>
      </c>
      <c r="I1433" s="718" t="s">
        <v>309</v>
      </c>
      <c r="J1433" s="749" t="s">
        <v>18</v>
      </c>
      <c r="K1433" s="780" t="s">
        <v>19</v>
      </c>
      <c r="L1433" s="1170" t="s">
        <v>309</v>
      </c>
      <c r="M1433" s="1171" t="s">
        <v>1270</v>
      </c>
      <c r="N1433" s="512"/>
      <c r="O1433" s="512"/>
      <c r="P1433" s="512"/>
      <c r="Q1433" s="512"/>
      <c r="R1433" s="512"/>
      <c r="S1433" s="512"/>
      <c r="T1433" s="512"/>
      <c r="U1433" s="512"/>
      <c r="V1433" s="512"/>
      <c r="W1433" s="512"/>
    </row>
    <row r="1434" s="477" customFormat="1" ht="16.5" customHeight="1" spans="1:23">
      <c r="A1434" s="749" t="s">
        <v>778</v>
      </c>
      <c r="B1434" s="811" t="s">
        <v>309</v>
      </c>
      <c r="C1434" s="794" t="s">
        <v>60</v>
      </c>
      <c r="D1434" s="266">
        <v>0</v>
      </c>
      <c r="E1434" s="1121"/>
      <c r="F1434" s="1086"/>
      <c r="G1434" s="1160" t="s">
        <v>309</v>
      </c>
      <c r="H1434" s="1161" t="s">
        <v>309</v>
      </c>
      <c r="I1434" s="718" t="s">
        <v>309</v>
      </c>
      <c r="J1434" s="749" t="s">
        <v>18</v>
      </c>
      <c r="K1434" s="780" t="s">
        <v>19</v>
      </c>
      <c r="L1434" s="1170" t="s">
        <v>309</v>
      </c>
      <c r="M1434" s="1171" t="s">
        <v>1270</v>
      </c>
      <c r="N1434" s="512"/>
      <c r="O1434" s="512"/>
      <c r="P1434" s="512"/>
      <c r="Q1434" s="512"/>
      <c r="R1434" s="512"/>
      <c r="S1434" s="512"/>
      <c r="T1434" s="512"/>
      <c r="U1434" s="512"/>
      <c r="V1434" s="512"/>
      <c r="W1434" s="512"/>
    </row>
    <row r="1435" s="477" customFormat="1" ht="16.5" customHeight="1" spans="1:23">
      <c r="A1435" s="749" t="s">
        <v>778</v>
      </c>
      <c r="B1435" s="811" t="s">
        <v>309</v>
      </c>
      <c r="C1435" s="794" t="s">
        <v>342</v>
      </c>
      <c r="D1435" s="266">
        <v>0</v>
      </c>
      <c r="E1435" s="1121"/>
      <c r="F1435" s="1086"/>
      <c r="G1435" s="1160" t="s">
        <v>309</v>
      </c>
      <c r="H1435" s="1161" t="s">
        <v>309</v>
      </c>
      <c r="I1435" s="718" t="s">
        <v>309</v>
      </c>
      <c r="J1435" s="749" t="s">
        <v>18</v>
      </c>
      <c r="K1435" s="780" t="s">
        <v>19</v>
      </c>
      <c r="L1435" s="1170" t="s">
        <v>309</v>
      </c>
      <c r="M1435" s="1171" t="s">
        <v>1270</v>
      </c>
      <c r="N1435" s="512"/>
      <c r="O1435" s="512"/>
      <c r="P1435" s="512"/>
      <c r="Q1435" s="512"/>
      <c r="R1435" s="512"/>
      <c r="S1435" s="512"/>
      <c r="T1435" s="512"/>
      <c r="U1435" s="512"/>
      <c r="V1435" s="512"/>
      <c r="W1435" s="512"/>
    </row>
    <row r="1436" s="477" customFormat="1" ht="16.5" customHeight="1" spans="1:23">
      <c r="A1436" s="749" t="s">
        <v>778</v>
      </c>
      <c r="B1436" s="811" t="s">
        <v>309</v>
      </c>
      <c r="C1436" s="794" t="s">
        <v>91</v>
      </c>
      <c r="D1436" s="266">
        <v>0</v>
      </c>
      <c r="E1436" s="1121"/>
      <c r="F1436" s="1086"/>
      <c r="G1436" s="1160" t="s">
        <v>309</v>
      </c>
      <c r="H1436" s="1161" t="s">
        <v>309</v>
      </c>
      <c r="I1436" s="718" t="s">
        <v>309</v>
      </c>
      <c r="J1436" s="749" t="s">
        <v>18</v>
      </c>
      <c r="K1436" s="780" t="s">
        <v>19</v>
      </c>
      <c r="L1436" s="1170" t="s">
        <v>309</v>
      </c>
      <c r="M1436" s="1171" t="s">
        <v>1270</v>
      </c>
      <c r="N1436" s="512"/>
      <c r="O1436" s="512"/>
      <c r="P1436" s="512"/>
      <c r="Q1436" s="512"/>
      <c r="R1436" s="512"/>
      <c r="S1436" s="512"/>
      <c r="T1436" s="512"/>
      <c r="U1436" s="512"/>
      <c r="V1436" s="512"/>
      <c r="W1436" s="512"/>
    </row>
    <row r="1437" s="477" customFormat="1" ht="16.5" customHeight="1" spans="1:23">
      <c r="A1437" s="749" t="s">
        <v>778</v>
      </c>
      <c r="B1437" s="811" t="s">
        <v>309</v>
      </c>
      <c r="C1437" s="794" t="s">
        <v>77</v>
      </c>
      <c r="D1437" s="266">
        <v>0</v>
      </c>
      <c r="E1437" s="1121"/>
      <c r="F1437" s="1086"/>
      <c r="G1437" s="1160" t="s">
        <v>309</v>
      </c>
      <c r="H1437" s="1161" t="s">
        <v>309</v>
      </c>
      <c r="I1437" s="718" t="s">
        <v>309</v>
      </c>
      <c r="J1437" s="749" t="s">
        <v>18</v>
      </c>
      <c r="K1437" s="780" t="s">
        <v>19</v>
      </c>
      <c r="L1437" s="1170" t="s">
        <v>309</v>
      </c>
      <c r="M1437" s="1172" t="s">
        <v>1270</v>
      </c>
      <c r="N1437" s="512"/>
      <c r="O1437" s="512"/>
      <c r="P1437" s="512"/>
      <c r="Q1437" s="512"/>
      <c r="R1437" s="512"/>
      <c r="S1437" s="512"/>
      <c r="T1437" s="512"/>
      <c r="U1437" s="512"/>
      <c r="V1437" s="512"/>
      <c r="W1437" s="512"/>
    </row>
    <row r="1438" s="178" customFormat="1" ht="15.4" customHeight="1" spans="1:23">
      <c r="A1438" s="1047" t="s">
        <v>1247</v>
      </c>
      <c r="B1438" s="1047" t="s">
        <v>1271</v>
      </c>
      <c r="C1438" s="671" t="s">
        <v>523</v>
      </c>
      <c r="D1438" s="347">
        <v>11</v>
      </c>
      <c r="E1438" s="1162" t="s">
        <v>1272</v>
      </c>
      <c r="F1438" s="675"/>
      <c r="G1438" s="675">
        <f>VLOOKUP(CLEAN(SUBSTITUTE(TRIM(MID(E:E,FIND("/",E:E)+1,LEN(E:E)))," ","")),'Customs Decl. &amp; Local Delivery'!D:I,6,0)</f>
        <v>45805</v>
      </c>
      <c r="H1438" s="676">
        <f>VLOOKUP(CLEAN(SUBSTITUTE(TRIM(MID(E:E,FIND("/",E:E)+1,LEN(E:E)))," ","")),'Customs Decl. &amp; Local Delivery'!D:J,7,0)</f>
        <v>45837</v>
      </c>
      <c r="I1438" s="784" t="s">
        <v>1273</v>
      </c>
      <c r="J1438" s="1047" t="s">
        <v>39</v>
      </c>
      <c r="K1438" s="1064" t="s">
        <v>147</v>
      </c>
      <c r="L1438" s="279" t="s">
        <v>20</v>
      </c>
      <c r="M1438" s="784" t="s">
        <v>1274</v>
      </c>
      <c r="N1438" s="1154"/>
      <c r="O1438" s="512"/>
      <c r="P1438" s="512"/>
      <c r="Q1438" s="512"/>
      <c r="R1438" s="512"/>
      <c r="S1438" s="512"/>
      <c r="T1438" s="512"/>
      <c r="U1438" s="512"/>
      <c r="V1438" s="512"/>
      <c r="W1438" s="512"/>
    </row>
    <row r="1439" s="178" customFormat="1" ht="15.4" customHeight="1" spans="1:23">
      <c r="A1439" s="1047" t="s">
        <v>1247</v>
      </c>
      <c r="B1439" s="1047" t="s">
        <v>1271</v>
      </c>
      <c r="C1439" s="671" t="s">
        <v>1252</v>
      </c>
      <c r="D1439" s="347">
        <v>81</v>
      </c>
      <c r="E1439" s="69"/>
      <c r="F1439" s="840"/>
      <c r="G1439" s="840">
        <f t="shared" ref="G1439:G1448" si="110">G1438</f>
        <v>45805</v>
      </c>
      <c r="H1439" s="676">
        <f t="shared" ref="H1439:H1448" si="111">H1438</f>
        <v>45837</v>
      </c>
      <c r="I1439" s="784" t="s">
        <v>1273</v>
      </c>
      <c r="J1439" s="1047" t="s">
        <v>39</v>
      </c>
      <c r="K1439" s="1064" t="s">
        <v>147</v>
      </c>
      <c r="L1439" s="279" t="s">
        <v>20</v>
      </c>
      <c r="M1439" s="784" t="s">
        <v>1275</v>
      </c>
      <c r="N1439" s="1154"/>
      <c r="O1439" s="512"/>
      <c r="P1439" s="512"/>
      <c r="Q1439" s="512"/>
      <c r="R1439" s="512"/>
      <c r="S1439" s="512"/>
      <c r="T1439" s="512"/>
      <c r="U1439" s="512"/>
      <c r="V1439" s="512"/>
      <c r="W1439" s="512"/>
    </row>
    <row r="1440" s="178" customFormat="1" ht="15.4" customHeight="1" spans="1:23">
      <c r="A1440" s="1047" t="s">
        <v>1247</v>
      </c>
      <c r="B1440" s="1047" t="s">
        <v>1271</v>
      </c>
      <c r="C1440" s="671" t="s">
        <v>67</v>
      </c>
      <c r="D1440" s="347">
        <v>8</v>
      </c>
      <c r="E1440" s="69"/>
      <c r="F1440" s="840"/>
      <c r="G1440" s="840">
        <f t="shared" si="110"/>
        <v>45805</v>
      </c>
      <c r="H1440" s="676">
        <f t="shared" si="111"/>
        <v>45837</v>
      </c>
      <c r="I1440" s="784" t="s">
        <v>1273</v>
      </c>
      <c r="J1440" s="1047" t="s">
        <v>39</v>
      </c>
      <c r="K1440" s="1064" t="s">
        <v>147</v>
      </c>
      <c r="L1440" s="279" t="s">
        <v>20</v>
      </c>
      <c r="M1440" s="1093" t="s">
        <v>1276</v>
      </c>
      <c r="N1440" s="1154"/>
      <c r="O1440" s="512"/>
      <c r="P1440" s="512"/>
      <c r="Q1440" s="512"/>
      <c r="R1440" s="512"/>
      <c r="S1440" s="512"/>
      <c r="T1440" s="512"/>
      <c r="U1440" s="512"/>
      <c r="V1440" s="512"/>
      <c r="W1440" s="512"/>
    </row>
    <row r="1441" s="178" customFormat="1" ht="15.4" customHeight="1" spans="1:23">
      <c r="A1441" s="1047" t="s">
        <v>1247</v>
      </c>
      <c r="B1441" s="1047" t="s">
        <v>1271</v>
      </c>
      <c r="C1441" s="671" t="s">
        <v>69</v>
      </c>
      <c r="D1441" s="347">
        <v>23</v>
      </c>
      <c r="E1441" s="69"/>
      <c r="F1441" s="840"/>
      <c r="G1441" s="840">
        <f t="shared" si="110"/>
        <v>45805</v>
      </c>
      <c r="H1441" s="676">
        <f t="shared" si="111"/>
        <v>45837</v>
      </c>
      <c r="I1441" s="784" t="s">
        <v>1273</v>
      </c>
      <c r="J1441" s="1047" t="s">
        <v>39</v>
      </c>
      <c r="K1441" s="1064" t="s">
        <v>147</v>
      </c>
      <c r="L1441" s="279" t="s">
        <v>20</v>
      </c>
      <c r="M1441" s="784"/>
      <c r="N1441" s="1154"/>
      <c r="O1441" s="512"/>
      <c r="P1441" s="512"/>
      <c r="Q1441" s="512"/>
      <c r="R1441" s="512"/>
      <c r="S1441" s="512"/>
      <c r="T1441" s="512"/>
      <c r="U1441" s="512"/>
      <c r="V1441" s="512"/>
      <c r="W1441" s="512"/>
    </row>
    <row r="1442" s="178" customFormat="1" ht="15.4" customHeight="1" spans="1:23">
      <c r="A1442" s="1047" t="s">
        <v>1247</v>
      </c>
      <c r="B1442" s="1047" t="s">
        <v>1271</v>
      </c>
      <c r="C1442" s="671" t="s">
        <v>70</v>
      </c>
      <c r="D1442" s="347">
        <v>40</v>
      </c>
      <c r="E1442" s="69"/>
      <c r="F1442" s="840"/>
      <c r="G1442" s="840">
        <f t="shared" si="110"/>
        <v>45805</v>
      </c>
      <c r="H1442" s="676">
        <f t="shared" si="111"/>
        <v>45837</v>
      </c>
      <c r="I1442" s="784" t="s">
        <v>1273</v>
      </c>
      <c r="J1442" s="1047" t="s">
        <v>39</v>
      </c>
      <c r="K1442" s="1064" t="s">
        <v>147</v>
      </c>
      <c r="L1442" s="279" t="s">
        <v>20</v>
      </c>
      <c r="M1442" s="784"/>
      <c r="N1442" s="1154"/>
      <c r="O1442" s="512"/>
      <c r="P1442" s="512"/>
      <c r="Q1442" s="512"/>
      <c r="R1442" s="512"/>
      <c r="S1442" s="512"/>
      <c r="T1442" s="512"/>
      <c r="U1442" s="512"/>
      <c r="V1442" s="512"/>
      <c r="W1442" s="512"/>
    </row>
    <row r="1443" s="178" customFormat="1" ht="15.4" customHeight="1" spans="1:23">
      <c r="A1443" s="1047" t="s">
        <v>1247</v>
      </c>
      <c r="B1443" s="1047" t="s">
        <v>1271</v>
      </c>
      <c r="C1443" s="671" t="s">
        <v>71</v>
      </c>
      <c r="D1443" s="347">
        <v>40</v>
      </c>
      <c r="E1443" s="69"/>
      <c r="F1443" s="840"/>
      <c r="G1443" s="840">
        <f t="shared" si="110"/>
        <v>45805</v>
      </c>
      <c r="H1443" s="676">
        <f t="shared" si="111"/>
        <v>45837</v>
      </c>
      <c r="I1443" s="784" t="s">
        <v>1273</v>
      </c>
      <c r="J1443" s="1047" t="s">
        <v>39</v>
      </c>
      <c r="K1443" s="1064" t="s">
        <v>147</v>
      </c>
      <c r="L1443" s="279" t="s">
        <v>20</v>
      </c>
      <c r="M1443" s="784"/>
      <c r="N1443" s="1154"/>
      <c r="O1443" s="512"/>
      <c r="P1443" s="512"/>
      <c r="Q1443" s="512"/>
      <c r="R1443" s="512"/>
      <c r="S1443" s="512"/>
      <c r="T1443" s="512"/>
      <c r="U1443" s="512"/>
      <c r="V1443" s="512"/>
      <c r="W1443" s="512"/>
    </row>
    <row r="1444" s="178" customFormat="1" ht="15.4" customHeight="1" spans="1:23">
      <c r="A1444" s="1047" t="s">
        <v>13</v>
      </c>
      <c r="B1444" s="1047" t="s">
        <v>150</v>
      </c>
      <c r="C1444" s="789" t="s">
        <v>151</v>
      </c>
      <c r="D1444" s="1094">
        <f>43-18</f>
        <v>25</v>
      </c>
      <c r="E1444" s="69"/>
      <c r="F1444" s="840"/>
      <c r="G1444" s="840">
        <f t="shared" si="110"/>
        <v>45805</v>
      </c>
      <c r="H1444" s="676">
        <f t="shared" si="111"/>
        <v>45837</v>
      </c>
      <c r="I1444" s="784" t="s">
        <v>1273</v>
      </c>
      <c r="J1444" s="1047" t="s">
        <v>39</v>
      </c>
      <c r="K1444" s="1047" t="s">
        <v>147</v>
      </c>
      <c r="L1444" s="279" t="s">
        <v>20</v>
      </c>
      <c r="M1444" s="1173" t="s">
        <v>1277</v>
      </c>
      <c r="N1444" s="512"/>
      <c r="O1444" s="512"/>
      <c r="P1444" s="512"/>
      <c r="Q1444" s="512"/>
      <c r="R1444" s="512"/>
      <c r="S1444" s="512"/>
      <c r="T1444" s="512"/>
      <c r="U1444" s="512"/>
      <c r="V1444" s="512"/>
      <c r="W1444" s="512"/>
    </row>
    <row r="1445" s="178" customFormat="1" ht="15.4" customHeight="1" spans="1:23">
      <c r="A1445" s="1064" t="s">
        <v>547</v>
      </c>
      <c r="B1445" s="1050" t="s">
        <v>548</v>
      </c>
      <c r="C1445" s="789" t="s">
        <v>549</v>
      </c>
      <c r="D1445" s="356">
        <v>1</v>
      </c>
      <c r="E1445" s="69"/>
      <c r="F1445" s="840"/>
      <c r="G1445" s="840">
        <f t="shared" si="110"/>
        <v>45805</v>
      </c>
      <c r="H1445" s="676">
        <f t="shared" si="111"/>
        <v>45837</v>
      </c>
      <c r="I1445" s="784" t="s">
        <v>1273</v>
      </c>
      <c r="J1445" s="1064" t="s">
        <v>39</v>
      </c>
      <c r="K1445" s="784" t="s">
        <v>147</v>
      </c>
      <c r="L1445" s="279" t="s">
        <v>20</v>
      </c>
      <c r="M1445" s="1174" t="s">
        <v>1278</v>
      </c>
      <c r="N1445" s="512"/>
      <c r="O1445" s="512"/>
      <c r="P1445" s="512"/>
      <c r="Q1445" s="512"/>
      <c r="R1445" s="512"/>
      <c r="S1445" s="512"/>
      <c r="T1445" s="512"/>
      <c r="U1445" s="512"/>
      <c r="V1445" s="512"/>
      <c r="W1445" s="512"/>
    </row>
    <row r="1446" s="178" customFormat="1" ht="15.4" customHeight="1" spans="1:23">
      <c r="A1446" s="1064" t="s">
        <v>547</v>
      </c>
      <c r="B1446" s="1050" t="s">
        <v>548</v>
      </c>
      <c r="C1446" s="789" t="s">
        <v>152</v>
      </c>
      <c r="D1446" s="356">
        <v>12</v>
      </c>
      <c r="E1446" s="69"/>
      <c r="F1446" s="840"/>
      <c r="G1446" s="840">
        <f t="shared" si="110"/>
        <v>45805</v>
      </c>
      <c r="H1446" s="676">
        <f t="shared" si="111"/>
        <v>45837</v>
      </c>
      <c r="I1446" s="784" t="s">
        <v>1273</v>
      </c>
      <c r="J1446" s="1064" t="s">
        <v>39</v>
      </c>
      <c r="K1446" s="784" t="s">
        <v>147</v>
      </c>
      <c r="L1446" s="279" t="s">
        <v>20</v>
      </c>
      <c r="M1446" s="1174" t="s">
        <v>1279</v>
      </c>
      <c r="N1446" s="512"/>
      <c r="O1446" s="512"/>
      <c r="P1446" s="512"/>
      <c r="Q1446" s="512"/>
      <c r="R1446" s="512"/>
      <c r="S1446" s="512"/>
      <c r="T1446" s="512"/>
      <c r="U1446" s="512"/>
      <c r="V1446" s="512"/>
      <c r="W1446" s="512"/>
    </row>
    <row r="1447" s="178" customFormat="1" customHeight="1" spans="1:23">
      <c r="A1447" s="749" t="s">
        <v>308</v>
      </c>
      <c r="B1447" s="794" t="s">
        <v>309</v>
      </c>
      <c r="C1447" s="794" t="s">
        <v>310</v>
      </c>
      <c r="D1447" s="740">
        <v>7</v>
      </c>
      <c r="E1447" s="69"/>
      <c r="F1447" s="840"/>
      <c r="G1447" s="840">
        <f t="shared" si="110"/>
        <v>45805</v>
      </c>
      <c r="H1447" s="676">
        <f t="shared" si="111"/>
        <v>45837</v>
      </c>
      <c r="I1447" s="784" t="s">
        <v>1273</v>
      </c>
      <c r="J1447" s="1115" t="s">
        <v>39</v>
      </c>
      <c r="K1447" s="1115" t="s">
        <v>147</v>
      </c>
      <c r="L1447" s="279" t="s">
        <v>20</v>
      </c>
      <c r="M1447" s="1175"/>
      <c r="N1447" s="1176"/>
      <c r="O1447" s="512"/>
      <c r="P1447" s="512"/>
      <c r="Q1447" s="512"/>
      <c r="R1447" s="512"/>
      <c r="S1447" s="512"/>
      <c r="T1447" s="512"/>
      <c r="U1447" s="512"/>
      <c r="V1447" s="512"/>
      <c r="W1447" s="512"/>
    </row>
    <row r="1448" s="178" customFormat="1" customHeight="1" spans="1:23">
      <c r="A1448" s="749" t="s">
        <v>308</v>
      </c>
      <c r="B1448" s="794" t="s">
        <v>309</v>
      </c>
      <c r="C1448" s="1047" t="s">
        <v>314</v>
      </c>
      <c r="D1448" s="356">
        <v>7</v>
      </c>
      <c r="E1448" s="69"/>
      <c r="F1448" s="840"/>
      <c r="G1448" s="840">
        <f t="shared" si="110"/>
        <v>45805</v>
      </c>
      <c r="H1448" s="676">
        <f t="shared" si="111"/>
        <v>45837</v>
      </c>
      <c r="I1448" s="784" t="s">
        <v>1273</v>
      </c>
      <c r="J1448" s="749" t="s">
        <v>39</v>
      </c>
      <c r="K1448" s="864" t="s">
        <v>147</v>
      </c>
      <c r="L1448" s="279" t="s">
        <v>20</v>
      </c>
      <c r="M1448" s="749"/>
      <c r="N1448" s="1176"/>
      <c r="O1448" s="512"/>
      <c r="P1448" s="512"/>
      <c r="Q1448" s="512"/>
      <c r="R1448" s="512"/>
      <c r="S1448" s="512"/>
      <c r="T1448" s="512"/>
      <c r="U1448" s="512"/>
      <c r="V1448" s="512"/>
      <c r="W1448" s="512"/>
    </row>
    <row r="1449" s="178" customFormat="1" ht="15.4" customHeight="1" spans="1:23">
      <c r="A1449" s="1150" t="s">
        <v>1280</v>
      </c>
      <c r="B1449" s="1151" t="s">
        <v>1281</v>
      </c>
      <c r="C1449" s="701" t="s">
        <v>111</v>
      </c>
      <c r="D1449" s="267">
        <v>71</v>
      </c>
      <c r="E1449" s="1085" t="s">
        <v>1282</v>
      </c>
      <c r="F1449" s="675"/>
      <c r="G1449" s="675">
        <f>VLOOKUP(CLEAN(SUBSTITUTE(TRIM(MID(E:E,FIND("/",E:E)+1,LEN(E:E)))," ","")),'Customs Decl. &amp; Local Delivery'!D:I,6,0)</f>
        <v>45805</v>
      </c>
      <c r="H1449" s="676">
        <f>VLOOKUP(CLEAN(SUBSTITUTE(TRIM(MID(E:E,FIND("/",E:E)+1,LEN(E:E)))," ","")),'Customs Decl. &amp; Local Delivery'!D:J,7,0)</f>
        <v>45837</v>
      </c>
      <c r="I1449" s="784" t="s">
        <v>1283</v>
      </c>
      <c r="J1449" s="1150" t="s">
        <v>39</v>
      </c>
      <c r="K1449" s="1143" t="s">
        <v>107</v>
      </c>
      <c r="L1449" s="279" t="s">
        <v>20</v>
      </c>
      <c r="M1449" s="1143" t="s">
        <v>1284</v>
      </c>
      <c r="N1449" s="512"/>
      <c r="O1449" s="512"/>
      <c r="P1449" s="512"/>
      <c r="Q1449" s="512"/>
      <c r="R1449" s="512"/>
      <c r="S1449" s="512"/>
      <c r="T1449" s="512"/>
      <c r="U1449" s="512"/>
      <c r="V1449" s="512"/>
      <c r="W1449" s="512"/>
    </row>
    <row r="1450" s="178" customFormat="1" ht="15.4" customHeight="1" spans="1:23">
      <c r="A1450" s="1150" t="s">
        <v>1280</v>
      </c>
      <c r="B1450" s="1151" t="s">
        <v>1281</v>
      </c>
      <c r="C1450" s="701" t="s">
        <v>112</v>
      </c>
      <c r="D1450" s="267">
        <v>71</v>
      </c>
      <c r="E1450" s="1113"/>
      <c r="F1450" s="840"/>
      <c r="G1450" s="1163">
        <f t="shared" ref="G1450:G1460" si="112">G1449</f>
        <v>45805</v>
      </c>
      <c r="H1450" s="676">
        <f t="shared" ref="H1450:H1460" si="113">H1449</f>
        <v>45837</v>
      </c>
      <c r="I1450" s="784" t="s">
        <v>1283</v>
      </c>
      <c r="J1450" s="1150" t="s">
        <v>39</v>
      </c>
      <c r="K1450" s="1143" t="s">
        <v>107</v>
      </c>
      <c r="L1450" s="279" t="s">
        <v>20</v>
      </c>
      <c r="M1450" s="1143" t="s">
        <v>1285</v>
      </c>
      <c r="N1450" s="512"/>
      <c r="O1450" s="512"/>
      <c r="P1450" s="512"/>
      <c r="Q1450" s="512"/>
      <c r="R1450" s="512"/>
      <c r="S1450" s="512"/>
      <c r="T1450" s="512"/>
      <c r="U1450" s="512"/>
      <c r="V1450" s="512"/>
      <c r="W1450" s="512"/>
    </row>
    <row r="1451" s="178" customFormat="1" ht="15.4" customHeight="1" spans="1:23">
      <c r="A1451" s="1150" t="s">
        <v>1280</v>
      </c>
      <c r="B1451" s="1151" t="s">
        <v>1281</v>
      </c>
      <c r="C1451" s="701" t="s">
        <v>114</v>
      </c>
      <c r="D1451" s="267">
        <v>21</v>
      </c>
      <c r="E1451" s="1113"/>
      <c r="F1451" s="840"/>
      <c r="G1451" s="1163">
        <f t="shared" si="112"/>
        <v>45805</v>
      </c>
      <c r="H1451" s="676">
        <f t="shared" si="113"/>
        <v>45837</v>
      </c>
      <c r="I1451" s="784" t="s">
        <v>1283</v>
      </c>
      <c r="J1451" s="1150" t="s">
        <v>39</v>
      </c>
      <c r="K1451" s="1143" t="s">
        <v>107</v>
      </c>
      <c r="L1451" s="279" t="s">
        <v>20</v>
      </c>
      <c r="M1451" s="1143" t="s">
        <v>1286</v>
      </c>
      <c r="N1451" s="512"/>
      <c r="O1451" s="512"/>
      <c r="P1451" s="512"/>
      <c r="Q1451" s="512"/>
      <c r="R1451" s="512"/>
      <c r="S1451" s="512"/>
      <c r="T1451" s="512"/>
      <c r="U1451" s="512"/>
      <c r="V1451" s="512"/>
      <c r="W1451" s="512"/>
    </row>
    <row r="1452" s="178" customFormat="1" ht="15.4" customHeight="1" spans="1:23">
      <c r="A1452" s="1150" t="s">
        <v>1280</v>
      </c>
      <c r="B1452" s="1151" t="s">
        <v>1281</v>
      </c>
      <c r="C1452" s="701" t="s">
        <v>115</v>
      </c>
      <c r="D1452" s="267">
        <v>21</v>
      </c>
      <c r="E1452" s="1113"/>
      <c r="F1452" s="840"/>
      <c r="G1452" s="1163">
        <f t="shared" si="112"/>
        <v>45805</v>
      </c>
      <c r="H1452" s="676">
        <f t="shared" si="113"/>
        <v>45837</v>
      </c>
      <c r="I1452" s="784" t="s">
        <v>1283</v>
      </c>
      <c r="J1452" s="1150" t="s">
        <v>39</v>
      </c>
      <c r="K1452" s="1143" t="s">
        <v>107</v>
      </c>
      <c r="L1452" s="279" t="s">
        <v>20</v>
      </c>
      <c r="M1452" s="1143" t="s">
        <v>1287</v>
      </c>
      <c r="N1452" s="512"/>
      <c r="O1452" s="512"/>
      <c r="P1452" s="512"/>
      <c r="Q1452" s="512"/>
      <c r="R1452" s="512"/>
      <c r="S1452" s="512"/>
      <c r="T1452" s="512"/>
      <c r="U1452" s="512"/>
      <c r="V1452" s="512"/>
      <c r="W1452" s="512"/>
    </row>
    <row r="1453" s="178" customFormat="1" ht="15.4" customHeight="1" spans="1:23">
      <c r="A1453" s="1150" t="s">
        <v>1280</v>
      </c>
      <c r="B1453" s="1151" t="s">
        <v>1281</v>
      </c>
      <c r="C1453" s="701" t="s">
        <v>116</v>
      </c>
      <c r="D1453" s="267">
        <v>36</v>
      </c>
      <c r="E1453" s="1113"/>
      <c r="F1453" s="840"/>
      <c r="G1453" s="1163">
        <f t="shared" si="112"/>
        <v>45805</v>
      </c>
      <c r="H1453" s="676">
        <f t="shared" si="113"/>
        <v>45837</v>
      </c>
      <c r="I1453" s="784" t="s">
        <v>1283</v>
      </c>
      <c r="J1453" s="1150" t="s">
        <v>39</v>
      </c>
      <c r="K1453" s="1143" t="s">
        <v>107</v>
      </c>
      <c r="L1453" s="279" t="s">
        <v>20</v>
      </c>
      <c r="M1453" s="602" t="s">
        <v>1288</v>
      </c>
      <c r="N1453" s="512"/>
      <c r="O1453" s="512"/>
      <c r="P1453" s="512"/>
      <c r="Q1453" s="512"/>
      <c r="R1453" s="512"/>
      <c r="S1453" s="512"/>
      <c r="T1453" s="512"/>
      <c r="U1453" s="512"/>
      <c r="V1453" s="512"/>
      <c r="W1453" s="512"/>
    </row>
    <row r="1454" s="178" customFormat="1" ht="15.4" customHeight="1" spans="1:23">
      <c r="A1454" s="1150" t="s">
        <v>1280</v>
      </c>
      <c r="B1454" s="1151" t="s">
        <v>1281</v>
      </c>
      <c r="C1454" s="701" t="s">
        <v>117</v>
      </c>
      <c r="D1454" s="267">
        <v>36</v>
      </c>
      <c r="E1454" s="1113"/>
      <c r="F1454" s="840"/>
      <c r="G1454" s="1163">
        <f t="shared" si="112"/>
        <v>45805</v>
      </c>
      <c r="H1454" s="676">
        <f t="shared" si="113"/>
        <v>45837</v>
      </c>
      <c r="I1454" s="784" t="s">
        <v>1283</v>
      </c>
      <c r="J1454" s="1150" t="s">
        <v>39</v>
      </c>
      <c r="K1454" s="1143" t="s">
        <v>107</v>
      </c>
      <c r="L1454" s="279" t="s">
        <v>20</v>
      </c>
      <c r="M1454" s="1143"/>
      <c r="N1454" s="512"/>
      <c r="O1454" s="512"/>
      <c r="P1454" s="512"/>
      <c r="Q1454" s="512"/>
      <c r="R1454" s="512"/>
      <c r="S1454" s="512"/>
      <c r="T1454" s="512"/>
      <c r="U1454" s="512"/>
      <c r="V1454" s="512"/>
      <c r="W1454" s="512"/>
    </row>
    <row r="1455" s="178" customFormat="1" ht="15.4" customHeight="1" spans="1:23">
      <c r="A1455" s="1150" t="s">
        <v>1280</v>
      </c>
      <c r="B1455" s="1151" t="s">
        <v>1281</v>
      </c>
      <c r="C1455" s="701" t="s">
        <v>118</v>
      </c>
      <c r="D1455" s="267">
        <v>26</v>
      </c>
      <c r="E1455" s="1113"/>
      <c r="F1455" s="840"/>
      <c r="G1455" s="1163">
        <f t="shared" si="112"/>
        <v>45805</v>
      </c>
      <c r="H1455" s="676">
        <f t="shared" si="113"/>
        <v>45837</v>
      </c>
      <c r="I1455" s="784" t="s">
        <v>1283</v>
      </c>
      <c r="J1455" s="1150" t="s">
        <v>39</v>
      </c>
      <c r="K1455" s="1143" t="s">
        <v>107</v>
      </c>
      <c r="L1455" s="279" t="s">
        <v>20</v>
      </c>
      <c r="M1455" s="1143"/>
      <c r="N1455" s="512"/>
      <c r="O1455" s="512"/>
      <c r="P1455" s="512"/>
      <c r="Q1455" s="512"/>
      <c r="R1455" s="512"/>
      <c r="S1455" s="512"/>
      <c r="T1455" s="512"/>
      <c r="U1455" s="512"/>
      <c r="V1455" s="512"/>
      <c r="W1455" s="512"/>
    </row>
    <row r="1456" s="178" customFormat="1" ht="15.4" customHeight="1" spans="1:23">
      <c r="A1456" s="1150" t="s">
        <v>1280</v>
      </c>
      <c r="B1456" s="1151" t="s">
        <v>1281</v>
      </c>
      <c r="C1456" s="701" t="s">
        <v>119</v>
      </c>
      <c r="D1456" s="267">
        <v>26</v>
      </c>
      <c r="E1456" s="1113"/>
      <c r="F1456" s="840"/>
      <c r="G1456" s="1163">
        <f t="shared" si="112"/>
        <v>45805</v>
      </c>
      <c r="H1456" s="676">
        <f t="shared" si="113"/>
        <v>45837</v>
      </c>
      <c r="I1456" s="784" t="s">
        <v>1283</v>
      </c>
      <c r="J1456" s="1150" t="s">
        <v>39</v>
      </c>
      <c r="K1456" s="1143" t="s">
        <v>107</v>
      </c>
      <c r="L1456" s="279" t="s">
        <v>20</v>
      </c>
      <c r="M1456" s="1143"/>
      <c r="N1456" s="512"/>
      <c r="O1456" s="512"/>
      <c r="P1456" s="512"/>
      <c r="Q1456" s="512"/>
      <c r="R1456" s="512"/>
      <c r="S1456" s="512"/>
      <c r="T1456" s="512"/>
      <c r="U1456" s="512"/>
      <c r="V1456" s="512"/>
      <c r="W1456" s="512"/>
    </row>
    <row r="1457" s="178" customFormat="1" ht="15.4" customHeight="1" spans="1:23">
      <c r="A1457" s="1150" t="s">
        <v>1280</v>
      </c>
      <c r="B1457" s="1151" t="s">
        <v>1281</v>
      </c>
      <c r="C1457" s="701" t="s">
        <v>120</v>
      </c>
      <c r="D1457" s="267">
        <v>6</v>
      </c>
      <c r="E1457" s="1113"/>
      <c r="F1457" s="840"/>
      <c r="G1457" s="1163">
        <f t="shared" si="112"/>
        <v>45805</v>
      </c>
      <c r="H1457" s="676">
        <f t="shared" si="113"/>
        <v>45837</v>
      </c>
      <c r="I1457" s="784" t="s">
        <v>1283</v>
      </c>
      <c r="J1457" s="1150" t="s">
        <v>39</v>
      </c>
      <c r="K1457" s="1143" t="s">
        <v>107</v>
      </c>
      <c r="L1457" s="279" t="s">
        <v>20</v>
      </c>
      <c r="M1457" s="1143"/>
      <c r="N1457" s="512"/>
      <c r="O1457" s="512"/>
      <c r="P1457" s="512"/>
      <c r="Q1457" s="512"/>
      <c r="R1457" s="512"/>
      <c r="S1457" s="512"/>
      <c r="T1457" s="512"/>
      <c r="U1457" s="512"/>
      <c r="V1457" s="512"/>
      <c r="W1457" s="512"/>
    </row>
    <row r="1458" s="178" customFormat="1" ht="15.4" customHeight="1" spans="1:23">
      <c r="A1458" s="1150" t="s">
        <v>1280</v>
      </c>
      <c r="B1458" s="1151" t="s">
        <v>1281</v>
      </c>
      <c r="C1458" s="701" t="s">
        <v>121</v>
      </c>
      <c r="D1458" s="267">
        <v>6</v>
      </c>
      <c r="E1458" s="1113"/>
      <c r="F1458" s="840"/>
      <c r="G1458" s="1163">
        <f t="shared" si="112"/>
        <v>45805</v>
      </c>
      <c r="H1458" s="676">
        <f t="shared" si="113"/>
        <v>45837</v>
      </c>
      <c r="I1458" s="784" t="s">
        <v>1283</v>
      </c>
      <c r="J1458" s="1150" t="s">
        <v>39</v>
      </c>
      <c r="K1458" s="1143" t="s">
        <v>107</v>
      </c>
      <c r="L1458" s="279" t="s">
        <v>20</v>
      </c>
      <c r="M1458" s="1143"/>
      <c r="N1458" s="512"/>
      <c r="O1458" s="512"/>
      <c r="P1458" s="512"/>
      <c r="Q1458" s="512"/>
      <c r="R1458" s="512"/>
      <c r="S1458" s="512"/>
      <c r="T1458" s="512"/>
      <c r="U1458" s="512"/>
      <c r="V1458" s="512"/>
      <c r="W1458" s="512"/>
    </row>
    <row r="1459" s="178" customFormat="1" ht="15.4" customHeight="1" spans="1:23">
      <c r="A1459" s="784" t="s">
        <v>308</v>
      </c>
      <c r="B1459" s="1047" t="s">
        <v>309</v>
      </c>
      <c r="C1459" s="1047" t="s">
        <v>744</v>
      </c>
      <c r="D1459" s="356">
        <v>5</v>
      </c>
      <c r="E1459" s="1113"/>
      <c r="F1459" s="840"/>
      <c r="G1459" s="1163">
        <f t="shared" si="112"/>
        <v>45805</v>
      </c>
      <c r="H1459" s="676">
        <f t="shared" si="113"/>
        <v>45837</v>
      </c>
      <c r="I1459" s="784" t="s">
        <v>1283</v>
      </c>
      <c r="J1459" s="1150" t="s">
        <v>39</v>
      </c>
      <c r="K1459" s="1143" t="s">
        <v>107</v>
      </c>
      <c r="L1459" s="279" t="s">
        <v>20</v>
      </c>
      <c r="M1459" s="1058" t="s">
        <v>745</v>
      </c>
      <c r="N1459" s="512"/>
      <c r="O1459" s="512"/>
      <c r="P1459" s="512"/>
      <c r="Q1459" s="512"/>
      <c r="R1459" s="512"/>
      <c r="S1459" s="512"/>
      <c r="T1459" s="512"/>
      <c r="U1459" s="512"/>
      <c r="V1459" s="512"/>
      <c r="W1459" s="512"/>
    </row>
    <row r="1460" s="178" customFormat="1" ht="15.4" customHeight="1" spans="1:23">
      <c r="A1460" s="784" t="s">
        <v>308</v>
      </c>
      <c r="B1460" s="1047" t="s">
        <v>309</v>
      </c>
      <c r="C1460" s="1047" t="s">
        <v>746</v>
      </c>
      <c r="D1460" s="356">
        <v>5</v>
      </c>
      <c r="E1460" s="1113"/>
      <c r="F1460" s="840"/>
      <c r="G1460" s="1163">
        <f t="shared" si="112"/>
        <v>45805</v>
      </c>
      <c r="H1460" s="676">
        <f t="shared" si="113"/>
        <v>45837</v>
      </c>
      <c r="I1460" s="784" t="s">
        <v>1283</v>
      </c>
      <c r="J1460" s="1150" t="s">
        <v>39</v>
      </c>
      <c r="K1460" s="1143" t="s">
        <v>107</v>
      </c>
      <c r="L1460" s="279" t="s">
        <v>20</v>
      </c>
      <c r="M1460" s="1058" t="s">
        <v>747</v>
      </c>
      <c r="N1460" s="512"/>
      <c r="O1460" s="512"/>
      <c r="P1460" s="512"/>
      <c r="Q1460" s="512"/>
      <c r="R1460" s="512"/>
      <c r="S1460" s="512"/>
      <c r="T1460" s="512"/>
      <c r="U1460" s="512"/>
      <c r="V1460" s="512"/>
      <c r="W1460" s="512"/>
    </row>
    <row r="1461" s="178" customFormat="1" ht="15.4" customHeight="1" spans="1:23">
      <c r="A1461" s="1053" t="s">
        <v>910</v>
      </c>
      <c r="B1461" s="1099" t="s">
        <v>1003</v>
      </c>
      <c r="C1461" s="1048" t="s">
        <v>70</v>
      </c>
      <c r="D1461" s="240">
        <f>140-134</f>
        <v>6</v>
      </c>
      <c r="E1461" s="1055" t="s">
        <v>1289</v>
      </c>
      <c r="F1461" s="675"/>
      <c r="G1461" s="675">
        <f>VLOOKUP(CLEAN(SUBSTITUTE(TRIM(MID(E:E,FIND("/",E:E)+1,LEN(E:E)))," ","")),'Customs Decl. &amp; Local Delivery'!D:I,6,0)</f>
        <v>45806</v>
      </c>
      <c r="H1461" s="676">
        <f>VLOOKUP(CLEAN(SUBSTITUTE(TRIM(MID(E:E,FIND("/",E:E)+1,LEN(E:E)))," ","")),'Customs Decl. &amp; Local Delivery'!D:J,7,0)</f>
        <v>45826</v>
      </c>
      <c r="I1461" s="1053" t="s">
        <v>1290</v>
      </c>
      <c r="J1461" s="1053" t="s">
        <v>18</v>
      </c>
      <c r="K1461" s="1053" t="s">
        <v>147</v>
      </c>
      <c r="L1461" s="279" t="s">
        <v>20</v>
      </c>
      <c r="M1461" s="1143" t="s">
        <v>1291</v>
      </c>
      <c r="N1461" s="512"/>
      <c r="O1461" s="512"/>
      <c r="P1461" s="512"/>
      <c r="Q1461" s="512"/>
      <c r="R1461" s="512"/>
      <c r="S1461" s="512"/>
      <c r="T1461" s="512"/>
      <c r="U1461" s="512"/>
      <c r="V1461" s="512"/>
      <c r="W1461" s="512"/>
    </row>
    <row r="1462" s="178" customFormat="1" ht="15.4" customHeight="1" spans="1:23">
      <c r="A1462" s="1053" t="s">
        <v>910</v>
      </c>
      <c r="B1462" s="1099" t="s">
        <v>1003</v>
      </c>
      <c r="C1462" s="1048" t="s">
        <v>71</v>
      </c>
      <c r="D1462" s="240">
        <f>140-134</f>
        <v>6</v>
      </c>
      <c r="E1462" s="69"/>
      <c r="F1462" s="840"/>
      <c r="G1462" s="840">
        <f>G1461</f>
        <v>45806</v>
      </c>
      <c r="H1462" s="676">
        <f>H1461</f>
        <v>45826</v>
      </c>
      <c r="I1462" s="1053" t="s">
        <v>1290</v>
      </c>
      <c r="J1462" s="1053" t="s">
        <v>18</v>
      </c>
      <c r="K1462" s="1053" t="s">
        <v>147</v>
      </c>
      <c r="L1462" s="279" t="s">
        <v>20</v>
      </c>
      <c r="M1462" s="1143" t="s">
        <v>1292</v>
      </c>
      <c r="N1462" s="512"/>
      <c r="O1462" s="512"/>
      <c r="P1462" s="512"/>
      <c r="Q1462" s="512"/>
      <c r="R1462" s="512"/>
      <c r="S1462" s="512"/>
      <c r="T1462" s="512"/>
      <c r="U1462" s="512"/>
      <c r="V1462" s="512"/>
      <c r="W1462" s="512"/>
    </row>
    <row r="1463" customFormat="1" ht="15.4" customHeight="1" spans="1:23">
      <c r="A1463" s="1053" t="s">
        <v>910</v>
      </c>
      <c r="B1463" s="1099" t="s">
        <v>1140</v>
      </c>
      <c r="C1463" s="1048" t="s">
        <v>133</v>
      </c>
      <c r="D1463" s="240">
        <f>100-98</f>
        <v>2</v>
      </c>
      <c r="E1463" s="69"/>
      <c r="F1463" s="840"/>
      <c r="G1463" s="840">
        <f>G1462</f>
        <v>45806</v>
      </c>
      <c r="H1463" s="676">
        <f>H1462</f>
        <v>45826</v>
      </c>
      <c r="I1463" s="1053" t="s">
        <v>1290</v>
      </c>
      <c r="J1463" s="1053" t="s">
        <v>18</v>
      </c>
      <c r="K1463" s="1053" t="s">
        <v>147</v>
      </c>
      <c r="L1463" s="279" t="s">
        <v>20</v>
      </c>
      <c r="M1463" s="1053" t="s">
        <v>1293</v>
      </c>
      <c r="N1463" s="512"/>
      <c r="O1463" s="512"/>
      <c r="P1463" s="512"/>
      <c r="Q1463" s="512"/>
      <c r="R1463" s="512"/>
      <c r="S1463" s="512"/>
      <c r="T1463" s="512"/>
      <c r="U1463" s="512"/>
      <c r="V1463" s="512"/>
      <c r="W1463" s="512"/>
    </row>
    <row r="1464" ht="15.4" customHeight="1" spans="1:23">
      <c r="A1464" s="864" t="s">
        <v>1294</v>
      </c>
      <c r="B1464" s="1047" t="s">
        <v>1295</v>
      </c>
      <c r="C1464" s="1164" t="s">
        <v>15</v>
      </c>
      <c r="D1464" s="1165">
        <v>2</v>
      </c>
      <c r="E1464" s="1166" t="s">
        <v>519</v>
      </c>
      <c r="F1464" s="840"/>
      <c r="G1464" s="840">
        <v>45812</v>
      </c>
      <c r="H1464" s="1167">
        <v>45812</v>
      </c>
      <c r="I1464" s="784" t="s">
        <v>1296</v>
      </c>
      <c r="J1464" s="1064" t="s">
        <v>521</v>
      </c>
      <c r="K1464" s="1064" t="s">
        <v>1297</v>
      </c>
      <c r="L1464" s="240" t="s">
        <v>20</v>
      </c>
      <c r="M1464" s="784" t="s">
        <v>1298</v>
      </c>
      <c r="N1464" s="512"/>
      <c r="O1464" s="1154"/>
      <c r="P1464" s="1154"/>
      <c r="Q1464" s="1154"/>
      <c r="R1464" s="1154"/>
      <c r="S1464" s="1154"/>
      <c r="T1464" s="1154"/>
      <c r="U1464" s="1154"/>
      <c r="V1464" s="1154"/>
      <c r="W1464" s="1154"/>
    </row>
    <row r="1465" ht="15.4" customHeight="1" spans="1:23">
      <c r="A1465" s="864" t="s">
        <v>1294</v>
      </c>
      <c r="B1465" s="1047" t="s">
        <v>1295</v>
      </c>
      <c r="C1465" s="1164" t="s">
        <v>22</v>
      </c>
      <c r="D1465" s="1165">
        <v>2</v>
      </c>
      <c r="E1465" s="69"/>
      <c r="F1465" s="840"/>
      <c r="G1465" s="840">
        <v>45812</v>
      </c>
      <c r="H1465" s="1167">
        <v>45812</v>
      </c>
      <c r="I1465" s="784" t="s">
        <v>1296</v>
      </c>
      <c r="J1465" s="1084" t="s">
        <v>521</v>
      </c>
      <c r="K1465" s="1064" t="s">
        <v>1297</v>
      </c>
      <c r="L1465" s="240" t="s">
        <v>20</v>
      </c>
      <c r="M1465" s="784" t="s">
        <v>1298</v>
      </c>
      <c r="N1465" s="512"/>
      <c r="O1465" s="1154"/>
      <c r="P1465" s="1154"/>
      <c r="Q1465" s="1154"/>
      <c r="R1465" s="1154"/>
      <c r="S1465" s="1154"/>
      <c r="T1465" s="1154"/>
      <c r="U1465" s="1154"/>
      <c r="V1465" s="1154"/>
      <c r="W1465" s="1154"/>
    </row>
    <row r="1466" s="178" customFormat="1" ht="15.4" customHeight="1" spans="1:23">
      <c r="A1466" s="1053" t="s">
        <v>910</v>
      </c>
      <c r="B1466" s="1099" t="s">
        <v>1299</v>
      </c>
      <c r="C1466" s="1089" t="s">
        <v>77</v>
      </c>
      <c r="D1466" s="266">
        <v>48</v>
      </c>
      <c r="E1466" s="1085" t="s">
        <v>1300</v>
      </c>
      <c r="F1466" s="675"/>
      <c r="G1466" s="675">
        <f>VLOOKUP(CLEAN(SUBSTITUTE(TRIM(MID(E:E,FIND("/",E:E)+1,LEN(E:E)))," ","")),'Customs Decl. &amp; Local Delivery'!D:I,6,0)</f>
        <v>45814</v>
      </c>
      <c r="H1466" s="676">
        <f>VLOOKUP(CLEAN(SUBSTITUTE(TRIM(MID(E:E,FIND("/",E:E)+1,LEN(E:E)))," ","")),'Customs Decl. &amp; Local Delivery'!D:J,7,0)</f>
        <v>45835</v>
      </c>
      <c r="I1466" s="1053" t="s">
        <v>1301</v>
      </c>
      <c r="J1466" s="1053" t="s">
        <v>18</v>
      </c>
      <c r="K1466" s="1053" t="s">
        <v>147</v>
      </c>
      <c r="L1466" s="279" t="s">
        <v>20</v>
      </c>
      <c r="M1466" s="672" t="s">
        <v>1302</v>
      </c>
      <c r="N1466" s="512"/>
      <c r="O1466" s="512"/>
      <c r="P1466" s="512"/>
      <c r="Q1466" s="512"/>
      <c r="R1466" s="512"/>
      <c r="S1466" s="512"/>
      <c r="T1466" s="512"/>
      <c r="U1466" s="512"/>
      <c r="V1466" s="512"/>
      <c r="W1466" s="512"/>
    </row>
    <row r="1467" s="178" customFormat="1" ht="15.4" customHeight="1" spans="1:23">
      <c r="A1467" s="1053" t="s">
        <v>910</v>
      </c>
      <c r="B1467" s="1099" t="s">
        <v>1299</v>
      </c>
      <c r="C1467" s="1089" t="s">
        <v>15</v>
      </c>
      <c r="D1467" s="266">
        <v>60</v>
      </c>
      <c r="E1467" s="1127"/>
      <c r="F1467" s="840"/>
      <c r="G1467" s="840">
        <f>G1466</f>
        <v>45814</v>
      </c>
      <c r="H1467" s="713">
        <f>H1466</f>
        <v>45835</v>
      </c>
      <c r="I1467" s="1053" t="s">
        <v>1301</v>
      </c>
      <c r="J1467" s="1053" t="s">
        <v>18</v>
      </c>
      <c r="K1467" s="1053" t="s">
        <v>147</v>
      </c>
      <c r="L1467" s="279" t="s">
        <v>20</v>
      </c>
      <c r="M1467" s="1093"/>
      <c r="N1467" s="512"/>
      <c r="O1467" s="512"/>
      <c r="P1467" s="512"/>
      <c r="Q1467" s="512"/>
      <c r="R1467" s="512"/>
      <c r="S1467" s="512"/>
      <c r="T1467" s="512"/>
      <c r="U1467" s="512"/>
      <c r="V1467" s="512"/>
      <c r="W1467" s="512"/>
    </row>
    <row r="1468" s="178" customFormat="1" ht="15.4" customHeight="1" spans="1:23">
      <c r="A1468" s="1053" t="s">
        <v>910</v>
      </c>
      <c r="B1468" s="1099" t="s">
        <v>1299</v>
      </c>
      <c r="C1468" s="1089" t="s">
        <v>24</v>
      </c>
      <c r="D1468" s="266">
        <v>10</v>
      </c>
      <c r="E1468" s="1127"/>
      <c r="F1468" s="840"/>
      <c r="G1468" s="840">
        <f>G1467</f>
        <v>45814</v>
      </c>
      <c r="H1468" s="713">
        <f>H1467</f>
        <v>45835</v>
      </c>
      <c r="I1468" s="1053" t="s">
        <v>1301</v>
      </c>
      <c r="J1468" s="1053" t="s">
        <v>18</v>
      </c>
      <c r="K1468" s="1053" t="s">
        <v>147</v>
      </c>
      <c r="L1468" s="279" t="s">
        <v>20</v>
      </c>
      <c r="M1468" s="1053"/>
      <c r="N1468" s="512"/>
      <c r="O1468" s="512"/>
      <c r="P1468" s="512"/>
      <c r="Q1468" s="512"/>
      <c r="R1468" s="512"/>
      <c r="S1468" s="512"/>
      <c r="T1468" s="512"/>
      <c r="U1468" s="512"/>
      <c r="V1468" s="512"/>
      <c r="W1468" s="512"/>
    </row>
    <row r="1469" s="178" customFormat="1" ht="15.4" customHeight="1" spans="1:23">
      <c r="A1469" s="1053" t="s">
        <v>910</v>
      </c>
      <c r="B1469" s="1099" t="s">
        <v>1299</v>
      </c>
      <c r="C1469" s="1089" t="s">
        <v>27</v>
      </c>
      <c r="D1469" s="266">
        <v>100</v>
      </c>
      <c r="E1469" s="1127"/>
      <c r="F1469" s="840"/>
      <c r="G1469" s="840">
        <f>G1468</f>
        <v>45814</v>
      </c>
      <c r="H1469" s="713">
        <f>H1468</f>
        <v>45835</v>
      </c>
      <c r="I1469" s="1053" t="s">
        <v>1301</v>
      </c>
      <c r="J1469" s="1053" t="s">
        <v>18</v>
      </c>
      <c r="K1469" s="1053" t="s">
        <v>147</v>
      </c>
      <c r="L1469" s="279" t="s">
        <v>20</v>
      </c>
      <c r="M1469" s="1053"/>
      <c r="N1469" s="512"/>
      <c r="O1469" s="512"/>
      <c r="P1469" s="512"/>
      <c r="Q1469" s="512"/>
      <c r="R1469" s="512"/>
      <c r="S1469" s="512"/>
      <c r="T1469" s="512"/>
      <c r="U1469" s="512"/>
      <c r="V1469" s="512"/>
      <c r="W1469" s="512"/>
    </row>
    <row r="1470" s="178" customFormat="1" ht="15.4" customHeight="1" spans="1:23">
      <c r="A1470" s="1053" t="s">
        <v>910</v>
      </c>
      <c r="B1470" s="1099" t="s">
        <v>1299</v>
      </c>
      <c r="C1470" s="1168" t="s">
        <v>67</v>
      </c>
      <c r="D1470" s="1169">
        <v>50</v>
      </c>
      <c r="E1470" s="1127"/>
      <c r="F1470" s="840"/>
      <c r="G1470" s="840">
        <f>G1469</f>
        <v>45814</v>
      </c>
      <c r="H1470" s="713">
        <f>H1469</f>
        <v>45835</v>
      </c>
      <c r="I1470" s="1053" t="s">
        <v>1301</v>
      </c>
      <c r="J1470" s="1053" t="s">
        <v>18</v>
      </c>
      <c r="K1470" s="1053" t="s">
        <v>147</v>
      </c>
      <c r="L1470" s="279" t="s">
        <v>20</v>
      </c>
      <c r="M1470" s="1053"/>
      <c r="N1470" s="512"/>
      <c r="O1470" s="512"/>
      <c r="P1470" s="512"/>
      <c r="Q1470" s="512"/>
      <c r="R1470" s="512"/>
      <c r="S1470" s="512"/>
      <c r="T1470" s="512"/>
      <c r="U1470" s="512"/>
      <c r="V1470" s="512"/>
      <c r="W1470" s="512"/>
    </row>
    <row r="1471" s="178" customFormat="1" ht="15.4" customHeight="1" spans="1:23">
      <c r="A1471" s="1053" t="s">
        <v>910</v>
      </c>
      <c r="B1471" s="1099" t="s">
        <v>1303</v>
      </c>
      <c r="C1471" s="1089" t="s">
        <v>77</v>
      </c>
      <c r="D1471" s="266">
        <v>48</v>
      </c>
      <c r="E1471" s="1085" t="s">
        <v>1304</v>
      </c>
      <c r="F1471" s="675"/>
      <c r="G1471" s="675">
        <f>VLOOKUP(CLEAN(SUBSTITUTE(TRIM(MID(E:E,FIND("/",E:E)+1,LEN(E:E)))," ","")),'Customs Decl. &amp; Local Delivery'!D:I,6,0)</f>
        <v>45814</v>
      </c>
      <c r="H1471" s="676">
        <f>VLOOKUP(CLEAN(SUBSTITUTE(TRIM(MID(E:E,FIND("/",E:E)+1,LEN(E:E)))," ","")),'Customs Decl. &amp; Local Delivery'!D:J,7,0)</f>
        <v>45835</v>
      </c>
      <c r="I1471" s="1053" t="s">
        <v>1305</v>
      </c>
      <c r="J1471" s="1053" t="s">
        <v>18</v>
      </c>
      <c r="K1471" s="1053" t="s">
        <v>147</v>
      </c>
      <c r="L1471" s="279" t="s">
        <v>20</v>
      </c>
      <c r="M1471" s="672" t="s">
        <v>1306</v>
      </c>
      <c r="N1471" s="512"/>
      <c r="O1471" s="512"/>
      <c r="P1471" s="512"/>
      <c r="Q1471" s="512"/>
      <c r="R1471" s="512"/>
      <c r="S1471" s="512"/>
      <c r="T1471" s="512"/>
      <c r="U1471" s="512"/>
      <c r="V1471" s="512"/>
      <c r="W1471" s="512"/>
    </row>
    <row r="1472" s="178" customFormat="1" ht="15.4" customHeight="1" spans="1:23">
      <c r="A1472" s="1053" t="s">
        <v>910</v>
      </c>
      <c r="B1472" s="1099" t="s">
        <v>1303</v>
      </c>
      <c r="C1472" s="1089" t="s">
        <v>15</v>
      </c>
      <c r="D1472" s="266">
        <v>12</v>
      </c>
      <c r="E1472" s="1127"/>
      <c r="F1472" s="840"/>
      <c r="G1472" s="840">
        <f>G1471</f>
        <v>45814</v>
      </c>
      <c r="H1472" s="713">
        <f>H1471</f>
        <v>45835</v>
      </c>
      <c r="I1472" s="1053" t="s">
        <v>1305</v>
      </c>
      <c r="J1472" s="1053" t="s">
        <v>18</v>
      </c>
      <c r="K1472" s="1053" t="s">
        <v>147</v>
      </c>
      <c r="L1472" s="279" t="s">
        <v>20</v>
      </c>
      <c r="M1472" s="1093"/>
      <c r="N1472" s="512"/>
      <c r="O1472" s="512"/>
      <c r="P1472" s="512"/>
      <c r="Q1472" s="512"/>
      <c r="R1472" s="512"/>
      <c r="S1472" s="512"/>
      <c r="T1472" s="512"/>
      <c r="U1472" s="512"/>
      <c r="V1472" s="512"/>
      <c r="W1472" s="512"/>
    </row>
    <row r="1473" s="178" customFormat="1" ht="15.4" customHeight="1" spans="1:23">
      <c r="A1473" s="1053" t="s">
        <v>910</v>
      </c>
      <c r="B1473" s="1099" t="s">
        <v>1303</v>
      </c>
      <c r="C1473" s="1089" t="s">
        <v>24</v>
      </c>
      <c r="D1473" s="266">
        <v>100</v>
      </c>
      <c r="E1473" s="1127"/>
      <c r="F1473" s="840"/>
      <c r="G1473" s="840">
        <f>G1472</f>
        <v>45814</v>
      </c>
      <c r="H1473" s="713">
        <f>H1472</f>
        <v>45835</v>
      </c>
      <c r="I1473" s="1053" t="s">
        <v>1305</v>
      </c>
      <c r="J1473" s="1053" t="s">
        <v>18</v>
      </c>
      <c r="K1473" s="1053" t="s">
        <v>147</v>
      </c>
      <c r="L1473" s="279" t="s">
        <v>20</v>
      </c>
      <c r="M1473" s="1053"/>
      <c r="N1473" s="512"/>
      <c r="O1473" s="512"/>
      <c r="P1473" s="512"/>
      <c r="Q1473" s="512"/>
      <c r="R1473" s="512"/>
      <c r="S1473" s="512"/>
      <c r="T1473" s="512"/>
      <c r="U1473" s="512"/>
      <c r="V1473" s="512"/>
      <c r="W1473" s="512"/>
    </row>
    <row r="1474" s="178" customFormat="1" ht="15.4" customHeight="1" spans="1:23">
      <c r="A1474" s="1053" t="s">
        <v>910</v>
      </c>
      <c r="B1474" s="1099" t="s">
        <v>1303</v>
      </c>
      <c r="C1474" s="1089" t="s">
        <v>27</v>
      </c>
      <c r="D1474" s="266">
        <v>30</v>
      </c>
      <c r="E1474" s="1127"/>
      <c r="F1474" s="840"/>
      <c r="G1474" s="840">
        <f>G1473</f>
        <v>45814</v>
      </c>
      <c r="H1474" s="713">
        <f>H1473</f>
        <v>45835</v>
      </c>
      <c r="I1474" s="1053" t="s">
        <v>1305</v>
      </c>
      <c r="J1474" s="1053" t="s">
        <v>18</v>
      </c>
      <c r="K1474" s="1053" t="s">
        <v>147</v>
      </c>
      <c r="L1474" s="279" t="s">
        <v>20</v>
      </c>
      <c r="M1474" s="1053"/>
      <c r="N1474" s="512"/>
      <c r="O1474" s="512"/>
      <c r="P1474" s="512"/>
      <c r="Q1474" s="512"/>
      <c r="R1474" s="512"/>
      <c r="S1474" s="512"/>
      <c r="T1474" s="512"/>
      <c r="U1474" s="512"/>
      <c r="V1474" s="512"/>
      <c r="W1474" s="512"/>
    </row>
    <row r="1475" s="178" customFormat="1" ht="15.4" customHeight="1" spans="1:23">
      <c r="A1475" s="1053" t="s">
        <v>910</v>
      </c>
      <c r="B1475" s="1099" t="s">
        <v>1303</v>
      </c>
      <c r="C1475" s="1089" t="s">
        <v>67</v>
      </c>
      <c r="D1475" s="266">
        <v>30</v>
      </c>
      <c r="E1475" s="1127"/>
      <c r="F1475" s="840"/>
      <c r="G1475" s="840">
        <f>G1474</f>
        <v>45814</v>
      </c>
      <c r="H1475" s="713">
        <f>H1474</f>
        <v>45835</v>
      </c>
      <c r="I1475" s="1053" t="s">
        <v>1305</v>
      </c>
      <c r="J1475" s="1053" t="s">
        <v>18</v>
      </c>
      <c r="K1475" s="1053" t="s">
        <v>147</v>
      </c>
      <c r="L1475" s="279" t="s">
        <v>20</v>
      </c>
      <c r="M1475" s="1053"/>
      <c r="N1475" s="512"/>
      <c r="O1475" s="512"/>
      <c r="P1475" s="512"/>
      <c r="Q1475" s="512"/>
      <c r="R1475" s="512"/>
      <c r="S1475" s="512"/>
      <c r="T1475" s="512"/>
      <c r="U1475" s="512"/>
      <c r="V1475" s="512"/>
      <c r="W1475" s="512"/>
    </row>
    <row r="1476" s="178" customFormat="1" ht="15.4" customHeight="1" spans="1:23">
      <c r="A1476" s="1053" t="s">
        <v>910</v>
      </c>
      <c r="B1476" s="1099" t="s">
        <v>1303</v>
      </c>
      <c r="C1476" s="1089" t="s">
        <v>70</v>
      </c>
      <c r="D1476" s="266">
        <v>50</v>
      </c>
      <c r="E1476" s="1127"/>
      <c r="F1476" s="840"/>
      <c r="G1476" s="840">
        <f>G1475</f>
        <v>45814</v>
      </c>
      <c r="H1476" s="713">
        <f>H1475</f>
        <v>45835</v>
      </c>
      <c r="I1476" s="1053" t="s">
        <v>1305</v>
      </c>
      <c r="J1476" s="1053" t="s">
        <v>18</v>
      </c>
      <c r="K1476" s="1053" t="s">
        <v>147</v>
      </c>
      <c r="L1476" s="279" t="s">
        <v>20</v>
      </c>
      <c r="M1476" s="1053"/>
      <c r="N1476" s="512"/>
      <c r="O1476" s="512"/>
      <c r="P1476" s="512"/>
      <c r="Q1476" s="512"/>
      <c r="R1476" s="512"/>
      <c r="S1476" s="512"/>
      <c r="T1476" s="512"/>
      <c r="U1476" s="512"/>
      <c r="V1476" s="512"/>
      <c r="W1476" s="512"/>
    </row>
    <row r="1477" s="178" customFormat="1" ht="15.4" customHeight="1" spans="1:23">
      <c r="A1477" s="1053" t="s">
        <v>910</v>
      </c>
      <c r="B1477" s="1177" t="s">
        <v>1307</v>
      </c>
      <c r="C1477" s="674" t="s">
        <v>77</v>
      </c>
      <c r="D1477" s="350">
        <v>48</v>
      </c>
      <c r="E1477" s="1085" t="s">
        <v>1308</v>
      </c>
      <c r="F1477" s="675"/>
      <c r="G1477" s="675">
        <f>VLOOKUP(CLEAN(SUBSTITUTE(TRIM(MID(E:E,FIND("/",E:E)+1,LEN(E:E)))," ","")),'Customs Decl. &amp; Local Delivery'!D:I,6,0)</f>
        <v>45814</v>
      </c>
      <c r="H1477" s="676">
        <f>VLOOKUP(CLEAN(SUBSTITUTE(TRIM(MID(E:E,FIND("/",E:E)+1,LEN(E:E)))," ","")),'Customs Decl. &amp; Local Delivery'!D:J,7,0)</f>
        <v>45835</v>
      </c>
      <c r="I1477" s="1053" t="s">
        <v>1309</v>
      </c>
      <c r="J1477" s="1053" t="s">
        <v>18</v>
      </c>
      <c r="K1477" s="1053" t="s">
        <v>147</v>
      </c>
      <c r="L1477" s="279" t="s">
        <v>20</v>
      </c>
      <c r="M1477" s="672" t="s">
        <v>1302</v>
      </c>
      <c r="N1477" s="512"/>
      <c r="O1477" s="512"/>
      <c r="P1477" s="512"/>
      <c r="Q1477" s="512"/>
      <c r="R1477" s="512"/>
      <c r="S1477" s="512"/>
      <c r="T1477" s="512"/>
      <c r="U1477" s="512"/>
      <c r="V1477" s="512"/>
      <c r="W1477" s="512"/>
    </row>
    <row r="1478" s="178" customFormat="1" ht="15.4" customHeight="1" spans="1:23">
      <c r="A1478" s="1053" t="s">
        <v>910</v>
      </c>
      <c r="B1478" s="1177" t="s">
        <v>1307</v>
      </c>
      <c r="C1478" s="674" t="s">
        <v>15</v>
      </c>
      <c r="D1478" s="350">
        <v>60</v>
      </c>
      <c r="E1478" s="1127"/>
      <c r="F1478" s="840"/>
      <c r="G1478" s="840">
        <f>G1477</f>
        <v>45814</v>
      </c>
      <c r="H1478" s="713">
        <f>H1477</f>
        <v>45835</v>
      </c>
      <c r="I1478" s="1053" t="s">
        <v>1309</v>
      </c>
      <c r="J1478" s="1053" t="s">
        <v>18</v>
      </c>
      <c r="K1478" s="1053" t="s">
        <v>147</v>
      </c>
      <c r="L1478" s="279" t="s">
        <v>20</v>
      </c>
      <c r="M1478" s="1093"/>
      <c r="N1478" s="512"/>
      <c r="O1478" s="512"/>
      <c r="P1478" s="512"/>
      <c r="Q1478" s="512"/>
      <c r="R1478" s="512"/>
      <c r="S1478" s="512"/>
      <c r="T1478" s="512"/>
      <c r="U1478" s="512"/>
      <c r="V1478" s="512"/>
      <c r="W1478" s="512"/>
    </row>
    <row r="1479" s="178" customFormat="1" ht="15.4" customHeight="1" spans="1:23">
      <c r="A1479" s="1053" t="s">
        <v>910</v>
      </c>
      <c r="B1479" s="1177" t="s">
        <v>1307</v>
      </c>
      <c r="C1479" s="674" t="s">
        <v>24</v>
      </c>
      <c r="D1479" s="350">
        <v>10</v>
      </c>
      <c r="E1479" s="1127"/>
      <c r="F1479" s="840"/>
      <c r="G1479" s="840">
        <f>G1478</f>
        <v>45814</v>
      </c>
      <c r="H1479" s="713">
        <f>H1478</f>
        <v>45835</v>
      </c>
      <c r="I1479" s="1053" t="s">
        <v>1309</v>
      </c>
      <c r="J1479" s="1053" t="s">
        <v>18</v>
      </c>
      <c r="K1479" s="1053" t="s">
        <v>147</v>
      </c>
      <c r="L1479" s="279" t="s">
        <v>20</v>
      </c>
      <c r="M1479" s="1053"/>
      <c r="N1479" s="512"/>
      <c r="O1479" s="512"/>
      <c r="P1479" s="512"/>
      <c r="Q1479" s="512"/>
      <c r="R1479" s="512"/>
      <c r="S1479" s="512"/>
      <c r="T1479" s="512"/>
      <c r="U1479" s="512"/>
      <c r="V1479" s="512"/>
      <c r="W1479" s="512"/>
    </row>
    <row r="1480" s="178" customFormat="1" ht="15.4" customHeight="1" spans="1:23">
      <c r="A1480" s="1053" t="s">
        <v>910</v>
      </c>
      <c r="B1480" s="1177" t="s">
        <v>1307</v>
      </c>
      <c r="C1480" s="674" t="s">
        <v>27</v>
      </c>
      <c r="D1480" s="350">
        <v>100</v>
      </c>
      <c r="E1480" s="1127"/>
      <c r="F1480" s="840"/>
      <c r="G1480" s="840">
        <f>G1479</f>
        <v>45814</v>
      </c>
      <c r="H1480" s="713">
        <f>H1479</f>
        <v>45835</v>
      </c>
      <c r="I1480" s="1053" t="s">
        <v>1309</v>
      </c>
      <c r="J1480" s="1053" t="s">
        <v>18</v>
      </c>
      <c r="K1480" s="1053" t="s">
        <v>147</v>
      </c>
      <c r="L1480" s="279" t="s">
        <v>20</v>
      </c>
      <c r="M1480" s="1053"/>
      <c r="N1480" s="512"/>
      <c r="O1480" s="512"/>
      <c r="P1480" s="512"/>
      <c r="Q1480" s="512"/>
      <c r="R1480" s="512"/>
      <c r="S1480" s="512"/>
      <c r="T1480" s="512"/>
      <c r="U1480" s="512"/>
      <c r="V1480" s="512"/>
      <c r="W1480" s="512"/>
    </row>
    <row r="1481" s="178" customFormat="1" ht="15.4" customHeight="1" spans="1:23">
      <c r="A1481" s="1053" t="s">
        <v>910</v>
      </c>
      <c r="B1481" s="1177" t="s">
        <v>1307</v>
      </c>
      <c r="C1481" s="674" t="s">
        <v>67</v>
      </c>
      <c r="D1481" s="350">
        <v>50</v>
      </c>
      <c r="E1481" s="1127"/>
      <c r="F1481" s="840"/>
      <c r="G1481" s="840">
        <f>G1480</f>
        <v>45814</v>
      </c>
      <c r="H1481" s="713">
        <f>H1480</f>
        <v>45835</v>
      </c>
      <c r="I1481" s="1053" t="s">
        <v>1309</v>
      </c>
      <c r="J1481" s="1053" t="s">
        <v>18</v>
      </c>
      <c r="K1481" s="1053" t="s">
        <v>147</v>
      </c>
      <c r="L1481" s="279" t="s">
        <v>20</v>
      </c>
      <c r="M1481" s="1053"/>
      <c r="N1481" s="512"/>
      <c r="O1481" s="512"/>
      <c r="P1481" s="512"/>
      <c r="Q1481" s="512"/>
      <c r="R1481" s="512"/>
      <c r="S1481" s="512"/>
      <c r="T1481" s="512"/>
      <c r="U1481" s="512"/>
      <c r="V1481" s="512"/>
      <c r="W1481" s="512"/>
    </row>
    <row r="1482" s="477" customFormat="1" ht="15.4" customHeight="1" spans="1:23">
      <c r="A1482" s="1053" t="s">
        <v>1310</v>
      </c>
      <c r="B1482" s="1099" t="s">
        <v>1311</v>
      </c>
      <c r="C1482" s="1089" t="s">
        <v>52</v>
      </c>
      <c r="D1482" s="267">
        <v>11</v>
      </c>
      <c r="E1482" s="1055" t="s">
        <v>1312</v>
      </c>
      <c r="F1482" s="1156">
        <v>45845</v>
      </c>
      <c r="G1482" s="675">
        <f>VLOOKUP(CLEAN(SUBSTITUTE(TRIM(MID(E:E,FIND("/",E:E)+1,LEN(E:E)))," ","")),'Customs Decl. &amp; Local Delivery'!D:I,6,0)</f>
        <v>45814</v>
      </c>
      <c r="H1482" s="676">
        <f>VLOOKUP(CLEAN(SUBSTITUTE(TRIM(MID(E:E,FIND("/",E:E)+1,LEN(E:E)))," ","")),'Customs Decl. &amp; Local Delivery'!D:J,7,0)</f>
        <v>45841</v>
      </c>
      <c r="I1482" s="1053" t="s">
        <v>1313</v>
      </c>
      <c r="J1482" s="1053" t="s">
        <v>161</v>
      </c>
      <c r="K1482" s="1143" t="s">
        <v>19</v>
      </c>
      <c r="L1482" s="279" t="s">
        <v>20</v>
      </c>
      <c r="M1482" s="731" t="s">
        <v>1314</v>
      </c>
      <c r="N1482" s="512"/>
      <c r="O1482" s="512"/>
      <c r="P1482" s="512"/>
      <c r="Q1482" s="512"/>
      <c r="R1482" s="512"/>
      <c r="S1482" s="512"/>
      <c r="T1482" s="512"/>
      <c r="U1482" s="512"/>
      <c r="V1482" s="512"/>
      <c r="W1482" s="512"/>
    </row>
    <row r="1483" s="477" customFormat="1" ht="15.4" customHeight="1" spans="1:23">
      <c r="A1483" s="1053" t="s">
        <v>1310</v>
      </c>
      <c r="B1483" s="1099" t="s">
        <v>1311</v>
      </c>
      <c r="C1483" s="1089" t="s">
        <v>56</v>
      </c>
      <c r="D1483" s="267">
        <v>11</v>
      </c>
      <c r="E1483" s="1127"/>
      <c r="F1483" s="675">
        <v>45845</v>
      </c>
      <c r="G1483" s="840">
        <f t="shared" ref="G1483:G1501" si="114">G1482</f>
        <v>45814</v>
      </c>
      <c r="H1483" s="676">
        <f t="shared" ref="H1483:H1501" si="115">H1482</f>
        <v>45841</v>
      </c>
      <c r="I1483" s="1053" t="s">
        <v>1313</v>
      </c>
      <c r="J1483" s="1053" t="s">
        <v>161</v>
      </c>
      <c r="K1483" s="1143" t="s">
        <v>19</v>
      </c>
      <c r="L1483" s="279" t="s">
        <v>20</v>
      </c>
      <c r="M1483" s="731" t="s">
        <v>1315</v>
      </c>
      <c r="N1483" s="512"/>
      <c r="O1483" s="512"/>
      <c r="P1483" s="512"/>
      <c r="Q1483" s="512"/>
      <c r="R1483" s="512"/>
      <c r="S1483" s="512"/>
      <c r="T1483" s="512"/>
      <c r="U1483" s="512"/>
      <c r="V1483" s="512"/>
      <c r="W1483" s="512"/>
    </row>
    <row r="1484" s="477" customFormat="1" ht="15.4" customHeight="1" spans="1:23">
      <c r="A1484" s="1053" t="s">
        <v>1310</v>
      </c>
      <c r="B1484" s="1099" t="s">
        <v>1311</v>
      </c>
      <c r="C1484" s="1089" t="s">
        <v>36</v>
      </c>
      <c r="D1484" s="267">
        <v>13</v>
      </c>
      <c r="E1484" s="1127"/>
      <c r="F1484" s="675">
        <v>45845</v>
      </c>
      <c r="G1484" s="840">
        <f t="shared" si="114"/>
        <v>45814</v>
      </c>
      <c r="H1484" s="676">
        <f t="shared" si="115"/>
        <v>45841</v>
      </c>
      <c r="I1484" s="1053" t="s">
        <v>1313</v>
      </c>
      <c r="J1484" s="1053" t="s">
        <v>161</v>
      </c>
      <c r="K1484" s="1143" t="s">
        <v>19</v>
      </c>
      <c r="L1484" s="279" t="s">
        <v>20</v>
      </c>
      <c r="M1484" s="731" t="s">
        <v>1316</v>
      </c>
      <c r="N1484" s="512"/>
      <c r="O1484" s="512"/>
      <c r="P1484" s="512"/>
      <c r="Q1484" s="512"/>
      <c r="R1484" s="512"/>
      <c r="S1484" s="512"/>
      <c r="T1484" s="512"/>
      <c r="U1484" s="512"/>
      <c r="V1484" s="512"/>
      <c r="W1484" s="512"/>
    </row>
    <row r="1485" s="477" customFormat="1" ht="15.4" customHeight="1" spans="1:23">
      <c r="A1485" s="1053" t="s">
        <v>1310</v>
      </c>
      <c r="B1485" s="1099" t="s">
        <v>1311</v>
      </c>
      <c r="C1485" s="1089" t="s">
        <v>41</v>
      </c>
      <c r="D1485" s="267">
        <v>13</v>
      </c>
      <c r="E1485" s="1127"/>
      <c r="F1485" s="675">
        <v>45845</v>
      </c>
      <c r="G1485" s="840">
        <f t="shared" si="114"/>
        <v>45814</v>
      </c>
      <c r="H1485" s="676">
        <f t="shared" si="115"/>
        <v>45841</v>
      </c>
      <c r="I1485" s="1053" t="s">
        <v>1313</v>
      </c>
      <c r="J1485" s="1053" t="s">
        <v>161</v>
      </c>
      <c r="K1485" s="1143" t="s">
        <v>19</v>
      </c>
      <c r="L1485" s="279" t="s">
        <v>20</v>
      </c>
      <c r="M1485" s="731"/>
      <c r="N1485" s="512"/>
      <c r="O1485" s="512"/>
      <c r="P1485" s="512"/>
      <c r="Q1485" s="512"/>
      <c r="R1485" s="512"/>
      <c r="S1485" s="512"/>
      <c r="T1485" s="512"/>
      <c r="U1485" s="512"/>
      <c r="V1485" s="512"/>
      <c r="W1485" s="512"/>
    </row>
    <row r="1486" s="477" customFormat="1" ht="15.4" customHeight="1" spans="1:23">
      <c r="A1486" s="1053" t="s">
        <v>1310</v>
      </c>
      <c r="B1486" s="1099" t="s">
        <v>1311</v>
      </c>
      <c r="C1486" s="1089" t="s">
        <v>43</v>
      </c>
      <c r="D1486" s="267">
        <v>3</v>
      </c>
      <c r="E1486" s="1127"/>
      <c r="F1486" s="675">
        <v>45845</v>
      </c>
      <c r="G1486" s="840">
        <f t="shared" si="114"/>
        <v>45814</v>
      </c>
      <c r="H1486" s="676">
        <f t="shared" si="115"/>
        <v>45841</v>
      </c>
      <c r="I1486" s="1053" t="s">
        <v>1313</v>
      </c>
      <c r="J1486" s="1053" t="s">
        <v>161</v>
      </c>
      <c r="K1486" s="1143" t="s">
        <v>19</v>
      </c>
      <c r="L1486" s="279" t="s">
        <v>20</v>
      </c>
      <c r="M1486" s="1078"/>
      <c r="N1486" s="512"/>
      <c r="O1486" s="512"/>
      <c r="P1486" s="512"/>
      <c r="Q1486" s="512"/>
      <c r="R1486" s="512"/>
      <c r="S1486" s="512"/>
      <c r="T1486" s="512"/>
      <c r="U1486" s="512"/>
      <c r="V1486" s="512"/>
      <c r="W1486" s="512"/>
    </row>
    <row r="1487" s="477" customFormat="1" ht="15.4" customHeight="1" spans="1:23">
      <c r="A1487" s="1053" t="s">
        <v>1310</v>
      </c>
      <c r="B1487" s="1099" t="s">
        <v>1311</v>
      </c>
      <c r="C1487" s="1089" t="s">
        <v>45</v>
      </c>
      <c r="D1487" s="267">
        <v>3</v>
      </c>
      <c r="E1487" s="1127"/>
      <c r="F1487" s="675">
        <v>45845</v>
      </c>
      <c r="G1487" s="840">
        <f t="shared" si="114"/>
        <v>45814</v>
      </c>
      <c r="H1487" s="676">
        <f t="shared" si="115"/>
        <v>45841</v>
      </c>
      <c r="I1487" s="1053" t="s">
        <v>1313</v>
      </c>
      <c r="J1487" s="1053" t="s">
        <v>161</v>
      </c>
      <c r="K1487" s="1143" t="s">
        <v>19</v>
      </c>
      <c r="L1487" s="279" t="s">
        <v>20</v>
      </c>
      <c r="M1487" s="1078"/>
      <c r="N1487" s="512"/>
      <c r="O1487" s="512"/>
      <c r="P1487" s="512"/>
      <c r="Q1487" s="512"/>
      <c r="R1487" s="512"/>
      <c r="S1487" s="512"/>
      <c r="T1487" s="512"/>
      <c r="U1487" s="512"/>
      <c r="V1487" s="512"/>
      <c r="W1487" s="512"/>
    </row>
    <row r="1488" s="477" customFormat="1" ht="15.4" customHeight="1" spans="1:23">
      <c r="A1488" s="1053" t="s">
        <v>1310</v>
      </c>
      <c r="B1488" s="1099" t="s">
        <v>1311</v>
      </c>
      <c r="C1488" s="1089" t="s">
        <v>49</v>
      </c>
      <c r="D1488" s="267">
        <v>60</v>
      </c>
      <c r="E1488" s="1127"/>
      <c r="F1488" s="675">
        <v>45845</v>
      </c>
      <c r="G1488" s="840">
        <f t="shared" si="114"/>
        <v>45814</v>
      </c>
      <c r="H1488" s="676">
        <f t="shared" si="115"/>
        <v>45841</v>
      </c>
      <c r="I1488" s="1053" t="s">
        <v>1313</v>
      </c>
      <c r="J1488" s="1053" t="s">
        <v>161</v>
      </c>
      <c r="K1488" s="1143" t="s">
        <v>19</v>
      </c>
      <c r="L1488" s="279" t="s">
        <v>20</v>
      </c>
      <c r="M1488" s="1078"/>
      <c r="N1488" s="512"/>
      <c r="O1488" s="512"/>
      <c r="P1488" s="512"/>
      <c r="Q1488" s="512"/>
      <c r="R1488" s="512"/>
      <c r="S1488" s="512"/>
      <c r="T1488" s="512"/>
      <c r="U1488" s="512"/>
      <c r="V1488" s="512"/>
      <c r="W1488" s="512"/>
    </row>
    <row r="1489" s="477" customFormat="1" ht="15.4" customHeight="1" spans="1:23">
      <c r="A1489" s="1053" t="s">
        <v>1310</v>
      </c>
      <c r="B1489" s="1099" t="s">
        <v>1311</v>
      </c>
      <c r="C1489" s="1089" t="s">
        <v>50</v>
      </c>
      <c r="D1489" s="267">
        <v>60</v>
      </c>
      <c r="E1489" s="1127"/>
      <c r="F1489" s="675">
        <v>45845</v>
      </c>
      <c r="G1489" s="840">
        <f t="shared" si="114"/>
        <v>45814</v>
      </c>
      <c r="H1489" s="676">
        <f t="shared" si="115"/>
        <v>45841</v>
      </c>
      <c r="I1489" s="1053" t="s">
        <v>1313</v>
      </c>
      <c r="J1489" s="1053" t="s">
        <v>161</v>
      </c>
      <c r="K1489" s="1143" t="s">
        <v>19</v>
      </c>
      <c r="L1489" s="279" t="s">
        <v>20</v>
      </c>
      <c r="M1489" s="1078"/>
      <c r="N1489" s="512"/>
      <c r="O1489" s="512"/>
      <c r="P1489" s="512"/>
      <c r="Q1489" s="512"/>
      <c r="R1489" s="512"/>
      <c r="S1489" s="512"/>
      <c r="T1489" s="512"/>
      <c r="U1489" s="512"/>
      <c r="V1489" s="512"/>
      <c r="W1489" s="512"/>
    </row>
    <row r="1490" s="477" customFormat="1" ht="15.4" customHeight="1" spans="1:23">
      <c r="A1490" s="1053" t="s">
        <v>1310</v>
      </c>
      <c r="B1490" s="1099" t="s">
        <v>1311</v>
      </c>
      <c r="C1490" s="1089" t="s">
        <v>57</v>
      </c>
      <c r="D1490" s="267">
        <v>3</v>
      </c>
      <c r="E1490" s="1127"/>
      <c r="F1490" s="675">
        <v>45845</v>
      </c>
      <c r="G1490" s="840">
        <f t="shared" si="114"/>
        <v>45814</v>
      </c>
      <c r="H1490" s="676">
        <f t="shared" si="115"/>
        <v>45841</v>
      </c>
      <c r="I1490" s="1053" t="s">
        <v>1313</v>
      </c>
      <c r="J1490" s="1053" t="s">
        <v>161</v>
      </c>
      <c r="K1490" s="1143" t="s">
        <v>19</v>
      </c>
      <c r="L1490" s="279" t="s">
        <v>20</v>
      </c>
      <c r="M1490" s="1078"/>
      <c r="N1490" s="512"/>
      <c r="O1490" s="512"/>
      <c r="P1490" s="512"/>
      <c r="Q1490" s="512"/>
      <c r="R1490" s="512"/>
      <c r="S1490" s="512"/>
      <c r="T1490" s="512"/>
      <c r="U1490" s="512"/>
      <c r="V1490" s="512"/>
      <c r="W1490" s="512"/>
    </row>
    <row r="1491" s="477" customFormat="1" ht="15.4" customHeight="1" spans="1:23">
      <c r="A1491" s="1053" t="s">
        <v>1310</v>
      </c>
      <c r="B1491" s="1099" t="s">
        <v>1311</v>
      </c>
      <c r="C1491" s="1089" t="s">
        <v>58</v>
      </c>
      <c r="D1491" s="267">
        <v>3</v>
      </c>
      <c r="E1491" s="1127"/>
      <c r="F1491" s="675">
        <v>45845</v>
      </c>
      <c r="G1491" s="840">
        <f t="shared" si="114"/>
        <v>45814</v>
      </c>
      <c r="H1491" s="676">
        <f t="shared" si="115"/>
        <v>45841</v>
      </c>
      <c r="I1491" s="1053" t="s">
        <v>1313</v>
      </c>
      <c r="J1491" s="1053" t="s">
        <v>161</v>
      </c>
      <c r="K1491" s="1143" t="s">
        <v>19</v>
      </c>
      <c r="L1491" s="279" t="s">
        <v>20</v>
      </c>
      <c r="M1491" s="1078"/>
      <c r="N1491" s="512"/>
      <c r="O1491" s="512"/>
      <c r="P1491" s="512"/>
      <c r="Q1491" s="512"/>
      <c r="R1491" s="512"/>
      <c r="S1491" s="512"/>
      <c r="T1491" s="512"/>
      <c r="U1491" s="512"/>
      <c r="V1491" s="512"/>
      <c r="W1491" s="512"/>
    </row>
    <row r="1492" s="477" customFormat="1" ht="15.4" customHeight="1" spans="1:23">
      <c r="A1492" s="1053" t="s">
        <v>1310</v>
      </c>
      <c r="B1492" s="1099" t="s">
        <v>1311</v>
      </c>
      <c r="C1492" s="1089" t="s">
        <v>31</v>
      </c>
      <c r="D1492" s="267">
        <v>2</v>
      </c>
      <c r="E1492" s="1127"/>
      <c r="F1492" s="675">
        <v>45845</v>
      </c>
      <c r="G1492" s="840">
        <f t="shared" si="114"/>
        <v>45814</v>
      </c>
      <c r="H1492" s="676">
        <f t="shared" si="115"/>
        <v>45841</v>
      </c>
      <c r="I1492" s="1053" t="s">
        <v>1313</v>
      </c>
      <c r="J1492" s="1053" t="s">
        <v>161</v>
      </c>
      <c r="K1492" s="1143" t="s">
        <v>19</v>
      </c>
      <c r="L1492" s="279" t="s">
        <v>20</v>
      </c>
      <c r="M1492" s="1078"/>
      <c r="N1492" s="512"/>
      <c r="O1492" s="512"/>
      <c r="P1492" s="512"/>
      <c r="Q1492" s="512"/>
      <c r="R1492" s="512"/>
      <c r="S1492" s="512"/>
      <c r="T1492" s="512"/>
      <c r="U1492" s="512"/>
      <c r="V1492" s="512"/>
      <c r="W1492" s="512"/>
    </row>
    <row r="1493" s="477" customFormat="1" ht="15.4" customHeight="1" spans="1:23">
      <c r="A1493" s="1053" t="s">
        <v>1310</v>
      </c>
      <c r="B1493" s="1099" t="s">
        <v>1311</v>
      </c>
      <c r="C1493" s="1089" t="s">
        <v>32</v>
      </c>
      <c r="D1493" s="267">
        <v>2</v>
      </c>
      <c r="E1493" s="1127"/>
      <c r="F1493" s="675">
        <v>45845</v>
      </c>
      <c r="G1493" s="840">
        <f t="shared" si="114"/>
        <v>45814</v>
      </c>
      <c r="H1493" s="676">
        <f t="shared" si="115"/>
        <v>45841</v>
      </c>
      <c r="I1493" s="1053" t="s">
        <v>1313</v>
      </c>
      <c r="J1493" s="1053" t="s">
        <v>161</v>
      </c>
      <c r="K1493" s="1143" t="s">
        <v>19</v>
      </c>
      <c r="L1493" s="279" t="s">
        <v>20</v>
      </c>
      <c r="M1493" s="1078"/>
      <c r="N1493" s="512"/>
      <c r="O1493" s="512"/>
      <c r="P1493" s="512"/>
      <c r="Q1493" s="512"/>
      <c r="R1493" s="512"/>
      <c r="S1493" s="512"/>
      <c r="T1493" s="512"/>
      <c r="U1493" s="512"/>
      <c r="V1493" s="512"/>
      <c r="W1493" s="512"/>
    </row>
    <row r="1494" s="477" customFormat="1" ht="15.4" customHeight="1" spans="1:23">
      <c r="A1494" s="1053" t="s">
        <v>1310</v>
      </c>
      <c r="B1494" s="1099" t="s">
        <v>1311</v>
      </c>
      <c r="C1494" s="1089" t="s">
        <v>33</v>
      </c>
      <c r="D1494" s="267">
        <v>4</v>
      </c>
      <c r="E1494" s="976"/>
      <c r="F1494" s="675">
        <v>45845</v>
      </c>
      <c r="G1494" s="840">
        <f t="shared" si="114"/>
        <v>45814</v>
      </c>
      <c r="H1494" s="676">
        <f t="shared" si="115"/>
        <v>45841</v>
      </c>
      <c r="I1494" s="1053" t="s">
        <v>1313</v>
      </c>
      <c r="J1494" s="1053" t="s">
        <v>161</v>
      </c>
      <c r="K1494" s="1143" t="s">
        <v>19</v>
      </c>
      <c r="L1494" s="279" t="s">
        <v>20</v>
      </c>
      <c r="M1494" s="1078"/>
      <c r="N1494" s="512"/>
      <c r="O1494" s="512"/>
      <c r="P1494" s="512"/>
      <c r="Q1494" s="512"/>
      <c r="R1494" s="512"/>
      <c r="S1494" s="512"/>
      <c r="T1494" s="512"/>
      <c r="U1494" s="512"/>
      <c r="V1494" s="512"/>
      <c r="W1494" s="512"/>
    </row>
    <row r="1495" s="477" customFormat="1" ht="15.4" customHeight="1" spans="1:23">
      <c r="A1495" s="1053" t="s">
        <v>1310</v>
      </c>
      <c r="B1495" s="1099" t="s">
        <v>1311</v>
      </c>
      <c r="C1495" s="1089" t="s">
        <v>34</v>
      </c>
      <c r="D1495" s="267">
        <v>4</v>
      </c>
      <c r="E1495" s="976"/>
      <c r="F1495" s="675">
        <v>45845</v>
      </c>
      <c r="G1495" s="840">
        <f t="shared" si="114"/>
        <v>45814</v>
      </c>
      <c r="H1495" s="676">
        <f t="shared" si="115"/>
        <v>45841</v>
      </c>
      <c r="I1495" s="1053" t="s">
        <v>1313</v>
      </c>
      <c r="J1495" s="1053" t="s">
        <v>161</v>
      </c>
      <c r="K1495" s="1143" t="s">
        <v>19</v>
      </c>
      <c r="L1495" s="279" t="s">
        <v>20</v>
      </c>
      <c r="M1495" s="1078"/>
      <c r="N1495" s="512"/>
      <c r="O1495" s="512"/>
      <c r="P1495" s="512"/>
      <c r="Q1495" s="512"/>
      <c r="R1495" s="512"/>
      <c r="S1495" s="512"/>
      <c r="T1495" s="512"/>
      <c r="U1495" s="512"/>
      <c r="V1495" s="512"/>
      <c r="W1495" s="512"/>
    </row>
    <row r="1496" s="477" customFormat="1" ht="15.4" customHeight="1" spans="1:23">
      <c r="A1496" s="1053" t="s">
        <v>1310</v>
      </c>
      <c r="B1496" s="1099" t="s">
        <v>1311</v>
      </c>
      <c r="C1496" s="1089" t="s">
        <v>164</v>
      </c>
      <c r="D1496" s="267">
        <v>11</v>
      </c>
      <c r="E1496" s="976"/>
      <c r="F1496" s="675">
        <v>45845</v>
      </c>
      <c r="G1496" s="840">
        <f t="shared" si="114"/>
        <v>45814</v>
      </c>
      <c r="H1496" s="676">
        <f t="shared" si="115"/>
        <v>45841</v>
      </c>
      <c r="I1496" s="1053" t="s">
        <v>1313</v>
      </c>
      <c r="J1496" s="1053" t="s">
        <v>161</v>
      </c>
      <c r="K1496" s="1143" t="s">
        <v>19</v>
      </c>
      <c r="L1496" s="279" t="s">
        <v>20</v>
      </c>
      <c r="M1496" s="1078"/>
      <c r="N1496" s="512"/>
      <c r="O1496" s="512"/>
      <c r="P1496" s="512"/>
      <c r="Q1496" s="512"/>
      <c r="R1496" s="512"/>
      <c r="S1496" s="512"/>
      <c r="T1496" s="512"/>
      <c r="U1496" s="512"/>
      <c r="V1496" s="512"/>
      <c r="W1496" s="512"/>
    </row>
    <row r="1497" s="477" customFormat="1" ht="15.4" customHeight="1" spans="1:23">
      <c r="A1497" s="1053" t="s">
        <v>1310</v>
      </c>
      <c r="B1497" s="1099" t="s">
        <v>1311</v>
      </c>
      <c r="C1497" s="1089" t="s">
        <v>165</v>
      </c>
      <c r="D1497" s="267">
        <v>7</v>
      </c>
      <c r="E1497" s="976"/>
      <c r="F1497" s="675">
        <v>45845</v>
      </c>
      <c r="G1497" s="840">
        <f t="shared" si="114"/>
        <v>45814</v>
      </c>
      <c r="H1497" s="676">
        <f t="shared" si="115"/>
        <v>45841</v>
      </c>
      <c r="I1497" s="1053" t="s">
        <v>1313</v>
      </c>
      <c r="J1497" s="1053" t="s">
        <v>161</v>
      </c>
      <c r="K1497" s="1143" t="s">
        <v>19</v>
      </c>
      <c r="L1497" s="279" t="s">
        <v>20</v>
      </c>
      <c r="M1497" s="1078"/>
      <c r="N1497" s="512"/>
      <c r="O1497" s="512"/>
      <c r="P1497" s="512"/>
      <c r="Q1497" s="512"/>
      <c r="R1497" s="512"/>
      <c r="S1497" s="512"/>
      <c r="T1497" s="512"/>
      <c r="U1497" s="512"/>
      <c r="V1497" s="512"/>
      <c r="W1497" s="512"/>
    </row>
    <row r="1498" s="477" customFormat="1" ht="15.4" customHeight="1" spans="1:23">
      <c r="A1498" s="1053" t="s">
        <v>1310</v>
      </c>
      <c r="B1498" s="1099" t="s">
        <v>1311</v>
      </c>
      <c r="C1498" s="1089" t="s">
        <v>342</v>
      </c>
      <c r="D1498" s="267">
        <v>6</v>
      </c>
      <c r="E1498" s="976"/>
      <c r="F1498" s="675">
        <v>45845</v>
      </c>
      <c r="G1498" s="840">
        <f t="shared" si="114"/>
        <v>45814</v>
      </c>
      <c r="H1498" s="676">
        <f t="shared" si="115"/>
        <v>45841</v>
      </c>
      <c r="I1498" s="1053" t="s">
        <v>1313</v>
      </c>
      <c r="J1498" s="1053" t="s">
        <v>161</v>
      </c>
      <c r="K1498" s="1143" t="s">
        <v>19</v>
      </c>
      <c r="L1498" s="279" t="s">
        <v>20</v>
      </c>
      <c r="M1498" s="1078"/>
      <c r="N1498" s="512"/>
      <c r="O1498" s="512"/>
      <c r="P1498" s="512"/>
      <c r="Q1498" s="512"/>
      <c r="R1498" s="512"/>
      <c r="S1498" s="512"/>
      <c r="T1498" s="512"/>
      <c r="U1498" s="512"/>
      <c r="V1498" s="512"/>
      <c r="W1498" s="512"/>
    </row>
    <row r="1499" s="477" customFormat="1" ht="15.4" customHeight="1" spans="1:23">
      <c r="A1499" s="1053" t="s">
        <v>1310</v>
      </c>
      <c r="B1499" s="1099" t="s">
        <v>1311</v>
      </c>
      <c r="C1499" s="1089" t="s">
        <v>396</v>
      </c>
      <c r="D1499" s="267">
        <v>6</v>
      </c>
      <c r="E1499" s="976"/>
      <c r="F1499" s="675">
        <v>45845</v>
      </c>
      <c r="G1499" s="840">
        <f t="shared" si="114"/>
        <v>45814</v>
      </c>
      <c r="H1499" s="676">
        <f t="shared" si="115"/>
        <v>45841</v>
      </c>
      <c r="I1499" s="1053" t="s">
        <v>1313</v>
      </c>
      <c r="J1499" s="1053" t="s">
        <v>161</v>
      </c>
      <c r="K1499" s="1143" t="s">
        <v>19</v>
      </c>
      <c r="L1499" s="279" t="s">
        <v>20</v>
      </c>
      <c r="M1499" s="1078"/>
      <c r="N1499" s="512"/>
      <c r="O1499" s="512"/>
      <c r="P1499" s="512"/>
      <c r="Q1499" s="512"/>
      <c r="R1499" s="512"/>
      <c r="S1499" s="512"/>
      <c r="T1499" s="512"/>
      <c r="U1499" s="512"/>
      <c r="V1499" s="512"/>
      <c r="W1499" s="512"/>
    </row>
    <row r="1500" s="477" customFormat="1" ht="15.4" customHeight="1" spans="1:23">
      <c r="A1500" s="1053" t="s">
        <v>1310</v>
      </c>
      <c r="B1500" s="1099" t="s">
        <v>1311</v>
      </c>
      <c r="C1500" s="1089" t="s">
        <v>91</v>
      </c>
      <c r="D1500" s="267">
        <v>3</v>
      </c>
      <c r="E1500" s="1127"/>
      <c r="F1500" s="675">
        <v>45845</v>
      </c>
      <c r="G1500" s="840">
        <f t="shared" si="114"/>
        <v>45814</v>
      </c>
      <c r="H1500" s="676">
        <f t="shared" si="115"/>
        <v>45841</v>
      </c>
      <c r="I1500" s="1053" t="s">
        <v>1313</v>
      </c>
      <c r="J1500" s="1053" t="s">
        <v>161</v>
      </c>
      <c r="K1500" s="1143" t="s">
        <v>19</v>
      </c>
      <c r="L1500" s="279" t="s">
        <v>20</v>
      </c>
      <c r="M1500" s="1078"/>
      <c r="N1500" s="512"/>
      <c r="O1500" s="512"/>
      <c r="P1500" s="512"/>
      <c r="Q1500" s="512"/>
      <c r="R1500" s="512"/>
      <c r="S1500" s="512"/>
      <c r="T1500" s="512"/>
      <c r="U1500" s="512"/>
      <c r="V1500" s="512"/>
      <c r="W1500" s="512"/>
    </row>
    <row r="1501" s="477" customFormat="1" ht="15.4" customHeight="1" spans="1:23">
      <c r="A1501" s="1053" t="s">
        <v>1310</v>
      </c>
      <c r="B1501" s="1099" t="s">
        <v>1311</v>
      </c>
      <c r="C1501" s="1089" t="s">
        <v>77</v>
      </c>
      <c r="D1501" s="267">
        <v>3</v>
      </c>
      <c r="E1501" s="976"/>
      <c r="F1501" s="675">
        <v>45845</v>
      </c>
      <c r="G1501" s="840">
        <f t="shared" si="114"/>
        <v>45814</v>
      </c>
      <c r="H1501" s="676">
        <f t="shared" si="115"/>
        <v>45841</v>
      </c>
      <c r="I1501" s="1053" t="s">
        <v>1313</v>
      </c>
      <c r="J1501" s="1053" t="s">
        <v>161</v>
      </c>
      <c r="K1501" s="1143" t="s">
        <v>19</v>
      </c>
      <c r="L1501" s="279" t="s">
        <v>20</v>
      </c>
      <c r="M1501" s="1078"/>
      <c r="N1501" s="512"/>
      <c r="O1501" s="512"/>
      <c r="P1501" s="512"/>
      <c r="Q1501" s="512"/>
      <c r="R1501" s="512"/>
      <c r="S1501" s="512"/>
      <c r="T1501" s="512"/>
      <c r="U1501" s="512"/>
      <c r="V1501" s="512"/>
      <c r="W1501" s="512"/>
    </row>
    <row r="1502" s="477" customFormat="1" ht="15.4" customHeight="1" spans="1:23">
      <c r="A1502" s="1053" t="s">
        <v>1310</v>
      </c>
      <c r="B1502" s="1099" t="s">
        <v>1317</v>
      </c>
      <c r="C1502" s="1089" t="s">
        <v>52</v>
      </c>
      <c r="D1502" s="267">
        <v>36</v>
      </c>
      <c r="E1502" s="1055" t="s">
        <v>1318</v>
      </c>
      <c r="F1502" s="675">
        <v>45845</v>
      </c>
      <c r="G1502" s="675">
        <f>VLOOKUP(CLEAN(SUBSTITUTE(TRIM(MID(E:E,FIND("/",E:E)+1,LEN(E:E)))," ","")),'Customs Decl. &amp; Local Delivery'!D:I,6,0)</f>
        <v>45814</v>
      </c>
      <c r="H1502" s="676">
        <f>VLOOKUP(CLEAN(SUBSTITUTE(TRIM(MID(E:E,FIND("/",E:E)+1,LEN(E:E)))," ","")),'Customs Decl. &amp; Local Delivery'!D:J,7,0)</f>
        <v>45845</v>
      </c>
      <c r="I1502" s="784" t="s">
        <v>1319</v>
      </c>
      <c r="J1502" s="1053" t="s">
        <v>39</v>
      </c>
      <c r="K1502" s="1143" t="s">
        <v>19</v>
      </c>
      <c r="L1502" s="279" t="s">
        <v>20</v>
      </c>
      <c r="M1502" s="1178" t="s">
        <v>1320</v>
      </c>
      <c r="N1502" s="512"/>
      <c r="O1502" s="512"/>
      <c r="P1502" s="512"/>
      <c r="Q1502" s="512"/>
      <c r="R1502" s="512"/>
      <c r="S1502" s="512"/>
      <c r="T1502" s="512"/>
      <c r="U1502" s="512"/>
      <c r="V1502" s="512"/>
      <c r="W1502" s="512"/>
    </row>
    <row r="1503" s="477" customFormat="1" ht="15.4" customHeight="1" spans="1:23">
      <c r="A1503" s="1053" t="s">
        <v>1310</v>
      </c>
      <c r="B1503" s="1099" t="s">
        <v>1317</v>
      </c>
      <c r="C1503" s="1089" t="s">
        <v>56</v>
      </c>
      <c r="D1503" s="267">
        <v>36</v>
      </c>
      <c r="E1503" s="976"/>
      <c r="F1503" s="840">
        <v>45845</v>
      </c>
      <c r="G1503" s="840">
        <f t="shared" ref="G1503:G1519" si="116">G1502</f>
        <v>45814</v>
      </c>
      <c r="H1503" s="676">
        <f t="shared" ref="H1503:H1519" si="117">H1502</f>
        <v>45845</v>
      </c>
      <c r="I1503" s="1058" t="s">
        <v>1319</v>
      </c>
      <c r="J1503" s="1053" t="s">
        <v>39</v>
      </c>
      <c r="K1503" s="1143" t="s">
        <v>19</v>
      </c>
      <c r="L1503" s="279" t="s">
        <v>20</v>
      </c>
      <c r="M1503" s="731" t="s">
        <v>1315</v>
      </c>
      <c r="N1503" s="512"/>
      <c r="O1503" s="512"/>
      <c r="P1503" s="512"/>
      <c r="Q1503" s="512"/>
      <c r="R1503" s="512"/>
      <c r="S1503" s="512"/>
      <c r="T1503" s="512"/>
      <c r="U1503" s="512"/>
      <c r="V1503" s="512"/>
      <c r="W1503" s="512"/>
    </row>
    <row r="1504" s="477" customFormat="1" ht="15.4" customHeight="1" spans="1:23">
      <c r="A1504" s="1053" t="s">
        <v>1310</v>
      </c>
      <c r="B1504" s="1099" t="s">
        <v>1317</v>
      </c>
      <c r="C1504" s="1089" t="s">
        <v>43</v>
      </c>
      <c r="D1504" s="267">
        <v>12</v>
      </c>
      <c r="E1504" s="976"/>
      <c r="F1504" s="840">
        <v>45845</v>
      </c>
      <c r="G1504" s="840">
        <f t="shared" si="116"/>
        <v>45814</v>
      </c>
      <c r="H1504" s="676">
        <f t="shared" si="117"/>
        <v>45845</v>
      </c>
      <c r="I1504" s="1058" t="s">
        <v>1319</v>
      </c>
      <c r="J1504" s="1053" t="s">
        <v>39</v>
      </c>
      <c r="K1504" s="1143" t="s">
        <v>19</v>
      </c>
      <c r="L1504" s="279" t="s">
        <v>20</v>
      </c>
      <c r="M1504" s="731" t="s">
        <v>1321</v>
      </c>
      <c r="N1504" s="512"/>
      <c r="O1504" s="512"/>
      <c r="P1504" s="512"/>
      <c r="Q1504" s="512"/>
      <c r="R1504" s="512"/>
      <c r="S1504" s="512"/>
      <c r="T1504" s="512"/>
      <c r="U1504" s="512"/>
      <c r="V1504" s="512"/>
      <c r="W1504" s="512"/>
    </row>
    <row r="1505" s="477" customFormat="1" ht="15.4" customHeight="1" spans="1:23">
      <c r="A1505" s="1053" t="s">
        <v>1310</v>
      </c>
      <c r="B1505" s="1099" t="s">
        <v>1317</v>
      </c>
      <c r="C1505" s="1089" t="s">
        <v>45</v>
      </c>
      <c r="D1505" s="267">
        <v>12</v>
      </c>
      <c r="E1505" s="976"/>
      <c r="F1505" s="840">
        <v>45845</v>
      </c>
      <c r="G1505" s="840">
        <f t="shared" si="116"/>
        <v>45814</v>
      </c>
      <c r="H1505" s="676">
        <f t="shared" si="117"/>
        <v>45845</v>
      </c>
      <c r="I1505" s="1058" t="s">
        <v>1319</v>
      </c>
      <c r="J1505" s="1053" t="s">
        <v>39</v>
      </c>
      <c r="K1505" s="1143" t="s">
        <v>19</v>
      </c>
      <c r="L1505" s="279" t="s">
        <v>20</v>
      </c>
      <c r="M1505" s="731" t="s">
        <v>1322</v>
      </c>
      <c r="N1505" s="512"/>
      <c r="O1505" s="512"/>
      <c r="P1505" s="512"/>
      <c r="Q1505" s="512"/>
      <c r="R1505" s="512"/>
      <c r="S1505" s="512"/>
      <c r="T1505" s="512"/>
      <c r="U1505" s="512"/>
      <c r="V1505" s="512"/>
      <c r="W1505" s="512"/>
    </row>
    <row r="1506" s="477" customFormat="1" ht="15.4" customHeight="1" spans="1:23">
      <c r="A1506" s="1053" t="s">
        <v>1310</v>
      </c>
      <c r="B1506" s="1099" t="s">
        <v>1317</v>
      </c>
      <c r="C1506" s="1089" t="s">
        <v>47</v>
      </c>
      <c r="D1506" s="267">
        <v>22</v>
      </c>
      <c r="E1506" s="976"/>
      <c r="F1506" s="840">
        <v>45845</v>
      </c>
      <c r="G1506" s="840">
        <f t="shared" si="116"/>
        <v>45814</v>
      </c>
      <c r="H1506" s="676">
        <f t="shared" si="117"/>
        <v>45845</v>
      </c>
      <c r="I1506" s="1058" t="s">
        <v>1319</v>
      </c>
      <c r="J1506" s="1053" t="s">
        <v>39</v>
      </c>
      <c r="K1506" s="1143" t="s">
        <v>19</v>
      </c>
      <c r="L1506" s="279" t="s">
        <v>20</v>
      </c>
      <c r="M1506" s="1078"/>
      <c r="N1506" s="512"/>
      <c r="O1506" s="512"/>
      <c r="P1506" s="512"/>
      <c r="Q1506" s="512"/>
      <c r="R1506" s="512"/>
      <c r="S1506" s="512"/>
      <c r="T1506" s="512"/>
      <c r="U1506" s="512"/>
      <c r="V1506" s="512"/>
      <c r="W1506" s="512"/>
    </row>
    <row r="1507" s="477" customFormat="1" ht="15.4" customHeight="1" spans="1:23">
      <c r="A1507" s="1053" t="s">
        <v>1310</v>
      </c>
      <c r="B1507" s="1099" t="s">
        <v>1317</v>
      </c>
      <c r="C1507" s="1089" t="s">
        <v>48</v>
      </c>
      <c r="D1507" s="267">
        <v>22</v>
      </c>
      <c r="E1507" s="976"/>
      <c r="F1507" s="840">
        <v>45845</v>
      </c>
      <c r="G1507" s="840">
        <f t="shared" si="116"/>
        <v>45814</v>
      </c>
      <c r="H1507" s="676">
        <f t="shared" si="117"/>
        <v>45845</v>
      </c>
      <c r="I1507" s="1058" t="s">
        <v>1319</v>
      </c>
      <c r="J1507" s="1053" t="s">
        <v>39</v>
      </c>
      <c r="K1507" s="1143" t="s">
        <v>19</v>
      </c>
      <c r="L1507" s="279" t="s">
        <v>20</v>
      </c>
      <c r="M1507" s="1078"/>
      <c r="N1507" s="512"/>
      <c r="O1507" s="512"/>
      <c r="P1507" s="512"/>
      <c r="Q1507" s="512"/>
      <c r="R1507" s="512"/>
      <c r="S1507" s="512"/>
      <c r="T1507" s="512"/>
      <c r="U1507" s="512"/>
      <c r="V1507" s="512"/>
      <c r="W1507" s="512"/>
    </row>
    <row r="1508" s="477" customFormat="1" ht="15.4" customHeight="1" spans="1:23">
      <c r="A1508" s="1053" t="s">
        <v>1310</v>
      </c>
      <c r="B1508" s="1099" t="s">
        <v>1317</v>
      </c>
      <c r="C1508" s="1089" t="s">
        <v>729</v>
      </c>
      <c r="D1508" s="267">
        <v>13</v>
      </c>
      <c r="E1508" s="976"/>
      <c r="F1508" s="840">
        <v>45845</v>
      </c>
      <c r="G1508" s="840">
        <f t="shared" si="116"/>
        <v>45814</v>
      </c>
      <c r="H1508" s="676">
        <f t="shared" si="117"/>
        <v>45845</v>
      </c>
      <c r="I1508" s="1058" t="s">
        <v>1319</v>
      </c>
      <c r="J1508" s="1053" t="s">
        <v>39</v>
      </c>
      <c r="K1508" s="1143" t="s">
        <v>19</v>
      </c>
      <c r="L1508" s="279" t="s">
        <v>20</v>
      </c>
      <c r="M1508" s="1078"/>
      <c r="N1508" s="512"/>
      <c r="O1508" s="512"/>
      <c r="P1508" s="512"/>
      <c r="Q1508" s="512"/>
      <c r="R1508" s="512"/>
      <c r="S1508" s="512"/>
      <c r="T1508" s="512"/>
      <c r="U1508" s="512"/>
      <c r="V1508" s="512"/>
      <c r="W1508" s="512"/>
    </row>
    <row r="1509" s="477" customFormat="1" ht="15.4" customHeight="1" spans="1:23">
      <c r="A1509" s="1053" t="s">
        <v>1310</v>
      </c>
      <c r="B1509" s="1099" t="s">
        <v>1317</v>
      </c>
      <c r="C1509" s="1089" t="s">
        <v>730</v>
      </c>
      <c r="D1509" s="267">
        <v>13</v>
      </c>
      <c r="E1509" s="976"/>
      <c r="F1509" s="840">
        <v>45845</v>
      </c>
      <c r="G1509" s="840">
        <f t="shared" si="116"/>
        <v>45814</v>
      </c>
      <c r="H1509" s="676">
        <f t="shared" si="117"/>
        <v>45845</v>
      </c>
      <c r="I1509" s="1058" t="s">
        <v>1319</v>
      </c>
      <c r="J1509" s="1053" t="s">
        <v>39</v>
      </c>
      <c r="K1509" s="1143" t="s">
        <v>19</v>
      </c>
      <c r="L1509" s="279" t="s">
        <v>20</v>
      </c>
      <c r="M1509" s="1078"/>
      <c r="N1509" s="512"/>
      <c r="O1509" s="512"/>
      <c r="P1509" s="512"/>
      <c r="Q1509" s="512"/>
      <c r="R1509" s="512"/>
      <c r="S1509" s="512"/>
      <c r="T1509" s="512"/>
      <c r="U1509" s="512"/>
      <c r="V1509" s="512"/>
      <c r="W1509" s="512"/>
    </row>
    <row r="1510" s="477" customFormat="1" ht="15.4" customHeight="1" spans="1:23">
      <c r="A1510" s="1053" t="s">
        <v>1310</v>
      </c>
      <c r="B1510" s="1099" t="s">
        <v>1317</v>
      </c>
      <c r="C1510" s="1089" t="s">
        <v>31</v>
      </c>
      <c r="D1510" s="267">
        <v>18</v>
      </c>
      <c r="E1510" s="976"/>
      <c r="F1510" s="840">
        <v>45845</v>
      </c>
      <c r="G1510" s="840">
        <f t="shared" si="116"/>
        <v>45814</v>
      </c>
      <c r="H1510" s="676">
        <f t="shared" si="117"/>
        <v>45845</v>
      </c>
      <c r="I1510" s="1058" t="s">
        <v>1319</v>
      </c>
      <c r="J1510" s="1053" t="s">
        <v>39</v>
      </c>
      <c r="K1510" s="1143" t="s">
        <v>19</v>
      </c>
      <c r="L1510" s="279" t="s">
        <v>20</v>
      </c>
      <c r="M1510" s="1078"/>
      <c r="N1510" s="512"/>
      <c r="O1510" s="512"/>
      <c r="P1510" s="512"/>
      <c r="Q1510" s="512"/>
      <c r="R1510" s="512"/>
      <c r="S1510" s="512"/>
      <c r="T1510" s="512"/>
      <c r="U1510" s="512"/>
      <c r="V1510" s="512"/>
      <c r="W1510" s="512"/>
    </row>
    <row r="1511" s="477" customFormat="1" ht="15.4" customHeight="1" spans="1:23">
      <c r="A1511" s="1053" t="s">
        <v>1310</v>
      </c>
      <c r="B1511" s="1099" t="s">
        <v>1317</v>
      </c>
      <c r="C1511" s="1089" t="s">
        <v>32</v>
      </c>
      <c r="D1511" s="267">
        <v>18</v>
      </c>
      <c r="E1511" s="976"/>
      <c r="F1511" s="840">
        <v>45845</v>
      </c>
      <c r="G1511" s="840">
        <f t="shared" si="116"/>
        <v>45814</v>
      </c>
      <c r="H1511" s="676">
        <f t="shared" si="117"/>
        <v>45845</v>
      </c>
      <c r="I1511" s="1058" t="s">
        <v>1319</v>
      </c>
      <c r="J1511" s="1053" t="s">
        <v>39</v>
      </c>
      <c r="K1511" s="1143" t="s">
        <v>19</v>
      </c>
      <c r="L1511" s="279" t="s">
        <v>20</v>
      </c>
      <c r="M1511" s="1078"/>
      <c r="N1511" s="512"/>
      <c r="O1511" s="512"/>
      <c r="P1511" s="512"/>
      <c r="Q1511" s="512"/>
      <c r="R1511" s="512"/>
      <c r="S1511" s="512"/>
      <c r="T1511" s="512"/>
      <c r="U1511" s="512"/>
      <c r="V1511" s="512"/>
      <c r="W1511" s="512"/>
    </row>
    <row r="1512" s="477" customFormat="1" ht="15.4" customHeight="1" spans="1:23">
      <c r="A1512" s="1053" t="s">
        <v>1310</v>
      </c>
      <c r="B1512" s="1099" t="s">
        <v>1317</v>
      </c>
      <c r="C1512" s="1089" t="s">
        <v>33</v>
      </c>
      <c r="D1512" s="267">
        <v>2</v>
      </c>
      <c r="E1512" s="976"/>
      <c r="F1512" s="840">
        <v>45845</v>
      </c>
      <c r="G1512" s="840">
        <f t="shared" si="116"/>
        <v>45814</v>
      </c>
      <c r="H1512" s="676">
        <f t="shared" si="117"/>
        <v>45845</v>
      </c>
      <c r="I1512" s="1058" t="s">
        <v>1319</v>
      </c>
      <c r="J1512" s="1053" t="s">
        <v>39</v>
      </c>
      <c r="K1512" s="1143" t="s">
        <v>19</v>
      </c>
      <c r="L1512" s="279" t="s">
        <v>20</v>
      </c>
      <c r="M1512" s="1078"/>
      <c r="N1512" s="512"/>
      <c r="O1512" s="512"/>
      <c r="P1512" s="512"/>
      <c r="Q1512" s="512"/>
      <c r="R1512" s="512"/>
      <c r="S1512" s="512"/>
      <c r="T1512" s="512"/>
      <c r="U1512" s="512"/>
      <c r="V1512" s="512"/>
      <c r="W1512" s="512"/>
    </row>
    <row r="1513" s="477" customFormat="1" ht="15.4" customHeight="1" spans="1:23">
      <c r="A1513" s="1053" t="s">
        <v>1310</v>
      </c>
      <c r="B1513" s="1099" t="s">
        <v>1317</v>
      </c>
      <c r="C1513" s="1089" t="s">
        <v>34</v>
      </c>
      <c r="D1513" s="267">
        <v>2</v>
      </c>
      <c r="E1513" s="976"/>
      <c r="F1513" s="840">
        <v>45845</v>
      </c>
      <c r="G1513" s="840">
        <f t="shared" si="116"/>
        <v>45814</v>
      </c>
      <c r="H1513" s="676">
        <f t="shared" si="117"/>
        <v>45845</v>
      </c>
      <c r="I1513" s="1058" t="s">
        <v>1319</v>
      </c>
      <c r="J1513" s="1053" t="s">
        <v>39</v>
      </c>
      <c r="K1513" s="1143" t="s">
        <v>19</v>
      </c>
      <c r="L1513" s="279" t="s">
        <v>20</v>
      </c>
      <c r="M1513" s="1078"/>
      <c r="N1513" s="512"/>
      <c r="O1513" s="512"/>
      <c r="P1513" s="512"/>
      <c r="Q1513" s="512"/>
      <c r="R1513" s="512"/>
      <c r="S1513" s="512"/>
      <c r="T1513" s="512"/>
      <c r="U1513" s="512"/>
      <c r="V1513" s="512"/>
      <c r="W1513" s="512"/>
    </row>
    <row r="1514" s="477" customFormat="1" ht="15.4" customHeight="1" spans="1:23">
      <c r="A1514" s="1053" t="s">
        <v>1310</v>
      </c>
      <c r="B1514" s="1099" t="s">
        <v>1317</v>
      </c>
      <c r="C1514" s="1089" t="s">
        <v>59</v>
      </c>
      <c r="D1514" s="267">
        <v>1</v>
      </c>
      <c r="E1514" s="1127"/>
      <c r="F1514" s="840">
        <v>45845</v>
      </c>
      <c r="G1514" s="840">
        <f t="shared" si="116"/>
        <v>45814</v>
      </c>
      <c r="H1514" s="676">
        <f t="shared" si="117"/>
        <v>45845</v>
      </c>
      <c r="I1514" s="1058" t="s">
        <v>1319</v>
      </c>
      <c r="J1514" s="1053" t="s">
        <v>39</v>
      </c>
      <c r="K1514" s="1143" t="s">
        <v>19</v>
      </c>
      <c r="L1514" s="279" t="s">
        <v>20</v>
      </c>
      <c r="M1514" s="1078"/>
      <c r="N1514" s="512"/>
      <c r="O1514" s="512"/>
      <c r="P1514" s="512"/>
      <c r="Q1514" s="512"/>
      <c r="R1514" s="512"/>
      <c r="S1514" s="512"/>
      <c r="T1514" s="512"/>
      <c r="U1514" s="512"/>
      <c r="V1514" s="512"/>
      <c r="W1514" s="512"/>
    </row>
    <row r="1515" s="477" customFormat="1" ht="15.4" customHeight="1" spans="1:23">
      <c r="A1515" s="1053" t="s">
        <v>1310</v>
      </c>
      <c r="B1515" s="1099" t="s">
        <v>1317</v>
      </c>
      <c r="C1515" s="1089" t="s">
        <v>60</v>
      </c>
      <c r="D1515" s="267">
        <v>1</v>
      </c>
      <c r="E1515" s="1127"/>
      <c r="F1515" s="840">
        <v>45845</v>
      </c>
      <c r="G1515" s="840">
        <f t="shared" si="116"/>
        <v>45814</v>
      </c>
      <c r="H1515" s="676">
        <f t="shared" si="117"/>
        <v>45845</v>
      </c>
      <c r="I1515" s="1058" t="s">
        <v>1319</v>
      </c>
      <c r="J1515" s="1053" t="s">
        <v>39</v>
      </c>
      <c r="K1515" s="1143" t="s">
        <v>19</v>
      </c>
      <c r="L1515" s="279" t="s">
        <v>20</v>
      </c>
      <c r="M1515" s="1078"/>
      <c r="N1515" s="512"/>
      <c r="O1515" s="512"/>
      <c r="P1515" s="512"/>
      <c r="Q1515" s="512"/>
      <c r="R1515" s="512"/>
      <c r="S1515" s="512"/>
      <c r="T1515" s="512"/>
      <c r="U1515" s="512"/>
      <c r="V1515" s="512"/>
      <c r="W1515" s="512"/>
    </row>
    <row r="1516" s="477" customFormat="1" ht="15.4" customHeight="1" spans="1:23">
      <c r="A1516" s="1053" t="s">
        <v>1310</v>
      </c>
      <c r="B1516" s="1099" t="s">
        <v>1317</v>
      </c>
      <c r="C1516" s="1089" t="s">
        <v>164</v>
      </c>
      <c r="D1516" s="267">
        <v>5</v>
      </c>
      <c r="E1516" s="1127"/>
      <c r="F1516" s="840">
        <v>45845</v>
      </c>
      <c r="G1516" s="840">
        <f t="shared" si="116"/>
        <v>45814</v>
      </c>
      <c r="H1516" s="676">
        <f t="shared" si="117"/>
        <v>45845</v>
      </c>
      <c r="I1516" s="1058" t="s">
        <v>1319</v>
      </c>
      <c r="J1516" s="1053" t="s">
        <v>39</v>
      </c>
      <c r="K1516" s="1143" t="s">
        <v>19</v>
      </c>
      <c r="L1516" s="279" t="s">
        <v>20</v>
      </c>
      <c r="M1516" s="1078"/>
      <c r="N1516" s="512"/>
      <c r="O1516" s="512"/>
      <c r="P1516" s="512"/>
      <c r="Q1516" s="512"/>
      <c r="R1516" s="512"/>
      <c r="S1516" s="512"/>
      <c r="T1516" s="512"/>
      <c r="U1516" s="512"/>
      <c r="V1516" s="512"/>
      <c r="W1516" s="512"/>
    </row>
    <row r="1517" s="477" customFormat="1" ht="15.4" customHeight="1" spans="1:23">
      <c r="A1517" s="1053" t="s">
        <v>1310</v>
      </c>
      <c r="B1517" s="1099" t="s">
        <v>1317</v>
      </c>
      <c r="C1517" s="1089" t="s">
        <v>165</v>
      </c>
      <c r="D1517" s="267">
        <v>5</v>
      </c>
      <c r="E1517" s="1127"/>
      <c r="F1517" s="840">
        <v>45845</v>
      </c>
      <c r="G1517" s="840">
        <f t="shared" si="116"/>
        <v>45814</v>
      </c>
      <c r="H1517" s="676">
        <f t="shared" si="117"/>
        <v>45845</v>
      </c>
      <c r="I1517" s="1058" t="s">
        <v>1319</v>
      </c>
      <c r="J1517" s="1053" t="s">
        <v>39</v>
      </c>
      <c r="K1517" s="1143" t="s">
        <v>19</v>
      </c>
      <c r="L1517" s="279" t="s">
        <v>20</v>
      </c>
      <c r="M1517" s="1078"/>
      <c r="N1517" s="512"/>
      <c r="O1517" s="512"/>
      <c r="P1517" s="512"/>
      <c r="Q1517" s="512"/>
      <c r="R1517" s="512"/>
      <c r="S1517" s="512"/>
      <c r="T1517" s="512"/>
      <c r="U1517" s="512"/>
      <c r="V1517" s="512"/>
      <c r="W1517" s="512"/>
    </row>
    <row r="1518" s="477" customFormat="1" ht="15.4" customHeight="1" spans="1:23">
      <c r="A1518" s="1053" t="s">
        <v>1310</v>
      </c>
      <c r="B1518" s="1099" t="s">
        <v>1317</v>
      </c>
      <c r="C1518" s="1089" t="s">
        <v>462</v>
      </c>
      <c r="D1518" s="267">
        <v>1</v>
      </c>
      <c r="E1518" s="1127"/>
      <c r="F1518" s="840">
        <v>45845</v>
      </c>
      <c r="G1518" s="840">
        <f t="shared" si="116"/>
        <v>45814</v>
      </c>
      <c r="H1518" s="676">
        <f t="shared" si="117"/>
        <v>45845</v>
      </c>
      <c r="I1518" s="1058" t="s">
        <v>1319</v>
      </c>
      <c r="J1518" s="1053" t="s">
        <v>39</v>
      </c>
      <c r="K1518" s="1143" t="s">
        <v>19</v>
      </c>
      <c r="L1518" s="279" t="s">
        <v>20</v>
      </c>
      <c r="M1518" s="1078"/>
      <c r="N1518" s="512"/>
      <c r="O1518" s="512"/>
      <c r="P1518" s="512"/>
      <c r="Q1518" s="512"/>
      <c r="R1518" s="512"/>
      <c r="S1518" s="512"/>
      <c r="T1518" s="512"/>
      <c r="U1518" s="512"/>
      <c r="V1518" s="512"/>
      <c r="W1518" s="512"/>
    </row>
    <row r="1519" s="477" customFormat="1" ht="15.4" customHeight="1" spans="1:23">
      <c r="A1519" s="1053" t="s">
        <v>1310</v>
      </c>
      <c r="B1519" s="1099" t="s">
        <v>1317</v>
      </c>
      <c r="C1519" s="1089" t="s">
        <v>463</v>
      </c>
      <c r="D1519" s="267">
        <v>1</v>
      </c>
      <c r="E1519" s="1127"/>
      <c r="F1519" s="840">
        <v>45845</v>
      </c>
      <c r="G1519" s="840">
        <f t="shared" si="116"/>
        <v>45814</v>
      </c>
      <c r="H1519" s="676">
        <f t="shared" si="117"/>
        <v>45845</v>
      </c>
      <c r="I1519" s="1058" t="s">
        <v>1319</v>
      </c>
      <c r="J1519" s="1053" t="s">
        <v>39</v>
      </c>
      <c r="K1519" s="1143" t="s">
        <v>19</v>
      </c>
      <c r="L1519" s="279" t="s">
        <v>20</v>
      </c>
      <c r="M1519" s="1078"/>
      <c r="N1519" s="512"/>
      <c r="O1519" s="512"/>
      <c r="P1519" s="512"/>
      <c r="Q1519" s="512"/>
      <c r="R1519" s="512"/>
      <c r="S1519" s="512"/>
      <c r="T1519" s="512"/>
      <c r="U1519" s="512"/>
      <c r="V1519" s="512"/>
      <c r="W1519" s="512"/>
    </row>
    <row r="1520" s="477" customFormat="1" ht="15.4" customHeight="1" spans="1:23">
      <c r="A1520" s="1053" t="s">
        <v>1310</v>
      </c>
      <c r="B1520" s="1099" t="s">
        <v>1323</v>
      </c>
      <c r="C1520" s="1089" t="s">
        <v>49</v>
      </c>
      <c r="D1520" s="267">
        <v>83</v>
      </c>
      <c r="E1520" s="1055" t="s">
        <v>1324</v>
      </c>
      <c r="F1520" s="675">
        <v>45845</v>
      </c>
      <c r="G1520" s="675">
        <f>VLOOKUP(CLEAN(SUBSTITUTE(TRIM(MID(E:E,FIND("/",E:E)+1,LEN(E:E)))," ","")),'Customs Decl. &amp; Local Delivery'!D:I,6,0)</f>
        <v>45814</v>
      </c>
      <c r="H1520" s="676">
        <f>VLOOKUP(CLEAN(SUBSTITUTE(TRIM(MID(E:E,FIND("/",E:E)+1,LEN(E:E)))," ","")),'Customs Decl. &amp; Local Delivery'!D:J,7,0)</f>
        <v>45845</v>
      </c>
      <c r="I1520" s="784" t="s">
        <v>1325</v>
      </c>
      <c r="J1520" s="1053" t="s">
        <v>39</v>
      </c>
      <c r="K1520" s="1143" t="s">
        <v>19</v>
      </c>
      <c r="L1520" s="279" t="s">
        <v>20</v>
      </c>
      <c r="M1520" s="1078" t="s">
        <v>1326</v>
      </c>
      <c r="N1520" s="512"/>
      <c r="O1520" s="512"/>
      <c r="P1520" s="512"/>
      <c r="Q1520" s="512"/>
      <c r="R1520" s="512"/>
      <c r="S1520" s="512"/>
      <c r="T1520" s="512"/>
      <c r="U1520" s="512"/>
      <c r="V1520" s="512"/>
      <c r="W1520" s="512"/>
    </row>
    <row r="1521" s="477" customFormat="1" ht="15.4" customHeight="1" spans="1:23">
      <c r="A1521" s="1053" t="s">
        <v>1310</v>
      </c>
      <c r="B1521" s="1099" t="s">
        <v>1323</v>
      </c>
      <c r="C1521" s="1089" t="s">
        <v>50</v>
      </c>
      <c r="D1521" s="267">
        <v>83</v>
      </c>
      <c r="E1521" s="1127"/>
      <c r="F1521" s="675">
        <v>45845</v>
      </c>
      <c r="G1521" s="840">
        <f>G1520</f>
        <v>45814</v>
      </c>
      <c r="H1521" s="676">
        <f>H1520</f>
        <v>45845</v>
      </c>
      <c r="I1521" s="784" t="s">
        <v>1325</v>
      </c>
      <c r="J1521" s="1053" t="s">
        <v>39</v>
      </c>
      <c r="K1521" s="1143" t="s">
        <v>19</v>
      </c>
      <c r="L1521" s="279" t="s">
        <v>20</v>
      </c>
      <c r="M1521" s="1078" t="s">
        <v>1315</v>
      </c>
      <c r="N1521" s="512"/>
      <c r="O1521" s="512"/>
      <c r="P1521" s="512"/>
      <c r="Q1521" s="512"/>
      <c r="R1521" s="512"/>
      <c r="S1521" s="512"/>
      <c r="T1521" s="512"/>
      <c r="U1521" s="512"/>
      <c r="V1521" s="512"/>
      <c r="W1521" s="512"/>
    </row>
    <row r="1522" s="477" customFormat="1" ht="15.4" customHeight="1" spans="1:23">
      <c r="A1522" s="1053" t="s">
        <v>1310</v>
      </c>
      <c r="B1522" s="1099" t="s">
        <v>1323</v>
      </c>
      <c r="C1522" s="1089" t="s">
        <v>57</v>
      </c>
      <c r="D1522" s="267">
        <v>46</v>
      </c>
      <c r="E1522" s="1127"/>
      <c r="F1522" s="675">
        <v>45845</v>
      </c>
      <c r="G1522" s="840">
        <f>G1521</f>
        <v>45814</v>
      </c>
      <c r="H1522" s="676">
        <f>H1521</f>
        <v>45845</v>
      </c>
      <c r="I1522" s="784" t="s">
        <v>1325</v>
      </c>
      <c r="J1522" s="1053" t="s">
        <v>39</v>
      </c>
      <c r="K1522" s="1143" t="s">
        <v>19</v>
      </c>
      <c r="L1522" s="279" t="s">
        <v>20</v>
      </c>
      <c r="M1522" s="1078" t="s">
        <v>1327</v>
      </c>
      <c r="N1522" s="512"/>
      <c r="O1522" s="512"/>
      <c r="P1522" s="512"/>
      <c r="Q1522" s="512"/>
      <c r="R1522" s="512"/>
      <c r="S1522" s="512"/>
      <c r="T1522" s="512"/>
      <c r="U1522" s="512"/>
      <c r="V1522" s="512"/>
      <c r="W1522" s="512"/>
    </row>
    <row r="1523" s="477" customFormat="1" ht="15.4" customHeight="1" spans="1:23">
      <c r="A1523" s="1053" t="s">
        <v>1310</v>
      </c>
      <c r="B1523" s="1099" t="s">
        <v>1323</v>
      </c>
      <c r="C1523" s="1089" t="s">
        <v>58</v>
      </c>
      <c r="D1523" s="267">
        <v>46</v>
      </c>
      <c r="E1523" s="1127"/>
      <c r="F1523" s="675">
        <v>45845</v>
      </c>
      <c r="G1523" s="840">
        <f>G1522</f>
        <v>45814</v>
      </c>
      <c r="H1523" s="676">
        <f>H1522</f>
        <v>45845</v>
      </c>
      <c r="I1523" s="784" t="s">
        <v>1325</v>
      </c>
      <c r="J1523" s="1053" t="s">
        <v>39</v>
      </c>
      <c r="K1523" s="1143" t="s">
        <v>19</v>
      </c>
      <c r="L1523" s="279" t="s">
        <v>20</v>
      </c>
      <c r="M1523" s="588"/>
      <c r="N1523" s="512"/>
      <c r="O1523" s="512"/>
      <c r="P1523" s="512"/>
      <c r="Q1523" s="512"/>
      <c r="R1523" s="512"/>
      <c r="S1523" s="512"/>
      <c r="T1523" s="512"/>
      <c r="U1523" s="512"/>
      <c r="V1523" s="512"/>
      <c r="W1523" s="512"/>
    </row>
    <row r="1524" s="477" customFormat="1" ht="15.4" customHeight="1" spans="1:23">
      <c r="A1524" s="1053" t="s">
        <v>1310</v>
      </c>
      <c r="B1524" s="1099" t="s">
        <v>1328</v>
      </c>
      <c r="C1524" s="1089" t="s">
        <v>52</v>
      </c>
      <c r="D1524" s="267">
        <v>81</v>
      </c>
      <c r="E1524" s="1055" t="s">
        <v>1329</v>
      </c>
      <c r="F1524" s="675">
        <v>45845</v>
      </c>
      <c r="G1524" s="675">
        <f>VLOOKUP(CLEAN(SUBSTITUTE(TRIM(MID(E:E,FIND("/",E:E)+1,LEN(E:E)))," ","")),'Customs Decl. &amp; Local Delivery'!D:I,6,0)</f>
        <v>45814</v>
      </c>
      <c r="H1524" s="676">
        <f>VLOOKUP(CLEAN(SUBSTITUTE(TRIM(MID(E:E,FIND("/",E:E)+1,LEN(E:E)))," ","")),'Customs Decl. &amp; Local Delivery'!D:J,7,0)</f>
        <v>45845</v>
      </c>
      <c r="I1524" s="784" t="s">
        <v>1330</v>
      </c>
      <c r="J1524" s="1053" t="s">
        <v>39</v>
      </c>
      <c r="K1524" s="1143" t="s">
        <v>19</v>
      </c>
      <c r="L1524" s="279" t="s">
        <v>20</v>
      </c>
      <c r="M1524" s="1058" t="s">
        <v>1331</v>
      </c>
      <c r="N1524" s="512"/>
      <c r="O1524" s="512"/>
      <c r="P1524" s="512"/>
      <c r="Q1524" s="512"/>
      <c r="R1524" s="512"/>
      <c r="S1524" s="512"/>
      <c r="T1524" s="512"/>
      <c r="U1524" s="512"/>
      <c r="V1524" s="512"/>
      <c r="W1524" s="512"/>
    </row>
    <row r="1525" s="477" customFormat="1" ht="15.4" customHeight="1" spans="1:23">
      <c r="A1525" s="1053" t="s">
        <v>1310</v>
      </c>
      <c r="B1525" s="1099" t="s">
        <v>1328</v>
      </c>
      <c r="C1525" s="1089" t="s">
        <v>56</v>
      </c>
      <c r="D1525" s="267">
        <v>81</v>
      </c>
      <c r="E1525" s="1127"/>
      <c r="F1525" s="675">
        <v>45845</v>
      </c>
      <c r="G1525" s="840">
        <f t="shared" ref="G1525:G1543" si="118">G1524</f>
        <v>45814</v>
      </c>
      <c r="H1525" s="676">
        <f t="shared" ref="H1525:H1543" si="119">H1524</f>
        <v>45845</v>
      </c>
      <c r="I1525" s="784" t="s">
        <v>1330</v>
      </c>
      <c r="J1525" s="1053" t="s">
        <v>39</v>
      </c>
      <c r="K1525" s="1143" t="s">
        <v>19</v>
      </c>
      <c r="L1525" s="279" t="s">
        <v>20</v>
      </c>
      <c r="M1525" s="1058" t="s">
        <v>1315</v>
      </c>
      <c r="N1525" s="512"/>
      <c r="O1525" s="512"/>
      <c r="P1525" s="512"/>
      <c r="Q1525" s="512"/>
      <c r="R1525" s="512"/>
      <c r="S1525" s="512"/>
      <c r="T1525" s="512"/>
      <c r="U1525" s="512"/>
      <c r="V1525" s="512"/>
      <c r="W1525" s="512"/>
    </row>
    <row r="1526" s="477" customFormat="1" ht="15.4" customHeight="1" spans="1:23">
      <c r="A1526" s="1053" t="s">
        <v>1310</v>
      </c>
      <c r="B1526" s="1099" t="s">
        <v>1328</v>
      </c>
      <c r="C1526" s="1089" t="s">
        <v>47</v>
      </c>
      <c r="D1526" s="267">
        <v>4</v>
      </c>
      <c r="E1526" s="1127"/>
      <c r="F1526" s="675">
        <v>45845</v>
      </c>
      <c r="G1526" s="840">
        <f t="shared" si="118"/>
        <v>45814</v>
      </c>
      <c r="H1526" s="676">
        <f t="shared" si="119"/>
        <v>45845</v>
      </c>
      <c r="I1526" s="784" t="s">
        <v>1330</v>
      </c>
      <c r="J1526" s="1053" t="s">
        <v>39</v>
      </c>
      <c r="K1526" s="1143" t="s">
        <v>19</v>
      </c>
      <c r="L1526" s="279" t="s">
        <v>20</v>
      </c>
      <c r="M1526" s="1058"/>
      <c r="N1526" s="512"/>
      <c r="O1526" s="512"/>
      <c r="P1526" s="512"/>
      <c r="Q1526" s="512"/>
      <c r="R1526" s="512"/>
      <c r="S1526" s="512"/>
      <c r="T1526" s="512"/>
      <c r="U1526" s="512"/>
      <c r="V1526" s="512"/>
      <c r="W1526" s="512"/>
    </row>
    <row r="1527" s="477" customFormat="1" ht="15.4" customHeight="1" spans="1:23">
      <c r="A1527" s="1053" t="s">
        <v>1310</v>
      </c>
      <c r="B1527" s="1099" t="s">
        <v>1328</v>
      </c>
      <c r="C1527" s="1089" t="s">
        <v>48</v>
      </c>
      <c r="D1527" s="267">
        <v>4</v>
      </c>
      <c r="E1527" s="1127"/>
      <c r="F1527" s="675">
        <v>45845</v>
      </c>
      <c r="G1527" s="840">
        <f t="shared" si="118"/>
        <v>45814</v>
      </c>
      <c r="H1527" s="676">
        <f t="shared" si="119"/>
        <v>45845</v>
      </c>
      <c r="I1527" s="784" t="s">
        <v>1330</v>
      </c>
      <c r="J1527" s="1053" t="s">
        <v>39</v>
      </c>
      <c r="K1527" s="1143" t="s">
        <v>19</v>
      </c>
      <c r="L1527" s="279" t="s">
        <v>20</v>
      </c>
      <c r="M1527" s="1058"/>
      <c r="N1527" s="512"/>
      <c r="O1527" s="512"/>
      <c r="P1527" s="512"/>
      <c r="Q1527" s="512"/>
      <c r="R1527" s="512"/>
      <c r="S1527" s="512"/>
      <c r="T1527" s="512"/>
      <c r="U1527" s="512"/>
      <c r="V1527" s="512"/>
      <c r="W1527" s="512"/>
    </row>
    <row r="1528" s="477" customFormat="1" ht="15.4" customHeight="1" spans="1:23">
      <c r="A1528" s="1053" t="s">
        <v>1310</v>
      </c>
      <c r="B1528" s="1099" t="s">
        <v>1328</v>
      </c>
      <c r="C1528" s="1089" t="s">
        <v>49</v>
      </c>
      <c r="D1528" s="267">
        <v>19</v>
      </c>
      <c r="E1528" s="1127"/>
      <c r="F1528" s="675">
        <v>45845</v>
      </c>
      <c r="G1528" s="840">
        <f t="shared" si="118"/>
        <v>45814</v>
      </c>
      <c r="H1528" s="676">
        <f t="shared" si="119"/>
        <v>45845</v>
      </c>
      <c r="I1528" s="784" t="s">
        <v>1330</v>
      </c>
      <c r="J1528" s="1053" t="s">
        <v>39</v>
      </c>
      <c r="K1528" s="1143" t="s">
        <v>19</v>
      </c>
      <c r="L1528" s="279" t="s">
        <v>20</v>
      </c>
      <c r="M1528" s="1058"/>
      <c r="N1528" s="512"/>
      <c r="O1528" s="512"/>
      <c r="P1528" s="512"/>
      <c r="Q1528" s="512"/>
      <c r="R1528" s="512"/>
      <c r="S1528" s="512"/>
      <c r="T1528" s="512"/>
      <c r="U1528" s="512"/>
      <c r="V1528" s="512"/>
      <c r="W1528" s="512"/>
    </row>
    <row r="1529" s="477" customFormat="1" ht="15.4" customHeight="1" spans="1:23">
      <c r="A1529" s="1053" t="s">
        <v>1310</v>
      </c>
      <c r="B1529" s="1099" t="s">
        <v>1328</v>
      </c>
      <c r="C1529" s="1089" t="s">
        <v>50</v>
      </c>
      <c r="D1529" s="267">
        <v>19</v>
      </c>
      <c r="E1529" s="1127"/>
      <c r="F1529" s="675">
        <v>45845</v>
      </c>
      <c r="G1529" s="840">
        <f t="shared" si="118"/>
        <v>45814</v>
      </c>
      <c r="H1529" s="676">
        <f t="shared" si="119"/>
        <v>45845</v>
      </c>
      <c r="I1529" s="784" t="s">
        <v>1330</v>
      </c>
      <c r="J1529" s="1053" t="s">
        <v>39</v>
      </c>
      <c r="K1529" s="1143" t="s">
        <v>19</v>
      </c>
      <c r="L1529" s="279" t="s">
        <v>20</v>
      </c>
      <c r="M1529" s="1058"/>
      <c r="N1529" s="512"/>
      <c r="O1529" s="512"/>
      <c r="P1529" s="512"/>
      <c r="Q1529" s="512"/>
      <c r="R1529" s="512"/>
      <c r="S1529" s="512"/>
      <c r="T1529" s="512"/>
      <c r="U1529" s="512"/>
      <c r="V1529" s="512"/>
      <c r="W1529" s="512"/>
    </row>
    <row r="1530" s="477" customFormat="1" ht="15.4" customHeight="1" spans="1:23">
      <c r="A1530" s="1053" t="s">
        <v>1310</v>
      </c>
      <c r="B1530" s="1099" t="s">
        <v>1328</v>
      </c>
      <c r="C1530" s="1089" t="s">
        <v>57</v>
      </c>
      <c r="D1530" s="267">
        <v>11</v>
      </c>
      <c r="E1530" s="1127"/>
      <c r="F1530" s="675">
        <v>45845</v>
      </c>
      <c r="G1530" s="840">
        <f t="shared" si="118"/>
        <v>45814</v>
      </c>
      <c r="H1530" s="676">
        <f t="shared" si="119"/>
        <v>45845</v>
      </c>
      <c r="I1530" s="784" t="s">
        <v>1330</v>
      </c>
      <c r="J1530" s="1053" t="s">
        <v>39</v>
      </c>
      <c r="K1530" s="1143" t="s">
        <v>19</v>
      </c>
      <c r="L1530" s="279" t="s">
        <v>20</v>
      </c>
      <c r="M1530" s="1058"/>
      <c r="N1530" s="512"/>
      <c r="O1530" s="512"/>
      <c r="P1530" s="512"/>
      <c r="Q1530" s="512"/>
      <c r="R1530" s="512"/>
      <c r="S1530" s="512"/>
      <c r="T1530" s="512"/>
      <c r="U1530" s="512"/>
      <c r="V1530" s="512"/>
      <c r="W1530" s="512"/>
    </row>
    <row r="1531" s="477" customFormat="1" ht="15.4" customHeight="1" spans="1:23">
      <c r="A1531" s="1053" t="s">
        <v>1310</v>
      </c>
      <c r="B1531" s="1099" t="s">
        <v>1328</v>
      </c>
      <c r="C1531" s="1089" t="s">
        <v>58</v>
      </c>
      <c r="D1531" s="267">
        <v>11</v>
      </c>
      <c r="E1531" s="1127"/>
      <c r="F1531" s="675">
        <v>45845</v>
      </c>
      <c r="G1531" s="840">
        <f t="shared" si="118"/>
        <v>45814</v>
      </c>
      <c r="H1531" s="676">
        <f t="shared" si="119"/>
        <v>45845</v>
      </c>
      <c r="I1531" s="784" t="s">
        <v>1330</v>
      </c>
      <c r="J1531" s="1053" t="s">
        <v>39</v>
      </c>
      <c r="K1531" s="1143" t="s">
        <v>19</v>
      </c>
      <c r="L1531" s="279" t="s">
        <v>20</v>
      </c>
      <c r="M1531" s="1058"/>
      <c r="N1531" s="512"/>
      <c r="O1531" s="512"/>
      <c r="P1531" s="512"/>
      <c r="Q1531" s="512"/>
      <c r="R1531" s="512"/>
      <c r="S1531" s="512"/>
      <c r="T1531" s="512"/>
      <c r="U1531" s="512"/>
      <c r="V1531" s="512"/>
      <c r="W1531" s="512"/>
    </row>
    <row r="1532" s="477" customFormat="1" ht="15.4" customHeight="1" spans="1:23">
      <c r="A1532" s="1053" t="s">
        <v>1310</v>
      </c>
      <c r="B1532" s="1099" t="s">
        <v>1328</v>
      </c>
      <c r="C1532" s="1089" t="s">
        <v>31</v>
      </c>
      <c r="D1532" s="267">
        <v>2</v>
      </c>
      <c r="E1532" s="1127"/>
      <c r="F1532" s="675">
        <v>45845</v>
      </c>
      <c r="G1532" s="840">
        <f t="shared" si="118"/>
        <v>45814</v>
      </c>
      <c r="H1532" s="676">
        <f t="shared" si="119"/>
        <v>45845</v>
      </c>
      <c r="I1532" s="784" t="s">
        <v>1330</v>
      </c>
      <c r="J1532" s="1053" t="s">
        <v>39</v>
      </c>
      <c r="K1532" s="1179" t="s">
        <v>19</v>
      </c>
      <c r="L1532" s="279" t="s">
        <v>20</v>
      </c>
      <c r="M1532" s="1058"/>
      <c r="N1532" s="512"/>
      <c r="O1532" s="512"/>
      <c r="P1532" s="512"/>
      <c r="Q1532" s="512"/>
      <c r="R1532" s="512"/>
      <c r="S1532" s="512"/>
      <c r="T1532" s="512"/>
      <c r="U1532" s="512"/>
      <c r="V1532" s="512"/>
      <c r="W1532" s="512"/>
    </row>
    <row r="1533" s="477" customFormat="1" ht="15.4" customHeight="1" spans="1:23">
      <c r="A1533" s="1053" t="s">
        <v>1310</v>
      </c>
      <c r="B1533" s="1099" t="s">
        <v>1328</v>
      </c>
      <c r="C1533" s="1089" t="s">
        <v>32</v>
      </c>
      <c r="D1533" s="267">
        <v>2</v>
      </c>
      <c r="E1533" s="1127"/>
      <c r="F1533" s="675">
        <v>45845</v>
      </c>
      <c r="G1533" s="840">
        <f t="shared" si="118"/>
        <v>45814</v>
      </c>
      <c r="H1533" s="676">
        <f t="shared" si="119"/>
        <v>45845</v>
      </c>
      <c r="I1533" s="784" t="s">
        <v>1330</v>
      </c>
      <c r="J1533" s="1053" t="s">
        <v>39</v>
      </c>
      <c r="K1533" s="1143" t="s">
        <v>19</v>
      </c>
      <c r="L1533" s="279" t="s">
        <v>20</v>
      </c>
      <c r="M1533" s="1058"/>
      <c r="N1533" s="512"/>
      <c r="O1533" s="512"/>
      <c r="P1533" s="512"/>
      <c r="Q1533" s="512"/>
      <c r="R1533" s="512"/>
      <c r="S1533" s="512"/>
      <c r="T1533" s="512"/>
      <c r="U1533" s="512"/>
      <c r="V1533" s="512"/>
      <c r="W1533" s="512"/>
    </row>
    <row r="1534" s="477" customFormat="1" ht="15.4" customHeight="1" spans="1:23">
      <c r="A1534" s="1053" t="s">
        <v>1310</v>
      </c>
      <c r="B1534" s="1099" t="s">
        <v>1328</v>
      </c>
      <c r="C1534" s="1089" t="s">
        <v>59</v>
      </c>
      <c r="D1534" s="267">
        <v>5</v>
      </c>
      <c r="E1534" s="1127"/>
      <c r="F1534" s="675">
        <v>45845</v>
      </c>
      <c r="G1534" s="840">
        <f t="shared" si="118"/>
        <v>45814</v>
      </c>
      <c r="H1534" s="676">
        <f t="shared" si="119"/>
        <v>45845</v>
      </c>
      <c r="I1534" s="784" t="s">
        <v>1330</v>
      </c>
      <c r="J1534" s="1053" t="s">
        <v>39</v>
      </c>
      <c r="K1534" s="1179" t="s">
        <v>19</v>
      </c>
      <c r="L1534" s="279" t="s">
        <v>20</v>
      </c>
      <c r="M1534" s="1058"/>
      <c r="N1534" s="512"/>
      <c r="O1534" s="512"/>
      <c r="P1534" s="512"/>
      <c r="Q1534" s="512"/>
      <c r="R1534" s="512"/>
      <c r="S1534" s="512"/>
      <c r="T1534" s="512"/>
      <c r="U1534" s="512"/>
      <c r="V1534" s="512"/>
      <c r="W1534" s="512"/>
    </row>
    <row r="1535" s="477" customFormat="1" ht="15.4" customHeight="1" spans="1:23">
      <c r="A1535" s="1053" t="s">
        <v>1310</v>
      </c>
      <c r="B1535" s="1099" t="s">
        <v>1328</v>
      </c>
      <c r="C1535" s="1089" t="s">
        <v>60</v>
      </c>
      <c r="D1535" s="267">
        <v>5</v>
      </c>
      <c r="E1535" s="1127"/>
      <c r="F1535" s="675">
        <v>45845</v>
      </c>
      <c r="G1535" s="840">
        <f t="shared" si="118"/>
        <v>45814</v>
      </c>
      <c r="H1535" s="676">
        <f t="shared" si="119"/>
        <v>45845</v>
      </c>
      <c r="I1535" s="784" t="s">
        <v>1330</v>
      </c>
      <c r="J1535" s="1053" t="s">
        <v>39</v>
      </c>
      <c r="K1535" s="1143" t="s">
        <v>19</v>
      </c>
      <c r="L1535" s="279" t="s">
        <v>20</v>
      </c>
      <c r="M1535" s="1058"/>
      <c r="N1535" s="512"/>
      <c r="O1535" s="512"/>
      <c r="P1535" s="512"/>
      <c r="Q1535" s="512"/>
      <c r="R1535" s="512"/>
      <c r="S1535" s="512"/>
      <c r="T1535" s="512"/>
      <c r="U1535" s="512"/>
      <c r="V1535" s="512"/>
      <c r="W1535" s="512"/>
    </row>
    <row r="1536" s="477" customFormat="1" ht="15.4" customHeight="1" spans="1:23">
      <c r="A1536" s="1053" t="s">
        <v>1310</v>
      </c>
      <c r="B1536" s="1099" t="s">
        <v>1328</v>
      </c>
      <c r="C1536" s="1089" t="s">
        <v>462</v>
      </c>
      <c r="D1536" s="267">
        <v>2</v>
      </c>
      <c r="E1536" s="1127"/>
      <c r="F1536" s="675">
        <v>45845</v>
      </c>
      <c r="G1536" s="840">
        <f t="shared" si="118"/>
        <v>45814</v>
      </c>
      <c r="H1536" s="676">
        <f t="shared" si="119"/>
        <v>45845</v>
      </c>
      <c r="I1536" s="784" t="s">
        <v>1330</v>
      </c>
      <c r="J1536" s="1053" t="s">
        <v>39</v>
      </c>
      <c r="K1536" s="1143" t="s">
        <v>19</v>
      </c>
      <c r="L1536" s="279" t="s">
        <v>20</v>
      </c>
      <c r="M1536" s="1058"/>
      <c r="N1536" s="512"/>
      <c r="O1536" s="512"/>
      <c r="P1536" s="512"/>
      <c r="Q1536" s="512"/>
      <c r="R1536" s="512"/>
      <c r="S1536" s="512"/>
      <c r="T1536" s="512"/>
      <c r="U1536" s="512"/>
      <c r="V1536" s="512"/>
      <c r="W1536" s="512"/>
    </row>
    <row r="1537" s="477" customFormat="1" ht="15.4" customHeight="1" spans="1:23">
      <c r="A1537" s="1053" t="s">
        <v>1310</v>
      </c>
      <c r="B1537" s="1099" t="s">
        <v>1328</v>
      </c>
      <c r="C1537" s="1089" t="s">
        <v>463</v>
      </c>
      <c r="D1537" s="267">
        <v>2</v>
      </c>
      <c r="E1537" s="1127"/>
      <c r="F1537" s="675">
        <v>45845</v>
      </c>
      <c r="G1537" s="840">
        <f t="shared" si="118"/>
        <v>45814</v>
      </c>
      <c r="H1537" s="676">
        <f t="shared" si="119"/>
        <v>45845</v>
      </c>
      <c r="I1537" s="784" t="s">
        <v>1330</v>
      </c>
      <c r="J1537" s="1053" t="s">
        <v>39</v>
      </c>
      <c r="K1537" s="1143" t="s">
        <v>19</v>
      </c>
      <c r="L1537" s="279" t="s">
        <v>20</v>
      </c>
      <c r="M1537" s="1058"/>
      <c r="N1537" s="512"/>
      <c r="O1537" s="512"/>
      <c r="P1537" s="512"/>
      <c r="Q1537" s="512"/>
      <c r="R1537" s="512"/>
      <c r="S1537" s="512"/>
      <c r="T1537" s="512"/>
      <c r="U1537" s="512"/>
      <c r="V1537" s="512"/>
      <c r="W1537" s="512"/>
    </row>
    <row r="1538" s="477" customFormat="1" ht="15.4" customHeight="1" spans="1:23">
      <c r="A1538" s="1053" t="s">
        <v>1310</v>
      </c>
      <c r="B1538" s="1099" t="s">
        <v>1328</v>
      </c>
      <c r="C1538" s="1089" t="s">
        <v>757</v>
      </c>
      <c r="D1538" s="267">
        <v>4</v>
      </c>
      <c r="E1538" s="1127"/>
      <c r="F1538" s="675">
        <v>45845</v>
      </c>
      <c r="G1538" s="840">
        <f t="shared" si="118"/>
        <v>45814</v>
      </c>
      <c r="H1538" s="676">
        <f t="shared" si="119"/>
        <v>45845</v>
      </c>
      <c r="I1538" s="784" t="s">
        <v>1330</v>
      </c>
      <c r="J1538" s="1053" t="s">
        <v>39</v>
      </c>
      <c r="K1538" s="1143" t="s">
        <v>19</v>
      </c>
      <c r="L1538" s="279" t="s">
        <v>20</v>
      </c>
      <c r="M1538" s="1058"/>
      <c r="N1538" s="512"/>
      <c r="O1538" s="512"/>
      <c r="P1538" s="512"/>
      <c r="Q1538" s="512"/>
      <c r="R1538" s="512"/>
      <c r="S1538" s="512"/>
      <c r="T1538" s="512"/>
      <c r="U1538" s="512"/>
      <c r="V1538" s="512"/>
      <c r="W1538" s="512"/>
    </row>
    <row r="1539" s="477" customFormat="1" ht="15.4" customHeight="1" spans="1:23">
      <c r="A1539" s="1053" t="s">
        <v>1310</v>
      </c>
      <c r="B1539" s="1099" t="s">
        <v>1328</v>
      </c>
      <c r="C1539" s="1089" t="s">
        <v>761</v>
      </c>
      <c r="D1539" s="267">
        <v>3</v>
      </c>
      <c r="E1539" s="1127"/>
      <c r="F1539" s="675">
        <v>45845</v>
      </c>
      <c r="G1539" s="840">
        <f t="shared" si="118"/>
        <v>45814</v>
      </c>
      <c r="H1539" s="676">
        <f t="shared" si="119"/>
        <v>45845</v>
      </c>
      <c r="I1539" s="784" t="s">
        <v>1330</v>
      </c>
      <c r="J1539" s="1053" t="s">
        <v>39</v>
      </c>
      <c r="K1539" s="1143" t="s">
        <v>19</v>
      </c>
      <c r="L1539" s="279" t="s">
        <v>20</v>
      </c>
      <c r="M1539" s="1058"/>
      <c r="N1539" s="512"/>
      <c r="O1539" s="512"/>
      <c r="P1539" s="512"/>
      <c r="Q1539" s="512"/>
      <c r="R1539" s="512"/>
      <c r="S1539" s="512"/>
      <c r="T1539" s="512"/>
      <c r="U1539" s="512"/>
      <c r="V1539" s="512"/>
      <c r="W1539" s="512"/>
    </row>
    <row r="1540" s="477" customFormat="1" ht="15.4" customHeight="1" spans="1:23">
      <c r="A1540" s="1053" t="s">
        <v>1310</v>
      </c>
      <c r="B1540" s="1099" t="s">
        <v>1328</v>
      </c>
      <c r="C1540" s="1089" t="s">
        <v>342</v>
      </c>
      <c r="D1540" s="267">
        <v>3</v>
      </c>
      <c r="E1540" s="1127"/>
      <c r="F1540" s="675">
        <v>45845</v>
      </c>
      <c r="G1540" s="840">
        <f t="shared" si="118"/>
        <v>45814</v>
      </c>
      <c r="H1540" s="676">
        <f t="shared" si="119"/>
        <v>45845</v>
      </c>
      <c r="I1540" s="784" t="s">
        <v>1330</v>
      </c>
      <c r="J1540" s="1053" t="s">
        <v>39</v>
      </c>
      <c r="K1540" s="1143" t="s">
        <v>19</v>
      </c>
      <c r="L1540" s="279" t="s">
        <v>20</v>
      </c>
      <c r="M1540" s="1058"/>
      <c r="N1540" s="512"/>
      <c r="O1540" s="512"/>
      <c r="P1540" s="512"/>
      <c r="Q1540" s="512"/>
      <c r="R1540" s="512"/>
      <c r="S1540" s="512"/>
      <c r="T1540" s="512"/>
      <c r="U1540" s="512"/>
      <c r="V1540" s="512"/>
      <c r="W1540" s="512"/>
    </row>
    <row r="1541" s="477" customFormat="1" ht="15.4" customHeight="1" spans="1:23">
      <c r="A1541" s="1053" t="s">
        <v>1310</v>
      </c>
      <c r="B1541" s="1099" t="s">
        <v>1328</v>
      </c>
      <c r="C1541" s="1089" t="s">
        <v>396</v>
      </c>
      <c r="D1541" s="267">
        <v>3</v>
      </c>
      <c r="E1541" s="1127"/>
      <c r="F1541" s="675">
        <v>45845</v>
      </c>
      <c r="G1541" s="840">
        <f t="shared" si="118"/>
        <v>45814</v>
      </c>
      <c r="H1541" s="676">
        <f t="shared" si="119"/>
        <v>45845</v>
      </c>
      <c r="I1541" s="784" t="s">
        <v>1330</v>
      </c>
      <c r="J1541" s="1053" t="s">
        <v>39</v>
      </c>
      <c r="K1541" s="1143" t="s">
        <v>19</v>
      </c>
      <c r="L1541" s="279" t="s">
        <v>20</v>
      </c>
      <c r="M1541" s="1058"/>
      <c r="N1541" s="512"/>
      <c r="O1541" s="512"/>
      <c r="P1541" s="512"/>
      <c r="Q1541" s="512"/>
      <c r="R1541" s="512"/>
      <c r="S1541" s="512"/>
      <c r="T1541" s="512"/>
      <c r="U1541" s="512"/>
      <c r="V1541" s="512"/>
      <c r="W1541" s="512"/>
    </row>
    <row r="1542" s="477" customFormat="1" ht="15.4" customHeight="1" spans="1:23">
      <c r="A1542" s="1053" t="s">
        <v>1310</v>
      </c>
      <c r="B1542" s="1099" t="s">
        <v>1328</v>
      </c>
      <c r="C1542" s="1089" t="s">
        <v>91</v>
      </c>
      <c r="D1542" s="267">
        <v>4</v>
      </c>
      <c r="E1542" s="1127"/>
      <c r="F1542" s="675">
        <v>45845</v>
      </c>
      <c r="G1542" s="840">
        <f t="shared" si="118"/>
        <v>45814</v>
      </c>
      <c r="H1542" s="676">
        <f t="shared" si="119"/>
        <v>45845</v>
      </c>
      <c r="I1542" s="784" t="s">
        <v>1330</v>
      </c>
      <c r="J1542" s="1053" t="s">
        <v>39</v>
      </c>
      <c r="K1542" s="1143" t="s">
        <v>19</v>
      </c>
      <c r="L1542" s="279" t="s">
        <v>20</v>
      </c>
      <c r="M1542" s="1058"/>
      <c r="N1542" s="512"/>
      <c r="O1542" s="512"/>
      <c r="P1542" s="512"/>
      <c r="Q1542" s="512"/>
      <c r="R1542" s="512"/>
      <c r="S1542" s="512"/>
      <c r="T1542" s="512"/>
      <c r="U1542" s="512"/>
      <c r="V1542" s="512"/>
      <c r="W1542" s="512"/>
    </row>
    <row r="1543" s="477" customFormat="1" ht="15.4" customHeight="1" spans="1:23">
      <c r="A1543" s="1053" t="s">
        <v>1310</v>
      </c>
      <c r="B1543" s="1099" t="s">
        <v>1328</v>
      </c>
      <c r="C1543" s="1089" t="s">
        <v>77</v>
      </c>
      <c r="D1543" s="267">
        <v>2</v>
      </c>
      <c r="E1543" s="1127"/>
      <c r="F1543" s="675">
        <v>45845</v>
      </c>
      <c r="G1543" s="840">
        <f t="shared" si="118"/>
        <v>45814</v>
      </c>
      <c r="H1543" s="676">
        <f t="shared" si="119"/>
        <v>45845</v>
      </c>
      <c r="I1543" s="784" t="s">
        <v>1330</v>
      </c>
      <c r="J1543" s="1053" t="s">
        <v>39</v>
      </c>
      <c r="K1543" s="1143" t="s">
        <v>19</v>
      </c>
      <c r="L1543" s="279" t="s">
        <v>20</v>
      </c>
      <c r="M1543" s="1058"/>
      <c r="N1543" s="512"/>
      <c r="O1543" s="512"/>
      <c r="P1543" s="512"/>
      <c r="Q1543" s="512"/>
      <c r="R1543" s="512"/>
      <c r="S1543" s="512"/>
      <c r="T1543" s="512"/>
      <c r="U1543" s="512"/>
      <c r="V1543" s="512"/>
      <c r="W1543" s="512"/>
    </row>
    <row r="1544" ht="15.4" customHeight="1" spans="1:23">
      <c r="A1544" s="1053" t="s">
        <v>1253</v>
      </c>
      <c r="B1544" s="1099" t="s">
        <v>1332</v>
      </c>
      <c r="C1544" s="1089" t="s">
        <v>15</v>
      </c>
      <c r="D1544" s="240">
        <v>69</v>
      </c>
      <c r="E1544" s="1055" t="s">
        <v>1333</v>
      </c>
      <c r="F1544" s="675">
        <v>45855</v>
      </c>
      <c r="G1544" s="675">
        <f>VLOOKUP(CLEAN(SUBSTITUTE(TRIM(MID(E:E,FIND("/",E:E)+1,LEN(E:E)))," ","")),'Customs Decl. &amp; Local Delivery'!D:I,6,0)</f>
        <v>45817</v>
      </c>
      <c r="H1544" s="676">
        <f>VLOOKUP(CLEAN(SUBSTITUTE(TRIM(MID(E:E,FIND("/",E:E)+1,LEN(E:E)))," ","")),'Customs Decl. &amp; Local Delivery'!D:J,7,0)</f>
        <v>45849</v>
      </c>
      <c r="I1544" s="1053" t="s">
        <v>1334</v>
      </c>
      <c r="J1544" s="1053" t="s">
        <v>207</v>
      </c>
      <c r="K1544" s="1053" t="s">
        <v>19</v>
      </c>
      <c r="L1544" s="279" t="s">
        <v>20</v>
      </c>
      <c r="M1544" s="1053" t="s">
        <v>1335</v>
      </c>
      <c r="N1544" s="512"/>
      <c r="O1544" s="512"/>
      <c r="P1544" s="512"/>
      <c r="Q1544" s="512"/>
      <c r="R1544" s="512"/>
      <c r="S1544" s="512"/>
      <c r="T1544" s="512"/>
      <c r="U1544" s="512"/>
      <c r="V1544" s="512"/>
      <c r="W1544" s="512"/>
    </row>
    <row r="1545" ht="15.4" customHeight="1" spans="1:23">
      <c r="A1545" s="1053" t="s">
        <v>1253</v>
      </c>
      <c r="B1545" s="1099" t="s">
        <v>1332</v>
      </c>
      <c r="C1545" s="1089" t="s">
        <v>22</v>
      </c>
      <c r="D1545" s="240">
        <v>69</v>
      </c>
      <c r="E1545" s="1127"/>
      <c r="F1545" s="675">
        <v>45855</v>
      </c>
      <c r="G1545" s="1180">
        <f t="shared" ref="G1545:G1563" si="120">G1544</f>
        <v>45817</v>
      </c>
      <c r="H1545" s="676">
        <f t="shared" ref="H1545:H1563" si="121">H1544</f>
        <v>45849</v>
      </c>
      <c r="I1545" s="1053" t="s">
        <v>1334</v>
      </c>
      <c r="J1545" s="1053" t="s">
        <v>207</v>
      </c>
      <c r="K1545" s="1053" t="s">
        <v>19</v>
      </c>
      <c r="L1545" s="279" t="s">
        <v>20</v>
      </c>
      <c r="M1545" s="1053" t="s">
        <v>1258</v>
      </c>
      <c r="N1545" s="512"/>
      <c r="O1545" s="512"/>
      <c r="P1545" s="512"/>
      <c r="Q1545" s="512"/>
      <c r="R1545" s="512"/>
      <c r="S1545" s="512"/>
      <c r="T1545" s="512"/>
      <c r="U1545" s="512"/>
      <c r="V1545" s="512"/>
      <c r="W1545" s="512"/>
    </row>
    <row r="1546" ht="15.4" customHeight="1" spans="1:23">
      <c r="A1546" s="1053" t="s">
        <v>1253</v>
      </c>
      <c r="B1546" s="1099" t="s">
        <v>1332</v>
      </c>
      <c r="C1546" s="1089" t="s">
        <v>24</v>
      </c>
      <c r="D1546" s="240">
        <v>20</v>
      </c>
      <c r="E1546" s="1127"/>
      <c r="F1546" s="675">
        <v>45855</v>
      </c>
      <c r="G1546" s="1180">
        <f t="shared" si="120"/>
        <v>45817</v>
      </c>
      <c r="H1546" s="676">
        <f t="shared" si="121"/>
        <v>45849</v>
      </c>
      <c r="I1546" s="1053" t="s">
        <v>1334</v>
      </c>
      <c r="J1546" s="1053" t="s">
        <v>207</v>
      </c>
      <c r="K1546" s="1053" t="s">
        <v>19</v>
      </c>
      <c r="L1546" s="279" t="s">
        <v>20</v>
      </c>
      <c r="M1546" s="1053"/>
      <c r="N1546" s="512"/>
      <c r="O1546" s="512"/>
      <c r="P1546" s="512"/>
      <c r="Q1546" s="512"/>
      <c r="R1546" s="512"/>
      <c r="S1546" s="512"/>
      <c r="T1546" s="512"/>
      <c r="U1546" s="512"/>
      <c r="V1546" s="512"/>
      <c r="W1546" s="512"/>
    </row>
    <row r="1547" ht="15.4" customHeight="1" spans="1:23">
      <c r="A1547" s="1053" t="s">
        <v>1253</v>
      </c>
      <c r="B1547" s="1099" t="s">
        <v>1332</v>
      </c>
      <c r="C1547" s="1089" t="s">
        <v>25</v>
      </c>
      <c r="D1547" s="240">
        <v>20</v>
      </c>
      <c r="E1547" s="1127"/>
      <c r="F1547" s="675">
        <v>45855</v>
      </c>
      <c r="G1547" s="1180">
        <f t="shared" si="120"/>
        <v>45817</v>
      </c>
      <c r="H1547" s="676">
        <f t="shared" si="121"/>
        <v>45849</v>
      </c>
      <c r="I1547" s="1053" t="s">
        <v>1334</v>
      </c>
      <c r="J1547" s="1053" t="s">
        <v>207</v>
      </c>
      <c r="K1547" s="1053" t="s">
        <v>19</v>
      </c>
      <c r="L1547" s="279" t="s">
        <v>20</v>
      </c>
      <c r="M1547" s="1053"/>
      <c r="N1547" s="512"/>
      <c r="O1547" s="512"/>
      <c r="P1547" s="512"/>
      <c r="Q1547" s="512"/>
      <c r="R1547" s="512"/>
      <c r="S1547" s="512"/>
      <c r="T1547" s="512"/>
      <c r="U1547" s="512"/>
      <c r="V1547" s="512"/>
      <c r="W1547" s="512"/>
    </row>
    <row r="1548" ht="15.4" customHeight="1" spans="1:23">
      <c r="A1548" s="1053" t="s">
        <v>1253</v>
      </c>
      <c r="B1548" s="1099" t="s">
        <v>1332</v>
      </c>
      <c r="C1548" s="1089" t="s">
        <v>27</v>
      </c>
      <c r="D1548" s="240">
        <v>20</v>
      </c>
      <c r="E1548" s="1127"/>
      <c r="F1548" s="675">
        <v>45855</v>
      </c>
      <c r="G1548" s="1180">
        <f t="shared" si="120"/>
        <v>45817</v>
      </c>
      <c r="H1548" s="676">
        <f t="shared" si="121"/>
        <v>45849</v>
      </c>
      <c r="I1548" s="1053" t="s">
        <v>1334</v>
      </c>
      <c r="J1548" s="1053" t="s">
        <v>207</v>
      </c>
      <c r="K1548" s="1053" t="s">
        <v>19</v>
      </c>
      <c r="L1548" s="279" t="s">
        <v>20</v>
      </c>
      <c r="M1548" s="1053"/>
      <c r="N1548" s="512"/>
      <c r="O1548" s="512"/>
      <c r="P1548" s="512"/>
      <c r="Q1548" s="512"/>
      <c r="R1548" s="512"/>
      <c r="S1548" s="512"/>
      <c r="T1548" s="512"/>
      <c r="U1548" s="512"/>
      <c r="V1548" s="512"/>
      <c r="W1548" s="512"/>
    </row>
    <row r="1549" ht="15.4" customHeight="1" spans="1:23">
      <c r="A1549" s="1053" t="s">
        <v>1253</v>
      </c>
      <c r="B1549" s="1099" t="s">
        <v>1332</v>
      </c>
      <c r="C1549" s="1089" t="s">
        <v>28</v>
      </c>
      <c r="D1549" s="240">
        <v>20</v>
      </c>
      <c r="E1549" s="1127"/>
      <c r="F1549" s="675">
        <v>45855</v>
      </c>
      <c r="G1549" s="1180">
        <f t="shared" si="120"/>
        <v>45817</v>
      </c>
      <c r="H1549" s="676">
        <f t="shared" si="121"/>
        <v>45849</v>
      </c>
      <c r="I1549" s="1053" t="s">
        <v>1334</v>
      </c>
      <c r="J1549" s="1053" t="s">
        <v>207</v>
      </c>
      <c r="K1549" s="1053" t="s">
        <v>19</v>
      </c>
      <c r="L1549" s="279" t="s">
        <v>20</v>
      </c>
      <c r="M1549" s="1053"/>
      <c r="N1549" s="512"/>
      <c r="O1549" s="512"/>
      <c r="P1549" s="512"/>
      <c r="Q1549" s="512"/>
      <c r="R1549" s="512"/>
      <c r="S1549" s="512"/>
      <c r="T1549" s="512"/>
      <c r="U1549" s="512"/>
      <c r="V1549" s="512"/>
      <c r="W1549" s="512"/>
    </row>
    <row r="1550" ht="15.4" customHeight="1" spans="1:23">
      <c r="A1550" s="1053" t="s">
        <v>1253</v>
      </c>
      <c r="B1550" s="1099" t="s">
        <v>1332</v>
      </c>
      <c r="C1550" s="1089" t="s">
        <v>135</v>
      </c>
      <c r="D1550" s="240">
        <v>2</v>
      </c>
      <c r="E1550" s="1127"/>
      <c r="F1550" s="675">
        <v>45855</v>
      </c>
      <c r="G1550" s="1180">
        <f t="shared" si="120"/>
        <v>45817</v>
      </c>
      <c r="H1550" s="676">
        <f t="shared" si="121"/>
        <v>45849</v>
      </c>
      <c r="I1550" s="1053" t="s">
        <v>1334</v>
      </c>
      <c r="J1550" s="1053" t="s">
        <v>207</v>
      </c>
      <c r="K1550" s="1053" t="s">
        <v>19</v>
      </c>
      <c r="L1550" s="279" t="s">
        <v>20</v>
      </c>
      <c r="M1550" s="1053"/>
      <c r="N1550" s="512"/>
      <c r="O1550" s="512"/>
      <c r="P1550" s="512"/>
      <c r="Q1550" s="512"/>
      <c r="R1550" s="512"/>
      <c r="S1550" s="512"/>
      <c r="T1550" s="512"/>
      <c r="U1550" s="512"/>
      <c r="V1550" s="512"/>
      <c r="W1550" s="512"/>
    </row>
    <row r="1551" ht="15.4" customHeight="1" spans="1:23">
      <c r="A1551" s="1053" t="s">
        <v>1253</v>
      </c>
      <c r="B1551" s="1099" t="s">
        <v>1332</v>
      </c>
      <c r="C1551" s="1089" t="s">
        <v>136</v>
      </c>
      <c r="D1551" s="240">
        <v>2</v>
      </c>
      <c r="E1551" s="1127"/>
      <c r="F1551" s="675">
        <v>45855</v>
      </c>
      <c r="G1551" s="1180">
        <f t="shared" si="120"/>
        <v>45817</v>
      </c>
      <c r="H1551" s="676">
        <f t="shared" si="121"/>
        <v>45849</v>
      </c>
      <c r="I1551" s="1053" t="s">
        <v>1334</v>
      </c>
      <c r="J1551" s="1053" t="s">
        <v>207</v>
      </c>
      <c r="K1551" s="1053" t="s">
        <v>19</v>
      </c>
      <c r="L1551" s="279" t="s">
        <v>20</v>
      </c>
      <c r="M1551" s="1053"/>
      <c r="N1551" s="512"/>
      <c r="O1551" s="512"/>
      <c r="P1551" s="512"/>
      <c r="Q1551" s="512"/>
      <c r="R1551" s="512"/>
      <c r="S1551" s="512"/>
      <c r="T1551" s="512"/>
      <c r="U1551" s="512"/>
      <c r="V1551" s="512"/>
      <c r="W1551" s="512"/>
    </row>
    <row r="1552" ht="15.4" customHeight="1" spans="1:23">
      <c r="A1552" s="1053" t="s">
        <v>1253</v>
      </c>
      <c r="B1552" s="1099" t="s">
        <v>1332</v>
      </c>
      <c r="C1552" s="1089" t="s">
        <v>67</v>
      </c>
      <c r="D1552" s="240">
        <v>15</v>
      </c>
      <c r="E1552" s="1127"/>
      <c r="F1552" s="675">
        <v>45855</v>
      </c>
      <c r="G1552" s="1180">
        <f t="shared" si="120"/>
        <v>45817</v>
      </c>
      <c r="H1552" s="676">
        <f t="shared" si="121"/>
        <v>45849</v>
      </c>
      <c r="I1552" s="1053" t="s">
        <v>1334</v>
      </c>
      <c r="J1552" s="1053" t="s">
        <v>207</v>
      </c>
      <c r="K1552" s="1053" t="s">
        <v>19</v>
      </c>
      <c r="L1552" s="279" t="s">
        <v>20</v>
      </c>
      <c r="M1552" s="1053"/>
      <c r="N1552" s="512"/>
      <c r="O1552" s="512"/>
      <c r="P1552" s="512"/>
      <c r="Q1552" s="512"/>
      <c r="R1552" s="512"/>
      <c r="S1552" s="512"/>
      <c r="T1552" s="512"/>
      <c r="U1552" s="512"/>
      <c r="V1552" s="512"/>
      <c r="W1552" s="512"/>
    </row>
    <row r="1553" ht="15.4" customHeight="1" spans="1:23">
      <c r="A1553" s="1053" t="s">
        <v>1253</v>
      </c>
      <c r="B1553" s="1099" t="s">
        <v>1332</v>
      </c>
      <c r="C1553" s="1089" t="s">
        <v>69</v>
      </c>
      <c r="D1553" s="240">
        <v>15</v>
      </c>
      <c r="E1553" s="1127"/>
      <c r="F1553" s="675">
        <v>45855</v>
      </c>
      <c r="G1553" s="1180">
        <f t="shared" si="120"/>
        <v>45817</v>
      </c>
      <c r="H1553" s="676">
        <f t="shared" si="121"/>
        <v>45849</v>
      </c>
      <c r="I1553" s="1053" t="s">
        <v>1334</v>
      </c>
      <c r="J1553" s="1053" t="s">
        <v>207</v>
      </c>
      <c r="K1553" s="1053" t="s">
        <v>19</v>
      </c>
      <c r="L1553" s="279" t="s">
        <v>20</v>
      </c>
      <c r="M1553" s="1053"/>
      <c r="N1553" s="512"/>
      <c r="O1553" s="512"/>
      <c r="P1553" s="512"/>
      <c r="Q1553" s="512"/>
      <c r="R1553" s="512"/>
      <c r="S1553" s="512"/>
      <c r="T1553" s="512"/>
      <c r="U1553" s="512"/>
      <c r="V1553" s="512"/>
      <c r="W1553" s="512"/>
    </row>
    <row r="1554" ht="15.4" customHeight="1" spans="1:23">
      <c r="A1554" s="1053" t="s">
        <v>1253</v>
      </c>
      <c r="B1554" s="1099" t="s">
        <v>1332</v>
      </c>
      <c r="C1554" s="1089" t="s">
        <v>70</v>
      </c>
      <c r="D1554" s="240">
        <v>25</v>
      </c>
      <c r="E1554" s="1127"/>
      <c r="F1554" s="675">
        <v>45855</v>
      </c>
      <c r="G1554" s="1180">
        <f t="shared" si="120"/>
        <v>45817</v>
      </c>
      <c r="H1554" s="676">
        <f t="shared" si="121"/>
        <v>45849</v>
      </c>
      <c r="I1554" s="1053" t="s">
        <v>1334</v>
      </c>
      <c r="J1554" s="1053" t="s">
        <v>207</v>
      </c>
      <c r="K1554" s="1053" t="s">
        <v>19</v>
      </c>
      <c r="L1554" s="279" t="s">
        <v>20</v>
      </c>
      <c r="M1554" s="1053"/>
      <c r="N1554" s="512"/>
      <c r="O1554" s="512"/>
      <c r="P1554" s="512"/>
      <c r="Q1554" s="512"/>
      <c r="R1554" s="512"/>
      <c r="S1554" s="512"/>
      <c r="T1554" s="512"/>
      <c r="U1554" s="512"/>
      <c r="V1554" s="512"/>
      <c r="W1554" s="512"/>
    </row>
    <row r="1555" ht="15.4" customHeight="1" spans="1:23">
      <c r="A1555" s="1053" t="s">
        <v>1253</v>
      </c>
      <c r="B1555" s="1099" t="s">
        <v>1332</v>
      </c>
      <c r="C1555" s="1089" t="s">
        <v>71</v>
      </c>
      <c r="D1555" s="240">
        <v>25</v>
      </c>
      <c r="E1555" s="1127"/>
      <c r="F1555" s="675">
        <v>45855</v>
      </c>
      <c r="G1555" s="1180">
        <f t="shared" si="120"/>
        <v>45817</v>
      </c>
      <c r="H1555" s="676">
        <f t="shared" si="121"/>
        <v>45849</v>
      </c>
      <c r="I1555" s="1053" t="s">
        <v>1334</v>
      </c>
      <c r="J1555" s="1053" t="s">
        <v>207</v>
      </c>
      <c r="K1555" s="1053" t="s">
        <v>19</v>
      </c>
      <c r="L1555" s="279" t="s">
        <v>20</v>
      </c>
      <c r="M1555" s="1053"/>
      <c r="N1555" s="512"/>
      <c r="O1555" s="512"/>
      <c r="P1555" s="512"/>
      <c r="Q1555" s="512"/>
      <c r="R1555" s="512"/>
      <c r="S1555" s="512"/>
      <c r="T1555" s="512"/>
      <c r="U1555" s="512"/>
      <c r="V1555" s="512"/>
      <c r="W1555" s="512"/>
    </row>
    <row r="1556" ht="15.4" customHeight="1" spans="1:23">
      <c r="A1556" s="1053" t="s">
        <v>1253</v>
      </c>
      <c r="B1556" s="1099" t="s">
        <v>1332</v>
      </c>
      <c r="C1556" s="1089" t="s">
        <v>164</v>
      </c>
      <c r="D1556" s="240">
        <v>2</v>
      </c>
      <c r="E1556" s="1127"/>
      <c r="F1556" s="675">
        <v>45855</v>
      </c>
      <c r="G1556" s="1180">
        <f t="shared" si="120"/>
        <v>45817</v>
      </c>
      <c r="H1556" s="676">
        <f t="shared" si="121"/>
        <v>45849</v>
      </c>
      <c r="I1556" s="1053" t="s">
        <v>1334</v>
      </c>
      <c r="J1556" s="1053" t="s">
        <v>207</v>
      </c>
      <c r="K1556" s="1053" t="s">
        <v>19</v>
      </c>
      <c r="L1556" s="279" t="s">
        <v>20</v>
      </c>
      <c r="M1556" s="1053"/>
      <c r="N1556" s="512"/>
      <c r="O1556" s="512"/>
      <c r="P1556" s="512"/>
      <c r="Q1556" s="512"/>
      <c r="R1556" s="512"/>
      <c r="S1556" s="512"/>
      <c r="T1556" s="512"/>
      <c r="U1556" s="512"/>
      <c r="V1556" s="512"/>
      <c r="W1556" s="512"/>
    </row>
    <row r="1557" ht="15.4" customHeight="1" spans="1:23">
      <c r="A1557" s="1053" t="s">
        <v>1253</v>
      </c>
      <c r="B1557" s="1099" t="s">
        <v>1332</v>
      </c>
      <c r="C1557" s="1089" t="s">
        <v>165</v>
      </c>
      <c r="D1557" s="240">
        <v>2</v>
      </c>
      <c r="E1557" s="1127"/>
      <c r="F1557" s="675">
        <v>45855</v>
      </c>
      <c r="G1557" s="1180">
        <f t="shared" si="120"/>
        <v>45817</v>
      </c>
      <c r="H1557" s="676">
        <f t="shared" si="121"/>
        <v>45849</v>
      </c>
      <c r="I1557" s="1053" t="s">
        <v>1334</v>
      </c>
      <c r="J1557" s="1053" t="s">
        <v>207</v>
      </c>
      <c r="K1557" s="1053" t="s">
        <v>19</v>
      </c>
      <c r="L1557" s="279" t="s">
        <v>20</v>
      </c>
      <c r="M1557" s="1053"/>
      <c r="N1557" s="512"/>
      <c r="O1557" s="512"/>
      <c r="P1557" s="512"/>
      <c r="Q1557" s="512"/>
      <c r="R1557" s="512"/>
      <c r="S1557" s="512"/>
      <c r="T1557" s="512"/>
      <c r="U1557" s="512"/>
      <c r="V1557" s="512"/>
      <c r="W1557" s="512"/>
    </row>
    <row r="1558" ht="15.4" customHeight="1" spans="1:23">
      <c r="A1558" s="1053" t="s">
        <v>1253</v>
      </c>
      <c r="B1558" s="1099" t="s">
        <v>1332</v>
      </c>
      <c r="C1558" s="1089" t="s">
        <v>29</v>
      </c>
      <c r="D1558" s="240">
        <v>4</v>
      </c>
      <c r="E1558" s="1127"/>
      <c r="F1558" s="675">
        <v>45855</v>
      </c>
      <c r="G1558" s="1180">
        <f t="shared" si="120"/>
        <v>45817</v>
      </c>
      <c r="H1558" s="676">
        <f t="shared" si="121"/>
        <v>45849</v>
      </c>
      <c r="I1558" s="1053" t="s">
        <v>1334</v>
      </c>
      <c r="J1558" s="1053" t="s">
        <v>207</v>
      </c>
      <c r="K1558" s="1053" t="s">
        <v>19</v>
      </c>
      <c r="L1558" s="279" t="s">
        <v>20</v>
      </c>
      <c r="M1558" s="1053"/>
      <c r="N1558" s="512"/>
      <c r="O1558" s="512"/>
      <c r="P1558" s="512"/>
      <c r="Q1558" s="512"/>
      <c r="R1558" s="512"/>
      <c r="S1558" s="512"/>
      <c r="T1558" s="512"/>
      <c r="U1558" s="512"/>
      <c r="V1558" s="512"/>
      <c r="W1558" s="512"/>
    </row>
    <row r="1559" ht="15.4" customHeight="1" spans="1:23">
      <c r="A1559" s="1053" t="s">
        <v>1253</v>
      </c>
      <c r="B1559" s="1099" t="s">
        <v>1332</v>
      </c>
      <c r="C1559" s="1089" t="s">
        <v>30</v>
      </c>
      <c r="D1559" s="240">
        <v>4</v>
      </c>
      <c r="E1559" s="1127"/>
      <c r="F1559" s="675">
        <v>45855</v>
      </c>
      <c r="G1559" s="1180">
        <f t="shared" si="120"/>
        <v>45817</v>
      </c>
      <c r="H1559" s="676">
        <f t="shared" si="121"/>
        <v>45849</v>
      </c>
      <c r="I1559" s="1053" t="s">
        <v>1334</v>
      </c>
      <c r="J1559" s="1053" t="s">
        <v>207</v>
      </c>
      <c r="K1559" s="1053" t="s">
        <v>19</v>
      </c>
      <c r="L1559" s="279" t="s">
        <v>20</v>
      </c>
      <c r="M1559" s="1053"/>
      <c r="N1559" s="512"/>
      <c r="O1559" s="512"/>
      <c r="P1559" s="512"/>
      <c r="Q1559" s="512"/>
      <c r="R1559" s="512"/>
      <c r="S1559" s="512"/>
      <c r="T1559" s="512"/>
      <c r="U1559" s="512"/>
      <c r="V1559" s="512"/>
      <c r="W1559" s="512"/>
    </row>
    <row r="1560" ht="15.4" customHeight="1" spans="1:23">
      <c r="A1560" s="1053" t="s">
        <v>1253</v>
      </c>
      <c r="B1560" s="1099" t="s">
        <v>1332</v>
      </c>
      <c r="C1560" s="1089" t="s">
        <v>31</v>
      </c>
      <c r="D1560" s="240">
        <v>2</v>
      </c>
      <c r="E1560" s="1127"/>
      <c r="F1560" s="675">
        <v>45855</v>
      </c>
      <c r="G1560" s="1180">
        <f t="shared" si="120"/>
        <v>45817</v>
      </c>
      <c r="H1560" s="676">
        <f t="shared" si="121"/>
        <v>45849</v>
      </c>
      <c r="I1560" s="1053" t="s">
        <v>1334</v>
      </c>
      <c r="J1560" s="1053" t="s">
        <v>207</v>
      </c>
      <c r="K1560" s="1053" t="s">
        <v>19</v>
      </c>
      <c r="L1560" s="279" t="s">
        <v>20</v>
      </c>
      <c r="M1560" s="1053"/>
      <c r="N1560" s="512"/>
      <c r="O1560" s="512"/>
      <c r="P1560" s="512"/>
      <c r="Q1560" s="512"/>
      <c r="R1560" s="512"/>
      <c r="S1560" s="512"/>
      <c r="T1560" s="512"/>
      <c r="U1560" s="512"/>
      <c r="V1560" s="512"/>
      <c r="W1560" s="512"/>
    </row>
    <row r="1561" ht="15.4" customHeight="1" spans="1:23">
      <c r="A1561" s="1053" t="s">
        <v>1253</v>
      </c>
      <c r="B1561" s="1099" t="s">
        <v>1332</v>
      </c>
      <c r="C1561" s="1089" t="s">
        <v>32</v>
      </c>
      <c r="D1561" s="240">
        <v>2</v>
      </c>
      <c r="E1561" s="1127"/>
      <c r="F1561" s="675">
        <v>45855</v>
      </c>
      <c r="G1561" s="1180">
        <f t="shared" si="120"/>
        <v>45817</v>
      </c>
      <c r="H1561" s="676">
        <f t="shared" si="121"/>
        <v>45849</v>
      </c>
      <c r="I1561" s="1053" t="s">
        <v>1334</v>
      </c>
      <c r="J1561" s="1053" t="s">
        <v>207</v>
      </c>
      <c r="K1561" s="1053" t="s">
        <v>19</v>
      </c>
      <c r="L1561" s="279" t="s">
        <v>20</v>
      </c>
      <c r="M1561" s="1053"/>
      <c r="N1561" s="512"/>
      <c r="O1561" s="512"/>
      <c r="P1561" s="512"/>
      <c r="Q1561" s="512"/>
      <c r="R1561" s="512"/>
      <c r="S1561" s="512"/>
      <c r="T1561" s="512"/>
      <c r="U1561" s="512"/>
      <c r="V1561" s="512"/>
      <c r="W1561" s="512"/>
    </row>
    <row r="1562" ht="15.4" customHeight="1" spans="1:23">
      <c r="A1562" s="1053" t="s">
        <v>1253</v>
      </c>
      <c r="B1562" s="1099" t="s">
        <v>1332</v>
      </c>
      <c r="C1562" s="1089" t="s">
        <v>59</v>
      </c>
      <c r="D1562" s="240">
        <v>1</v>
      </c>
      <c r="E1562" s="976"/>
      <c r="F1562" s="675">
        <v>45855</v>
      </c>
      <c r="G1562" s="1180">
        <f t="shared" si="120"/>
        <v>45817</v>
      </c>
      <c r="H1562" s="676">
        <f t="shared" si="121"/>
        <v>45849</v>
      </c>
      <c r="I1562" s="1053" t="s">
        <v>1334</v>
      </c>
      <c r="J1562" s="1053" t="s">
        <v>207</v>
      </c>
      <c r="K1562" s="1053" t="s">
        <v>19</v>
      </c>
      <c r="L1562" s="279" t="s">
        <v>20</v>
      </c>
      <c r="M1562" s="1053"/>
      <c r="N1562" s="512"/>
      <c r="O1562" s="512"/>
      <c r="P1562" s="512"/>
      <c r="Q1562" s="512"/>
      <c r="R1562" s="512"/>
      <c r="S1562" s="512"/>
      <c r="T1562" s="512"/>
      <c r="U1562" s="512"/>
      <c r="V1562" s="512"/>
      <c r="W1562" s="512"/>
    </row>
    <row r="1563" ht="15.4" customHeight="1" spans="1:23">
      <c r="A1563" s="1053" t="s">
        <v>1253</v>
      </c>
      <c r="B1563" s="1099" t="s">
        <v>1332</v>
      </c>
      <c r="C1563" s="1168" t="s">
        <v>60</v>
      </c>
      <c r="D1563" s="246">
        <v>1</v>
      </c>
      <c r="E1563" s="1127"/>
      <c r="F1563" s="675">
        <v>45855</v>
      </c>
      <c r="G1563" s="1180">
        <f t="shared" si="120"/>
        <v>45817</v>
      </c>
      <c r="H1563" s="676">
        <f t="shared" si="121"/>
        <v>45849</v>
      </c>
      <c r="I1563" s="1053" t="s">
        <v>1334</v>
      </c>
      <c r="J1563" s="1053" t="s">
        <v>207</v>
      </c>
      <c r="K1563" s="1053" t="s">
        <v>19</v>
      </c>
      <c r="L1563" s="279" t="s">
        <v>20</v>
      </c>
      <c r="M1563" s="1053"/>
      <c r="N1563" s="512"/>
      <c r="O1563" s="512"/>
      <c r="P1563" s="512"/>
      <c r="Q1563" s="512"/>
      <c r="R1563" s="512"/>
      <c r="S1563" s="512"/>
      <c r="T1563" s="512"/>
      <c r="U1563" s="512"/>
      <c r="V1563" s="512"/>
      <c r="W1563" s="512"/>
    </row>
    <row r="1564" s="178" customFormat="1" ht="15.4" customHeight="1" spans="1:23">
      <c r="A1564" s="784" t="s">
        <v>736</v>
      </c>
      <c r="B1564" s="1050" t="s">
        <v>1336</v>
      </c>
      <c r="C1564" s="1050" t="s">
        <v>104</v>
      </c>
      <c r="D1564" s="279">
        <v>20</v>
      </c>
      <c r="E1564" s="1108" t="s">
        <v>1337</v>
      </c>
      <c r="F1564" s="675">
        <v>45839</v>
      </c>
      <c r="G1564" s="675">
        <f>VLOOKUP(CLEAN(SUBSTITUTE(TRIM(MID(E:E,FIND("/",E:E)+1,LEN(E:E)))," ","")),'Customs Decl. &amp; Local Delivery'!D:I,6,0)</f>
        <v>45817</v>
      </c>
      <c r="H1564" s="676">
        <f>VLOOKUP(CLEAN(SUBSTITUTE(TRIM(MID(E:E,FIND("/",E:E)+1,LEN(E:E)))," ","")),'Customs Decl. &amp; Local Delivery'!D:J,7,0)</f>
        <v>45843</v>
      </c>
      <c r="I1564" s="1064" t="s">
        <v>1338</v>
      </c>
      <c r="J1564" s="784" t="s">
        <v>207</v>
      </c>
      <c r="K1564" s="784" t="s">
        <v>107</v>
      </c>
      <c r="L1564" s="279" t="s">
        <v>20</v>
      </c>
      <c r="M1564" s="784" t="s">
        <v>1339</v>
      </c>
      <c r="N1564" s="512"/>
      <c r="O1564" s="512"/>
      <c r="P1564" s="512"/>
      <c r="Q1564" s="512"/>
      <c r="R1564" s="512"/>
      <c r="S1564" s="512"/>
      <c r="T1564" s="512"/>
      <c r="U1564" s="512"/>
      <c r="V1564" s="512"/>
      <c r="W1564" s="512"/>
    </row>
    <row r="1565" s="178" customFormat="1" ht="15.4" customHeight="1" spans="1:23">
      <c r="A1565" s="784" t="s">
        <v>736</v>
      </c>
      <c r="B1565" s="1050" t="s">
        <v>1336</v>
      </c>
      <c r="C1565" s="1050" t="s">
        <v>109</v>
      </c>
      <c r="D1565" s="279">
        <v>20</v>
      </c>
      <c r="E1565" s="988"/>
      <c r="F1565" s="675">
        <v>45839</v>
      </c>
      <c r="G1565" s="840">
        <f t="shared" ref="G1565:G1575" si="122">G1564</f>
        <v>45817</v>
      </c>
      <c r="H1565" s="842">
        <f t="shared" ref="H1565:H1575" si="123">H1564</f>
        <v>45843</v>
      </c>
      <c r="I1565" s="1064" t="s">
        <v>1338</v>
      </c>
      <c r="J1565" s="784" t="s">
        <v>207</v>
      </c>
      <c r="K1565" s="784" t="s">
        <v>107</v>
      </c>
      <c r="L1565" s="279" t="s">
        <v>20</v>
      </c>
      <c r="M1565" s="784" t="s">
        <v>1258</v>
      </c>
      <c r="N1565" s="512"/>
      <c r="O1565" s="512"/>
      <c r="P1565" s="512"/>
      <c r="Q1565" s="512"/>
      <c r="R1565" s="512"/>
      <c r="S1565" s="512"/>
      <c r="T1565" s="512"/>
      <c r="U1565" s="512"/>
      <c r="V1565" s="512"/>
      <c r="W1565" s="512"/>
    </row>
    <row r="1566" s="178" customFormat="1" ht="15.4" customHeight="1" spans="1:23">
      <c r="A1566" s="784" t="s">
        <v>736</v>
      </c>
      <c r="B1566" s="1050" t="s">
        <v>1336</v>
      </c>
      <c r="C1566" s="1050" t="s">
        <v>111</v>
      </c>
      <c r="D1566" s="279">
        <v>45</v>
      </c>
      <c r="E1566" s="988"/>
      <c r="F1566" s="675">
        <v>45839</v>
      </c>
      <c r="G1566" s="840">
        <f t="shared" si="122"/>
        <v>45817</v>
      </c>
      <c r="H1566" s="842">
        <f t="shared" si="123"/>
        <v>45843</v>
      </c>
      <c r="I1566" s="1064" t="s">
        <v>1338</v>
      </c>
      <c r="J1566" s="784" t="s">
        <v>207</v>
      </c>
      <c r="K1566" s="784" t="s">
        <v>107</v>
      </c>
      <c r="L1566" s="279" t="s">
        <v>20</v>
      </c>
      <c r="M1566" s="784" t="s">
        <v>1340</v>
      </c>
      <c r="N1566" s="512"/>
      <c r="O1566" s="512"/>
      <c r="P1566" s="512"/>
      <c r="Q1566" s="512"/>
      <c r="R1566" s="512"/>
      <c r="S1566" s="512"/>
      <c r="T1566" s="512"/>
      <c r="U1566" s="512"/>
      <c r="V1566" s="512"/>
      <c r="W1566" s="512"/>
    </row>
    <row r="1567" s="178" customFormat="1" ht="15.4" customHeight="1" spans="1:23">
      <c r="A1567" s="784" t="s">
        <v>736</v>
      </c>
      <c r="B1567" s="1050" t="s">
        <v>1336</v>
      </c>
      <c r="C1567" s="1050" t="s">
        <v>112</v>
      </c>
      <c r="D1567" s="279">
        <v>45</v>
      </c>
      <c r="E1567" s="988"/>
      <c r="F1567" s="675">
        <v>45839</v>
      </c>
      <c r="G1567" s="840">
        <f t="shared" si="122"/>
        <v>45817</v>
      </c>
      <c r="H1567" s="842">
        <f t="shared" si="123"/>
        <v>45843</v>
      </c>
      <c r="I1567" s="1064" t="s">
        <v>1338</v>
      </c>
      <c r="J1567" s="784" t="s">
        <v>207</v>
      </c>
      <c r="K1567" s="784" t="s">
        <v>107</v>
      </c>
      <c r="L1567" s="279" t="s">
        <v>20</v>
      </c>
      <c r="M1567" s="784"/>
      <c r="N1567" s="512"/>
      <c r="O1567" s="512"/>
      <c r="P1567" s="512"/>
      <c r="Q1567" s="512"/>
      <c r="R1567" s="512"/>
      <c r="S1567" s="512"/>
      <c r="T1567" s="512"/>
      <c r="U1567" s="512"/>
      <c r="V1567" s="512"/>
      <c r="W1567" s="512"/>
    </row>
    <row r="1568" s="178" customFormat="1" ht="15.4" customHeight="1" spans="1:23">
      <c r="A1568" s="784" t="s">
        <v>736</v>
      </c>
      <c r="B1568" s="1050" t="s">
        <v>1336</v>
      </c>
      <c r="C1568" s="1050" t="s">
        <v>114</v>
      </c>
      <c r="D1568" s="279">
        <v>30</v>
      </c>
      <c r="E1568" s="988"/>
      <c r="F1568" s="675">
        <v>45839</v>
      </c>
      <c r="G1568" s="840">
        <f t="shared" si="122"/>
        <v>45817</v>
      </c>
      <c r="H1568" s="842">
        <f t="shared" si="123"/>
        <v>45843</v>
      </c>
      <c r="I1568" s="1064" t="s">
        <v>1338</v>
      </c>
      <c r="J1568" s="784" t="s">
        <v>207</v>
      </c>
      <c r="K1568" s="784" t="s">
        <v>107</v>
      </c>
      <c r="L1568" s="279" t="s">
        <v>20</v>
      </c>
      <c r="M1568" s="784"/>
      <c r="N1568" s="512"/>
      <c r="O1568" s="512"/>
      <c r="P1568" s="512"/>
      <c r="Q1568" s="512"/>
      <c r="R1568" s="512"/>
      <c r="S1568" s="512"/>
      <c r="T1568" s="512"/>
      <c r="U1568" s="512"/>
      <c r="V1568" s="512"/>
      <c r="W1568" s="512"/>
    </row>
    <row r="1569" s="178" customFormat="1" ht="15.4" customHeight="1" spans="1:23">
      <c r="A1569" s="784" t="s">
        <v>736</v>
      </c>
      <c r="B1569" s="1050" t="s">
        <v>1336</v>
      </c>
      <c r="C1569" s="1050" t="s">
        <v>115</v>
      </c>
      <c r="D1569" s="279">
        <v>30</v>
      </c>
      <c r="E1569" s="988"/>
      <c r="F1569" s="675">
        <v>45839</v>
      </c>
      <c r="G1569" s="840">
        <f t="shared" si="122"/>
        <v>45817</v>
      </c>
      <c r="H1569" s="842">
        <f t="shared" si="123"/>
        <v>45843</v>
      </c>
      <c r="I1569" s="1064" t="s">
        <v>1338</v>
      </c>
      <c r="J1569" s="784" t="s">
        <v>207</v>
      </c>
      <c r="K1569" s="784" t="s">
        <v>107</v>
      </c>
      <c r="L1569" s="279" t="s">
        <v>20</v>
      </c>
      <c r="M1569" s="784"/>
      <c r="N1569" s="512"/>
      <c r="O1569" s="512"/>
      <c r="P1569" s="512"/>
      <c r="Q1569" s="512"/>
      <c r="R1569" s="512"/>
      <c r="S1569" s="512"/>
      <c r="T1569" s="512"/>
      <c r="U1569" s="512"/>
      <c r="V1569" s="512"/>
      <c r="W1569" s="512"/>
    </row>
    <row r="1570" s="178" customFormat="1" ht="15.4" customHeight="1" spans="1:23">
      <c r="A1570" s="784" t="s">
        <v>736</v>
      </c>
      <c r="B1570" s="1050" t="s">
        <v>1336</v>
      </c>
      <c r="C1570" s="1050" t="s">
        <v>116</v>
      </c>
      <c r="D1570" s="279">
        <v>20</v>
      </c>
      <c r="E1570" s="988"/>
      <c r="F1570" s="675">
        <v>45839</v>
      </c>
      <c r="G1570" s="840">
        <f t="shared" si="122"/>
        <v>45817</v>
      </c>
      <c r="H1570" s="842">
        <f t="shared" si="123"/>
        <v>45843</v>
      </c>
      <c r="I1570" s="1064" t="s">
        <v>1338</v>
      </c>
      <c r="J1570" s="784" t="s">
        <v>207</v>
      </c>
      <c r="K1570" s="784" t="s">
        <v>107</v>
      </c>
      <c r="L1570" s="279" t="s">
        <v>20</v>
      </c>
      <c r="M1570" s="784"/>
      <c r="N1570" s="512"/>
      <c r="O1570" s="512"/>
      <c r="P1570" s="512"/>
      <c r="Q1570" s="512"/>
      <c r="R1570" s="512"/>
      <c r="S1570" s="512"/>
      <c r="T1570" s="512"/>
      <c r="U1570" s="512"/>
      <c r="V1570" s="512"/>
      <c r="W1570" s="512"/>
    </row>
    <row r="1571" s="178" customFormat="1" ht="15.4" customHeight="1" spans="1:23">
      <c r="A1571" s="784" t="s">
        <v>736</v>
      </c>
      <c r="B1571" s="1050" t="s">
        <v>1336</v>
      </c>
      <c r="C1571" s="1050" t="s">
        <v>117</v>
      </c>
      <c r="D1571" s="279">
        <v>20</v>
      </c>
      <c r="E1571" s="988"/>
      <c r="F1571" s="675">
        <v>45839</v>
      </c>
      <c r="G1571" s="840">
        <f t="shared" si="122"/>
        <v>45817</v>
      </c>
      <c r="H1571" s="842">
        <f t="shared" si="123"/>
        <v>45843</v>
      </c>
      <c r="I1571" s="1064" t="s">
        <v>1338</v>
      </c>
      <c r="J1571" s="784" t="s">
        <v>207</v>
      </c>
      <c r="K1571" s="784" t="s">
        <v>107</v>
      </c>
      <c r="L1571" s="279" t="s">
        <v>20</v>
      </c>
      <c r="M1571" s="784"/>
      <c r="N1571" s="512"/>
      <c r="O1571" s="512"/>
      <c r="P1571" s="512"/>
      <c r="Q1571" s="512"/>
      <c r="R1571" s="512"/>
      <c r="S1571" s="512"/>
      <c r="T1571" s="512"/>
      <c r="U1571" s="512"/>
      <c r="V1571" s="512"/>
      <c r="W1571" s="512"/>
    </row>
    <row r="1572" s="178" customFormat="1" ht="15.4" customHeight="1" spans="1:23">
      <c r="A1572" s="784" t="s">
        <v>736</v>
      </c>
      <c r="B1572" s="1050" t="s">
        <v>1336</v>
      </c>
      <c r="C1572" s="1050" t="s">
        <v>118</v>
      </c>
      <c r="D1572" s="279">
        <v>40</v>
      </c>
      <c r="E1572" s="988"/>
      <c r="F1572" s="675">
        <v>45839</v>
      </c>
      <c r="G1572" s="840">
        <f t="shared" si="122"/>
        <v>45817</v>
      </c>
      <c r="H1572" s="842">
        <f t="shared" si="123"/>
        <v>45843</v>
      </c>
      <c r="I1572" s="1064" t="s">
        <v>1338</v>
      </c>
      <c r="J1572" s="784" t="s">
        <v>207</v>
      </c>
      <c r="K1572" s="784" t="s">
        <v>107</v>
      </c>
      <c r="L1572" s="279" t="s">
        <v>20</v>
      </c>
      <c r="M1572" s="784"/>
      <c r="N1572" s="512"/>
      <c r="O1572" s="512"/>
      <c r="P1572" s="512"/>
      <c r="Q1572" s="512"/>
      <c r="R1572" s="512"/>
      <c r="S1572" s="512"/>
      <c r="T1572" s="512"/>
      <c r="U1572" s="512"/>
      <c r="V1572" s="512"/>
      <c r="W1572" s="512"/>
    </row>
    <row r="1573" s="178" customFormat="1" ht="15.4" customHeight="1" spans="1:23">
      <c r="A1573" s="784" t="s">
        <v>736</v>
      </c>
      <c r="B1573" s="1050" t="s">
        <v>1336</v>
      </c>
      <c r="C1573" s="1050" t="s">
        <v>119</v>
      </c>
      <c r="D1573" s="279">
        <v>40</v>
      </c>
      <c r="E1573" s="988"/>
      <c r="F1573" s="675">
        <v>45839</v>
      </c>
      <c r="G1573" s="840">
        <f t="shared" si="122"/>
        <v>45817</v>
      </c>
      <c r="H1573" s="842">
        <f t="shared" si="123"/>
        <v>45843</v>
      </c>
      <c r="I1573" s="1064" t="s">
        <v>1338</v>
      </c>
      <c r="J1573" s="784" t="s">
        <v>207</v>
      </c>
      <c r="K1573" s="784" t="s">
        <v>107</v>
      </c>
      <c r="L1573" s="279" t="s">
        <v>20</v>
      </c>
      <c r="M1573" s="749"/>
      <c r="N1573" s="512"/>
      <c r="O1573" s="512"/>
      <c r="P1573" s="512"/>
      <c r="Q1573" s="512"/>
      <c r="R1573" s="512"/>
      <c r="S1573" s="512"/>
      <c r="T1573" s="512"/>
      <c r="U1573" s="512"/>
      <c r="V1573" s="512"/>
      <c r="W1573" s="512"/>
    </row>
    <row r="1574" s="178" customFormat="1" ht="15.4" customHeight="1" spans="1:23">
      <c r="A1574" s="784" t="s">
        <v>736</v>
      </c>
      <c r="B1574" s="1050" t="s">
        <v>1336</v>
      </c>
      <c r="C1574" s="1050" t="s">
        <v>120</v>
      </c>
      <c r="D1574" s="279">
        <v>15</v>
      </c>
      <c r="E1574" s="988"/>
      <c r="F1574" s="675">
        <v>45839</v>
      </c>
      <c r="G1574" s="840">
        <f t="shared" si="122"/>
        <v>45817</v>
      </c>
      <c r="H1574" s="842">
        <f t="shared" si="123"/>
        <v>45843</v>
      </c>
      <c r="I1574" s="1064" t="s">
        <v>1338</v>
      </c>
      <c r="J1574" s="784" t="s">
        <v>207</v>
      </c>
      <c r="K1574" s="784" t="s">
        <v>107</v>
      </c>
      <c r="L1574" s="279" t="s">
        <v>20</v>
      </c>
      <c r="M1574" s="749"/>
      <c r="N1574" s="512"/>
      <c r="O1574" s="512"/>
      <c r="P1574" s="512"/>
      <c r="Q1574" s="512"/>
      <c r="R1574" s="512"/>
      <c r="S1574" s="512"/>
      <c r="T1574" s="512"/>
      <c r="U1574" s="512"/>
      <c r="V1574" s="512"/>
      <c r="W1574" s="512"/>
    </row>
    <row r="1575" s="178" customFormat="1" ht="15.4" customHeight="1" spans="1:23">
      <c r="A1575" s="784" t="s">
        <v>736</v>
      </c>
      <c r="B1575" s="1050" t="s">
        <v>1336</v>
      </c>
      <c r="C1575" s="1050" t="s">
        <v>121</v>
      </c>
      <c r="D1575" s="279">
        <v>15</v>
      </c>
      <c r="E1575" s="988"/>
      <c r="F1575" s="675">
        <v>45839</v>
      </c>
      <c r="G1575" s="840">
        <f t="shared" si="122"/>
        <v>45817</v>
      </c>
      <c r="H1575" s="842">
        <f t="shared" si="123"/>
        <v>45843</v>
      </c>
      <c r="I1575" s="1064" t="s">
        <v>1338</v>
      </c>
      <c r="J1575" s="784" t="s">
        <v>207</v>
      </c>
      <c r="K1575" s="784" t="s">
        <v>107</v>
      </c>
      <c r="L1575" s="279" t="s">
        <v>20</v>
      </c>
      <c r="M1575" s="749"/>
      <c r="N1575" s="512"/>
      <c r="O1575" s="512"/>
      <c r="P1575" s="512"/>
      <c r="Q1575" s="512"/>
      <c r="R1575" s="512"/>
      <c r="S1575" s="512"/>
      <c r="T1575" s="512"/>
      <c r="U1575" s="512"/>
      <c r="V1575" s="512"/>
      <c r="W1575" s="512"/>
    </row>
    <row r="1576" s="178" customFormat="1" ht="15.4" customHeight="1" spans="1:23">
      <c r="A1576" s="1053" t="s">
        <v>910</v>
      </c>
      <c r="B1576" s="1099" t="s">
        <v>1341</v>
      </c>
      <c r="C1576" s="1089" t="s">
        <v>77</v>
      </c>
      <c r="D1576" s="266">
        <v>48</v>
      </c>
      <c r="E1576" s="1085" t="s">
        <v>1342</v>
      </c>
      <c r="F1576" s="675">
        <v>45787</v>
      </c>
      <c r="G1576" s="675">
        <f>VLOOKUP(CLEAN(SUBSTITUTE(TRIM(MID(E:E,FIND("/",E:E)+1,LEN(E:E)))," ","")),'Customs Decl. &amp; Local Delivery'!D:I,6,0)</f>
        <v>45817</v>
      </c>
      <c r="H1576" s="676">
        <f>VLOOKUP(CLEAN(SUBSTITUTE(TRIM(MID(E:E,FIND("/",E:E)+1,LEN(E:E)))," ","")),'Customs Decl. &amp; Local Delivery'!D:J,7,0)</f>
        <v>45845</v>
      </c>
      <c r="I1576" s="1058" t="s">
        <v>1343</v>
      </c>
      <c r="J1576" s="1053" t="s">
        <v>18</v>
      </c>
      <c r="K1576" s="1053" t="s">
        <v>147</v>
      </c>
      <c r="L1576" s="279" t="s">
        <v>20</v>
      </c>
      <c r="M1576" s="811" t="s">
        <v>1344</v>
      </c>
      <c r="N1576" s="512"/>
      <c r="O1576" s="512"/>
      <c r="P1576" s="512"/>
      <c r="Q1576" s="512"/>
      <c r="R1576" s="512"/>
      <c r="S1576" s="512"/>
      <c r="T1576" s="512"/>
      <c r="U1576" s="512"/>
      <c r="V1576" s="512"/>
      <c r="W1576" s="512"/>
    </row>
    <row r="1577" s="178" customFormat="1" ht="15.4" customHeight="1" spans="1:23">
      <c r="A1577" s="1053" t="s">
        <v>910</v>
      </c>
      <c r="B1577" s="1099" t="s">
        <v>1341</v>
      </c>
      <c r="C1577" s="1089" t="s">
        <v>15</v>
      </c>
      <c r="D1577" s="266">
        <v>60</v>
      </c>
      <c r="E1577" s="1127"/>
      <c r="F1577" s="675">
        <v>45787</v>
      </c>
      <c r="G1577" s="840">
        <f>G1576</f>
        <v>45817</v>
      </c>
      <c r="H1577" s="713">
        <f>H1576</f>
        <v>45845</v>
      </c>
      <c r="I1577" s="1058" t="s">
        <v>1343</v>
      </c>
      <c r="J1577" s="1053" t="s">
        <v>18</v>
      </c>
      <c r="K1577" s="1053" t="s">
        <v>147</v>
      </c>
      <c r="L1577" s="279" t="s">
        <v>20</v>
      </c>
      <c r="M1577" s="749" t="s">
        <v>1258</v>
      </c>
      <c r="N1577" s="512"/>
      <c r="O1577" s="512"/>
      <c r="P1577" s="512"/>
      <c r="Q1577" s="512"/>
      <c r="R1577" s="512"/>
      <c r="S1577" s="512"/>
      <c r="T1577" s="512"/>
      <c r="U1577" s="512"/>
      <c r="V1577" s="512"/>
      <c r="W1577" s="512"/>
    </row>
    <row r="1578" s="178" customFormat="1" ht="15.4" customHeight="1" spans="1:23">
      <c r="A1578" s="1053" t="s">
        <v>910</v>
      </c>
      <c r="B1578" s="1099" t="s">
        <v>1341</v>
      </c>
      <c r="C1578" s="1089" t="s">
        <v>24</v>
      </c>
      <c r="D1578" s="266">
        <v>10</v>
      </c>
      <c r="E1578" s="1127"/>
      <c r="F1578" s="675">
        <v>45787</v>
      </c>
      <c r="G1578" s="840">
        <f>G1577</f>
        <v>45817</v>
      </c>
      <c r="H1578" s="713">
        <f>H1577</f>
        <v>45845</v>
      </c>
      <c r="I1578" s="1058" t="s">
        <v>1343</v>
      </c>
      <c r="J1578" s="1053" t="s">
        <v>18</v>
      </c>
      <c r="K1578" s="1053" t="s">
        <v>147</v>
      </c>
      <c r="L1578" s="279" t="s">
        <v>20</v>
      </c>
      <c r="M1578" s="1053"/>
      <c r="N1578" s="512"/>
      <c r="O1578" s="512"/>
      <c r="P1578" s="512"/>
      <c r="Q1578" s="512"/>
      <c r="R1578" s="512"/>
      <c r="S1578" s="512"/>
      <c r="T1578" s="512"/>
      <c r="U1578" s="512"/>
      <c r="V1578" s="512"/>
      <c r="W1578" s="512"/>
    </row>
    <row r="1579" s="178" customFormat="1" ht="15.4" customHeight="1" spans="1:23">
      <c r="A1579" s="1053" t="s">
        <v>910</v>
      </c>
      <c r="B1579" s="1099" t="s">
        <v>1341</v>
      </c>
      <c r="C1579" s="1089" t="s">
        <v>27</v>
      </c>
      <c r="D1579" s="266">
        <v>100</v>
      </c>
      <c r="E1579" s="1127"/>
      <c r="F1579" s="675">
        <v>45787</v>
      </c>
      <c r="G1579" s="840">
        <f>G1578</f>
        <v>45817</v>
      </c>
      <c r="H1579" s="713">
        <f>H1578</f>
        <v>45845</v>
      </c>
      <c r="I1579" s="1058" t="s">
        <v>1343</v>
      </c>
      <c r="J1579" s="1053" t="s">
        <v>18</v>
      </c>
      <c r="K1579" s="1053" t="s">
        <v>147</v>
      </c>
      <c r="L1579" s="279" t="s">
        <v>20</v>
      </c>
      <c r="M1579" s="1053"/>
      <c r="N1579" s="512"/>
      <c r="O1579" s="512"/>
      <c r="P1579" s="512"/>
      <c r="Q1579" s="512"/>
      <c r="R1579" s="512"/>
      <c r="S1579" s="512"/>
      <c r="T1579" s="512"/>
      <c r="U1579" s="512"/>
      <c r="V1579" s="512"/>
      <c r="W1579" s="512"/>
    </row>
    <row r="1580" s="178" customFormat="1" ht="15.4" customHeight="1" spans="1:23">
      <c r="A1580" s="1053" t="s">
        <v>910</v>
      </c>
      <c r="B1580" s="1099" t="s">
        <v>1341</v>
      </c>
      <c r="C1580" s="1089" t="s">
        <v>67</v>
      </c>
      <c r="D1580" s="266">
        <v>50</v>
      </c>
      <c r="E1580" s="1127"/>
      <c r="F1580" s="675">
        <v>45787</v>
      </c>
      <c r="G1580" s="840">
        <f>G1579</f>
        <v>45817</v>
      </c>
      <c r="H1580" s="713">
        <f>H1579</f>
        <v>45845</v>
      </c>
      <c r="I1580" s="1058" t="s">
        <v>1343</v>
      </c>
      <c r="J1580" s="1053" t="s">
        <v>18</v>
      </c>
      <c r="K1580" s="1053" t="s">
        <v>147</v>
      </c>
      <c r="L1580" s="279" t="s">
        <v>20</v>
      </c>
      <c r="M1580" s="1053"/>
      <c r="N1580" s="512"/>
      <c r="O1580" s="512"/>
      <c r="P1580" s="512"/>
      <c r="Q1580" s="512"/>
      <c r="R1580" s="512"/>
      <c r="S1580" s="512"/>
      <c r="T1580" s="512"/>
      <c r="U1580" s="512"/>
      <c r="V1580" s="512"/>
      <c r="W1580" s="512"/>
    </row>
    <row r="1581" ht="33.75" customHeight="1" spans="1:23">
      <c r="A1581" s="749" t="s">
        <v>1345</v>
      </c>
      <c r="B1581" s="1155" t="s">
        <v>1346</v>
      </c>
      <c r="C1581" s="671" t="s">
        <v>651</v>
      </c>
      <c r="D1581" s="250">
        <v>45</v>
      </c>
      <c r="E1581" s="1162" t="s">
        <v>1347</v>
      </c>
      <c r="F1581" s="675">
        <v>45797</v>
      </c>
      <c r="G1581" s="793">
        <f>VLOOKUP(CLEAN(SUBSTITUTE(TRIM(MID(E:E,FIND("/",E:E)+1,LEN(E:E)))," ","")),'Customs Decl. &amp; Local Delivery'!D:I,6,0)</f>
        <v>45818</v>
      </c>
      <c r="H1581" s="676">
        <f>VLOOKUP(CLEAN(SUBSTITUTE(TRIM(MID(E:E,FIND("/",E:E)+1,LEN(E:E)))," ","")),'Customs Decl. &amp; Local Delivery'!D:J,7,0)</f>
        <v>45849</v>
      </c>
      <c r="I1581" s="1183" t="s">
        <v>1348</v>
      </c>
      <c r="J1581" s="1184" t="s">
        <v>18</v>
      </c>
      <c r="K1581" s="1064" t="s">
        <v>147</v>
      </c>
      <c r="L1581" s="279" t="s">
        <v>20</v>
      </c>
      <c r="M1581" s="1185" t="s">
        <v>1349</v>
      </c>
      <c r="N1581" s="512"/>
      <c r="O1581" s="1154"/>
      <c r="P1581" s="1154"/>
      <c r="Q1581" s="1154"/>
      <c r="R1581" s="1154"/>
      <c r="S1581" s="1154"/>
      <c r="T1581" s="1154"/>
      <c r="U1581" s="1154"/>
      <c r="V1581" s="1154"/>
      <c r="W1581" s="1154"/>
    </row>
    <row r="1582" ht="15.4" customHeight="1" spans="1:23">
      <c r="A1582" s="749" t="s">
        <v>1345</v>
      </c>
      <c r="B1582" s="1155" t="s">
        <v>1350</v>
      </c>
      <c r="C1582" s="671" t="s">
        <v>651</v>
      </c>
      <c r="D1582" s="250">
        <v>3</v>
      </c>
      <c r="E1582" s="281"/>
      <c r="F1582" s="675">
        <v>45797</v>
      </c>
      <c r="G1582" s="1181">
        <f>G1581</f>
        <v>45818</v>
      </c>
      <c r="H1582" s="676">
        <f>H1581</f>
        <v>45849</v>
      </c>
      <c r="I1582" s="1183" t="s">
        <v>1348</v>
      </c>
      <c r="J1582" s="1184" t="s">
        <v>18</v>
      </c>
      <c r="K1582" s="1186" t="s">
        <v>147</v>
      </c>
      <c r="L1582" s="279" t="s">
        <v>20</v>
      </c>
      <c r="M1582" s="1185"/>
      <c r="N1582" s="512"/>
      <c r="O1582" s="1154"/>
      <c r="P1582" s="1154"/>
      <c r="Q1582" s="1154"/>
      <c r="R1582" s="1154"/>
      <c r="S1582" s="1154"/>
      <c r="T1582" s="1154"/>
      <c r="U1582" s="1154"/>
      <c r="V1582" s="1154"/>
      <c r="W1582" s="1154"/>
    </row>
    <row r="1583" ht="15.4" customHeight="1" spans="1:23">
      <c r="A1583" s="749" t="s">
        <v>1345</v>
      </c>
      <c r="B1583" s="1155" t="s">
        <v>1350</v>
      </c>
      <c r="C1583" s="671" t="s">
        <v>651</v>
      </c>
      <c r="D1583" s="250">
        <v>42</v>
      </c>
      <c r="E1583" s="1162" t="s">
        <v>1351</v>
      </c>
      <c r="F1583" s="675">
        <v>45797</v>
      </c>
      <c r="G1583" s="793">
        <f>VLOOKUP(CLEAN(SUBSTITUTE(TRIM(MID(E:E,FIND("/",E:E)+1,LEN(E:E)))," ","")),'Customs Decl. &amp; Local Delivery'!D:I,6,0)</f>
        <v>45818</v>
      </c>
      <c r="H1583" s="676">
        <f>VLOOKUP(CLEAN(SUBSTITUTE(TRIM(MID(E:E,FIND("/",E:E)+1,LEN(E:E)))," ","")),'Customs Decl. &amp; Local Delivery'!D:J,7,0)</f>
        <v>45850</v>
      </c>
      <c r="I1583" s="1184" t="s">
        <v>1352</v>
      </c>
      <c r="J1583" s="1184" t="s">
        <v>18</v>
      </c>
      <c r="K1583" s="1186" t="s">
        <v>147</v>
      </c>
      <c r="L1583" s="279" t="s">
        <v>20</v>
      </c>
      <c r="M1583" s="1185" t="s">
        <v>1349</v>
      </c>
      <c r="N1583" s="512"/>
      <c r="O1583" s="1154"/>
      <c r="P1583" s="1154"/>
      <c r="Q1583" s="1154"/>
      <c r="R1583" s="1154"/>
      <c r="S1583" s="1154"/>
      <c r="T1583" s="1154"/>
      <c r="U1583" s="1154"/>
      <c r="V1583" s="1154"/>
      <c r="W1583" s="1154"/>
    </row>
    <row r="1584" s="973" customFormat="1" spans="1:23">
      <c r="A1584" s="1053" t="s">
        <v>910</v>
      </c>
      <c r="B1584" s="1099" t="s">
        <v>1215</v>
      </c>
      <c r="C1584" s="1048" t="s">
        <v>1211</v>
      </c>
      <c r="D1584" s="267">
        <v>2</v>
      </c>
      <c r="E1584" s="281"/>
      <c r="F1584" s="675">
        <v>45797</v>
      </c>
      <c r="G1584" s="840">
        <f>G1583</f>
        <v>45818</v>
      </c>
      <c r="H1584" s="767">
        <f>H1583</f>
        <v>45850</v>
      </c>
      <c r="I1584" s="1053" t="s">
        <v>1352</v>
      </c>
      <c r="J1584" s="1053" t="s">
        <v>18</v>
      </c>
      <c r="K1584" s="1053" t="s">
        <v>147</v>
      </c>
      <c r="L1584" s="279" t="s">
        <v>20</v>
      </c>
      <c r="M1584" s="687" t="s">
        <v>1353</v>
      </c>
      <c r="N1584" s="883"/>
      <c r="O1584" s="883"/>
      <c r="P1584" s="883"/>
      <c r="Q1584" s="883"/>
      <c r="R1584" s="883"/>
      <c r="S1584" s="883"/>
      <c r="T1584" s="883"/>
      <c r="U1584" s="883"/>
      <c r="V1584" s="883"/>
      <c r="W1584" s="883"/>
    </row>
    <row r="1585" ht="30" spans="1:23">
      <c r="A1585" s="749" t="s">
        <v>1345</v>
      </c>
      <c r="B1585" s="1155" t="s">
        <v>1354</v>
      </c>
      <c r="C1585" s="671" t="s">
        <v>651</v>
      </c>
      <c r="D1585" s="250">
        <v>45</v>
      </c>
      <c r="E1585" s="1162" t="s">
        <v>1355</v>
      </c>
      <c r="F1585" s="675">
        <v>45797</v>
      </c>
      <c r="G1585" s="675">
        <f>VLOOKUP(CLEAN(SUBSTITUTE(TRIM(MID(E:E,FIND("/",E:E)+1,LEN(E:E)))," ","")),'Customs Decl. &amp; Local Delivery'!D:I,6,0)</f>
        <v>45818</v>
      </c>
      <c r="H1585" s="676">
        <f>VLOOKUP(CLEAN(SUBSTITUTE(TRIM(MID(E:E,FIND("/",E:E)+1,LEN(E:E)))," ","")),'Customs Decl. &amp; Local Delivery'!D:J,7,0)</f>
        <v>45851</v>
      </c>
      <c r="I1585" s="1064" t="s">
        <v>1356</v>
      </c>
      <c r="J1585" s="1184" t="s">
        <v>18</v>
      </c>
      <c r="K1585" s="1186" t="s">
        <v>147</v>
      </c>
      <c r="L1585" s="279" t="s">
        <v>20</v>
      </c>
      <c r="M1585" s="1185" t="s">
        <v>1349</v>
      </c>
      <c r="N1585" s="512"/>
      <c r="O1585" s="1154"/>
      <c r="P1585" s="1154"/>
      <c r="Q1585" s="1154"/>
      <c r="R1585" s="1154"/>
      <c r="S1585" s="1154"/>
      <c r="T1585" s="1154"/>
      <c r="U1585" s="1154"/>
      <c r="V1585" s="1154"/>
      <c r="W1585" s="1154"/>
    </row>
    <row r="1586" ht="30" spans="1:23">
      <c r="A1586" s="749" t="s">
        <v>1345</v>
      </c>
      <c r="B1586" s="1155" t="s">
        <v>1357</v>
      </c>
      <c r="C1586" s="671" t="s">
        <v>651</v>
      </c>
      <c r="D1586" s="250">
        <v>45</v>
      </c>
      <c r="E1586" s="1162" t="s">
        <v>1358</v>
      </c>
      <c r="F1586" s="675">
        <v>45797</v>
      </c>
      <c r="G1586" s="675">
        <f>VLOOKUP(CLEAN(SUBSTITUTE(TRIM(MID(E:E,FIND("/",E:E)+1,LEN(E:E)))," ","")),'Customs Decl. &amp; Local Delivery'!D:I,6,0)</f>
        <v>45818</v>
      </c>
      <c r="H1586" s="676">
        <f>VLOOKUP(CLEAN(SUBSTITUTE(TRIM(MID(E:E,FIND("/",E:E)+1,LEN(E:E)))," ","")),'Customs Decl. &amp; Local Delivery'!D:J,7,0)</f>
        <v>45849</v>
      </c>
      <c r="I1586" s="1064" t="s">
        <v>1359</v>
      </c>
      <c r="J1586" s="1184" t="s">
        <v>18</v>
      </c>
      <c r="K1586" s="1186" t="s">
        <v>147</v>
      </c>
      <c r="L1586" s="279" t="s">
        <v>20</v>
      </c>
      <c r="M1586" s="1185" t="s">
        <v>1349</v>
      </c>
      <c r="N1586" s="512"/>
      <c r="O1586" s="1154"/>
      <c r="P1586" s="1154"/>
      <c r="Q1586" s="1154"/>
      <c r="R1586" s="1154"/>
      <c r="S1586" s="1154"/>
      <c r="T1586" s="1154"/>
      <c r="U1586" s="1154"/>
      <c r="V1586" s="1154"/>
      <c r="W1586" s="1154"/>
    </row>
    <row r="1587" ht="30" spans="1:23">
      <c r="A1587" s="749" t="s">
        <v>1345</v>
      </c>
      <c r="B1587" s="1155" t="s">
        <v>1360</v>
      </c>
      <c r="C1587" s="671" t="s">
        <v>651</v>
      </c>
      <c r="D1587" s="250">
        <v>45</v>
      </c>
      <c r="E1587" s="1162" t="s">
        <v>1361</v>
      </c>
      <c r="F1587" s="675">
        <v>45797</v>
      </c>
      <c r="G1587" s="675">
        <f>VLOOKUP(CLEAN(SUBSTITUTE(TRIM(MID(E:E,FIND("/",E:E)+1,LEN(E:E)))," ","")),'Customs Decl. &amp; Local Delivery'!D:I,6,0)</f>
        <v>45818</v>
      </c>
      <c r="H1587" s="676">
        <f>VLOOKUP(CLEAN(SUBSTITUTE(TRIM(MID(E:E,FIND("/",E:E)+1,LEN(E:E)))," ","")),'Customs Decl. &amp; Local Delivery'!D:J,7,0)</f>
        <v>45851</v>
      </c>
      <c r="I1587" s="1064" t="s">
        <v>1362</v>
      </c>
      <c r="J1587" s="1184" t="s">
        <v>18</v>
      </c>
      <c r="K1587" s="1186" t="s">
        <v>147</v>
      </c>
      <c r="L1587" s="279" t="s">
        <v>20</v>
      </c>
      <c r="M1587" s="1185" t="s">
        <v>1349</v>
      </c>
      <c r="N1587" s="512"/>
      <c r="O1587" s="1154"/>
      <c r="P1587" s="1154"/>
      <c r="Q1587" s="1154"/>
      <c r="R1587" s="1154"/>
      <c r="S1587" s="1154"/>
      <c r="T1587" s="1154"/>
      <c r="U1587" s="1154"/>
      <c r="V1587" s="1154"/>
      <c r="W1587" s="1154"/>
    </row>
    <row r="1588" ht="30" spans="1:23">
      <c r="A1588" s="749" t="s">
        <v>1345</v>
      </c>
      <c r="B1588" s="1155" t="s">
        <v>1363</v>
      </c>
      <c r="C1588" s="671" t="s">
        <v>651</v>
      </c>
      <c r="D1588" s="250">
        <v>45</v>
      </c>
      <c r="E1588" s="1162" t="s">
        <v>1364</v>
      </c>
      <c r="F1588" s="675">
        <v>45797</v>
      </c>
      <c r="G1588" s="675">
        <f>VLOOKUP(CLEAN(SUBSTITUTE(TRIM(MID(E:E,FIND("/",E:E)+1,LEN(E:E)))," ","")),'Customs Decl. &amp; Local Delivery'!D:I,6,0)</f>
        <v>45820</v>
      </c>
      <c r="H1588" s="676">
        <f>VLOOKUP(CLEAN(SUBSTITUTE(TRIM(MID(E:E,FIND("/",E:E)+1,LEN(E:E)))," ","")),'Customs Decl. &amp; Local Delivery'!D:J,7,0)</f>
        <v>45849</v>
      </c>
      <c r="I1588" s="1064" t="s">
        <v>1365</v>
      </c>
      <c r="J1588" s="1184" t="s">
        <v>18</v>
      </c>
      <c r="K1588" s="1186" t="s">
        <v>147</v>
      </c>
      <c r="L1588" s="279" t="s">
        <v>20</v>
      </c>
      <c r="M1588" s="1185" t="s">
        <v>1366</v>
      </c>
      <c r="N1588" s="512"/>
      <c r="O1588" s="1154"/>
      <c r="P1588" s="1154"/>
      <c r="Q1588" s="1154"/>
      <c r="R1588" s="1154"/>
      <c r="S1588" s="1154"/>
      <c r="T1588" s="1154"/>
      <c r="U1588" s="1154"/>
      <c r="V1588" s="1154"/>
      <c r="W1588" s="1154"/>
    </row>
    <row r="1589" ht="30" spans="1:23">
      <c r="A1589" s="749" t="s">
        <v>1345</v>
      </c>
      <c r="B1589" s="1155" t="s">
        <v>1367</v>
      </c>
      <c r="C1589" s="671" t="s">
        <v>651</v>
      </c>
      <c r="D1589" s="250">
        <v>45</v>
      </c>
      <c r="E1589" s="1162" t="s">
        <v>1368</v>
      </c>
      <c r="F1589" s="675">
        <v>45797</v>
      </c>
      <c r="G1589" s="753">
        <f>VLOOKUP(CLEAN(SUBSTITUTE(TRIM(MID(E:E,FIND("/",E:E)+1,LEN(E:E)))," ","")),'Customs Decl. &amp; Local Delivery'!D:I,6,0)</f>
        <v>45820</v>
      </c>
      <c r="H1589" s="754">
        <f>VLOOKUP(CLEAN(SUBSTITUTE(TRIM(MID(E:E,FIND("/",E:E)+1,LEN(E:E)))," ","")),'Customs Decl. &amp; Local Delivery'!D:J,7,0)</f>
        <v>45849</v>
      </c>
      <c r="I1589" s="1064" t="s">
        <v>1369</v>
      </c>
      <c r="J1589" s="1184" t="s">
        <v>18</v>
      </c>
      <c r="K1589" s="1186" t="s">
        <v>147</v>
      </c>
      <c r="L1589" s="279" t="s">
        <v>20</v>
      </c>
      <c r="M1589" s="1185" t="s">
        <v>1366</v>
      </c>
      <c r="N1589" s="512"/>
      <c r="O1589" s="1154"/>
      <c r="P1589" s="1154"/>
      <c r="Q1589" s="1154"/>
      <c r="R1589" s="1154"/>
      <c r="S1589" s="1154"/>
      <c r="T1589" s="1154"/>
      <c r="U1589" s="1154"/>
      <c r="V1589" s="1154"/>
      <c r="W1589" s="1154"/>
    </row>
    <row r="1590" ht="15.4" customHeight="1" spans="1:23">
      <c r="A1590" s="749" t="s">
        <v>1370</v>
      </c>
      <c r="B1590" s="1047" t="s">
        <v>1371</v>
      </c>
      <c r="C1590" s="671" t="s">
        <v>396</v>
      </c>
      <c r="D1590" s="250">
        <v>1</v>
      </c>
      <c r="E1590" s="1166" t="s">
        <v>519</v>
      </c>
      <c r="F1590" s="840"/>
      <c r="G1590" s="840">
        <v>45821</v>
      </c>
      <c r="H1590" s="676">
        <v>45821</v>
      </c>
      <c r="I1590" s="784" t="s">
        <v>1372</v>
      </c>
      <c r="J1590" s="1064" t="s">
        <v>521</v>
      </c>
      <c r="K1590" s="1064" t="s">
        <v>1373</v>
      </c>
      <c r="L1590" s="240" t="s">
        <v>20</v>
      </c>
      <c r="M1590" s="784" t="s">
        <v>1374</v>
      </c>
      <c r="N1590" s="512"/>
      <c r="O1590" s="1154"/>
      <c r="P1590" s="1154"/>
      <c r="Q1590" s="1154"/>
      <c r="R1590" s="1154"/>
      <c r="S1590" s="1154"/>
      <c r="T1590" s="1154"/>
      <c r="U1590" s="1154"/>
      <c r="V1590" s="1154"/>
      <c r="W1590" s="1154"/>
    </row>
    <row r="1591" ht="15.4" customHeight="1" spans="1:23">
      <c r="A1591" s="749" t="s">
        <v>1370</v>
      </c>
      <c r="B1591" s="1047" t="s">
        <v>1371</v>
      </c>
      <c r="C1591" s="671" t="s">
        <v>903</v>
      </c>
      <c r="D1591" s="250">
        <v>3</v>
      </c>
      <c r="E1591" s="281"/>
      <c r="F1591" s="840"/>
      <c r="G1591" s="840">
        <v>45821</v>
      </c>
      <c r="H1591" s="676">
        <v>45821</v>
      </c>
      <c r="I1591" s="784" t="s">
        <v>1372</v>
      </c>
      <c r="J1591" s="1064" t="s">
        <v>521</v>
      </c>
      <c r="K1591" s="1064" t="s">
        <v>1373</v>
      </c>
      <c r="L1591" s="240" t="s">
        <v>20</v>
      </c>
      <c r="M1591" s="784" t="s">
        <v>1374</v>
      </c>
      <c r="N1591" s="512"/>
      <c r="O1591" s="1154"/>
      <c r="P1591" s="1154"/>
      <c r="Q1591" s="1154"/>
      <c r="R1591" s="1154"/>
      <c r="S1591" s="1154"/>
      <c r="T1591" s="1154"/>
      <c r="U1591" s="1154"/>
      <c r="V1591" s="1154"/>
      <c r="W1591" s="1154"/>
    </row>
    <row r="1592" ht="15.4" customHeight="1" spans="1:23">
      <c r="A1592" s="749" t="s">
        <v>1370</v>
      </c>
      <c r="B1592" s="1068" t="s">
        <v>1371</v>
      </c>
      <c r="C1592" s="748" t="s">
        <v>1375</v>
      </c>
      <c r="D1592" s="293">
        <v>3</v>
      </c>
      <c r="E1592" s="281"/>
      <c r="F1592" s="840"/>
      <c r="G1592" s="840">
        <v>45821</v>
      </c>
      <c r="H1592" s="676">
        <v>45821</v>
      </c>
      <c r="I1592" s="784" t="s">
        <v>1372</v>
      </c>
      <c r="J1592" s="1064" t="s">
        <v>521</v>
      </c>
      <c r="K1592" s="1064" t="s">
        <v>1373</v>
      </c>
      <c r="L1592" s="240" t="s">
        <v>20</v>
      </c>
      <c r="M1592" s="784" t="s">
        <v>1374</v>
      </c>
      <c r="N1592" s="512"/>
      <c r="O1592" s="1154"/>
      <c r="P1592" s="1154"/>
      <c r="Q1592" s="1154"/>
      <c r="R1592" s="1154"/>
      <c r="S1592" s="1154"/>
      <c r="T1592" s="1154"/>
      <c r="U1592" s="1154"/>
      <c r="V1592" s="1154"/>
      <c r="W1592" s="1154"/>
    </row>
    <row r="1593" ht="15.4" customHeight="1" spans="1:23">
      <c r="A1593" s="749" t="s">
        <v>910</v>
      </c>
      <c r="B1593" s="1047" t="s">
        <v>1376</v>
      </c>
      <c r="C1593" s="789" t="s">
        <v>71</v>
      </c>
      <c r="D1593" s="1051">
        <v>72</v>
      </c>
      <c r="E1593" s="1162" t="s">
        <v>1377</v>
      </c>
      <c r="F1593" s="675" t="s">
        <v>309</v>
      </c>
      <c r="G1593" s="793">
        <f>VLOOKUP(CLEAN(SUBSTITUTE(TRIM(MID(E:E,FIND("/",E:E)+1,LEN(E:E)))," ","")),'Customs Decl. &amp; Local Delivery'!D:I,6,0)</f>
        <v>45824</v>
      </c>
      <c r="H1593" s="676">
        <f>VLOOKUP(CLEAN(SUBSTITUTE(TRIM(MID(E:E,FIND("/",E:E)+1,LEN(E:E)))," ","")),'Customs Decl. &amp; Local Delivery'!D:J,7,0)</f>
        <v>45848</v>
      </c>
      <c r="I1593" s="714" t="s">
        <v>1378</v>
      </c>
      <c r="J1593" s="1075" t="s">
        <v>18</v>
      </c>
      <c r="K1593" s="1075" t="s">
        <v>147</v>
      </c>
      <c r="L1593" s="279" t="s">
        <v>20</v>
      </c>
      <c r="M1593" s="784" t="s">
        <v>1258</v>
      </c>
      <c r="N1593" s="512"/>
      <c r="O1593" s="512"/>
      <c r="P1593" s="512"/>
      <c r="Q1593" s="512"/>
      <c r="R1593" s="512"/>
      <c r="S1593" s="512"/>
      <c r="T1593" s="512"/>
      <c r="U1593" s="512"/>
      <c r="V1593" s="512"/>
      <c r="W1593" s="512"/>
    </row>
    <row r="1594" ht="15.4" customHeight="1" spans="1:23">
      <c r="A1594" s="749" t="s">
        <v>910</v>
      </c>
      <c r="B1594" s="1047" t="s">
        <v>1376</v>
      </c>
      <c r="C1594" s="789" t="s">
        <v>129</v>
      </c>
      <c r="D1594" s="1051">
        <v>150</v>
      </c>
      <c r="E1594" s="69"/>
      <c r="F1594" s="675" t="s">
        <v>309</v>
      </c>
      <c r="G1594" s="675">
        <f>G1593</f>
        <v>45824</v>
      </c>
      <c r="H1594" s="676">
        <f>H1593</f>
        <v>45848</v>
      </c>
      <c r="I1594" s="714" t="s">
        <v>1378</v>
      </c>
      <c r="J1594" s="1075" t="s">
        <v>18</v>
      </c>
      <c r="K1594" s="1075" t="s">
        <v>147</v>
      </c>
      <c r="L1594" s="279" t="s">
        <v>20</v>
      </c>
      <c r="M1594" s="784"/>
      <c r="N1594" s="512"/>
      <c r="O1594" s="512"/>
      <c r="P1594" s="512"/>
      <c r="Q1594" s="512"/>
      <c r="R1594" s="512"/>
      <c r="S1594" s="512"/>
      <c r="T1594" s="512"/>
      <c r="U1594" s="512"/>
      <c r="V1594" s="512"/>
      <c r="W1594" s="512"/>
    </row>
    <row r="1595" ht="15.4" customHeight="1" spans="1:23">
      <c r="A1595" s="749" t="s">
        <v>910</v>
      </c>
      <c r="B1595" s="1047" t="s">
        <v>1376</v>
      </c>
      <c r="C1595" s="789" t="s">
        <v>133</v>
      </c>
      <c r="D1595" s="1051">
        <v>150</v>
      </c>
      <c r="E1595" s="69"/>
      <c r="F1595" s="675" t="s">
        <v>309</v>
      </c>
      <c r="G1595" s="675">
        <f>G1594</f>
        <v>45824</v>
      </c>
      <c r="H1595" s="676">
        <f>H1594</f>
        <v>45848</v>
      </c>
      <c r="I1595" s="714" t="s">
        <v>1378</v>
      </c>
      <c r="J1595" s="1075" t="s">
        <v>18</v>
      </c>
      <c r="K1595" s="1075" t="s">
        <v>147</v>
      </c>
      <c r="L1595" s="279" t="s">
        <v>20</v>
      </c>
      <c r="M1595" s="784"/>
      <c r="N1595" s="512"/>
      <c r="O1595" s="512"/>
      <c r="P1595" s="512"/>
      <c r="Q1595" s="512"/>
      <c r="R1595" s="512"/>
      <c r="S1595" s="512"/>
      <c r="T1595" s="512"/>
      <c r="U1595" s="512"/>
      <c r="V1595" s="512"/>
      <c r="W1595" s="512"/>
    </row>
    <row r="1596" s="178" customFormat="1" ht="15.4" customHeight="1" spans="1:23">
      <c r="A1596" s="1182" t="s">
        <v>910</v>
      </c>
      <c r="B1596" s="1050" t="s">
        <v>1379</v>
      </c>
      <c r="C1596" s="756" t="s">
        <v>15</v>
      </c>
      <c r="D1596" s="279">
        <v>430</v>
      </c>
      <c r="E1596" s="1085" t="s">
        <v>1380</v>
      </c>
      <c r="F1596" s="675">
        <v>45792</v>
      </c>
      <c r="G1596" s="793">
        <f>VLOOKUP(CLEAN(SUBSTITUTE(TRIM(MID(E:E,FIND("/",E:E)+1,LEN(E:E)))," ","")),'Customs Decl. &amp; Local Delivery'!D:I,6,0)</f>
        <v>45824</v>
      </c>
      <c r="H1596" s="676">
        <f>VLOOKUP(CLEAN(SUBSTITUTE(TRIM(MID(E:E,FIND("/",E:E)+1,LEN(E:E)))," ","")),'Customs Decl. &amp; Local Delivery'!D:J,7,0)</f>
        <v>45848</v>
      </c>
      <c r="I1596" s="714" t="s">
        <v>1381</v>
      </c>
      <c r="J1596" s="1053" t="s">
        <v>18</v>
      </c>
      <c r="K1596" s="1053" t="s">
        <v>147</v>
      </c>
      <c r="L1596" s="279" t="s">
        <v>20</v>
      </c>
      <c r="M1596" s="687" t="s">
        <v>1382</v>
      </c>
      <c r="N1596" s="512"/>
      <c r="O1596" s="512"/>
      <c r="P1596" s="512"/>
      <c r="Q1596" s="512"/>
      <c r="R1596" s="512"/>
      <c r="S1596" s="512"/>
      <c r="T1596" s="512"/>
      <c r="U1596" s="512"/>
      <c r="V1596" s="512"/>
      <c r="W1596" s="512"/>
    </row>
    <row r="1597" s="178" customFormat="1" ht="15.4" customHeight="1" spans="1:23">
      <c r="A1597" s="1182" t="s">
        <v>910</v>
      </c>
      <c r="B1597" s="1050" t="s">
        <v>1379</v>
      </c>
      <c r="C1597" s="756" t="s">
        <v>27</v>
      </c>
      <c r="D1597" s="279">
        <v>160</v>
      </c>
      <c r="E1597" s="1127"/>
      <c r="F1597" s="675">
        <v>45792</v>
      </c>
      <c r="G1597" s="675">
        <f>G1596</f>
        <v>45824</v>
      </c>
      <c r="H1597" s="676">
        <f>H1596</f>
        <v>45848</v>
      </c>
      <c r="I1597" s="1187" t="s">
        <v>1381</v>
      </c>
      <c r="J1597" s="1053" t="s">
        <v>18</v>
      </c>
      <c r="K1597" s="1053" t="s">
        <v>147</v>
      </c>
      <c r="L1597" s="279" t="s">
        <v>20</v>
      </c>
      <c r="M1597" s="1064" t="s">
        <v>1258</v>
      </c>
      <c r="N1597" s="512"/>
      <c r="O1597" s="512"/>
      <c r="P1597" s="512"/>
      <c r="Q1597" s="512"/>
      <c r="R1597" s="512"/>
      <c r="S1597" s="512"/>
      <c r="T1597" s="512"/>
      <c r="U1597" s="512"/>
      <c r="V1597" s="512"/>
      <c r="W1597" s="512"/>
    </row>
    <row r="1598" s="178" customFormat="1" ht="15.4" customHeight="1" spans="1:23">
      <c r="A1598" s="1182" t="s">
        <v>910</v>
      </c>
      <c r="B1598" s="1050" t="s">
        <v>1379</v>
      </c>
      <c r="C1598" s="756" t="s">
        <v>70</v>
      </c>
      <c r="D1598" s="279">
        <v>5</v>
      </c>
      <c r="E1598" s="1127"/>
      <c r="F1598" s="675">
        <v>45792</v>
      </c>
      <c r="G1598" s="675">
        <f>G1597</f>
        <v>45824</v>
      </c>
      <c r="H1598" s="676">
        <f>H1597</f>
        <v>45848</v>
      </c>
      <c r="I1598" s="1187" t="s">
        <v>1381</v>
      </c>
      <c r="J1598" s="1053" t="s">
        <v>18</v>
      </c>
      <c r="K1598" s="1053" t="s">
        <v>147</v>
      </c>
      <c r="L1598" s="279" t="s">
        <v>20</v>
      </c>
      <c r="M1598" s="1064"/>
      <c r="N1598" s="512"/>
      <c r="O1598" s="512"/>
      <c r="P1598" s="512"/>
      <c r="Q1598" s="512"/>
      <c r="R1598" s="512"/>
      <c r="S1598" s="512"/>
      <c r="T1598" s="512"/>
      <c r="U1598" s="512"/>
      <c r="V1598" s="512"/>
      <c r="W1598" s="512"/>
    </row>
    <row r="1599" s="178" customFormat="1" ht="15.4" customHeight="1" spans="1:23">
      <c r="A1599" s="1182" t="s">
        <v>910</v>
      </c>
      <c r="B1599" s="1050" t="s">
        <v>1379</v>
      </c>
      <c r="C1599" s="756" t="s">
        <v>135</v>
      </c>
      <c r="D1599" s="279">
        <v>20</v>
      </c>
      <c r="E1599" s="1127"/>
      <c r="F1599" s="675">
        <v>45849</v>
      </c>
      <c r="G1599" s="675">
        <f>G1598</f>
        <v>45824</v>
      </c>
      <c r="H1599" s="676">
        <f>H1598</f>
        <v>45848</v>
      </c>
      <c r="I1599" s="714" t="s">
        <v>1381</v>
      </c>
      <c r="J1599" s="1053" t="s">
        <v>18</v>
      </c>
      <c r="K1599" s="1078" t="s">
        <v>19</v>
      </c>
      <c r="L1599" s="279" t="s">
        <v>20</v>
      </c>
      <c r="M1599" s="1084" t="s">
        <v>1383</v>
      </c>
      <c r="N1599" s="512"/>
      <c r="O1599" s="512"/>
      <c r="P1599" s="512"/>
      <c r="Q1599" s="512"/>
      <c r="R1599" s="512"/>
      <c r="S1599" s="512"/>
      <c r="T1599" s="512"/>
      <c r="U1599" s="512"/>
      <c r="V1599" s="512"/>
      <c r="W1599" s="512"/>
    </row>
    <row r="1600" s="178" customFormat="1" ht="15.4" customHeight="1" spans="1:23">
      <c r="A1600" s="1182" t="s">
        <v>910</v>
      </c>
      <c r="B1600" s="1050" t="s">
        <v>1379</v>
      </c>
      <c r="C1600" s="756" t="s">
        <v>136</v>
      </c>
      <c r="D1600" s="279">
        <v>20</v>
      </c>
      <c r="E1600" s="1127"/>
      <c r="F1600" s="675">
        <v>45849</v>
      </c>
      <c r="G1600" s="675">
        <f>G1599</f>
        <v>45824</v>
      </c>
      <c r="H1600" s="676">
        <f>H1599</f>
        <v>45848</v>
      </c>
      <c r="I1600" s="1187" t="s">
        <v>1381</v>
      </c>
      <c r="J1600" s="1053" t="s">
        <v>18</v>
      </c>
      <c r="K1600" s="1078" t="s">
        <v>19</v>
      </c>
      <c r="L1600" s="279" t="s">
        <v>20</v>
      </c>
      <c r="M1600" s="192"/>
      <c r="N1600" s="512"/>
      <c r="O1600" s="512"/>
      <c r="P1600" s="512"/>
      <c r="Q1600" s="512"/>
      <c r="R1600" s="512"/>
      <c r="S1600" s="512"/>
      <c r="T1600" s="512"/>
      <c r="U1600" s="512"/>
      <c r="V1600" s="512"/>
      <c r="W1600" s="512"/>
    </row>
    <row r="1601" s="477" customFormat="1" ht="15.4" customHeight="1" spans="1:23">
      <c r="A1601" s="1053" t="s">
        <v>1310</v>
      </c>
      <c r="B1601" s="1099" t="s">
        <v>1384</v>
      </c>
      <c r="C1601" s="1089" t="s">
        <v>49</v>
      </c>
      <c r="D1601" s="267">
        <v>83</v>
      </c>
      <c r="E1601" s="1055" t="s">
        <v>1385</v>
      </c>
      <c r="F1601" s="675">
        <v>45845</v>
      </c>
      <c r="G1601" s="793">
        <f>VLOOKUP(CLEAN(SUBSTITUTE(TRIM(MID(E:E,FIND("/",E:E)+1,LEN(E:E)))," ","")),'Customs Decl. &amp; Local Delivery'!D:I,6,0)</f>
        <v>45824</v>
      </c>
      <c r="H1601" s="676">
        <f>VLOOKUP(CLEAN(SUBSTITUTE(TRIM(MID(E:E,FIND("/",E:E)+1,LEN(E:E)))," ","")),'Customs Decl. &amp; Local Delivery'!D:J,7,0)</f>
        <v>45852</v>
      </c>
      <c r="I1601" s="1053" t="s">
        <v>1386</v>
      </c>
      <c r="J1601" s="1053" t="s">
        <v>39</v>
      </c>
      <c r="K1601" s="1143" t="s">
        <v>19</v>
      </c>
      <c r="L1601" s="279" t="s">
        <v>20</v>
      </c>
      <c r="M1601" s="1075" t="s">
        <v>1326</v>
      </c>
      <c r="N1601" s="512"/>
      <c r="O1601" s="512"/>
      <c r="P1601" s="512"/>
      <c r="Q1601" s="512"/>
      <c r="R1601" s="512"/>
      <c r="S1601" s="512"/>
      <c r="T1601" s="512"/>
      <c r="U1601" s="512"/>
      <c r="V1601" s="512"/>
      <c r="W1601" s="512"/>
    </row>
    <row r="1602" s="477" customFormat="1" ht="15.4" customHeight="1" spans="1:23">
      <c r="A1602" s="1053" t="s">
        <v>1310</v>
      </c>
      <c r="B1602" s="1099" t="s">
        <v>1384</v>
      </c>
      <c r="C1602" s="1089" t="s">
        <v>50</v>
      </c>
      <c r="D1602" s="267">
        <v>83</v>
      </c>
      <c r="E1602" s="976"/>
      <c r="F1602" s="675">
        <v>45845</v>
      </c>
      <c r="G1602" s="1122">
        <f>G1601</f>
        <v>45824</v>
      </c>
      <c r="H1602" s="676">
        <f>H1601</f>
        <v>45852</v>
      </c>
      <c r="I1602" s="1053" t="s">
        <v>1386</v>
      </c>
      <c r="J1602" s="1053" t="s">
        <v>39</v>
      </c>
      <c r="K1602" s="1143" t="s">
        <v>19</v>
      </c>
      <c r="L1602" s="279" t="s">
        <v>20</v>
      </c>
      <c r="M1602" s="1075" t="s">
        <v>1258</v>
      </c>
      <c r="N1602" s="512"/>
      <c r="O1602" s="512"/>
      <c r="P1602" s="512"/>
      <c r="Q1602" s="512"/>
      <c r="R1602" s="512"/>
      <c r="S1602" s="512"/>
      <c r="T1602" s="512"/>
      <c r="U1602" s="512"/>
      <c r="V1602" s="512"/>
      <c r="W1602" s="512"/>
    </row>
    <row r="1603" s="477" customFormat="1" ht="15.4" customHeight="1" spans="1:23">
      <c r="A1603" s="1053" t="s">
        <v>1310</v>
      </c>
      <c r="B1603" s="1099" t="s">
        <v>1384</v>
      </c>
      <c r="C1603" s="1089" t="s">
        <v>57</v>
      </c>
      <c r="D1603" s="267">
        <v>46</v>
      </c>
      <c r="E1603" s="976"/>
      <c r="F1603" s="675">
        <v>45845</v>
      </c>
      <c r="G1603" s="1122">
        <f>G1602</f>
        <v>45824</v>
      </c>
      <c r="H1603" s="676">
        <f>H1602</f>
        <v>45852</v>
      </c>
      <c r="I1603" s="1053" t="s">
        <v>1386</v>
      </c>
      <c r="J1603" s="1053" t="s">
        <v>39</v>
      </c>
      <c r="K1603" s="1143" t="s">
        <v>19</v>
      </c>
      <c r="L1603" s="279" t="s">
        <v>20</v>
      </c>
      <c r="M1603" s="1075" t="s">
        <v>1387</v>
      </c>
      <c r="N1603" s="512"/>
      <c r="O1603" s="512"/>
      <c r="P1603" s="512"/>
      <c r="Q1603" s="512"/>
      <c r="R1603" s="512"/>
      <c r="S1603" s="512"/>
      <c r="T1603" s="512"/>
      <c r="U1603" s="512"/>
      <c r="V1603" s="512"/>
      <c r="W1603" s="512"/>
    </row>
    <row r="1604" s="477" customFormat="1" ht="15.4" customHeight="1" spans="1:23">
      <c r="A1604" s="1053" t="s">
        <v>1310</v>
      </c>
      <c r="B1604" s="1099" t="s">
        <v>1384</v>
      </c>
      <c r="C1604" s="1089" t="s">
        <v>58</v>
      </c>
      <c r="D1604" s="267">
        <v>46</v>
      </c>
      <c r="E1604" s="1127"/>
      <c r="F1604" s="675">
        <v>45845</v>
      </c>
      <c r="G1604" s="1122">
        <f>G1603</f>
        <v>45824</v>
      </c>
      <c r="H1604" s="676">
        <f>H1603</f>
        <v>45852</v>
      </c>
      <c r="I1604" s="1053" t="s">
        <v>1386</v>
      </c>
      <c r="J1604" s="1053" t="s">
        <v>39</v>
      </c>
      <c r="K1604" s="1143" t="s">
        <v>19</v>
      </c>
      <c r="L1604" s="279" t="s">
        <v>20</v>
      </c>
      <c r="M1604" s="1075"/>
      <c r="N1604" s="512"/>
      <c r="O1604" s="512"/>
      <c r="P1604" s="512"/>
      <c r="Q1604" s="512"/>
      <c r="R1604" s="512"/>
      <c r="S1604" s="512"/>
      <c r="T1604" s="512"/>
      <c r="U1604" s="512"/>
      <c r="V1604" s="512"/>
      <c r="W1604" s="512"/>
    </row>
    <row r="1605" ht="33.75" customHeight="1" spans="1:23">
      <c r="A1605" s="749" t="s">
        <v>1345</v>
      </c>
      <c r="B1605" s="1155" t="s">
        <v>1388</v>
      </c>
      <c r="C1605" s="671" t="s">
        <v>631</v>
      </c>
      <c r="D1605" s="250">
        <v>51</v>
      </c>
      <c r="E1605" s="1162" t="s">
        <v>1389</v>
      </c>
      <c r="F1605" s="675">
        <v>45828</v>
      </c>
      <c r="G1605" s="793">
        <f>VLOOKUP(CLEAN(SUBSTITUTE(TRIM(MID(E:E,FIND("/",E:E)+1,LEN(E:E)))," ","")),'Customs Decl. &amp; Local Delivery'!D:I,6,0)</f>
        <v>45825</v>
      </c>
      <c r="H1605" s="676">
        <f>VLOOKUP(CLEAN(SUBSTITUTE(TRIM(MID(E:E,FIND("/",E:E)+1,LEN(E:E)))," ","")),'Customs Decl. &amp; Local Delivery'!D:J,7,0)</f>
        <v>45857</v>
      </c>
      <c r="I1605" s="1192" t="s">
        <v>1390</v>
      </c>
      <c r="J1605" s="1184" t="s">
        <v>161</v>
      </c>
      <c r="K1605" s="1193" t="s">
        <v>147</v>
      </c>
      <c r="L1605" s="279" t="s">
        <v>20</v>
      </c>
      <c r="M1605" s="1185" t="s">
        <v>1391</v>
      </c>
      <c r="N1605" s="512"/>
      <c r="O1605" s="512"/>
      <c r="P1605" s="512"/>
      <c r="Q1605" s="512"/>
      <c r="R1605" s="512"/>
      <c r="S1605" s="512"/>
      <c r="T1605" s="512"/>
      <c r="U1605" s="512"/>
      <c r="V1605" s="512"/>
      <c r="W1605" s="512"/>
    </row>
    <row r="1606" ht="30" spans="1:23">
      <c r="A1606" s="749" t="s">
        <v>1345</v>
      </c>
      <c r="B1606" s="1155" t="s">
        <v>1392</v>
      </c>
      <c r="C1606" s="671" t="s">
        <v>1211</v>
      </c>
      <c r="D1606" s="250">
        <v>45</v>
      </c>
      <c r="E1606" s="1162" t="s">
        <v>1393</v>
      </c>
      <c r="F1606" s="675">
        <v>45828</v>
      </c>
      <c r="G1606" s="793">
        <f>VLOOKUP(CLEAN(SUBSTITUTE(TRIM(MID(E:E,FIND("/",E:E)+1,LEN(E:E)))," ","")),'Customs Decl. &amp; Local Delivery'!D:I,6,0)</f>
        <v>45825</v>
      </c>
      <c r="H1606" s="676">
        <f>VLOOKUP(CLEAN(SUBSTITUTE(TRIM(MID(E:E,FIND("/",E:E)+1,LEN(E:E)))," ","")),'Customs Decl. &amp; Local Delivery'!D:J,7,0)</f>
        <v>45850</v>
      </c>
      <c r="I1606" s="1192" t="s">
        <v>1394</v>
      </c>
      <c r="J1606" s="1184" t="s">
        <v>161</v>
      </c>
      <c r="K1606" s="1193" t="s">
        <v>147</v>
      </c>
      <c r="L1606" s="279" t="s">
        <v>20</v>
      </c>
      <c r="M1606" s="1185" t="s">
        <v>1391</v>
      </c>
      <c r="N1606" s="512"/>
      <c r="O1606" s="1154"/>
      <c r="P1606" s="1154"/>
      <c r="Q1606" s="1154"/>
      <c r="R1606" s="1154"/>
      <c r="S1606" s="1154"/>
      <c r="T1606" s="1154"/>
      <c r="U1606" s="1154"/>
      <c r="V1606" s="1154"/>
      <c r="W1606" s="1154"/>
    </row>
    <row r="1607" ht="30" spans="1:23">
      <c r="A1607" s="749" t="s">
        <v>1345</v>
      </c>
      <c r="B1607" s="1155" t="s">
        <v>1395</v>
      </c>
      <c r="C1607" s="671" t="s">
        <v>651</v>
      </c>
      <c r="D1607" s="250">
        <v>45</v>
      </c>
      <c r="E1607" s="1162" t="s">
        <v>1396</v>
      </c>
      <c r="F1607" s="675">
        <v>45828</v>
      </c>
      <c r="G1607" s="793">
        <f>VLOOKUP(CLEAN(SUBSTITUTE(TRIM(MID(E:E,FIND("/",E:E)+1,LEN(E:E)))," ","")),'Customs Decl. &amp; Local Delivery'!D:I,6,0)</f>
        <v>45825</v>
      </c>
      <c r="H1607" s="676">
        <f>VLOOKUP(CLEAN(SUBSTITUTE(TRIM(MID(E:E,FIND("/",E:E)+1,LEN(E:E)))," ","")),'Customs Decl. &amp; Local Delivery'!D:J,7,0)</f>
        <v>45850</v>
      </c>
      <c r="I1607" s="1192" t="s">
        <v>1397</v>
      </c>
      <c r="J1607" s="1184" t="s">
        <v>161</v>
      </c>
      <c r="K1607" s="1193" t="s">
        <v>147</v>
      </c>
      <c r="L1607" s="279" t="s">
        <v>20</v>
      </c>
      <c r="M1607" s="1185" t="s">
        <v>1391</v>
      </c>
      <c r="N1607" s="512"/>
      <c r="O1607" s="512"/>
      <c r="P1607" s="512"/>
      <c r="Q1607" s="512"/>
      <c r="R1607" s="512"/>
      <c r="S1607" s="512"/>
      <c r="T1607" s="512"/>
      <c r="U1607" s="512"/>
      <c r="V1607" s="512"/>
      <c r="W1607" s="512"/>
    </row>
    <row r="1608" ht="30" spans="1:23">
      <c r="A1608" s="749" t="s">
        <v>1345</v>
      </c>
      <c r="B1608" s="1155" t="s">
        <v>1398</v>
      </c>
      <c r="C1608" s="671" t="s">
        <v>651</v>
      </c>
      <c r="D1608" s="250">
        <v>45</v>
      </c>
      <c r="E1608" s="1162" t="s">
        <v>1399</v>
      </c>
      <c r="F1608" s="675">
        <v>45828</v>
      </c>
      <c r="G1608" s="793">
        <f>VLOOKUP(CLEAN(SUBSTITUTE(TRIM(MID(E:E,FIND("/",E:E)+1,LEN(E:E)))," ","")),'Customs Decl. &amp; Local Delivery'!D:I,6,0)</f>
        <v>45825</v>
      </c>
      <c r="H1608" s="676">
        <f>VLOOKUP(CLEAN(SUBSTITUTE(TRIM(MID(E:E,FIND("/",E:E)+1,LEN(E:E)))," ","")),'Customs Decl. &amp; Local Delivery'!D:J,7,0)</f>
        <v>45849</v>
      </c>
      <c r="I1608" s="1192" t="s">
        <v>1400</v>
      </c>
      <c r="J1608" s="1184" t="s">
        <v>161</v>
      </c>
      <c r="K1608" s="1193" t="s">
        <v>147</v>
      </c>
      <c r="L1608" s="279" t="s">
        <v>20</v>
      </c>
      <c r="M1608" s="1185" t="s">
        <v>1391</v>
      </c>
      <c r="N1608" s="512"/>
      <c r="O1608" s="512"/>
      <c r="P1608" s="512"/>
      <c r="Q1608" s="512"/>
      <c r="R1608" s="512"/>
      <c r="S1608" s="512"/>
      <c r="T1608" s="512"/>
      <c r="U1608" s="512"/>
      <c r="V1608" s="512"/>
      <c r="W1608" s="512"/>
    </row>
    <row r="1609" ht="30" spans="1:23">
      <c r="A1609" s="749" t="s">
        <v>1345</v>
      </c>
      <c r="B1609" s="1155" t="s">
        <v>1401</v>
      </c>
      <c r="C1609" s="671" t="s">
        <v>651</v>
      </c>
      <c r="D1609" s="250">
        <v>45</v>
      </c>
      <c r="E1609" s="1162" t="s">
        <v>1402</v>
      </c>
      <c r="F1609" s="675">
        <v>45828</v>
      </c>
      <c r="G1609" s="793">
        <f>VLOOKUP(CLEAN(SUBSTITUTE(TRIM(MID(E:E,FIND("/",E:E)+1,LEN(E:E)))," ","")),'Customs Decl. &amp; Local Delivery'!D:I,6,0)</f>
        <v>45825</v>
      </c>
      <c r="H1609" s="676">
        <f>VLOOKUP(CLEAN(SUBSTITUTE(TRIM(MID(E:E,FIND("/",E:E)+1,LEN(E:E)))," ","")),'Customs Decl. &amp; Local Delivery'!D:J,7,0)</f>
        <v>45850</v>
      </c>
      <c r="I1609" s="1192" t="s">
        <v>1403</v>
      </c>
      <c r="J1609" s="1184" t="s">
        <v>161</v>
      </c>
      <c r="K1609" s="1193" t="s">
        <v>147</v>
      </c>
      <c r="L1609" s="279" t="s">
        <v>20</v>
      </c>
      <c r="M1609" s="1185" t="s">
        <v>1391</v>
      </c>
      <c r="N1609" s="512"/>
      <c r="O1609" s="512"/>
      <c r="P1609" s="512"/>
      <c r="Q1609" s="512"/>
      <c r="R1609" s="512"/>
      <c r="S1609" s="512"/>
      <c r="T1609" s="512"/>
      <c r="U1609" s="512"/>
      <c r="V1609" s="512"/>
      <c r="W1609" s="512"/>
    </row>
    <row r="1610" ht="30" spans="1:23">
      <c r="A1610" s="749" t="s">
        <v>1345</v>
      </c>
      <c r="B1610" s="1155" t="s">
        <v>1404</v>
      </c>
      <c r="C1610" s="671" t="s">
        <v>651</v>
      </c>
      <c r="D1610" s="250">
        <v>45</v>
      </c>
      <c r="E1610" s="1162" t="s">
        <v>1405</v>
      </c>
      <c r="F1610" s="675">
        <v>45828</v>
      </c>
      <c r="G1610" s="793">
        <f>VLOOKUP(CLEAN(SUBSTITUTE(TRIM(MID(E:E,FIND("/",E:E)+1,LEN(E:E)))," ","")),'Customs Decl. &amp; Local Delivery'!D:I,6,0)</f>
        <v>45825</v>
      </c>
      <c r="H1610" s="676">
        <f>VLOOKUP(CLEAN(SUBSTITUTE(TRIM(MID(E:E,FIND("/",E:E)+1,LEN(E:E)))," ","")),'Customs Decl. &amp; Local Delivery'!D:J,7,0)</f>
        <v>45850</v>
      </c>
      <c r="I1610" s="1192" t="s">
        <v>1406</v>
      </c>
      <c r="J1610" s="1184" t="s">
        <v>161</v>
      </c>
      <c r="K1610" s="1193" t="s">
        <v>147</v>
      </c>
      <c r="L1610" s="279" t="s">
        <v>20</v>
      </c>
      <c r="M1610" s="1185" t="s">
        <v>1391</v>
      </c>
      <c r="N1610" s="512"/>
      <c r="O1610" s="512"/>
      <c r="P1610" s="512"/>
      <c r="Q1610" s="512"/>
      <c r="R1610" s="512"/>
      <c r="S1610" s="512"/>
      <c r="T1610" s="512"/>
      <c r="U1610" s="512"/>
      <c r="V1610" s="512"/>
      <c r="W1610" s="512"/>
    </row>
    <row r="1611" ht="30" spans="1:23">
      <c r="A1611" s="749" t="s">
        <v>1345</v>
      </c>
      <c r="B1611" s="1155" t="s">
        <v>1407</v>
      </c>
      <c r="C1611" s="671" t="s">
        <v>651</v>
      </c>
      <c r="D1611" s="250">
        <v>45</v>
      </c>
      <c r="E1611" s="1162" t="s">
        <v>1408</v>
      </c>
      <c r="F1611" s="675">
        <v>45828</v>
      </c>
      <c r="G1611" s="793">
        <f>VLOOKUP(CLEAN(SUBSTITUTE(TRIM(MID(E:E,FIND("/",E:E)+1,LEN(E:E)))," ","")),'Customs Decl. &amp; Local Delivery'!D:I,6,0)</f>
        <v>45825</v>
      </c>
      <c r="H1611" s="676">
        <f>VLOOKUP(CLEAN(SUBSTITUTE(TRIM(MID(E:E,FIND("/",E:E)+1,LEN(E:E)))," ","")),'Customs Decl. &amp; Local Delivery'!D:J,7,0)</f>
        <v>45850</v>
      </c>
      <c r="I1611" s="1192" t="s">
        <v>1409</v>
      </c>
      <c r="J1611" s="1184" t="s">
        <v>161</v>
      </c>
      <c r="K1611" s="1193" t="s">
        <v>147</v>
      </c>
      <c r="L1611" s="279" t="s">
        <v>20</v>
      </c>
      <c r="M1611" s="1185" t="s">
        <v>1391</v>
      </c>
      <c r="N1611" s="512"/>
      <c r="O1611" s="512"/>
      <c r="P1611" s="512"/>
      <c r="Q1611" s="512"/>
      <c r="R1611" s="512"/>
      <c r="S1611" s="512"/>
      <c r="T1611" s="512"/>
      <c r="U1611" s="512"/>
      <c r="V1611" s="512"/>
      <c r="W1611" s="512"/>
    </row>
    <row r="1612" ht="33.75" customHeight="1" spans="1:23">
      <c r="A1612" s="749" t="s">
        <v>1345</v>
      </c>
      <c r="B1612" s="1155" t="s">
        <v>1410</v>
      </c>
      <c r="C1612" s="671" t="s">
        <v>1120</v>
      </c>
      <c r="D1612" s="250">
        <v>45</v>
      </c>
      <c r="E1612" s="1162" t="s">
        <v>1411</v>
      </c>
      <c r="F1612" s="675">
        <v>45828</v>
      </c>
      <c r="G1612" s="793">
        <f>VLOOKUP(CLEAN(SUBSTITUTE(TRIM(MID(E:E,FIND("/",E:E)+1,LEN(E:E)))," ","")),'Customs Decl. &amp; Local Delivery'!D:I,6,0)</f>
        <v>45825</v>
      </c>
      <c r="H1612" s="676">
        <f>VLOOKUP(CLEAN(SUBSTITUTE(TRIM(MID(E:E,FIND("/",E:E)+1,LEN(E:E)))," ","")),'Customs Decl. &amp; Local Delivery'!D:J,7,0)</f>
        <v>45849</v>
      </c>
      <c r="I1612" s="1192" t="s">
        <v>1412</v>
      </c>
      <c r="J1612" s="1194" t="s">
        <v>161</v>
      </c>
      <c r="K1612" s="1193" t="s">
        <v>147</v>
      </c>
      <c r="L1612" s="279" t="s">
        <v>20</v>
      </c>
      <c r="M1612" s="1185" t="s">
        <v>1391</v>
      </c>
      <c r="N1612" s="512"/>
      <c r="O1612" s="512"/>
      <c r="P1612" s="512"/>
      <c r="Q1612" s="512"/>
      <c r="R1612" s="512"/>
      <c r="S1612" s="512"/>
      <c r="T1612" s="512"/>
      <c r="U1612" s="512"/>
      <c r="V1612" s="512"/>
      <c r="W1612" s="512"/>
    </row>
    <row r="1613" ht="33.75" customHeight="1" spans="1:23">
      <c r="A1613" s="749" t="s">
        <v>1345</v>
      </c>
      <c r="B1613" s="1155" t="s">
        <v>1413</v>
      </c>
      <c r="C1613" s="671" t="s">
        <v>1206</v>
      </c>
      <c r="D1613" s="250">
        <v>45</v>
      </c>
      <c r="E1613" s="1162" t="s">
        <v>1414</v>
      </c>
      <c r="F1613" s="675">
        <v>45828</v>
      </c>
      <c r="G1613" s="793">
        <f>VLOOKUP(CLEAN(SUBSTITUTE(TRIM(MID(E:E,FIND("/",E:E)+1,LEN(E:E)))," ","")),'Customs Decl. &amp; Local Delivery'!D:I,6,0)</f>
        <v>45827</v>
      </c>
      <c r="H1613" s="676">
        <f>VLOOKUP(CLEAN(SUBSTITUTE(TRIM(MID(E:E,FIND("/",E:E)+1,LEN(E:E)))," ","")),'Customs Decl. &amp; Local Delivery'!D:J,7,0)</f>
        <v>45849</v>
      </c>
      <c r="I1613" s="1192" t="s">
        <v>1415</v>
      </c>
      <c r="J1613" s="1184" t="s">
        <v>161</v>
      </c>
      <c r="K1613" s="1193" t="s">
        <v>147</v>
      </c>
      <c r="L1613" s="279" t="s">
        <v>20</v>
      </c>
      <c r="M1613" s="1185" t="s">
        <v>1416</v>
      </c>
      <c r="N1613" s="512"/>
      <c r="O1613" s="1154"/>
      <c r="P1613" s="1154"/>
      <c r="Q1613" s="1154"/>
      <c r="R1613" s="1154"/>
      <c r="S1613" s="1154"/>
      <c r="T1613" s="1154"/>
      <c r="U1613" s="1154"/>
      <c r="V1613" s="1154"/>
      <c r="W1613" s="1154"/>
    </row>
    <row r="1614" ht="15.4" customHeight="1" spans="1:23">
      <c r="A1614" s="1131" t="s">
        <v>1417</v>
      </c>
      <c r="B1614" s="1188" t="s">
        <v>1418</v>
      </c>
      <c r="C1614" s="1189" t="s">
        <v>129</v>
      </c>
      <c r="D1614" s="282">
        <v>10</v>
      </c>
      <c r="E1614" s="1055" t="s">
        <v>1419</v>
      </c>
      <c r="F1614" s="675">
        <v>45851</v>
      </c>
      <c r="G1614" s="793">
        <f>VLOOKUP(CLEAN(SUBSTITUTE(TRIM(MID(E:E,FIND("/",E:E)+1,LEN(E:E)))," ","")),'Customs Decl. &amp; Local Delivery'!D:I,6,0)</f>
        <v>45828</v>
      </c>
      <c r="H1614" s="676">
        <f>VLOOKUP(CLEAN(SUBSTITUTE(TRIM(MID(E:E,FIND("/",E:E)+1,LEN(E:E)))," ","")),'Customs Decl. &amp; Local Delivery'!D:J,7,0)</f>
        <v>45854</v>
      </c>
      <c r="I1614" s="1187" t="s">
        <v>1420</v>
      </c>
      <c r="J1614" s="1053" t="s">
        <v>18</v>
      </c>
      <c r="K1614" s="1053" t="s">
        <v>19</v>
      </c>
      <c r="L1614" s="279" t="s">
        <v>20</v>
      </c>
      <c r="M1614" s="780" t="s">
        <v>1421</v>
      </c>
      <c r="N1614" s="512"/>
      <c r="O1614" s="512"/>
      <c r="P1614" s="512"/>
      <c r="Q1614" s="512"/>
      <c r="R1614" s="512"/>
      <c r="S1614" s="512"/>
      <c r="T1614" s="512"/>
      <c r="U1614" s="512"/>
      <c r="V1614" s="512"/>
      <c r="W1614" s="512"/>
    </row>
    <row r="1615" ht="15.4" customHeight="1" spans="1:23">
      <c r="A1615" s="1053" t="s">
        <v>1417</v>
      </c>
      <c r="B1615" s="1099" t="s">
        <v>1418</v>
      </c>
      <c r="C1615" s="1089" t="s">
        <v>24</v>
      </c>
      <c r="D1615" s="240">
        <v>50</v>
      </c>
      <c r="E1615" s="976"/>
      <c r="F1615" s="675">
        <v>45851</v>
      </c>
      <c r="G1615" s="703">
        <f t="shared" ref="G1615:G1625" si="124">G1614</f>
        <v>45828</v>
      </c>
      <c r="H1615" s="676">
        <f t="shared" ref="H1615:H1625" si="125">H1614</f>
        <v>45854</v>
      </c>
      <c r="I1615" s="1187" t="s">
        <v>1420</v>
      </c>
      <c r="J1615" s="1053" t="s">
        <v>18</v>
      </c>
      <c r="K1615" s="1053" t="s">
        <v>19</v>
      </c>
      <c r="L1615" s="279" t="s">
        <v>20</v>
      </c>
      <c r="M1615" s="1053" t="s">
        <v>1315</v>
      </c>
      <c r="N1615" s="512"/>
      <c r="O1615" s="512"/>
      <c r="P1615" s="512"/>
      <c r="Q1615" s="512"/>
      <c r="R1615" s="512"/>
      <c r="S1615" s="512"/>
      <c r="T1615" s="512"/>
      <c r="U1615" s="512"/>
      <c r="V1615" s="512"/>
      <c r="W1615" s="512"/>
    </row>
    <row r="1616" ht="15.4" customHeight="1" spans="1:23">
      <c r="A1616" s="1053" t="s">
        <v>1417</v>
      </c>
      <c r="B1616" s="1099" t="s">
        <v>1418</v>
      </c>
      <c r="C1616" s="1089" t="s">
        <v>27</v>
      </c>
      <c r="D1616" s="240">
        <v>10</v>
      </c>
      <c r="E1616" s="976"/>
      <c r="F1616" s="675">
        <v>45851</v>
      </c>
      <c r="G1616" s="703">
        <f t="shared" si="124"/>
        <v>45828</v>
      </c>
      <c r="H1616" s="676">
        <f t="shared" si="125"/>
        <v>45854</v>
      </c>
      <c r="I1616" s="1187" t="s">
        <v>1420</v>
      </c>
      <c r="J1616" s="1053" t="s">
        <v>18</v>
      </c>
      <c r="K1616" s="1053" t="s">
        <v>19</v>
      </c>
      <c r="L1616" s="279" t="s">
        <v>20</v>
      </c>
      <c r="M1616" s="1053" t="s">
        <v>1422</v>
      </c>
      <c r="N1616" s="512"/>
      <c r="O1616" s="512"/>
      <c r="P1616" s="512"/>
      <c r="Q1616" s="512"/>
      <c r="R1616" s="512"/>
      <c r="S1616" s="512"/>
      <c r="T1616" s="512"/>
      <c r="U1616" s="512"/>
      <c r="V1616" s="512"/>
      <c r="W1616" s="512"/>
    </row>
    <row r="1617" ht="15.4" customHeight="1" spans="1:23">
      <c r="A1617" s="1053" t="s">
        <v>1417</v>
      </c>
      <c r="B1617" s="1099" t="s">
        <v>1418</v>
      </c>
      <c r="C1617" s="1089" t="s">
        <v>135</v>
      </c>
      <c r="D1617" s="240">
        <v>10</v>
      </c>
      <c r="E1617" s="1127"/>
      <c r="F1617" s="675">
        <v>45851</v>
      </c>
      <c r="G1617" s="703">
        <f t="shared" si="124"/>
        <v>45828</v>
      </c>
      <c r="H1617" s="676">
        <f t="shared" si="125"/>
        <v>45854</v>
      </c>
      <c r="I1617" s="1187" t="s">
        <v>1420</v>
      </c>
      <c r="J1617" s="1053" t="s">
        <v>18</v>
      </c>
      <c r="K1617" s="1053" t="s">
        <v>19</v>
      </c>
      <c r="L1617" s="279" t="s">
        <v>20</v>
      </c>
      <c r="M1617" s="1053"/>
      <c r="N1617" s="512"/>
      <c r="O1617" s="512"/>
      <c r="P1617" s="512"/>
      <c r="Q1617" s="512"/>
      <c r="R1617" s="512"/>
      <c r="S1617" s="512"/>
      <c r="T1617" s="512"/>
      <c r="U1617" s="512"/>
      <c r="V1617" s="512"/>
      <c r="W1617" s="512"/>
    </row>
    <row r="1618" ht="15.4" customHeight="1" spans="1:23">
      <c r="A1618" s="1053" t="s">
        <v>1417</v>
      </c>
      <c r="B1618" s="1099" t="s">
        <v>1418</v>
      </c>
      <c r="C1618" s="1089" t="s">
        <v>67</v>
      </c>
      <c r="D1618" s="240">
        <v>50</v>
      </c>
      <c r="E1618" s="1127"/>
      <c r="F1618" s="675">
        <v>45851</v>
      </c>
      <c r="G1618" s="703">
        <f t="shared" si="124"/>
        <v>45828</v>
      </c>
      <c r="H1618" s="676">
        <f t="shared" si="125"/>
        <v>45854</v>
      </c>
      <c r="I1618" s="1187" t="s">
        <v>1420</v>
      </c>
      <c r="J1618" s="1053" t="s">
        <v>18</v>
      </c>
      <c r="K1618" s="1053" t="s">
        <v>19</v>
      </c>
      <c r="L1618" s="279" t="s">
        <v>20</v>
      </c>
      <c r="M1618" s="1053"/>
      <c r="N1618" s="512"/>
      <c r="O1618" s="512"/>
      <c r="P1618" s="512"/>
      <c r="Q1618" s="512"/>
      <c r="R1618" s="512"/>
      <c r="S1618" s="512"/>
      <c r="T1618" s="512"/>
      <c r="U1618" s="512"/>
      <c r="V1618" s="512"/>
      <c r="W1618" s="512"/>
    </row>
    <row r="1619" ht="15.4" customHeight="1" spans="1:23">
      <c r="A1619" s="1053" t="s">
        <v>1417</v>
      </c>
      <c r="B1619" s="1099" t="s">
        <v>1418</v>
      </c>
      <c r="C1619" s="1089" t="s">
        <v>69</v>
      </c>
      <c r="D1619" s="240">
        <v>10</v>
      </c>
      <c r="E1619" s="1127"/>
      <c r="F1619" s="675">
        <v>45851</v>
      </c>
      <c r="G1619" s="703">
        <f t="shared" si="124"/>
        <v>45828</v>
      </c>
      <c r="H1619" s="676">
        <f t="shared" si="125"/>
        <v>45854</v>
      </c>
      <c r="I1619" s="1187" t="s">
        <v>1420</v>
      </c>
      <c r="J1619" s="1053" t="s">
        <v>18</v>
      </c>
      <c r="K1619" s="1053" t="s">
        <v>19</v>
      </c>
      <c r="L1619" s="279" t="s">
        <v>20</v>
      </c>
      <c r="M1619" s="1053"/>
      <c r="N1619" s="512"/>
      <c r="O1619" s="512"/>
      <c r="P1619" s="512"/>
      <c r="Q1619" s="512"/>
      <c r="R1619" s="512"/>
      <c r="S1619" s="512"/>
      <c r="T1619" s="512"/>
      <c r="U1619" s="512"/>
      <c r="V1619" s="512"/>
      <c r="W1619" s="512"/>
    </row>
    <row r="1620" ht="15.4" customHeight="1" spans="1:23">
      <c r="A1620" s="1053" t="s">
        <v>1417</v>
      </c>
      <c r="B1620" s="1099" t="s">
        <v>1418</v>
      </c>
      <c r="C1620" s="1089" t="s">
        <v>59</v>
      </c>
      <c r="D1620" s="240">
        <v>10</v>
      </c>
      <c r="E1620" s="1127"/>
      <c r="F1620" s="675">
        <v>45851</v>
      </c>
      <c r="G1620" s="703">
        <f t="shared" si="124"/>
        <v>45828</v>
      </c>
      <c r="H1620" s="676">
        <f t="shared" si="125"/>
        <v>45854</v>
      </c>
      <c r="I1620" s="1187" t="s">
        <v>1420</v>
      </c>
      <c r="J1620" s="1053" t="s">
        <v>18</v>
      </c>
      <c r="K1620" s="1053" t="s">
        <v>19</v>
      </c>
      <c r="L1620" s="279" t="s">
        <v>20</v>
      </c>
      <c r="M1620" s="1053"/>
      <c r="N1620" s="512"/>
      <c r="O1620" s="512"/>
      <c r="P1620" s="512"/>
      <c r="Q1620" s="512"/>
      <c r="R1620" s="512"/>
      <c r="S1620" s="512"/>
      <c r="T1620" s="512"/>
      <c r="U1620" s="512"/>
      <c r="V1620" s="512"/>
      <c r="W1620" s="512"/>
    </row>
    <row r="1621" ht="15.4" customHeight="1" spans="1:23">
      <c r="A1621" s="1053" t="s">
        <v>1417</v>
      </c>
      <c r="B1621" s="1099" t="s">
        <v>1418</v>
      </c>
      <c r="C1621" s="1089" t="s">
        <v>60</v>
      </c>
      <c r="D1621" s="240">
        <v>10</v>
      </c>
      <c r="E1621" s="1127"/>
      <c r="F1621" s="675">
        <v>45851</v>
      </c>
      <c r="G1621" s="703">
        <f t="shared" si="124"/>
        <v>45828</v>
      </c>
      <c r="H1621" s="676">
        <f t="shared" si="125"/>
        <v>45854</v>
      </c>
      <c r="I1621" s="1187" t="s">
        <v>1420</v>
      </c>
      <c r="J1621" s="1053" t="s">
        <v>18</v>
      </c>
      <c r="K1621" s="1053" t="s">
        <v>19</v>
      </c>
      <c r="L1621" s="279" t="s">
        <v>20</v>
      </c>
      <c r="M1621" s="1053"/>
      <c r="N1621" s="512"/>
      <c r="O1621" s="512"/>
      <c r="P1621" s="512"/>
      <c r="Q1621" s="512"/>
      <c r="R1621" s="512"/>
      <c r="S1621" s="512"/>
      <c r="T1621" s="512"/>
      <c r="U1621" s="512"/>
      <c r="V1621" s="512"/>
      <c r="W1621" s="512"/>
    </row>
    <row r="1622" ht="15.4" customHeight="1" spans="1:23">
      <c r="A1622" s="1053" t="s">
        <v>1417</v>
      </c>
      <c r="B1622" s="1099" t="s">
        <v>1418</v>
      </c>
      <c r="C1622" s="1089" t="s">
        <v>761</v>
      </c>
      <c r="D1622" s="240">
        <v>1</v>
      </c>
      <c r="E1622" s="1127"/>
      <c r="F1622" s="675">
        <v>45851</v>
      </c>
      <c r="G1622" s="703">
        <f t="shared" si="124"/>
        <v>45828</v>
      </c>
      <c r="H1622" s="676">
        <f t="shared" si="125"/>
        <v>45854</v>
      </c>
      <c r="I1622" s="1187" t="s">
        <v>1420</v>
      </c>
      <c r="J1622" s="1053" t="s">
        <v>18</v>
      </c>
      <c r="K1622" s="1053" t="s">
        <v>19</v>
      </c>
      <c r="L1622" s="279" t="s">
        <v>20</v>
      </c>
      <c r="M1622" s="1053"/>
      <c r="N1622" s="512"/>
      <c r="O1622" s="512"/>
      <c r="P1622" s="512"/>
      <c r="Q1622" s="512"/>
      <c r="R1622" s="512"/>
      <c r="S1622" s="512"/>
      <c r="T1622" s="512"/>
      <c r="U1622" s="512"/>
      <c r="V1622" s="512"/>
      <c r="W1622" s="512"/>
    </row>
    <row r="1623" ht="15.4" customHeight="1" spans="1:23">
      <c r="A1623" s="1053" t="s">
        <v>1417</v>
      </c>
      <c r="B1623" s="1099" t="s">
        <v>1418</v>
      </c>
      <c r="C1623" s="1089" t="s">
        <v>342</v>
      </c>
      <c r="D1623" s="240">
        <v>3</v>
      </c>
      <c r="E1623" s="1127"/>
      <c r="F1623" s="675">
        <v>45851</v>
      </c>
      <c r="G1623" s="703">
        <f t="shared" si="124"/>
        <v>45828</v>
      </c>
      <c r="H1623" s="676">
        <f t="shared" si="125"/>
        <v>45854</v>
      </c>
      <c r="I1623" s="1187" t="s">
        <v>1420</v>
      </c>
      <c r="J1623" s="1053" t="s">
        <v>18</v>
      </c>
      <c r="K1623" s="1053" t="s">
        <v>19</v>
      </c>
      <c r="L1623" s="279" t="s">
        <v>20</v>
      </c>
      <c r="M1623" s="1053"/>
      <c r="N1623" s="512"/>
      <c r="O1623" s="512"/>
      <c r="P1623" s="512"/>
      <c r="Q1623" s="512"/>
      <c r="R1623" s="512"/>
      <c r="S1623" s="512"/>
      <c r="T1623" s="512"/>
      <c r="U1623" s="512"/>
      <c r="V1623" s="512"/>
      <c r="W1623" s="512"/>
    </row>
    <row r="1624" ht="15.4" customHeight="1" spans="1:23">
      <c r="A1624" s="1053" t="s">
        <v>1417</v>
      </c>
      <c r="B1624" s="1099" t="s">
        <v>1418</v>
      </c>
      <c r="C1624" s="1089" t="s">
        <v>91</v>
      </c>
      <c r="D1624" s="240">
        <v>22</v>
      </c>
      <c r="E1624" s="1127"/>
      <c r="F1624" s="675">
        <v>45851</v>
      </c>
      <c r="G1624" s="703">
        <f t="shared" si="124"/>
        <v>45828</v>
      </c>
      <c r="H1624" s="676">
        <f t="shared" si="125"/>
        <v>45854</v>
      </c>
      <c r="I1624" s="1187" t="s">
        <v>1420</v>
      </c>
      <c r="J1624" s="1053" t="s">
        <v>18</v>
      </c>
      <c r="K1624" s="1053" t="s">
        <v>19</v>
      </c>
      <c r="L1624" s="279" t="s">
        <v>20</v>
      </c>
      <c r="M1624" s="1053"/>
      <c r="N1624" s="512"/>
      <c r="O1624" s="512"/>
      <c r="P1624" s="512"/>
      <c r="Q1624" s="512"/>
      <c r="R1624" s="512"/>
      <c r="S1624" s="512"/>
      <c r="T1624" s="512"/>
      <c r="U1624" s="512"/>
      <c r="V1624" s="512"/>
      <c r="W1624" s="512"/>
    </row>
    <row r="1625" ht="15.4" customHeight="1" spans="1:23">
      <c r="A1625" s="1133" t="s">
        <v>1417</v>
      </c>
      <c r="B1625" s="1099" t="s">
        <v>1418</v>
      </c>
      <c r="C1625" s="1168" t="s">
        <v>77</v>
      </c>
      <c r="D1625" s="246">
        <v>21</v>
      </c>
      <c r="E1625" s="1127"/>
      <c r="F1625" s="675">
        <v>45851</v>
      </c>
      <c r="G1625" s="703">
        <f t="shared" si="124"/>
        <v>45828</v>
      </c>
      <c r="H1625" s="676">
        <f t="shared" si="125"/>
        <v>45854</v>
      </c>
      <c r="I1625" s="1187" t="s">
        <v>1420</v>
      </c>
      <c r="J1625" s="1133" t="s">
        <v>18</v>
      </c>
      <c r="K1625" s="1133" t="s">
        <v>19</v>
      </c>
      <c r="L1625" s="279" t="s">
        <v>20</v>
      </c>
      <c r="M1625" s="1133"/>
      <c r="N1625" s="512"/>
      <c r="O1625" s="512"/>
      <c r="P1625" s="512"/>
      <c r="Q1625" s="512"/>
      <c r="R1625" s="512"/>
      <c r="S1625" s="512"/>
      <c r="T1625" s="512"/>
      <c r="U1625" s="512"/>
      <c r="V1625" s="512"/>
      <c r="W1625" s="512"/>
    </row>
    <row r="1626" ht="15.4" customHeight="1" spans="1:23">
      <c r="A1626" s="1047" t="s">
        <v>1247</v>
      </c>
      <c r="B1626" s="1047" t="s">
        <v>1423</v>
      </c>
      <c r="C1626" s="747" t="s">
        <v>518</v>
      </c>
      <c r="D1626" s="347">
        <v>100</v>
      </c>
      <c r="E1626" s="674" t="s">
        <v>1424</v>
      </c>
      <c r="F1626" s="675">
        <v>45802</v>
      </c>
      <c r="G1626" s="793">
        <f>VLOOKUP(CLEAN(SUBSTITUTE(TRIM(MID(E:E,FIND("/",E:E)+1,LEN(E:E)))," ","")),'Customs Decl. &amp; Local Delivery'!D:I,6,0)</f>
        <v>45828</v>
      </c>
      <c r="H1626" s="676">
        <f>VLOOKUP(CLEAN(SUBSTITUTE(TRIM(MID(E:E,FIND("/",E:E)+1,LEN(E:E)))," ","")),'Customs Decl. &amp; Local Delivery'!D:J,7,0)</f>
        <v>45858</v>
      </c>
      <c r="I1626" s="784" t="s">
        <v>1425</v>
      </c>
      <c r="J1626" s="1064" t="s">
        <v>161</v>
      </c>
      <c r="K1626" s="749" t="s">
        <v>147</v>
      </c>
      <c r="L1626" s="255" t="s">
        <v>20</v>
      </c>
      <c r="M1626" s="749" t="s">
        <v>1315</v>
      </c>
      <c r="N1626" s="1154"/>
      <c r="O1626" s="1154"/>
      <c r="P1626" s="1154"/>
      <c r="Q1626" s="1154"/>
      <c r="R1626" s="1154"/>
      <c r="S1626" s="1154"/>
      <c r="T1626" s="1154"/>
      <c r="U1626" s="1154"/>
      <c r="V1626" s="1154"/>
      <c r="W1626" s="1154"/>
    </row>
    <row r="1627" ht="15.4" customHeight="1" spans="1:23">
      <c r="A1627" s="1047" t="s">
        <v>1247</v>
      </c>
      <c r="B1627" s="1047" t="s">
        <v>1423</v>
      </c>
      <c r="C1627" s="747" t="s">
        <v>523</v>
      </c>
      <c r="D1627" s="347">
        <v>100</v>
      </c>
      <c r="E1627" s="281"/>
      <c r="F1627" s="675">
        <v>45802</v>
      </c>
      <c r="G1627" s="1190">
        <f>G1626</f>
        <v>45828</v>
      </c>
      <c r="H1627" s="790">
        <f>H1626</f>
        <v>45858</v>
      </c>
      <c r="I1627" s="784" t="s">
        <v>1425</v>
      </c>
      <c r="J1627" s="1064" t="s">
        <v>161</v>
      </c>
      <c r="K1627" s="749" t="s">
        <v>147</v>
      </c>
      <c r="L1627" s="255" t="s">
        <v>20</v>
      </c>
      <c r="M1627" s="784"/>
      <c r="N1627" s="512"/>
      <c r="O1627" s="1154"/>
      <c r="P1627" s="1154"/>
      <c r="Q1627" s="1154"/>
      <c r="R1627" s="1154"/>
      <c r="S1627" s="1154"/>
      <c r="T1627" s="1154"/>
      <c r="U1627" s="1154"/>
      <c r="V1627" s="1154"/>
      <c r="W1627" s="1154"/>
    </row>
    <row r="1628" ht="15.4" customHeight="1" spans="1:23">
      <c r="A1628" s="1047" t="s">
        <v>1247</v>
      </c>
      <c r="B1628" s="1047" t="s">
        <v>1423</v>
      </c>
      <c r="C1628" s="747" t="s">
        <v>67</v>
      </c>
      <c r="D1628" s="347">
        <v>42</v>
      </c>
      <c r="E1628" s="281"/>
      <c r="F1628" s="675">
        <v>45802</v>
      </c>
      <c r="G1628" s="1190">
        <f>G1627</f>
        <v>45828</v>
      </c>
      <c r="H1628" s="790">
        <f>H1627</f>
        <v>45858</v>
      </c>
      <c r="I1628" s="784" t="s">
        <v>1425</v>
      </c>
      <c r="J1628" s="1064" t="s">
        <v>161</v>
      </c>
      <c r="K1628" s="749" t="s">
        <v>147</v>
      </c>
      <c r="L1628" s="255" t="s">
        <v>20</v>
      </c>
      <c r="M1628" s="784"/>
      <c r="N1628" s="512"/>
      <c r="O1628" s="1154"/>
      <c r="P1628" s="1154"/>
      <c r="Q1628" s="1154"/>
      <c r="R1628" s="1154"/>
      <c r="S1628" s="1154"/>
      <c r="T1628" s="1154"/>
      <c r="U1628" s="1154"/>
      <c r="V1628" s="1154"/>
      <c r="W1628" s="1154"/>
    </row>
    <row r="1629" ht="15.4" customHeight="1" spans="1:23">
      <c r="A1629" s="1047" t="s">
        <v>1247</v>
      </c>
      <c r="B1629" s="1047" t="s">
        <v>1423</v>
      </c>
      <c r="C1629" s="747" t="s">
        <v>69</v>
      </c>
      <c r="D1629" s="347">
        <v>42</v>
      </c>
      <c r="E1629" s="281"/>
      <c r="F1629" s="675">
        <v>45802</v>
      </c>
      <c r="G1629" s="1190">
        <f>G1628</f>
        <v>45828</v>
      </c>
      <c r="H1629" s="790">
        <f>H1628</f>
        <v>45858</v>
      </c>
      <c r="I1629" s="784" t="s">
        <v>1425</v>
      </c>
      <c r="J1629" s="1064" t="s">
        <v>161</v>
      </c>
      <c r="K1629" s="749" t="s">
        <v>147</v>
      </c>
      <c r="L1629" s="255" t="s">
        <v>20</v>
      </c>
      <c r="M1629" s="784"/>
      <c r="N1629" s="512"/>
      <c r="O1629" s="1154"/>
      <c r="P1629" s="1154"/>
      <c r="Q1629" s="1154"/>
      <c r="R1629" s="1154"/>
      <c r="S1629" s="1154"/>
      <c r="T1629" s="1154"/>
      <c r="U1629" s="1154"/>
      <c r="V1629" s="1154"/>
      <c r="W1629" s="1154"/>
    </row>
    <row r="1630" ht="15.4" customHeight="1" spans="1:23">
      <c r="A1630" s="1047" t="s">
        <v>1247</v>
      </c>
      <c r="B1630" s="1047" t="s">
        <v>1423</v>
      </c>
      <c r="C1630" s="747" t="s">
        <v>70</v>
      </c>
      <c r="D1630" s="347">
        <v>35</v>
      </c>
      <c r="E1630" s="281"/>
      <c r="F1630" s="675">
        <v>45802</v>
      </c>
      <c r="G1630" s="1190">
        <f>G1629</f>
        <v>45828</v>
      </c>
      <c r="H1630" s="790">
        <f>H1629</f>
        <v>45858</v>
      </c>
      <c r="I1630" s="784" t="s">
        <v>1425</v>
      </c>
      <c r="J1630" s="1064" t="s">
        <v>161</v>
      </c>
      <c r="K1630" s="749" t="s">
        <v>147</v>
      </c>
      <c r="L1630" s="255" t="s">
        <v>20</v>
      </c>
      <c r="M1630" s="784"/>
      <c r="N1630" s="512"/>
      <c r="O1630" s="1154"/>
      <c r="P1630" s="1154"/>
      <c r="Q1630" s="1154"/>
      <c r="R1630" s="1154"/>
      <c r="S1630" s="1154"/>
      <c r="T1630" s="1154"/>
      <c r="U1630" s="1154"/>
      <c r="V1630" s="1154"/>
      <c r="W1630" s="1154"/>
    </row>
    <row r="1631" ht="15.4" customHeight="1" spans="1:23">
      <c r="A1631" s="1068" t="s">
        <v>1247</v>
      </c>
      <c r="B1631" s="1047" t="s">
        <v>1423</v>
      </c>
      <c r="C1631" s="1191" t="s">
        <v>71</v>
      </c>
      <c r="D1631" s="354">
        <v>35</v>
      </c>
      <c r="E1631" s="281"/>
      <c r="F1631" s="675">
        <v>45802</v>
      </c>
      <c r="G1631" s="1190">
        <f>G1630</f>
        <v>45828</v>
      </c>
      <c r="H1631" s="790">
        <f>H1630</f>
        <v>45858</v>
      </c>
      <c r="I1631" s="784" t="s">
        <v>1425</v>
      </c>
      <c r="J1631" s="1064" t="s">
        <v>161</v>
      </c>
      <c r="K1631" s="749" t="s">
        <v>147</v>
      </c>
      <c r="L1631" s="255" t="s">
        <v>20</v>
      </c>
      <c r="M1631" s="1185"/>
      <c r="N1631" s="512"/>
      <c r="O1631" s="1154"/>
      <c r="P1631" s="1154"/>
      <c r="Q1631" s="1154"/>
      <c r="R1631" s="1154"/>
      <c r="S1631" s="1154"/>
      <c r="T1631" s="1154"/>
      <c r="U1631" s="1154"/>
      <c r="V1631" s="1154"/>
      <c r="W1631" s="1154"/>
    </row>
    <row r="1632" s="477" customFormat="1" ht="15.4" customHeight="1" spans="1:23">
      <c r="A1632" s="1053" t="s">
        <v>1310</v>
      </c>
      <c r="B1632" s="1050" t="s">
        <v>309</v>
      </c>
      <c r="C1632" s="674" t="s">
        <v>52</v>
      </c>
      <c r="D1632" s="351">
        <v>0</v>
      </c>
      <c r="E1632" s="1050" t="s">
        <v>1426</v>
      </c>
      <c r="F1632" s="675"/>
      <c r="G1632" s="675">
        <v>45834</v>
      </c>
      <c r="H1632" s="676">
        <v>45834</v>
      </c>
      <c r="I1632" s="1195" t="s">
        <v>309</v>
      </c>
      <c r="J1632" s="1053" t="s">
        <v>39</v>
      </c>
      <c r="K1632" s="1143" t="s">
        <v>19</v>
      </c>
      <c r="L1632" s="1092" t="s">
        <v>309</v>
      </c>
      <c r="M1632" s="1196" t="s">
        <v>1427</v>
      </c>
      <c r="N1632" s="512"/>
      <c r="O1632" s="512"/>
      <c r="P1632" s="512"/>
      <c r="Q1632" s="512"/>
      <c r="R1632" s="512"/>
      <c r="S1632" s="512"/>
      <c r="T1632" s="512"/>
      <c r="U1632" s="512"/>
      <c r="V1632" s="512"/>
      <c r="W1632" s="512"/>
    </row>
    <row r="1633" s="477" customFormat="1" ht="15.4" customHeight="1" spans="1:23">
      <c r="A1633" s="1053" t="s">
        <v>1310</v>
      </c>
      <c r="B1633" s="1050" t="s">
        <v>309</v>
      </c>
      <c r="C1633" s="674" t="s">
        <v>56</v>
      </c>
      <c r="D1633" s="351">
        <v>0</v>
      </c>
      <c r="E1633" s="1127"/>
      <c r="F1633" s="675"/>
      <c r="G1633" s="675">
        <v>45834</v>
      </c>
      <c r="H1633" s="676">
        <v>45834</v>
      </c>
      <c r="I1633" s="1195" t="s">
        <v>309</v>
      </c>
      <c r="J1633" s="1053" t="s">
        <v>39</v>
      </c>
      <c r="K1633" s="1143" t="s">
        <v>19</v>
      </c>
      <c r="L1633" s="1092" t="s">
        <v>309</v>
      </c>
      <c r="M1633" s="1196" t="s">
        <v>1428</v>
      </c>
      <c r="N1633" s="512"/>
      <c r="O1633" s="512"/>
      <c r="P1633" s="512"/>
      <c r="Q1633" s="512"/>
      <c r="R1633" s="512"/>
      <c r="S1633" s="512"/>
      <c r="T1633" s="512"/>
      <c r="U1633" s="512"/>
      <c r="V1633" s="512"/>
      <c r="W1633" s="512"/>
    </row>
    <row r="1634" s="477" customFormat="1" ht="15.4" customHeight="1" spans="1:23">
      <c r="A1634" s="1053" t="s">
        <v>1310</v>
      </c>
      <c r="B1634" s="1050" t="s">
        <v>309</v>
      </c>
      <c r="C1634" s="674" t="s">
        <v>729</v>
      </c>
      <c r="D1634" s="351">
        <v>0</v>
      </c>
      <c r="E1634" s="1127"/>
      <c r="F1634" s="675"/>
      <c r="G1634" s="675">
        <v>45834</v>
      </c>
      <c r="H1634" s="676">
        <v>45834</v>
      </c>
      <c r="I1634" s="1195" t="s">
        <v>309</v>
      </c>
      <c r="J1634" s="1053" t="s">
        <v>39</v>
      </c>
      <c r="K1634" s="1143" t="s">
        <v>19</v>
      </c>
      <c r="L1634" s="1092" t="s">
        <v>309</v>
      </c>
      <c r="M1634" s="1196" t="s">
        <v>1429</v>
      </c>
      <c r="N1634" s="512"/>
      <c r="O1634" s="512"/>
      <c r="P1634" s="512"/>
      <c r="Q1634" s="512"/>
      <c r="R1634" s="512"/>
      <c r="S1634" s="512"/>
      <c r="T1634" s="512"/>
      <c r="U1634" s="512"/>
      <c r="V1634" s="512"/>
      <c r="W1634" s="512"/>
    </row>
    <row r="1635" s="477" customFormat="1" ht="15.4" customHeight="1" spans="1:23">
      <c r="A1635" s="1053" t="s">
        <v>1310</v>
      </c>
      <c r="B1635" s="1050" t="s">
        <v>309</v>
      </c>
      <c r="C1635" s="674" t="s">
        <v>730</v>
      </c>
      <c r="D1635" s="351">
        <v>0</v>
      </c>
      <c r="E1635" s="976"/>
      <c r="F1635" s="675"/>
      <c r="G1635" s="675">
        <v>45834</v>
      </c>
      <c r="H1635" s="676">
        <v>45834</v>
      </c>
      <c r="I1635" s="1195" t="s">
        <v>309</v>
      </c>
      <c r="J1635" s="1053" t="s">
        <v>39</v>
      </c>
      <c r="K1635" s="1143" t="s">
        <v>19</v>
      </c>
      <c r="L1635" s="1092" t="s">
        <v>309</v>
      </c>
      <c r="M1635" s="1196" t="s">
        <v>1428</v>
      </c>
      <c r="N1635" s="512"/>
      <c r="O1635" s="512"/>
      <c r="P1635" s="512"/>
      <c r="Q1635" s="512"/>
      <c r="R1635" s="512"/>
      <c r="S1635" s="512"/>
      <c r="T1635" s="512"/>
      <c r="U1635" s="512"/>
      <c r="V1635" s="512"/>
      <c r="W1635" s="512"/>
    </row>
    <row r="1636" s="477" customFormat="1" ht="15.4" customHeight="1" spans="1:23">
      <c r="A1636" s="1053" t="s">
        <v>1310</v>
      </c>
      <c r="B1636" s="1050" t="s">
        <v>309</v>
      </c>
      <c r="C1636" s="674" t="s">
        <v>49</v>
      </c>
      <c r="D1636" s="351">
        <v>0</v>
      </c>
      <c r="E1636" s="976"/>
      <c r="F1636" s="675"/>
      <c r="G1636" s="675">
        <v>45834</v>
      </c>
      <c r="H1636" s="676">
        <v>45834</v>
      </c>
      <c r="I1636" s="1195" t="s">
        <v>309</v>
      </c>
      <c r="J1636" s="1053" t="s">
        <v>39</v>
      </c>
      <c r="K1636" s="1143" t="s">
        <v>19</v>
      </c>
      <c r="L1636" s="1092" t="s">
        <v>309</v>
      </c>
      <c r="M1636" s="1196" t="s">
        <v>1428</v>
      </c>
      <c r="N1636" s="512"/>
      <c r="O1636" s="512"/>
      <c r="P1636" s="512"/>
      <c r="Q1636" s="512"/>
      <c r="R1636" s="512"/>
      <c r="S1636" s="512"/>
      <c r="T1636" s="512"/>
      <c r="U1636" s="512"/>
      <c r="V1636" s="512"/>
      <c r="W1636" s="512"/>
    </row>
    <row r="1637" s="477" customFormat="1" ht="15.4" customHeight="1" spans="1:23">
      <c r="A1637" s="1053" t="s">
        <v>1310</v>
      </c>
      <c r="B1637" s="1050" t="s">
        <v>309</v>
      </c>
      <c r="C1637" s="674" t="s">
        <v>50</v>
      </c>
      <c r="D1637" s="351">
        <v>0</v>
      </c>
      <c r="E1637" s="976"/>
      <c r="F1637" s="675"/>
      <c r="G1637" s="675">
        <v>45834</v>
      </c>
      <c r="H1637" s="676">
        <v>45834</v>
      </c>
      <c r="I1637" s="1195" t="s">
        <v>309</v>
      </c>
      <c r="J1637" s="1053" t="s">
        <v>39</v>
      </c>
      <c r="K1637" s="1143" t="s">
        <v>19</v>
      </c>
      <c r="L1637" s="1092" t="s">
        <v>309</v>
      </c>
      <c r="M1637" s="1196" t="s">
        <v>1428</v>
      </c>
      <c r="N1637" s="512"/>
      <c r="O1637" s="512"/>
      <c r="P1637" s="512"/>
      <c r="Q1637" s="512"/>
      <c r="R1637" s="512"/>
      <c r="S1637" s="512"/>
      <c r="T1637" s="512"/>
      <c r="U1637" s="512"/>
      <c r="V1637" s="512"/>
      <c r="W1637" s="512"/>
    </row>
    <row r="1638" s="477" customFormat="1" ht="15.4" customHeight="1" spans="1:23">
      <c r="A1638" s="1053" t="s">
        <v>1310</v>
      </c>
      <c r="B1638" s="1050" t="s">
        <v>309</v>
      </c>
      <c r="C1638" s="674" t="s">
        <v>29</v>
      </c>
      <c r="D1638" s="351">
        <v>0</v>
      </c>
      <c r="E1638" s="976"/>
      <c r="F1638" s="675"/>
      <c r="G1638" s="675">
        <v>45834</v>
      </c>
      <c r="H1638" s="676">
        <v>45834</v>
      </c>
      <c r="I1638" s="1195" t="s">
        <v>309</v>
      </c>
      <c r="J1638" s="1053" t="s">
        <v>39</v>
      </c>
      <c r="K1638" s="1143" t="s">
        <v>19</v>
      </c>
      <c r="L1638" s="1092" t="s">
        <v>309</v>
      </c>
      <c r="M1638" s="1196" t="s">
        <v>1428</v>
      </c>
      <c r="N1638" s="512"/>
      <c r="O1638" s="512"/>
      <c r="P1638" s="512"/>
      <c r="Q1638" s="512"/>
      <c r="R1638" s="512"/>
      <c r="S1638" s="512"/>
      <c r="T1638" s="512"/>
      <c r="U1638" s="512"/>
      <c r="V1638" s="512"/>
      <c r="W1638" s="512"/>
    </row>
    <row r="1639" s="477" customFormat="1" ht="15.4" customHeight="1" spans="1:23">
      <c r="A1639" s="1053" t="s">
        <v>1310</v>
      </c>
      <c r="B1639" s="1050" t="s">
        <v>309</v>
      </c>
      <c r="C1639" s="674" t="s">
        <v>30</v>
      </c>
      <c r="D1639" s="351">
        <v>0</v>
      </c>
      <c r="E1639" s="976"/>
      <c r="F1639" s="675"/>
      <c r="G1639" s="675">
        <v>45834</v>
      </c>
      <c r="H1639" s="676">
        <v>45834</v>
      </c>
      <c r="I1639" s="1195" t="s">
        <v>309</v>
      </c>
      <c r="J1639" s="1053" t="s">
        <v>39</v>
      </c>
      <c r="K1639" s="1143" t="s">
        <v>19</v>
      </c>
      <c r="L1639" s="1092" t="s">
        <v>309</v>
      </c>
      <c r="M1639" s="1196" t="s">
        <v>1428</v>
      </c>
      <c r="N1639" s="512"/>
      <c r="O1639" s="512"/>
      <c r="P1639" s="512"/>
      <c r="Q1639" s="512"/>
      <c r="R1639" s="512"/>
      <c r="S1639" s="512"/>
      <c r="T1639" s="512"/>
      <c r="U1639" s="512"/>
      <c r="V1639" s="512"/>
      <c r="W1639" s="512"/>
    </row>
    <row r="1640" s="477" customFormat="1" ht="15.4" customHeight="1" spans="1:23">
      <c r="A1640" s="1053" t="s">
        <v>1310</v>
      </c>
      <c r="B1640" s="1050" t="s">
        <v>309</v>
      </c>
      <c r="C1640" s="674" t="s">
        <v>31</v>
      </c>
      <c r="D1640" s="351">
        <v>0</v>
      </c>
      <c r="E1640" s="976"/>
      <c r="F1640" s="675"/>
      <c r="G1640" s="675">
        <v>45834</v>
      </c>
      <c r="H1640" s="676">
        <v>45834</v>
      </c>
      <c r="I1640" s="1195" t="s">
        <v>309</v>
      </c>
      <c r="J1640" s="1053" t="s">
        <v>39</v>
      </c>
      <c r="K1640" s="1143" t="s">
        <v>19</v>
      </c>
      <c r="L1640" s="1092" t="s">
        <v>309</v>
      </c>
      <c r="M1640" s="1196" t="s">
        <v>1429</v>
      </c>
      <c r="N1640" s="512"/>
      <c r="O1640" s="512"/>
      <c r="P1640" s="512"/>
      <c r="Q1640" s="512"/>
      <c r="R1640" s="512"/>
      <c r="S1640" s="512"/>
      <c r="T1640" s="512"/>
      <c r="U1640" s="512"/>
      <c r="V1640" s="512"/>
      <c r="W1640" s="512"/>
    </row>
    <row r="1641" s="477" customFormat="1" ht="15.4" customHeight="1" spans="1:23">
      <c r="A1641" s="1053" t="s">
        <v>1310</v>
      </c>
      <c r="B1641" s="1050" t="s">
        <v>309</v>
      </c>
      <c r="C1641" s="674" t="s">
        <v>32</v>
      </c>
      <c r="D1641" s="351">
        <v>0</v>
      </c>
      <c r="E1641" s="976"/>
      <c r="F1641" s="675"/>
      <c r="G1641" s="675">
        <v>45834</v>
      </c>
      <c r="H1641" s="676">
        <v>45834</v>
      </c>
      <c r="I1641" s="1195" t="s">
        <v>309</v>
      </c>
      <c r="J1641" s="1053" t="s">
        <v>39</v>
      </c>
      <c r="K1641" s="1143" t="s">
        <v>19</v>
      </c>
      <c r="L1641" s="1092" t="s">
        <v>309</v>
      </c>
      <c r="M1641" s="1196" t="s">
        <v>1428</v>
      </c>
      <c r="N1641" s="512"/>
      <c r="O1641" s="512"/>
      <c r="P1641" s="512"/>
      <c r="Q1641" s="512"/>
      <c r="R1641" s="512"/>
      <c r="S1641" s="512"/>
      <c r="T1641" s="512"/>
      <c r="U1641" s="512"/>
      <c r="V1641" s="512"/>
      <c r="W1641" s="512"/>
    </row>
    <row r="1642" s="477" customFormat="1" ht="15.4" customHeight="1" spans="1:23">
      <c r="A1642" s="1053" t="s">
        <v>1310</v>
      </c>
      <c r="B1642" s="1050" t="s">
        <v>309</v>
      </c>
      <c r="C1642" s="674" t="s">
        <v>33</v>
      </c>
      <c r="D1642" s="351">
        <v>0</v>
      </c>
      <c r="E1642" s="976"/>
      <c r="F1642" s="675"/>
      <c r="G1642" s="675">
        <v>45834</v>
      </c>
      <c r="H1642" s="676">
        <v>45834</v>
      </c>
      <c r="I1642" s="1195" t="s">
        <v>309</v>
      </c>
      <c r="J1642" s="1053" t="s">
        <v>39</v>
      </c>
      <c r="K1642" s="1143" t="s">
        <v>19</v>
      </c>
      <c r="L1642" s="1092" t="s">
        <v>309</v>
      </c>
      <c r="M1642" s="1196" t="s">
        <v>1428</v>
      </c>
      <c r="N1642" s="512"/>
      <c r="O1642" s="512"/>
      <c r="P1642" s="512"/>
      <c r="Q1642" s="512"/>
      <c r="R1642" s="512"/>
      <c r="S1642" s="512"/>
      <c r="T1642" s="512"/>
      <c r="U1642" s="512"/>
      <c r="V1642" s="512"/>
      <c r="W1642" s="512"/>
    </row>
    <row r="1643" s="477" customFormat="1" ht="15.4" customHeight="1" spans="1:23">
      <c r="A1643" s="1053" t="s">
        <v>1310</v>
      </c>
      <c r="B1643" s="1050" t="s">
        <v>309</v>
      </c>
      <c r="C1643" s="674" t="s">
        <v>34</v>
      </c>
      <c r="D1643" s="351">
        <v>0</v>
      </c>
      <c r="E1643" s="976"/>
      <c r="F1643" s="675"/>
      <c r="G1643" s="753">
        <v>45834</v>
      </c>
      <c r="H1643" s="676">
        <v>45834</v>
      </c>
      <c r="I1643" s="1195" t="s">
        <v>309</v>
      </c>
      <c r="J1643" s="1053" t="s">
        <v>39</v>
      </c>
      <c r="K1643" s="1143" t="s">
        <v>19</v>
      </c>
      <c r="L1643" s="1092" t="s">
        <v>309</v>
      </c>
      <c r="M1643" s="1196" t="s">
        <v>1428</v>
      </c>
      <c r="N1643" s="512"/>
      <c r="O1643" s="512"/>
      <c r="P1643" s="512"/>
      <c r="Q1643" s="512"/>
      <c r="R1643" s="512"/>
      <c r="S1643" s="512"/>
      <c r="T1643" s="512"/>
      <c r="U1643" s="512"/>
      <c r="V1643" s="512"/>
      <c r="W1643" s="512"/>
    </row>
    <row r="1644" ht="15.4" customHeight="1" spans="1:23">
      <c r="A1644" s="1053" t="s">
        <v>1253</v>
      </c>
      <c r="B1644" s="1099" t="s">
        <v>1430</v>
      </c>
      <c r="C1644" s="1089" t="s">
        <v>24</v>
      </c>
      <c r="D1644" s="240">
        <v>15</v>
      </c>
      <c r="E1644" s="1055" t="s">
        <v>1431</v>
      </c>
      <c r="F1644" s="675">
        <v>45855</v>
      </c>
      <c r="G1644" s="675">
        <f>VLOOKUP(CLEAN(SUBSTITUTE(TRIM(MID(E:E,FIND("/",E:E)+1,LEN(E:E)))," ","")),'Customs Decl. &amp; Local Delivery'!D:I,6,0)</f>
        <v>45835</v>
      </c>
      <c r="H1644" s="675">
        <f>VLOOKUP(CLEAN(SUBSTITUTE(TRIM(MID(E:E,FIND("/",E:E)+1,LEN(E:E)))," ","")),'Customs Decl. &amp; Local Delivery'!D:J,7,0)</f>
        <v>45858</v>
      </c>
      <c r="I1644" s="1131" t="s">
        <v>1432</v>
      </c>
      <c r="J1644" s="1131" t="s">
        <v>18</v>
      </c>
      <c r="K1644" s="1131" t="s">
        <v>19</v>
      </c>
      <c r="L1644" s="255" t="s">
        <v>20</v>
      </c>
      <c r="M1644" s="1053" t="s">
        <v>1433</v>
      </c>
      <c r="N1644" s="512"/>
      <c r="O1644" s="512"/>
      <c r="P1644" s="512"/>
      <c r="Q1644" s="512"/>
      <c r="R1644" s="512"/>
      <c r="S1644" s="512"/>
      <c r="T1644" s="512"/>
      <c r="U1644" s="512"/>
      <c r="V1644" s="512"/>
      <c r="W1644" s="512"/>
    </row>
    <row r="1645" ht="15.4" customHeight="1" spans="1:23">
      <c r="A1645" s="1053" t="s">
        <v>1253</v>
      </c>
      <c r="B1645" s="1099" t="s">
        <v>1430</v>
      </c>
      <c r="C1645" s="1089" t="s">
        <v>27</v>
      </c>
      <c r="D1645" s="240">
        <v>5</v>
      </c>
      <c r="E1645" s="69"/>
      <c r="F1645" s="675">
        <v>45855</v>
      </c>
      <c r="G1645" s="675">
        <f t="shared" ref="G1645:G1658" si="126">G1644</f>
        <v>45835</v>
      </c>
      <c r="H1645" s="1156">
        <f t="shared" ref="H1645:H1658" si="127">H1644</f>
        <v>45858</v>
      </c>
      <c r="I1645" s="1131" t="s">
        <v>1432</v>
      </c>
      <c r="J1645" s="1053" t="s">
        <v>18</v>
      </c>
      <c r="K1645" s="1053" t="s">
        <v>19</v>
      </c>
      <c r="L1645" s="255" t="s">
        <v>20</v>
      </c>
      <c r="M1645" s="1053" t="s">
        <v>1315</v>
      </c>
      <c r="N1645" s="512"/>
      <c r="O1645" s="512"/>
      <c r="P1645" s="512"/>
      <c r="Q1645" s="512"/>
      <c r="R1645" s="512"/>
      <c r="S1645" s="512"/>
      <c r="T1645" s="512"/>
      <c r="U1645" s="512"/>
      <c r="V1645" s="512"/>
      <c r="W1645" s="512"/>
    </row>
    <row r="1646" ht="15.4" customHeight="1" spans="1:23">
      <c r="A1646" s="1053" t="s">
        <v>1253</v>
      </c>
      <c r="B1646" s="1099" t="s">
        <v>1430</v>
      </c>
      <c r="C1646" s="1089" t="s">
        <v>135</v>
      </c>
      <c r="D1646" s="240">
        <v>10</v>
      </c>
      <c r="E1646" s="69"/>
      <c r="F1646" s="675">
        <v>45855</v>
      </c>
      <c r="G1646" s="675">
        <f t="shared" si="126"/>
        <v>45835</v>
      </c>
      <c r="H1646" s="1156">
        <f t="shared" si="127"/>
        <v>45858</v>
      </c>
      <c r="I1646" s="1131" t="s">
        <v>1432</v>
      </c>
      <c r="J1646" s="1053" t="s">
        <v>18</v>
      </c>
      <c r="K1646" s="1053" t="s">
        <v>19</v>
      </c>
      <c r="L1646" s="255" t="s">
        <v>20</v>
      </c>
      <c r="M1646" s="1053"/>
      <c r="N1646" s="512"/>
      <c r="O1646" s="512"/>
      <c r="P1646" s="512"/>
      <c r="Q1646" s="512"/>
      <c r="R1646" s="512"/>
      <c r="S1646" s="512"/>
      <c r="T1646" s="512"/>
      <c r="U1646" s="512"/>
      <c r="V1646" s="512"/>
      <c r="W1646" s="512"/>
    </row>
    <row r="1647" ht="15.4" customHeight="1" spans="1:23">
      <c r="A1647" s="1053" t="s">
        <v>1253</v>
      </c>
      <c r="B1647" s="1099" t="s">
        <v>1430</v>
      </c>
      <c r="C1647" s="1089" t="s">
        <v>136</v>
      </c>
      <c r="D1647" s="240">
        <v>10</v>
      </c>
      <c r="E1647" s="69"/>
      <c r="F1647" s="675">
        <v>45855</v>
      </c>
      <c r="G1647" s="675">
        <f t="shared" si="126"/>
        <v>45835</v>
      </c>
      <c r="H1647" s="1156">
        <f t="shared" si="127"/>
        <v>45858</v>
      </c>
      <c r="I1647" s="1131" t="s">
        <v>1432</v>
      </c>
      <c r="J1647" s="1053" t="s">
        <v>18</v>
      </c>
      <c r="K1647" s="1053" t="s">
        <v>19</v>
      </c>
      <c r="L1647" s="255" t="s">
        <v>20</v>
      </c>
      <c r="M1647" s="1053"/>
      <c r="N1647" s="512"/>
      <c r="O1647" s="512"/>
      <c r="P1647" s="512"/>
      <c r="Q1647" s="512"/>
      <c r="R1647" s="512"/>
      <c r="S1647" s="512"/>
      <c r="T1647" s="512"/>
      <c r="U1647" s="512"/>
      <c r="V1647" s="512"/>
      <c r="W1647" s="512"/>
    </row>
    <row r="1648" ht="15.4" customHeight="1" spans="1:23">
      <c r="A1648" s="1053" t="s">
        <v>1253</v>
      </c>
      <c r="B1648" s="1099" t="s">
        <v>1430</v>
      </c>
      <c r="C1648" s="1089" t="s">
        <v>67</v>
      </c>
      <c r="D1648" s="240">
        <v>20</v>
      </c>
      <c r="E1648" s="281"/>
      <c r="F1648" s="675">
        <v>45855</v>
      </c>
      <c r="G1648" s="675">
        <f t="shared" si="126"/>
        <v>45835</v>
      </c>
      <c r="H1648" s="1156">
        <f t="shared" si="127"/>
        <v>45858</v>
      </c>
      <c r="I1648" s="1131" t="s">
        <v>1432</v>
      </c>
      <c r="J1648" s="1053" t="s">
        <v>18</v>
      </c>
      <c r="K1648" s="1053" t="s">
        <v>19</v>
      </c>
      <c r="L1648" s="255" t="s">
        <v>20</v>
      </c>
      <c r="M1648" s="1053"/>
      <c r="N1648" s="512"/>
      <c r="O1648" s="512"/>
      <c r="P1648" s="512"/>
      <c r="Q1648" s="512"/>
      <c r="R1648" s="512"/>
      <c r="S1648" s="512"/>
      <c r="T1648" s="512"/>
      <c r="U1648" s="512"/>
      <c r="V1648" s="512"/>
      <c r="W1648" s="512"/>
    </row>
    <row r="1649" ht="15.4" customHeight="1" spans="1:23">
      <c r="A1649" s="1053" t="s">
        <v>1253</v>
      </c>
      <c r="B1649" s="1099" t="s">
        <v>1430</v>
      </c>
      <c r="C1649" s="1089" t="s">
        <v>69</v>
      </c>
      <c r="D1649" s="240">
        <v>10</v>
      </c>
      <c r="E1649" s="281"/>
      <c r="F1649" s="675">
        <v>45855</v>
      </c>
      <c r="G1649" s="675">
        <f t="shared" si="126"/>
        <v>45835</v>
      </c>
      <c r="H1649" s="1156">
        <f t="shared" si="127"/>
        <v>45858</v>
      </c>
      <c r="I1649" s="1131" t="s">
        <v>1432</v>
      </c>
      <c r="J1649" s="1053" t="s">
        <v>18</v>
      </c>
      <c r="K1649" s="1053" t="s">
        <v>19</v>
      </c>
      <c r="L1649" s="255" t="s">
        <v>20</v>
      </c>
      <c r="M1649" s="1053"/>
      <c r="N1649" s="512"/>
      <c r="O1649" s="512"/>
      <c r="P1649" s="512"/>
      <c r="Q1649" s="512"/>
      <c r="R1649" s="512"/>
      <c r="S1649" s="512"/>
      <c r="T1649" s="512"/>
      <c r="U1649" s="512"/>
      <c r="V1649" s="512"/>
      <c r="W1649" s="512"/>
    </row>
    <row r="1650" ht="15.4" customHeight="1" spans="1:23">
      <c r="A1650" s="1053" t="s">
        <v>1253</v>
      </c>
      <c r="B1650" s="1099" t="s">
        <v>1430</v>
      </c>
      <c r="C1650" s="1089" t="s">
        <v>70</v>
      </c>
      <c r="D1650" s="240">
        <v>20</v>
      </c>
      <c r="E1650" s="281"/>
      <c r="F1650" s="675">
        <v>45855</v>
      </c>
      <c r="G1650" s="675">
        <f t="shared" si="126"/>
        <v>45835</v>
      </c>
      <c r="H1650" s="1156">
        <f t="shared" si="127"/>
        <v>45858</v>
      </c>
      <c r="I1650" s="1131" t="s">
        <v>1432</v>
      </c>
      <c r="J1650" s="1053" t="s">
        <v>18</v>
      </c>
      <c r="K1650" s="1053" t="s">
        <v>19</v>
      </c>
      <c r="L1650" s="255" t="s">
        <v>20</v>
      </c>
      <c r="M1650" s="1053"/>
      <c r="N1650" s="512"/>
      <c r="O1650" s="512"/>
      <c r="P1650" s="512"/>
      <c r="Q1650" s="512"/>
      <c r="R1650" s="512"/>
      <c r="S1650" s="512"/>
      <c r="T1650" s="512"/>
      <c r="U1650" s="512"/>
      <c r="V1650" s="512"/>
      <c r="W1650" s="512"/>
    </row>
    <row r="1651" ht="15.4" customHeight="1" spans="1:23">
      <c r="A1651" s="1053" t="s">
        <v>1253</v>
      </c>
      <c r="B1651" s="1099" t="s">
        <v>1430</v>
      </c>
      <c r="C1651" s="1089" t="s">
        <v>165</v>
      </c>
      <c r="D1651" s="240">
        <v>1</v>
      </c>
      <c r="E1651" s="281"/>
      <c r="F1651" s="675">
        <v>45855</v>
      </c>
      <c r="G1651" s="675">
        <f t="shared" si="126"/>
        <v>45835</v>
      </c>
      <c r="H1651" s="1156">
        <f t="shared" si="127"/>
        <v>45858</v>
      </c>
      <c r="I1651" s="1131" t="s">
        <v>1432</v>
      </c>
      <c r="J1651" s="1053" t="s">
        <v>18</v>
      </c>
      <c r="K1651" s="1053" t="s">
        <v>19</v>
      </c>
      <c r="L1651" s="255" t="s">
        <v>20</v>
      </c>
      <c r="M1651" s="1053"/>
      <c r="N1651" s="512"/>
      <c r="O1651" s="512"/>
      <c r="P1651" s="512"/>
      <c r="Q1651" s="512"/>
      <c r="R1651" s="512"/>
      <c r="S1651" s="512"/>
      <c r="T1651" s="512"/>
      <c r="U1651" s="512"/>
      <c r="V1651" s="512"/>
      <c r="W1651" s="512"/>
    </row>
    <row r="1652" ht="15.4" customHeight="1" spans="1:23">
      <c r="A1652" s="1053" t="s">
        <v>1253</v>
      </c>
      <c r="B1652" s="1099" t="s">
        <v>1430</v>
      </c>
      <c r="C1652" s="1089" t="s">
        <v>30</v>
      </c>
      <c r="D1652" s="240">
        <v>1</v>
      </c>
      <c r="E1652" s="281"/>
      <c r="F1652" s="675">
        <v>45855</v>
      </c>
      <c r="G1652" s="675">
        <f t="shared" si="126"/>
        <v>45835</v>
      </c>
      <c r="H1652" s="1156">
        <f t="shared" si="127"/>
        <v>45858</v>
      </c>
      <c r="I1652" s="1131" t="s">
        <v>1432</v>
      </c>
      <c r="J1652" s="1053" t="s">
        <v>18</v>
      </c>
      <c r="K1652" s="1053" t="s">
        <v>19</v>
      </c>
      <c r="L1652" s="255" t="s">
        <v>20</v>
      </c>
      <c r="M1652" s="1053"/>
      <c r="N1652" s="512"/>
      <c r="O1652" s="512"/>
      <c r="P1652" s="512"/>
      <c r="Q1652" s="512"/>
      <c r="R1652" s="512"/>
      <c r="S1652" s="512"/>
      <c r="T1652" s="512"/>
      <c r="U1652" s="512"/>
      <c r="V1652" s="512"/>
      <c r="W1652" s="512"/>
    </row>
    <row r="1653" ht="15.4" customHeight="1" spans="1:23">
      <c r="A1653" s="1053" t="s">
        <v>1253</v>
      </c>
      <c r="B1653" s="1099" t="s">
        <v>1430</v>
      </c>
      <c r="C1653" s="1089" t="s">
        <v>32</v>
      </c>
      <c r="D1653" s="240">
        <v>2</v>
      </c>
      <c r="E1653" s="281"/>
      <c r="F1653" s="675">
        <v>45855</v>
      </c>
      <c r="G1653" s="675">
        <f t="shared" si="126"/>
        <v>45835</v>
      </c>
      <c r="H1653" s="1156">
        <f t="shared" si="127"/>
        <v>45858</v>
      </c>
      <c r="I1653" s="1131" t="s">
        <v>1432</v>
      </c>
      <c r="J1653" s="1053" t="s">
        <v>18</v>
      </c>
      <c r="K1653" s="1053" t="s">
        <v>19</v>
      </c>
      <c r="L1653" s="255" t="s">
        <v>20</v>
      </c>
      <c r="M1653" s="1053"/>
      <c r="N1653" s="512"/>
      <c r="O1653" s="512"/>
      <c r="P1653" s="512"/>
      <c r="Q1653" s="512"/>
      <c r="R1653" s="512"/>
      <c r="S1653" s="512"/>
      <c r="T1653" s="512"/>
      <c r="U1653" s="512"/>
      <c r="V1653" s="512"/>
      <c r="W1653" s="512"/>
    </row>
    <row r="1654" ht="15.4" customHeight="1" spans="1:23">
      <c r="A1654" s="1053" t="s">
        <v>1253</v>
      </c>
      <c r="B1654" s="1099" t="s">
        <v>1430</v>
      </c>
      <c r="C1654" s="1089" t="s">
        <v>34</v>
      </c>
      <c r="D1654" s="240">
        <v>1</v>
      </c>
      <c r="E1654" s="281"/>
      <c r="F1654" s="675">
        <v>45855</v>
      </c>
      <c r="G1654" s="675">
        <f t="shared" si="126"/>
        <v>45835</v>
      </c>
      <c r="H1654" s="1156">
        <f t="shared" si="127"/>
        <v>45858</v>
      </c>
      <c r="I1654" s="1131" t="s">
        <v>1432</v>
      </c>
      <c r="J1654" s="1053" t="s">
        <v>18</v>
      </c>
      <c r="K1654" s="1053" t="s">
        <v>19</v>
      </c>
      <c r="L1654" s="255" t="s">
        <v>20</v>
      </c>
      <c r="M1654" s="1053"/>
      <c r="N1654" s="512"/>
      <c r="O1654" s="512"/>
      <c r="P1654" s="512"/>
      <c r="Q1654" s="512"/>
      <c r="R1654" s="512"/>
      <c r="S1654" s="512"/>
      <c r="T1654" s="512"/>
      <c r="U1654" s="512"/>
      <c r="V1654" s="512"/>
      <c r="W1654" s="512"/>
    </row>
    <row r="1655" ht="15.4" customHeight="1" spans="1:23">
      <c r="A1655" s="1053" t="s">
        <v>1253</v>
      </c>
      <c r="B1655" s="1099" t="s">
        <v>1430</v>
      </c>
      <c r="C1655" s="1089" t="s">
        <v>59</v>
      </c>
      <c r="D1655" s="240">
        <v>24</v>
      </c>
      <c r="E1655" s="281"/>
      <c r="F1655" s="675">
        <v>45855</v>
      </c>
      <c r="G1655" s="675">
        <f t="shared" si="126"/>
        <v>45835</v>
      </c>
      <c r="H1655" s="1156">
        <f t="shared" si="127"/>
        <v>45858</v>
      </c>
      <c r="I1655" s="1131" t="s">
        <v>1432</v>
      </c>
      <c r="J1655" s="1053" t="s">
        <v>18</v>
      </c>
      <c r="K1655" s="1053" t="s">
        <v>19</v>
      </c>
      <c r="L1655" s="255" t="s">
        <v>20</v>
      </c>
      <c r="M1655" s="1053"/>
      <c r="N1655" s="512"/>
      <c r="O1655" s="512"/>
      <c r="P1655" s="512"/>
      <c r="Q1655" s="512"/>
      <c r="R1655" s="512"/>
      <c r="S1655" s="512"/>
      <c r="T1655" s="512"/>
      <c r="U1655" s="512"/>
      <c r="V1655" s="512"/>
      <c r="W1655" s="512"/>
    </row>
    <row r="1656" ht="15.4" customHeight="1" spans="1:23">
      <c r="A1656" s="1053" t="s">
        <v>1253</v>
      </c>
      <c r="B1656" s="1099" t="s">
        <v>1430</v>
      </c>
      <c r="C1656" s="1089" t="s">
        <v>60</v>
      </c>
      <c r="D1656" s="240">
        <v>24</v>
      </c>
      <c r="E1656" s="281"/>
      <c r="F1656" s="675">
        <v>45855</v>
      </c>
      <c r="G1656" s="675">
        <f t="shared" si="126"/>
        <v>45835</v>
      </c>
      <c r="H1656" s="1156">
        <f t="shared" si="127"/>
        <v>45858</v>
      </c>
      <c r="I1656" s="1131" t="s">
        <v>1432</v>
      </c>
      <c r="J1656" s="1053" t="s">
        <v>18</v>
      </c>
      <c r="K1656" s="1053" t="s">
        <v>19</v>
      </c>
      <c r="L1656" s="255" t="s">
        <v>20</v>
      </c>
      <c r="M1656" s="1053"/>
      <c r="N1656" s="512"/>
      <c r="O1656" s="512"/>
      <c r="P1656" s="512"/>
      <c r="Q1656" s="512"/>
      <c r="R1656" s="512"/>
      <c r="S1656" s="512"/>
      <c r="T1656" s="512"/>
      <c r="U1656" s="512"/>
      <c r="V1656" s="512"/>
      <c r="W1656" s="512"/>
    </row>
    <row r="1657" ht="15.4" customHeight="1" spans="1:23">
      <c r="A1657" s="1053" t="s">
        <v>1253</v>
      </c>
      <c r="B1657" s="1099" t="s">
        <v>1430</v>
      </c>
      <c r="C1657" s="1089" t="s">
        <v>342</v>
      </c>
      <c r="D1657" s="240">
        <v>1</v>
      </c>
      <c r="E1657" s="281"/>
      <c r="F1657" s="675">
        <v>45855</v>
      </c>
      <c r="G1657" s="675">
        <f t="shared" si="126"/>
        <v>45835</v>
      </c>
      <c r="H1657" s="1156">
        <f t="shared" si="127"/>
        <v>45858</v>
      </c>
      <c r="I1657" s="1131" t="s">
        <v>1432</v>
      </c>
      <c r="J1657" s="1053" t="s">
        <v>18</v>
      </c>
      <c r="K1657" s="1053" t="s">
        <v>19</v>
      </c>
      <c r="L1657" s="255" t="s">
        <v>20</v>
      </c>
      <c r="M1657" s="1053"/>
      <c r="N1657" s="512"/>
      <c r="O1657" s="512"/>
      <c r="P1657" s="512"/>
      <c r="Q1657" s="512"/>
      <c r="R1657" s="512"/>
      <c r="S1657" s="512"/>
      <c r="T1657" s="512"/>
      <c r="U1657" s="512"/>
      <c r="V1657" s="512"/>
      <c r="W1657" s="512"/>
    </row>
    <row r="1658" ht="15.4" customHeight="1" spans="1:23">
      <c r="A1658" s="1053" t="s">
        <v>1253</v>
      </c>
      <c r="B1658" s="1099" t="s">
        <v>1430</v>
      </c>
      <c r="C1658" s="1089" t="s">
        <v>91</v>
      </c>
      <c r="D1658" s="240">
        <v>8</v>
      </c>
      <c r="E1658" s="281"/>
      <c r="F1658" s="675">
        <v>45855</v>
      </c>
      <c r="G1658" s="675">
        <f t="shared" si="126"/>
        <v>45835</v>
      </c>
      <c r="H1658" s="1156">
        <f t="shared" si="127"/>
        <v>45858</v>
      </c>
      <c r="I1658" s="1131" t="s">
        <v>1432</v>
      </c>
      <c r="J1658" s="1053" t="s">
        <v>18</v>
      </c>
      <c r="K1658" s="1053" t="s">
        <v>19</v>
      </c>
      <c r="L1658" s="255" t="s">
        <v>20</v>
      </c>
      <c r="M1658" s="1053"/>
      <c r="N1658" s="512"/>
      <c r="O1658" s="512"/>
      <c r="P1658" s="512"/>
      <c r="Q1658" s="512"/>
      <c r="R1658" s="512"/>
      <c r="S1658" s="512"/>
      <c r="T1658" s="512"/>
      <c r="U1658" s="512"/>
      <c r="V1658" s="512"/>
      <c r="W1658" s="512"/>
    </row>
    <row r="1659" s="179" customFormat="1" ht="15.4" customHeight="1" spans="1:23">
      <c r="A1659" s="1053" t="s">
        <v>1253</v>
      </c>
      <c r="B1659" s="1128" t="s">
        <v>309</v>
      </c>
      <c r="C1659" s="1089" t="s">
        <v>788</v>
      </c>
      <c r="D1659" s="240">
        <v>0</v>
      </c>
      <c r="E1659" s="281"/>
      <c r="F1659" s="675" t="s">
        <v>309</v>
      </c>
      <c r="G1659" s="675" t="s">
        <v>309</v>
      </c>
      <c r="H1659" s="1122" t="s">
        <v>309</v>
      </c>
      <c r="I1659" s="1078" t="s">
        <v>564</v>
      </c>
      <c r="J1659" s="1078" t="s">
        <v>18</v>
      </c>
      <c r="K1659" s="1078" t="s">
        <v>19</v>
      </c>
      <c r="L1659" s="255" t="s">
        <v>309</v>
      </c>
      <c r="M1659" s="1197" t="s">
        <v>1434</v>
      </c>
      <c r="N1659" s="883"/>
      <c r="O1659" s="883"/>
      <c r="P1659" s="883"/>
      <c r="Q1659" s="883"/>
      <c r="R1659" s="883"/>
      <c r="S1659" s="883"/>
      <c r="T1659" s="883"/>
      <c r="U1659" s="883"/>
      <c r="V1659" s="883"/>
      <c r="W1659" s="883"/>
    </row>
    <row r="1660" s="179" customFormat="1" ht="15.4" customHeight="1" spans="1:23">
      <c r="A1660" s="1053" t="s">
        <v>1253</v>
      </c>
      <c r="B1660" s="1099" t="s">
        <v>309</v>
      </c>
      <c r="C1660" s="1089" t="s">
        <v>784</v>
      </c>
      <c r="D1660" s="240">
        <v>0</v>
      </c>
      <c r="E1660" s="281"/>
      <c r="F1660" s="675" t="s">
        <v>309</v>
      </c>
      <c r="G1660" s="675" t="s">
        <v>309</v>
      </c>
      <c r="H1660" s="1122" t="s">
        <v>309</v>
      </c>
      <c r="I1660" s="1078" t="s">
        <v>564</v>
      </c>
      <c r="J1660" s="1053" t="s">
        <v>18</v>
      </c>
      <c r="K1660" s="1053" t="s">
        <v>19</v>
      </c>
      <c r="L1660" s="255" t="s">
        <v>309</v>
      </c>
      <c r="M1660" s="216"/>
      <c r="N1660" s="883"/>
      <c r="O1660" s="883"/>
      <c r="P1660" s="883"/>
      <c r="Q1660" s="883"/>
      <c r="R1660" s="883"/>
      <c r="S1660" s="883"/>
      <c r="T1660" s="883"/>
      <c r="U1660" s="883"/>
      <c r="V1660" s="883"/>
      <c r="W1660" s="883"/>
    </row>
    <row r="1661" s="179" customFormat="1" ht="15.4" customHeight="1" spans="1:23">
      <c r="A1661" s="1053" t="s">
        <v>1253</v>
      </c>
      <c r="B1661" s="1099" t="s">
        <v>309</v>
      </c>
      <c r="C1661" s="1089" t="s">
        <v>785</v>
      </c>
      <c r="D1661" s="240">
        <v>0</v>
      </c>
      <c r="E1661" s="281"/>
      <c r="F1661" s="675" t="s">
        <v>309</v>
      </c>
      <c r="G1661" s="675" t="s">
        <v>309</v>
      </c>
      <c r="H1661" s="1122" t="s">
        <v>309</v>
      </c>
      <c r="I1661" s="1078" t="s">
        <v>564</v>
      </c>
      <c r="J1661" s="1053" t="s">
        <v>18</v>
      </c>
      <c r="K1661" s="1053" t="s">
        <v>19</v>
      </c>
      <c r="L1661" s="255" t="s">
        <v>309</v>
      </c>
      <c r="M1661" s="216"/>
      <c r="N1661" s="883"/>
      <c r="O1661" s="883"/>
      <c r="P1661" s="883"/>
      <c r="Q1661" s="883"/>
      <c r="R1661" s="883"/>
      <c r="S1661" s="883"/>
      <c r="T1661" s="883"/>
      <c r="U1661" s="883"/>
      <c r="V1661" s="883"/>
      <c r="W1661" s="883"/>
    </row>
    <row r="1662" s="179" customFormat="1" ht="15.4" customHeight="1" spans="1:23">
      <c r="A1662" s="1053" t="s">
        <v>1253</v>
      </c>
      <c r="B1662" s="1099" t="s">
        <v>309</v>
      </c>
      <c r="C1662" s="1089" t="s">
        <v>786</v>
      </c>
      <c r="D1662" s="240">
        <v>0</v>
      </c>
      <c r="E1662" s="281"/>
      <c r="F1662" s="675" t="s">
        <v>309</v>
      </c>
      <c r="G1662" s="675" t="s">
        <v>309</v>
      </c>
      <c r="H1662" s="1122" t="s">
        <v>309</v>
      </c>
      <c r="I1662" s="1078" t="s">
        <v>564</v>
      </c>
      <c r="J1662" s="1053" t="s">
        <v>18</v>
      </c>
      <c r="K1662" s="1053" t="s">
        <v>19</v>
      </c>
      <c r="L1662" s="255" t="s">
        <v>309</v>
      </c>
      <c r="M1662" s="216"/>
      <c r="N1662" s="883"/>
      <c r="O1662" s="883"/>
      <c r="P1662" s="883"/>
      <c r="Q1662" s="883"/>
      <c r="R1662" s="883"/>
      <c r="S1662" s="883"/>
      <c r="T1662" s="883"/>
      <c r="U1662" s="883"/>
      <c r="V1662" s="883"/>
      <c r="W1662" s="883"/>
    </row>
    <row r="1663" s="179" customFormat="1" ht="15.4" customHeight="1" spans="1:23">
      <c r="A1663" s="1053" t="s">
        <v>1253</v>
      </c>
      <c r="B1663" s="1099" t="s">
        <v>309</v>
      </c>
      <c r="C1663" s="1089" t="s">
        <v>787</v>
      </c>
      <c r="D1663" s="240">
        <v>0</v>
      </c>
      <c r="E1663" s="281"/>
      <c r="F1663" s="675" t="s">
        <v>309</v>
      </c>
      <c r="G1663" s="675" t="s">
        <v>309</v>
      </c>
      <c r="H1663" s="1122" t="s">
        <v>309</v>
      </c>
      <c r="I1663" s="1078" t="s">
        <v>564</v>
      </c>
      <c r="J1663" s="1133" t="s">
        <v>18</v>
      </c>
      <c r="K1663" s="1133" t="s">
        <v>19</v>
      </c>
      <c r="L1663" s="255" t="s">
        <v>309</v>
      </c>
      <c r="M1663" s="226"/>
      <c r="N1663" s="883"/>
      <c r="O1663" s="883"/>
      <c r="P1663" s="883"/>
      <c r="Q1663" s="883"/>
      <c r="R1663" s="883"/>
      <c r="S1663" s="883"/>
      <c r="T1663" s="883"/>
      <c r="U1663" s="883"/>
      <c r="V1663" s="883"/>
      <c r="W1663" s="883"/>
    </row>
    <row r="1664" s="178" customFormat="1" ht="15.4" customHeight="1" spans="1:23">
      <c r="A1664" s="784" t="s">
        <v>736</v>
      </c>
      <c r="B1664" s="1050" t="s">
        <v>1435</v>
      </c>
      <c r="C1664" s="1050" t="s">
        <v>104</v>
      </c>
      <c r="D1664" s="1051">
        <v>37</v>
      </c>
      <c r="E1664" s="1108" t="s">
        <v>1436</v>
      </c>
      <c r="F1664" s="675">
        <v>45873</v>
      </c>
      <c r="G1664" s="675">
        <f>VLOOKUP(CLEAN(SUBSTITUTE(TRIM(MID(E:E,FIND("/",E:E)+1,LEN(E:E)))," ","")),'Customs Decl. &amp; Local Delivery'!D:I,6,0)</f>
        <v>45843</v>
      </c>
      <c r="H1664" s="675">
        <f>VLOOKUP(CLEAN(SUBSTITUTE(TRIM(MID(E:E,FIND("/",E:E)+1,LEN(E:E)))," ","")),'Customs Decl. &amp; Local Delivery'!D:J,7,0)</f>
        <v>45869</v>
      </c>
      <c r="I1664" s="1064" t="s">
        <v>1437</v>
      </c>
      <c r="J1664" s="784" t="s">
        <v>207</v>
      </c>
      <c r="K1664" s="784" t="s">
        <v>107</v>
      </c>
      <c r="L1664" s="279" t="s">
        <v>20</v>
      </c>
      <c r="M1664" s="784" t="s">
        <v>1438</v>
      </c>
      <c r="N1664" s="512"/>
      <c r="O1664" s="512"/>
      <c r="P1664" s="512"/>
      <c r="Q1664" s="512"/>
      <c r="R1664" s="512"/>
      <c r="S1664" s="512"/>
      <c r="T1664" s="512"/>
      <c r="U1664" s="512"/>
      <c r="V1664" s="512"/>
      <c r="W1664" s="512"/>
    </row>
    <row r="1665" s="178" customFormat="1" ht="15.4" customHeight="1" spans="1:23">
      <c r="A1665" s="784" t="s">
        <v>736</v>
      </c>
      <c r="B1665" s="1050" t="s">
        <v>1435</v>
      </c>
      <c r="C1665" s="1050" t="s">
        <v>109</v>
      </c>
      <c r="D1665" s="1051">
        <v>37</v>
      </c>
      <c r="E1665" s="988"/>
      <c r="F1665" s="675">
        <v>45873</v>
      </c>
      <c r="G1665" s="840">
        <f t="shared" ref="G1665:G1675" si="128">G1664</f>
        <v>45843</v>
      </c>
      <c r="H1665" s="675">
        <f t="shared" ref="H1665:H1675" si="129">H1664</f>
        <v>45869</v>
      </c>
      <c r="I1665" s="1064" t="s">
        <v>1437</v>
      </c>
      <c r="J1665" s="784" t="s">
        <v>207</v>
      </c>
      <c r="K1665" s="784" t="s">
        <v>107</v>
      </c>
      <c r="L1665" s="279" t="s">
        <v>20</v>
      </c>
      <c r="M1665" s="784" t="s">
        <v>1258</v>
      </c>
      <c r="N1665" s="512"/>
      <c r="O1665" s="512"/>
      <c r="P1665" s="512"/>
      <c r="Q1665" s="512"/>
      <c r="R1665" s="512"/>
      <c r="S1665" s="512"/>
      <c r="T1665" s="512"/>
      <c r="U1665" s="512"/>
      <c r="V1665" s="512"/>
      <c r="W1665" s="512"/>
    </row>
    <row r="1666" s="178" customFormat="1" ht="15.4" customHeight="1" spans="1:23">
      <c r="A1666" s="784" t="s">
        <v>736</v>
      </c>
      <c r="B1666" s="1050" t="s">
        <v>1435</v>
      </c>
      <c r="C1666" s="1050" t="s">
        <v>111</v>
      </c>
      <c r="D1666" s="1051">
        <v>97</v>
      </c>
      <c r="E1666" s="988"/>
      <c r="F1666" s="675">
        <v>45873</v>
      </c>
      <c r="G1666" s="840">
        <f t="shared" si="128"/>
        <v>45843</v>
      </c>
      <c r="H1666" s="675">
        <f t="shared" si="129"/>
        <v>45869</v>
      </c>
      <c r="I1666" s="1064" t="s">
        <v>1437</v>
      </c>
      <c r="J1666" s="784" t="s">
        <v>207</v>
      </c>
      <c r="K1666" s="784" t="s">
        <v>107</v>
      </c>
      <c r="L1666" s="279" t="s">
        <v>20</v>
      </c>
      <c r="M1666" s="784" t="s">
        <v>1439</v>
      </c>
      <c r="N1666" s="512"/>
      <c r="O1666" s="512"/>
      <c r="P1666" s="512"/>
      <c r="Q1666" s="512"/>
      <c r="R1666" s="512"/>
      <c r="S1666" s="512"/>
      <c r="T1666" s="512"/>
      <c r="U1666" s="512"/>
      <c r="V1666" s="512"/>
      <c r="W1666" s="512"/>
    </row>
    <row r="1667" s="178" customFormat="1" ht="15.4" customHeight="1" spans="1:23">
      <c r="A1667" s="784" t="s">
        <v>736</v>
      </c>
      <c r="B1667" s="1050" t="s">
        <v>1435</v>
      </c>
      <c r="C1667" s="1050" t="s">
        <v>112</v>
      </c>
      <c r="D1667" s="1051">
        <v>97</v>
      </c>
      <c r="E1667" s="988"/>
      <c r="F1667" s="675">
        <v>45873</v>
      </c>
      <c r="G1667" s="840">
        <f t="shared" si="128"/>
        <v>45843</v>
      </c>
      <c r="H1667" s="675">
        <f t="shared" si="129"/>
        <v>45869</v>
      </c>
      <c r="I1667" s="1064" t="s">
        <v>1437</v>
      </c>
      <c r="J1667" s="784" t="s">
        <v>207</v>
      </c>
      <c r="K1667" s="784" t="s">
        <v>107</v>
      </c>
      <c r="L1667" s="279" t="s">
        <v>20</v>
      </c>
      <c r="M1667" s="1093"/>
      <c r="N1667" s="512"/>
      <c r="O1667" s="512"/>
      <c r="P1667" s="512"/>
      <c r="Q1667" s="512"/>
      <c r="R1667" s="512"/>
      <c r="S1667" s="512"/>
      <c r="T1667" s="512"/>
      <c r="U1667" s="512"/>
      <c r="V1667" s="512"/>
      <c r="W1667" s="512"/>
    </row>
    <row r="1668" s="178" customFormat="1" ht="15.4" customHeight="1" spans="1:23">
      <c r="A1668" s="784" t="s">
        <v>736</v>
      </c>
      <c r="B1668" s="1050" t="s">
        <v>1435</v>
      </c>
      <c r="C1668" s="1050" t="s">
        <v>114</v>
      </c>
      <c r="D1668" s="1051">
        <v>17</v>
      </c>
      <c r="E1668" s="1109"/>
      <c r="F1668" s="675">
        <v>45873</v>
      </c>
      <c r="G1668" s="840">
        <f t="shared" si="128"/>
        <v>45843</v>
      </c>
      <c r="H1668" s="675">
        <f t="shared" si="129"/>
        <v>45869</v>
      </c>
      <c r="I1668" s="1064" t="s">
        <v>1437</v>
      </c>
      <c r="J1668" s="784" t="s">
        <v>207</v>
      </c>
      <c r="K1668" s="784" t="s">
        <v>107</v>
      </c>
      <c r="L1668" s="279" t="s">
        <v>20</v>
      </c>
      <c r="M1668" s="1203"/>
      <c r="N1668" s="512"/>
      <c r="O1668" s="512"/>
      <c r="P1668" s="512"/>
      <c r="Q1668" s="512"/>
      <c r="R1668" s="512"/>
      <c r="S1668" s="512"/>
      <c r="T1668" s="512"/>
      <c r="U1668" s="512"/>
      <c r="V1668" s="512"/>
      <c r="W1668" s="512"/>
    </row>
    <row r="1669" s="178" customFormat="1" ht="15.4" customHeight="1" spans="1:23">
      <c r="A1669" s="784" t="s">
        <v>736</v>
      </c>
      <c r="B1669" s="1050" t="s">
        <v>1435</v>
      </c>
      <c r="C1669" s="1050" t="s">
        <v>115</v>
      </c>
      <c r="D1669" s="1051">
        <v>17</v>
      </c>
      <c r="E1669" s="1109"/>
      <c r="F1669" s="675">
        <v>45873</v>
      </c>
      <c r="G1669" s="840">
        <f t="shared" si="128"/>
        <v>45843</v>
      </c>
      <c r="H1669" s="675">
        <f t="shared" si="129"/>
        <v>45869</v>
      </c>
      <c r="I1669" s="1064" t="s">
        <v>1437</v>
      </c>
      <c r="J1669" s="784" t="s">
        <v>207</v>
      </c>
      <c r="K1669" s="784" t="s">
        <v>107</v>
      </c>
      <c r="L1669" s="279" t="s">
        <v>20</v>
      </c>
      <c r="M1669" s="784"/>
      <c r="N1669" s="512"/>
      <c r="O1669" s="512"/>
      <c r="P1669" s="512"/>
      <c r="Q1669" s="512"/>
      <c r="R1669" s="512"/>
      <c r="S1669" s="512"/>
      <c r="T1669" s="512"/>
      <c r="U1669" s="512"/>
      <c r="V1669" s="512"/>
      <c r="W1669" s="512"/>
    </row>
    <row r="1670" s="178" customFormat="1" ht="15.4" customHeight="1" spans="1:23">
      <c r="A1670" s="784" t="s">
        <v>736</v>
      </c>
      <c r="B1670" s="1050" t="s">
        <v>1435</v>
      </c>
      <c r="C1670" s="1050" t="s">
        <v>116</v>
      </c>
      <c r="D1670" s="1051">
        <v>27</v>
      </c>
      <c r="E1670" s="1109"/>
      <c r="F1670" s="675">
        <v>45873</v>
      </c>
      <c r="G1670" s="840">
        <f t="shared" si="128"/>
        <v>45843</v>
      </c>
      <c r="H1670" s="675">
        <f t="shared" si="129"/>
        <v>45869</v>
      </c>
      <c r="I1670" s="1064" t="s">
        <v>1437</v>
      </c>
      <c r="J1670" s="784" t="s">
        <v>207</v>
      </c>
      <c r="K1670" s="784" t="s">
        <v>107</v>
      </c>
      <c r="L1670" s="279" t="s">
        <v>20</v>
      </c>
      <c r="M1670" s="784"/>
      <c r="N1670" s="512"/>
      <c r="O1670" s="512"/>
      <c r="P1670" s="512"/>
      <c r="Q1670" s="512"/>
      <c r="R1670" s="512"/>
      <c r="S1670" s="512"/>
      <c r="T1670" s="512"/>
      <c r="U1670" s="512"/>
      <c r="V1670" s="512"/>
      <c r="W1670" s="512"/>
    </row>
    <row r="1671" s="178" customFormat="1" ht="15.4" customHeight="1" spans="1:23">
      <c r="A1671" s="784" t="s">
        <v>736</v>
      </c>
      <c r="B1671" s="1050" t="s">
        <v>1435</v>
      </c>
      <c r="C1671" s="1050" t="s">
        <v>117</v>
      </c>
      <c r="D1671" s="1051">
        <v>27</v>
      </c>
      <c r="E1671" s="1109"/>
      <c r="F1671" s="675">
        <v>45873</v>
      </c>
      <c r="G1671" s="840">
        <f t="shared" si="128"/>
        <v>45843</v>
      </c>
      <c r="H1671" s="675">
        <f t="shared" si="129"/>
        <v>45869</v>
      </c>
      <c r="I1671" s="1064" t="s">
        <v>1437</v>
      </c>
      <c r="J1671" s="784" t="s">
        <v>207</v>
      </c>
      <c r="K1671" s="784" t="s">
        <v>107</v>
      </c>
      <c r="L1671" s="279" t="s">
        <v>20</v>
      </c>
      <c r="M1671" s="784"/>
      <c r="N1671" s="512"/>
      <c r="O1671" s="512"/>
      <c r="P1671" s="512"/>
      <c r="Q1671" s="512"/>
      <c r="R1671" s="512"/>
      <c r="S1671" s="512"/>
      <c r="T1671" s="512"/>
      <c r="U1671" s="512"/>
      <c r="V1671" s="512"/>
      <c r="W1671" s="512"/>
    </row>
    <row r="1672" s="178" customFormat="1" ht="15.4" customHeight="1" spans="1:23">
      <c r="A1672" s="784" t="s">
        <v>736</v>
      </c>
      <c r="B1672" s="1050" t="s">
        <v>1435</v>
      </c>
      <c r="C1672" s="1050" t="s">
        <v>118</v>
      </c>
      <c r="D1672" s="1051">
        <v>17</v>
      </c>
      <c r="E1672" s="1109"/>
      <c r="F1672" s="675">
        <v>45873</v>
      </c>
      <c r="G1672" s="840">
        <f t="shared" si="128"/>
        <v>45843</v>
      </c>
      <c r="H1672" s="675">
        <f t="shared" si="129"/>
        <v>45869</v>
      </c>
      <c r="I1672" s="1064" t="s">
        <v>1437</v>
      </c>
      <c r="J1672" s="784" t="s">
        <v>207</v>
      </c>
      <c r="K1672" s="784" t="s">
        <v>107</v>
      </c>
      <c r="L1672" s="279" t="s">
        <v>20</v>
      </c>
      <c r="M1672" s="784"/>
      <c r="N1672" s="512"/>
      <c r="O1672" s="512"/>
      <c r="P1672" s="512"/>
      <c r="Q1672" s="512"/>
      <c r="R1672" s="512"/>
      <c r="S1672" s="512"/>
      <c r="T1672" s="512"/>
      <c r="U1672" s="512"/>
      <c r="V1672" s="512"/>
      <c r="W1672" s="512"/>
    </row>
    <row r="1673" s="178" customFormat="1" ht="15.4" customHeight="1" spans="1:23">
      <c r="A1673" s="784" t="s">
        <v>736</v>
      </c>
      <c r="B1673" s="1050" t="s">
        <v>1435</v>
      </c>
      <c r="C1673" s="1050" t="s">
        <v>119</v>
      </c>
      <c r="D1673" s="1051">
        <v>17</v>
      </c>
      <c r="E1673" s="1109"/>
      <c r="F1673" s="675">
        <v>45873</v>
      </c>
      <c r="G1673" s="840">
        <f t="shared" si="128"/>
        <v>45843</v>
      </c>
      <c r="H1673" s="675">
        <f t="shared" si="129"/>
        <v>45869</v>
      </c>
      <c r="I1673" s="1064" t="s">
        <v>1437</v>
      </c>
      <c r="J1673" s="784" t="s">
        <v>207</v>
      </c>
      <c r="K1673" s="784" t="s">
        <v>107</v>
      </c>
      <c r="L1673" s="279" t="s">
        <v>20</v>
      </c>
      <c r="M1673" s="784"/>
      <c r="N1673" s="512"/>
      <c r="O1673" s="512"/>
      <c r="P1673" s="512"/>
      <c r="Q1673" s="512"/>
      <c r="R1673" s="512"/>
      <c r="S1673" s="512"/>
      <c r="T1673" s="512"/>
      <c r="U1673" s="512"/>
      <c r="V1673" s="512"/>
      <c r="W1673" s="512"/>
    </row>
    <row r="1674" s="178" customFormat="1" ht="15.4" customHeight="1" spans="1:23">
      <c r="A1674" s="784" t="s">
        <v>736</v>
      </c>
      <c r="B1674" s="1050" t="s">
        <v>1435</v>
      </c>
      <c r="C1674" s="1050" t="s">
        <v>120</v>
      </c>
      <c r="D1674" s="1051">
        <v>7</v>
      </c>
      <c r="E1674" s="1109"/>
      <c r="F1674" s="675">
        <v>45873</v>
      </c>
      <c r="G1674" s="840">
        <f t="shared" si="128"/>
        <v>45843</v>
      </c>
      <c r="H1674" s="675">
        <f t="shared" si="129"/>
        <v>45869</v>
      </c>
      <c r="I1674" s="1064" t="s">
        <v>1437</v>
      </c>
      <c r="J1674" s="784" t="s">
        <v>207</v>
      </c>
      <c r="K1674" s="784" t="s">
        <v>107</v>
      </c>
      <c r="L1674" s="279" t="s">
        <v>20</v>
      </c>
      <c r="M1674" s="784"/>
      <c r="N1674" s="512"/>
      <c r="O1674" s="512"/>
      <c r="P1674" s="512"/>
      <c r="Q1674" s="512"/>
      <c r="R1674" s="512"/>
      <c r="S1674" s="512"/>
      <c r="T1674" s="512"/>
      <c r="U1674" s="512"/>
      <c r="V1674" s="512"/>
      <c r="W1674" s="512"/>
    </row>
    <row r="1675" s="178" customFormat="1" ht="15.4" customHeight="1" spans="1:23">
      <c r="A1675" s="784" t="s">
        <v>736</v>
      </c>
      <c r="B1675" s="1050" t="s">
        <v>1435</v>
      </c>
      <c r="C1675" s="1050" t="s">
        <v>121</v>
      </c>
      <c r="D1675" s="1051">
        <v>7</v>
      </c>
      <c r="E1675" s="1109"/>
      <c r="F1675" s="675">
        <v>45873</v>
      </c>
      <c r="G1675" s="840">
        <f t="shared" si="128"/>
        <v>45843</v>
      </c>
      <c r="H1675" s="675">
        <f t="shared" si="129"/>
        <v>45869</v>
      </c>
      <c r="I1675" s="1064" t="s">
        <v>1437</v>
      </c>
      <c r="J1675" s="784" t="s">
        <v>207</v>
      </c>
      <c r="K1675" s="784" t="s">
        <v>107</v>
      </c>
      <c r="L1675" s="279" t="s">
        <v>20</v>
      </c>
      <c r="M1675" s="784"/>
      <c r="N1675" s="512"/>
      <c r="O1675" s="512"/>
      <c r="P1675" s="512"/>
      <c r="Q1675" s="512"/>
      <c r="R1675" s="512"/>
      <c r="S1675" s="512"/>
      <c r="T1675" s="512"/>
      <c r="U1675" s="512"/>
      <c r="V1675" s="512"/>
      <c r="W1675" s="512"/>
    </row>
    <row r="1676" customFormat="1" ht="15.4" customHeight="1" spans="1:23">
      <c r="A1676" s="749" t="s">
        <v>1440</v>
      </c>
      <c r="B1676" s="794" t="s">
        <v>1441</v>
      </c>
      <c r="C1676" s="794" t="s">
        <v>31</v>
      </c>
      <c r="D1676" s="351">
        <v>3</v>
      </c>
      <c r="E1676" s="1085" t="s">
        <v>1442</v>
      </c>
      <c r="F1676" s="675">
        <v>45876</v>
      </c>
      <c r="G1676" s="675">
        <f>VLOOKUP(CLEAN(SUBSTITUTE(TRIM(MID(E:E,FIND("/",E:E)+1,LEN(E:E)))," ","")),'Customs Decl. &amp; Local Delivery'!D:I,6,0)</f>
        <v>45845</v>
      </c>
      <c r="H1676" s="675">
        <f>VLOOKUP(CLEAN(SUBSTITUTE(TRIM(MID(E:E,FIND("/",E:E)+1,LEN(E:E)))," ","")),'Customs Decl. &amp; Local Delivery'!D:J,7,0)</f>
        <v>45858</v>
      </c>
      <c r="I1676" s="749" t="s">
        <v>1443</v>
      </c>
      <c r="J1676" s="794" t="s">
        <v>39</v>
      </c>
      <c r="K1676" s="808" t="s">
        <v>19</v>
      </c>
      <c r="L1676" s="279" t="s">
        <v>20</v>
      </c>
      <c r="M1676" s="749" t="s">
        <v>1444</v>
      </c>
      <c r="N1676" s="512"/>
      <c r="O1676" s="512"/>
      <c r="P1676" s="512"/>
      <c r="Q1676" s="512"/>
      <c r="R1676" s="512"/>
      <c r="S1676" s="512"/>
      <c r="T1676" s="512"/>
      <c r="U1676" s="512"/>
      <c r="V1676" s="512"/>
      <c r="W1676" s="512"/>
    </row>
    <row r="1677" customFormat="1" ht="15.4" customHeight="1" spans="1:23">
      <c r="A1677" s="749" t="s">
        <v>1440</v>
      </c>
      <c r="B1677" s="794" t="s">
        <v>1441</v>
      </c>
      <c r="C1677" s="756" t="s">
        <v>33</v>
      </c>
      <c r="D1677" s="351">
        <v>7</v>
      </c>
      <c r="E1677" s="69"/>
      <c r="F1677" s="675">
        <v>45876</v>
      </c>
      <c r="G1677" s="840">
        <f t="shared" ref="G1677:G1688" si="130">G1676</f>
        <v>45845</v>
      </c>
      <c r="H1677" s="840">
        <f t="shared" ref="H1677:H1688" si="131">H1676</f>
        <v>45858</v>
      </c>
      <c r="I1677" s="749" t="s">
        <v>1443</v>
      </c>
      <c r="J1677" s="794" t="s">
        <v>39</v>
      </c>
      <c r="K1677" s="808" t="s">
        <v>19</v>
      </c>
      <c r="L1677" s="279" t="s">
        <v>20</v>
      </c>
      <c r="M1677" s="749" t="s">
        <v>1366</v>
      </c>
      <c r="N1677" s="512"/>
      <c r="O1677" s="512"/>
      <c r="P1677" s="512"/>
      <c r="Q1677" s="512"/>
      <c r="R1677" s="512"/>
      <c r="S1677" s="512"/>
      <c r="T1677" s="512"/>
      <c r="U1677" s="512"/>
      <c r="V1677" s="512"/>
      <c r="W1677" s="512"/>
    </row>
    <row r="1678" customFormat="1" ht="15.4" customHeight="1" spans="1:23">
      <c r="A1678" s="749" t="s">
        <v>1440</v>
      </c>
      <c r="B1678" s="794" t="s">
        <v>1441</v>
      </c>
      <c r="C1678" s="756" t="s">
        <v>59</v>
      </c>
      <c r="D1678" s="351">
        <v>2</v>
      </c>
      <c r="E1678" s="69"/>
      <c r="F1678" s="675">
        <v>45876</v>
      </c>
      <c r="G1678" s="840">
        <f t="shared" si="130"/>
        <v>45845</v>
      </c>
      <c r="H1678" s="840">
        <f t="shared" si="131"/>
        <v>45858</v>
      </c>
      <c r="I1678" s="749" t="s">
        <v>1443</v>
      </c>
      <c r="J1678" s="794" t="s">
        <v>39</v>
      </c>
      <c r="K1678" s="808" t="s">
        <v>19</v>
      </c>
      <c r="L1678" s="279" t="s">
        <v>20</v>
      </c>
      <c r="M1678" s="749" t="s">
        <v>1445</v>
      </c>
      <c r="N1678" s="512"/>
      <c r="O1678" s="512"/>
      <c r="P1678" s="512"/>
      <c r="Q1678" s="512"/>
      <c r="R1678" s="512"/>
      <c r="S1678" s="512"/>
      <c r="T1678" s="512"/>
      <c r="U1678" s="512"/>
      <c r="V1678" s="512"/>
      <c r="W1678" s="512"/>
    </row>
    <row r="1679" customFormat="1" ht="15.4" customHeight="1" spans="1:23">
      <c r="A1679" s="749" t="s">
        <v>1440</v>
      </c>
      <c r="B1679" s="794" t="s">
        <v>1441</v>
      </c>
      <c r="C1679" s="756" t="s">
        <v>43</v>
      </c>
      <c r="D1679" s="351">
        <v>56</v>
      </c>
      <c r="E1679" s="69"/>
      <c r="F1679" s="675">
        <v>45876</v>
      </c>
      <c r="G1679" s="840">
        <f t="shared" si="130"/>
        <v>45845</v>
      </c>
      <c r="H1679" s="840">
        <f t="shared" si="131"/>
        <v>45858</v>
      </c>
      <c r="I1679" s="749" t="s">
        <v>1443</v>
      </c>
      <c r="J1679" s="794" t="s">
        <v>39</v>
      </c>
      <c r="K1679" s="808" t="s">
        <v>19</v>
      </c>
      <c r="L1679" s="279" t="s">
        <v>20</v>
      </c>
      <c r="M1679" s="749"/>
      <c r="N1679" s="512"/>
      <c r="O1679" s="512"/>
      <c r="P1679" s="512"/>
      <c r="Q1679" s="512"/>
      <c r="R1679" s="512"/>
      <c r="S1679" s="512"/>
      <c r="T1679" s="512"/>
      <c r="U1679" s="512"/>
      <c r="V1679" s="512"/>
      <c r="W1679" s="512"/>
    </row>
    <row r="1680" customFormat="1" ht="15.4" customHeight="1" spans="1:23">
      <c r="A1680" s="749" t="s">
        <v>1440</v>
      </c>
      <c r="B1680" s="794" t="s">
        <v>1441</v>
      </c>
      <c r="C1680" s="756" t="s">
        <v>45</v>
      </c>
      <c r="D1680" s="351">
        <v>56</v>
      </c>
      <c r="E1680" s="69"/>
      <c r="F1680" s="675">
        <v>45876</v>
      </c>
      <c r="G1680" s="840">
        <f t="shared" si="130"/>
        <v>45845</v>
      </c>
      <c r="H1680" s="840">
        <f t="shared" si="131"/>
        <v>45858</v>
      </c>
      <c r="I1680" s="749" t="s">
        <v>1443</v>
      </c>
      <c r="J1680" s="794" t="s">
        <v>39</v>
      </c>
      <c r="K1680" s="808" t="s">
        <v>19</v>
      </c>
      <c r="L1680" s="279" t="s">
        <v>20</v>
      </c>
      <c r="M1680" s="749"/>
      <c r="N1680" s="512"/>
      <c r="O1680" s="512"/>
      <c r="P1680" s="512"/>
      <c r="Q1680" s="512"/>
      <c r="R1680" s="512"/>
      <c r="S1680" s="512"/>
      <c r="T1680" s="512"/>
      <c r="U1680" s="512"/>
      <c r="V1680" s="512"/>
      <c r="W1680" s="512"/>
    </row>
    <row r="1681" customFormat="1" ht="15.4" customHeight="1" spans="1:23">
      <c r="A1681" s="749" t="s">
        <v>1440</v>
      </c>
      <c r="B1681" s="794" t="s">
        <v>1441</v>
      </c>
      <c r="C1681" s="756" t="s">
        <v>47</v>
      </c>
      <c r="D1681" s="351">
        <v>60</v>
      </c>
      <c r="E1681" s="69"/>
      <c r="F1681" s="675">
        <v>45876</v>
      </c>
      <c r="G1681" s="840">
        <f t="shared" si="130"/>
        <v>45845</v>
      </c>
      <c r="H1681" s="840">
        <f t="shared" si="131"/>
        <v>45858</v>
      </c>
      <c r="I1681" s="749" t="s">
        <v>1443</v>
      </c>
      <c r="J1681" s="794" t="s">
        <v>39</v>
      </c>
      <c r="K1681" s="808" t="s">
        <v>19</v>
      </c>
      <c r="L1681" s="279" t="s">
        <v>20</v>
      </c>
      <c r="M1681" s="749"/>
      <c r="N1681" s="512"/>
      <c r="O1681" s="512"/>
      <c r="P1681" s="512"/>
      <c r="Q1681" s="512"/>
      <c r="R1681" s="512"/>
      <c r="S1681" s="512"/>
      <c r="T1681" s="512"/>
      <c r="U1681" s="512"/>
      <c r="V1681" s="512"/>
      <c r="W1681" s="512"/>
    </row>
    <row r="1682" customFormat="1" ht="15.4" customHeight="1" spans="1:23">
      <c r="A1682" s="749" t="s">
        <v>1440</v>
      </c>
      <c r="B1682" s="794" t="s">
        <v>1441</v>
      </c>
      <c r="C1682" s="756" t="s">
        <v>48</v>
      </c>
      <c r="D1682" s="351">
        <v>60</v>
      </c>
      <c r="E1682" s="69"/>
      <c r="F1682" s="675">
        <v>45876</v>
      </c>
      <c r="G1682" s="840">
        <f t="shared" si="130"/>
        <v>45845</v>
      </c>
      <c r="H1682" s="840">
        <f t="shared" si="131"/>
        <v>45858</v>
      </c>
      <c r="I1682" s="749" t="s">
        <v>1443</v>
      </c>
      <c r="J1682" s="794" t="s">
        <v>39</v>
      </c>
      <c r="K1682" s="808" t="s">
        <v>19</v>
      </c>
      <c r="L1682" s="279" t="s">
        <v>20</v>
      </c>
      <c r="M1682" s="749"/>
      <c r="N1682" s="512"/>
      <c r="O1682" s="512"/>
      <c r="P1682" s="512"/>
      <c r="Q1682" s="512"/>
      <c r="R1682" s="512"/>
      <c r="S1682" s="512"/>
      <c r="T1682" s="512"/>
      <c r="U1682" s="512"/>
      <c r="V1682" s="512"/>
      <c r="W1682" s="512"/>
    </row>
    <row r="1683" customFormat="1" ht="15.4" customHeight="1" spans="1:23">
      <c r="A1683" s="749" t="s">
        <v>1440</v>
      </c>
      <c r="B1683" s="794" t="s">
        <v>1441</v>
      </c>
      <c r="C1683" s="756" t="s">
        <v>729</v>
      </c>
      <c r="D1683" s="351">
        <v>1</v>
      </c>
      <c r="E1683" s="69"/>
      <c r="F1683" s="675">
        <v>45876</v>
      </c>
      <c r="G1683" s="840">
        <f t="shared" si="130"/>
        <v>45845</v>
      </c>
      <c r="H1683" s="840">
        <f t="shared" si="131"/>
        <v>45858</v>
      </c>
      <c r="I1683" s="749" t="s">
        <v>1443</v>
      </c>
      <c r="J1683" s="794" t="s">
        <v>39</v>
      </c>
      <c r="K1683" s="808" t="s">
        <v>19</v>
      </c>
      <c r="L1683" s="279" t="s">
        <v>20</v>
      </c>
      <c r="M1683" s="749"/>
      <c r="N1683" s="512"/>
      <c r="O1683" s="512"/>
      <c r="P1683" s="512"/>
      <c r="Q1683" s="512"/>
      <c r="R1683" s="512"/>
      <c r="S1683" s="512"/>
      <c r="T1683" s="512"/>
      <c r="U1683" s="512"/>
      <c r="V1683" s="512"/>
      <c r="W1683" s="512"/>
    </row>
    <row r="1684" customFormat="1" ht="15.4" customHeight="1" spans="1:23">
      <c r="A1684" s="749" t="s">
        <v>1440</v>
      </c>
      <c r="B1684" s="794" t="s">
        <v>1441</v>
      </c>
      <c r="C1684" s="756" t="s">
        <v>730</v>
      </c>
      <c r="D1684" s="351">
        <v>1</v>
      </c>
      <c r="E1684" s="69"/>
      <c r="F1684" s="675">
        <v>45876</v>
      </c>
      <c r="G1684" s="840">
        <f t="shared" si="130"/>
        <v>45845</v>
      </c>
      <c r="H1684" s="840">
        <f t="shared" si="131"/>
        <v>45858</v>
      </c>
      <c r="I1684" s="749" t="s">
        <v>1443</v>
      </c>
      <c r="J1684" s="794" t="s">
        <v>39</v>
      </c>
      <c r="K1684" s="808" t="s">
        <v>19</v>
      </c>
      <c r="L1684" s="279" t="s">
        <v>20</v>
      </c>
      <c r="M1684" s="749"/>
      <c r="N1684" s="512"/>
      <c r="O1684" s="512"/>
      <c r="P1684" s="512"/>
      <c r="Q1684" s="512"/>
      <c r="R1684" s="512"/>
      <c r="S1684" s="512"/>
      <c r="T1684" s="512"/>
      <c r="U1684" s="512"/>
      <c r="V1684" s="512"/>
      <c r="W1684" s="512"/>
    </row>
    <row r="1685" customFormat="1" ht="15.4" customHeight="1" spans="1:23">
      <c r="A1685" s="749" t="s">
        <v>1440</v>
      </c>
      <c r="B1685" s="794" t="s">
        <v>1441</v>
      </c>
      <c r="C1685" s="756" t="s">
        <v>757</v>
      </c>
      <c r="D1685" s="351">
        <v>7</v>
      </c>
      <c r="E1685" s="69"/>
      <c r="F1685" s="675">
        <v>45876</v>
      </c>
      <c r="G1685" s="840">
        <f t="shared" si="130"/>
        <v>45845</v>
      </c>
      <c r="H1685" s="840">
        <f t="shared" si="131"/>
        <v>45858</v>
      </c>
      <c r="I1685" s="749" t="s">
        <v>1443</v>
      </c>
      <c r="J1685" s="794" t="s">
        <v>39</v>
      </c>
      <c r="K1685" s="808" t="s">
        <v>19</v>
      </c>
      <c r="L1685" s="279" t="s">
        <v>20</v>
      </c>
      <c r="M1685" s="749"/>
      <c r="N1685" s="512"/>
      <c r="O1685" s="512"/>
      <c r="P1685" s="512"/>
      <c r="Q1685" s="512"/>
      <c r="R1685" s="512"/>
      <c r="S1685" s="512"/>
      <c r="T1685" s="512"/>
      <c r="U1685" s="512"/>
      <c r="V1685" s="512"/>
      <c r="W1685" s="512"/>
    </row>
    <row r="1686" ht="15.4" customHeight="1" spans="1:23">
      <c r="A1686" s="1198" t="s">
        <v>1440</v>
      </c>
      <c r="B1686" s="794" t="s">
        <v>1441</v>
      </c>
      <c r="C1686" s="794" t="s">
        <v>32</v>
      </c>
      <c r="D1686" s="351">
        <v>3</v>
      </c>
      <c r="E1686" s="69"/>
      <c r="F1686" s="675">
        <v>45876</v>
      </c>
      <c r="G1686" s="840">
        <f t="shared" si="130"/>
        <v>45845</v>
      </c>
      <c r="H1686" s="840">
        <f t="shared" si="131"/>
        <v>45858</v>
      </c>
      <c r="I1686" s="749" t="s">
        <v>1443</v>
      </c>
      <c r="J1686" s="794" t="s">
        <v>39</v>
      </c>
      <c r="K1686" s="808" t="s">
        <v>19</v>
      </c>
      <c r="L1686" s="279" t="s">
        <v>20</v>
      </c>
      <c r="M1686" s="749"/>
      <c r="N1686" s="512"/>
      <c r="O1686" s="1154"/>
      <c r="P1686" s="1154"/>
      <c r="Q1686" s="1154"/>
      <c r="R1686" s="1154"/>
      <c r="S1686" s="1154"/>
      <c r="T1686" s="1154"/>
      <c r="U1686" s="1154"/>
      <c r="V1686" s="1154"/>
      <c r="W1686" s="1154"/>
    </row>
    <row r="1687" ht="15.4" customHeight="1" spans="1:23">
      <c r="A1687" s="1198" t="s">
        <v>1440</v>
      </c>
      <c r="B1687" s="794" t="s">
        <v>1441</v>
      </c>
      <c r="C1687" s="794" t="s">
        <v>34</v>
      </c>
      <c r="D1687" s="351">
        <v>7</v>
      </c>
      <c r="E1687" s="69"/>
      <c r="F1687" s="675">
        <v>45876</v>
      </c>
      <c r="G1687" s="840">
        <f t="shared" si="130"/>
        <v>45845</v>
      </c>
      <c r="H1687" s="840">
        <f t="shared" si="131"/>
        <v>45858</v>
      </c>
      <c r="I1687" s="749" t="s">
        <v>1443</v>
      </c>
      <c r="J1687" s="794" t="s">
        <v>39</v>
      </c>
      <c r="K1687" s="808" t="s">
        <v>19</v>
      </c>
      <c r="L1687" s="279" t="s">
        <v>20</v>
      </c>
      <c r="M1687" s="749"/>
      <c r="N1687" s="512"/>
      <c r="O1687" s="1154"/>
      <c r="P1687" s="1154"/>
      <c r="Q1687" s="1154"/>
      <c r="R1687" s="1154"/>
      <c r="S1687" s="1154"/>
      <c r="T1687" s="1154"/>
      <c r="U1687" s="1154"/>
      <c r="V1687" s="1154"/>
      <c r="W1687" s="1154"/>
    </row>
    <row r="1688" ht="15.4" customHeight="1" spans="1:23">
      <c r="A1688" s="1198" t="s">
        <v>1440</v>
      </c>
      <c r="B1688" s="794" t="s">
        <v>1441</v>
      </c>
      <c r="C1688" s="794" t="s">
        <v>60</v>
      </c>
      <c r="D1688" s="351">
        <v>2</v>
      </c>
      <c r="E1688" s="69"/>
      <c r="F1688" s="753">
        <v>45876</v>
      </c>
      <c r="G1688" s="840">
        <f t="shared" si="130"/>
        <v>45845</v>
      </c>
      <c r="H1688" s="840">
        <f t="shared" si="131"/>
        <v>45858</v>
      </c>
      <c r="I1688" s="749" t="s">
        <v>1443</v>
      </c>
      <c r="J1688" s="794" t="s">
        <v>39</v>
      </c>
      <c r="K1688" s="808" t="s">
        <v>19</v>
      </c>
      <c r="L1688" s="279" t="s">
        <v>20</v>
      </c>
      <c r="M1688" s="749"/>
      <c r="N1688" s="512"/>
      <c r="O1688" s="1154"/>
      <c r="P1688" s="1154"/>
      <c r="Q1688" s="1154"/>
      <c r="R1688" s="1154"/>
      <c r="S1688" s="1154"/>
      <c r="T1688" s="1154"/>
      <c r="U1688" s="1154"/>
      <c r="V1688" s="1154"/>
      <c r="W1688" s="1154"/>
    </row>
    <row r="1689" s="974" customFormat="1" ht="15.4" customHeight="1" spans="1:23">
      <c r="A1689" s="1058" t="s">
        <v>1446</v>
      </c>
      <c r="B1689" s="1047" t="s">
        <v>1447</v>
      </c>
      <c r="C1689" s="789" t="s">
        <v>757</v>
      </c>
      <c r="D1689" s="1051">
        <v>30</v>
      </c>
      <c r="E1689" s="1047" t="s">
        <v>519</v>
      </c>
      <c r="F1689" s="675" t="s">
        <v>309</v>
      </c>
      <c r="G1689" s="675">
        <v>45848</v>
      </c>
      <c r="H1689" s="675">
        <v>45848</v>
      </c>
      <c r="I1689" s="1204" t="s">
        <v>1448</v>
      </c>
      <c r="J1689" s="1064" t="s">
        <v>521</v>
      </c>
      <c r="K1689" s="1058" t="s">
        <v>899</v>
      </c>
      <c r="L1689" s="240" t="s">
        <v>20</v>
      </c>
      <c r="M1689" s="590"/>
      <c r="N1689" s="1205"/>
      <c r="O1689" s="1206"/>
      <c r="P1689" s="1206"/>
      <c r="Q1689" s="1206"/>
      <c r="R1689" s="1206"/>
      <c r="S1689" s="1206"/>
      <c r="T1689" s="1206"/>
      <c r="U1689" s="1206"/>
      <c r="V1689" s="1206"/>
      <c r="W1689" s="1206"/>
    </row>
    <row r="1690" s="974" customFormat="1" ht="15.4" customHeight="1" spans="1:23">
      <c r="A1690" s="1058" t="s">
        <v>1446</v>
      </c>
      <c r="B1690" s="1047" t="s">
        <v>1447</v>
      </c>
      <c r="C1690" s="789" t="s">
        <v>901</v>
      </c>
      <c r="D1690" s="1051">
        <v>30</v>
      </c>
      <c r="E1690" s="281"/>
      <c r="F1690" s="675" t="s">
        <v>309</v>
      </c>
      <c r="G1690" s="675">
        <v>45848</v>
      </c>
      <c r="H1690" s="675">
        <v>45848</v>
      </c>
      <c r="I1690" s="1207" t="s">
        <v>1448</v>
      </c>
      <c r="J1690" s="1064" t="s">
        <v>521</v>
      </c>
      <c r="K1690" s="1058" t="s">
        <v>899</v>
      </c>
      <c r="L1690" s="240" t="s">
        <v>20</v>
      </c>
      <c r="M1690" s="1077" t="s">
        <v>1449</v>
      </c>
      <c r="N1690" s="1205"/>
      <c r="O1690" s="1206"/>
      <c r="P1690" s="1206"/>
      <c r="Q1690" s="1206"/>
      <c r="R1690" s="1206"/>
      <c r="S1690" s="1206"/>
      <c r="T1690" s="1206"/>
      <c r="U1690" s="1206"/>
      <c r="V1690" s="1206"/>
      <c r="W1690" s="1206"/>
    </row>
    <row r="1691" ht="16.5" customHeight="1" spans="1:23">
      <c r="A1691" s="749" t="s">
        <v>1450</v>
      </c>
      <c r="B1691" s="1047" t="s">
        <v>1447</v>
      </c>
      <c r="C1691" s="674" t="s">
        <v>342</v>
      </c>
      <c r="D1691" s="1051">
        <v>15</v>
      </c>
      <c r="E1691" s="1199" t="s">
        <v>1426</v>
      </c>
      <c r="F1691" s="675" t="s">
        <v>309</v>
      </c>
      <c r="G1691" s="675">
        <v>45849</v>
      </c>
      <c r="H1691" s="675">
        <v>45853</v>
      </c>
      <c r="I1691" s="784" t="s">
        <v>1451</v>
      </c>
      <c r="J1691" s="1184" t="s">
        <v>521</v>
      </c>
      <c r="K1691" s="780" t="s">
        <v>1452</v>
      </c>
      <c r="L1691" s="240" t="s">
        <v>20</v>
      </c>
      <c r="M1691" s="1111"/>
      <c r="N1691" s="883"/>
      <c r="O1691" s="1154"/>
      <c r="P1691" s="1154"/>
      <c r="Q1691" s="1154"/>
      <c r="R1691" s="1154"/>
      <c r="S1691" s="1154"/>
      <c r="T1691" s="1154"/>
      <c r="U1691" s="1154"/>
      <c r="V1691" s="1154"/>
      <c r="W1691" s="1154"/>
    </row>
    <row r="1692" ht="16.5" customHeight="1" spans="1:23">
      <c r="A1692" s="749" t="s">
        <v>1450</v>
      </c>
      <c r="B1692" s="1047" t="s">
        <v>1447</v>
      </c>
      <c r="C1692" s="674" t="s">
        <v>129</v>
      </c>
      <c r="D1692" s="1051">
        <v>15</v>
      </c>
      <c r="E1692" s="281"/>
      <c r="F1692" s="675" t="s">
        <v>309</v>
      </c>
      <c r="G1692" s="675">
        <v>45849</v>
      </c>
      <c r="H1692" s="675">
        <v>45853</v>
      </c>
      <c r="I1692" s="784" t="s">
        <v>1451</v>
      </c>
      <c r="J1692" s="1184" t="s">
        <v>521</v>
      </c>
      <c r="K1692" s="780" t="s">
        <v>1452</v>
      </c>
      <c r="L1692" s="240" t="s">
        <v>20</v>
      </c>
      <c r="M1692" s="1111"/>
      <c r="N1692" s="883"/>
      <c r="O1692" s="1154"/>
      <c r="P1692" s="1154"/>
      <c r="Q1692" s="1154"/>
      <c r="R1692" s="1154"/>
      <c r="S1692" s="1154"/>
      <c r="T1692" s="1154"/>
      <c r="U1692" s="1154"/>
      <c r="V1692" s="1154"/>
      <c r="W1692" s="1154"/>
    </row>
    <row r="1693" ht="16.5" customHeight="1" spans="1:23">
      <c r="A1693" s="749" t="s">
        <v>1450</v>
      </c>
      <c r="B1693" s="1047" t="s">
        <v>1447</v>
      </c>
      <c r="C1693" s="674" t="s">
        <v>27</v>
      </c>
      <c r="D1693" s="1051">
        <v>15</v>
      </c>
      <c r="E1693" s="281"/>
      <c r="F1693" s="675" t="s">
        <v>309</v>
      </c>
      <c r="G1693" s="675">
        <v>45849</v>
      </c>
      <c r="H1693" s="675">
        <v>45853</v>
      </c>
      <c r="I1693" s="784" t="s">
        <v>1451</v>
      </c>
      <c r="J1693" s="1184" t="s">
        <v>521</v>
      </c>
      <c r="K1693" s="780" t="s">
        <v>1452</v>
      </c>
      <c r="L1693" s="240" t="s">
        <v>20</v>
      </c>
      <c r="M1693" s="1111"/>
      <c r="N1693" s="883"/>
      <c r="O1693" s="1154"/>
      <c r="P1693" s="1154"/>
      <c r="Q1693" s="1154"/>
      <c r="R1693" s="1154"/>
      <c r="S1693" s="1154"/>
      <c r="T1693" s="1154"/>
      <c r="U1693" s="1154"/>
      <c r="V1693" s="1154"/>
      <c r="W1693" s="1154"/>
    </row>
    <row r="1694" s="178" customFormat="1" customHeight="1" spans="1:23">
      <c r="A1694" s="749" t="s">
        <v>1453</v>
      </c>
      <c r="B1694" s="1050" t="s">
        <v>1454</v>
      </c>
      <c r="C1694" s="789" t="s">
        <v>165</v>
      </c>
      <c r="D1694" s="1051">
        <v>4</v>
      </c>
      <c r="E1694" s="1162" t="s">
        <v>1455</v>
      </c>
      <c r="F1694" s="1156">
        <v>45862</v>
      </c>
      <c r="G1694" s="1200">
        <f>VLOOKUP(CLEAN(SUBSTITUTE(TRIM(MID(E:E,FIND("/",E:E)+1,LEN(E:E)))," ","")),'Customs Decl. &amp; Local Delivery'!D:I,6,0)</f>
        <v>45850</v>
      </c>
      <c r="H1694" s="676">
        <f>VLOOKUP(CLEAN(SUBSTITUTE(TRIM(MID(E:E,FIND("/",E:E)+1,LEN(E:E)))," ","")),'Customs Decl. &amp; Local Delivery'!D:J,7,0)</f>
        <v>45876</v>
      </c>
      <c r="I1694" s="749" t="s">
        <v>1456</v>
      </c>
      <c r="J1694" s="1064" t="s">
        <v>18</v>
      </c>
      <c r="K1694" s="1064" t="s">
        <v>19</v>
      </c>
      <c r="L1694" s="279" t="s">
        <v>20</v>
      </c>
      <c r="M1694" s="1053" t="s">
        <v>1457</v>
      </c>
      <c r="N1694" s="512"/>
      <c r="O1694" s="512"/>
      <c r="P1694" s="512"/>
      <c r="Q1694" s="512"/>
      <c r="R1694" s="512"/>
      <c r="S1694" s="512"/>
      <c r="T1694" s="512"/>
      <c r="U1694" s="512"/>
      <c r="V1694" s="512"/>
      <c r="W1694" s="512"/>
    </row>
    <row r="1695" s="178" customFormat="1" customHeight="1" spans="1:23">
      <c r="A1695" s="749" t="s">
        <v>1453</v>
      </c>
      <c r="B1695" s="1050" t="s">
        <v>1454</v>
      </c>
      <c r="C1695" s="789" t="s">
        <v>29</v>
      </c>
      <c r="D1695" s="1051">
        <v>7</v>
      </c>
      <c r="E1695" s="281"/>
      <c r="F1695" s="675">
        <v>45862</v>
      </c>
      <c r="G1695" s="840">
        <f t="shared" ref="G1695:G1702" si="132">G1694</f>
        <v>45850</v>
      </c>
      <c r="H1695" s="676">
        <f t="shared" ref="H1695:H1702" si="133">H1694</f>
        <v>45876</v>
      </c>
      <c r="I1695" s="749" t="s">
        <v>1456</v>
      </c>
      <c r="J1695" s="1064" t="s">
        <v>18</v>
      </c>
      <c r="K1695" s="1064" t="s">
        <v>19</v>
      </c>
      <c r="L1695" s="279" t="s">
        <v>20</v>
      </c>
      <c r="M1695" s="1053" t="s">
        <v>1315</v>
      </c>
      <c r="N1695" s="512"/>
      <c r="O1695" s="512"/>
      <c r="P1695" s="512"/>
      <c r="Q1695" s="512"/>
      <c r="R1695" s="512"/>
      <c r="S1695" s="512"/>
      <c r="T1695" s="512"/>
      <c r="U1695" s="512"/>
      <c r="V1695" s="512"/>
      <c r="W1695" s="512"/>
    </row>
    <row r="1696" s="178" customFormat="1" customHeight="1" spans="1:23">
      <c r="A1696" s="749" t="s">
        <v>1453</v>
      </c>
      <c r="B1696" s="1050" t="s">
        <v>1454</v>
      </c>
      <c r="C1696" s="789" t="s">
        <v>30</v>
      </c>
      <c r="D1696" s="1051">
        <v>7</v>
      </c>
      <c r="E1696" s="281"/>
      <c r="F1696" s="675">
        <v>45862</v>
      </c>
      <c r="G1696" s="840">
        <f t="shared" si="132"/>
        <v>45850</v>
      </c>
      <c r="H1696" s="676">
        <f t="shared" si="133"/>
        <v>45876</v>
      </c>
      <c r="I1696" s="749" t="s">
        <v>1456</v>
      </c>
      <c r="J1696" s="1064" t="s">
        <v>18</v>
      </c>
      <c r="K1696" s="1064" t="s">
        <v>19</v>
      </c>
      <c r="L1696" s="279" t="s">
        <v>20</v>
      </c>
      <c r="M1696" s="1053"/>
      <c r="N1696" s="512"/>
      <c r="O1696" s="512"/>
      <c r="P1696" s="512"/>
      <c r="Q1696" s="512"/>
      <c r="R1696" s="512"/>
      <c r="S1696" s="512"/>
      <c r="T1696" s="512"/>
      <c r="U1696" s="512"/>
      <c r="V1696" s="512"/>
      <c r="W1696" s="512"/>
    </row>
    <row r="1697" s="178" customFormat="1" customHeight="1" spans="1:23">
      <c r="A1697" s="749" t="s">
        <v>1453</v>
      </c>
      <c r="B1697" s="1050" t="s">
        <v>1454</v>
      </c>
      <c r="C1697" s="789" t="s">
        <v>32</v>
      </c>
      <c r="D1697" s="1051">
        <v>8</v>
      </c>
      <c r="E1697" s="281"/>
      <c r="F1697" s="675">
        <v>45862</v>
      </c>
      <c r="G1697" s="840">
        <f t="shared" si="132"/>
        <v>45850</v>
      </c>
      <c r="H1697" s="676">
        <f t="shared" si="133"/>
        <v>45876</v>
      </c>
      <c r="I1697" s="749" t="s">
        <v>1456</v>
      </c>
      <c r="J1697" s="1064" t="s">
        <v>18</v>
      </c>
      <c r="K1697" s="1064" t="s">
        <v>19</v>
      </c>
      <c r="L1697" s="279" t="s">
        <v>20</v>
      </c>
      <c r="M1697" s="1053"/>
      <c r="N1697" s="512"/>
      <c r="O1697" s="512"/>
      <c r="P1697" s="512"/>
      <c r="Q1697" s="512"/>
      <c r="R1697" s="512"/>
      <c r="S1697" s="512"/>
      <c r="T1697" s="512"/>
      <c r="U1697" s="512"/>
      <c r="V1697" s="512"/>
      <c r="W1697" s="512"/>
    </row>
    <row r="1698" s="178" customFormat="1" customHeight="1" spans="1:23">
      <c r="A1698" s="749" t="s">
        <v>1453</v>
      </c>
      <c r="B1698" s="1050" t="s">
        <v>1454</v>
      </c>
      <c r="C1698" s="789" t="s">
        <v>59</v>
      </c>
      <c r="D1698" s="1051">
        <v>20</v>
      </c>
      <c r="E1698" s="281"/>
      <c r="F1698" s="675">
        <v>45862</v>
      </c>
      <c r="G1698" s="840">
        <f t="shared" si="132"/>
        <v>45850</v>
      </c>
      <c r="H1698" s="676">
        <f t="shared" si="133"/>
        <v>45876</v>
      </c>
      <c r="I1698" s="749" t="s">
        <v>1456</v>
      </c>
      <c r="J1698" s="1064" t="s">
        <v>18</v>
      </c>
      <c r="K1698" s="1064" t="s">
        <v>19</v>
      </c>
      <c r="L1698" s="279" t="s">
        <v>20</v>
      </c>
      <c r="M1698" s="1053"/>
      <c r="N1698" s="512"/>
      <c r="O1698" s="512"/>
      <c r="P1698" s="512"/>
      <c r="Q1698" s="512"/>
      <c r="R1698" s="512"/>
      <c r="S1698" s="512"/>
      <c r="T1698" s="512"/>
      <c r="U1698" s="512"/>
      <c r="V1698" s="512"/>
      <c r="W1698" s="512"/>
    </row>
    <row r="1699" s="178" customFormat="1" customHeight="1" spans="1:23">
      <c r="A1699" s="749" t="s">
        <v>1453</v>
      </c>
      <c r="B1699" s="1050" t="s">
        <v>1454</v>
      </c>
      <c r="C1699" s="789" t="s">
        <v>60</v>
      </c>
      <c r="D1699" s="1051">
        <v>20</v>
      </c>
      <c r="E1699" s="281"/>
      <c r="F1699" s="675">
        <v>45862</v>
      </c>
      <c r="G1699" s="840">
        <f t="shared" si="132"/>
        <v>45850</v>
      </c>
      <c r="H1699" s="676">
        <f t="shared" si="133"/>
        <v>45876</v>
      </c>
      <c r="I1699" s="749" t="s">
        <v>1456</v>
      </c>
      <c r="J1699" s="1064" t="s">
        <v>18</v>
      </c>
      <c r="K1699" s="1064" t="s">
        <v>19</v>
      </c>
      <c r="L1699" s="279" t="s">
        <v>20</v>
      </c>
      <c r="M1699" s="1053"/>
      <c r="N1699" s="512"/>
      <c r="O1699" s="512"/>
      <c r="P1699" s="512"/>
      <c r="Q1699" s="512"/>
      <c r="R1699" s="512"/>
      <c r="S1699" s="512"/>
      <c r="T1699" s="512"/>
      <c r="U1699" s="512"/>
      <c r="V1699" s="512"/>
      <c r="W1699" s="512"/>
    </row>
    <row r="1700" s="178" customFormat="1" customHeight="1" spans="1:23">
      <c r="A1700" s="749" t="s">
        <v>1453</v>
      </c>
      <c r="B1700" s="1050" t="s">
        <v>1454</v>
      </c>
      <c r="C1700" s="789" t="s">
        <v>342</v>
      </c>
      <c r="D1700" s="1051">
        <v>2</v>
      </c>
      <c r="E1700" s="281"/>
      <c r="F1700" s="675">
        <v>45862</v>
      </c>
      <c r="G1700" s="840">
        <f t="shared" si="132"/>
        <v>45850</v>
      </c>
      <c r="H1700" s="676">
        <f t="shared" si="133"/>
        <v>45876</v>
      </c>
      <c r="I1700" s="749" t="s">
        <v>1456</v>
      </c>
      <c r="J1700" s="1064" t="s">
        <v>18</v>
      </c>
      <c r="K1700" s="1064" t="s">
        <v>19</v>
      </c>
      <c r="L1700" s="279" t="s">
        <v>20</v>
      </c>
      <c r="M1700" s="1053"/>
      <c r="N1700" s="512"/>
      <c r="O1700" s="512"/>
      <c r="P1700" s="512"/>
      <c r="Q1700" s="512"/>
      <c r="R1700" s="512"/>
      <c r="S1700" s="512"/>
      <c r="T1700" s="512"/>
      <c r="U1700" s="512"/>
      <c r="V1700" s="512"/>
      <c r="W1700" s="512"/>
    </row>
    <row r="1701" s="178" customFormat="1" customHeight="1" spans="1:23">
      <c r="A1701" s="749" t="s">
        <v>1453</v>
      </c>
      <c r="B1701" s="1050" t="s">
        <v>1454</v>
      </c>
      <c r="C1701" s="789" t="s">
        <v>91</v>
      </c>
      <c r="D1701" s="1051">
        <v>9</v>
      </c>
      <c r="E1701" s="281"/>
      <c r="F1701" s="675">
        <v>45862</v>
      </c>
      <c r="G1701" s="840">
        <f t="shared" si="132"/>
        <v>45850</v>
      </c>
      <c r="H1701" s="676">
        <f t="shared" si="133"/>
        <v>45876</v>
      </c>
      <c r="I1701" s="749" t="s">
        <v>1456</v>
      </c>
      <c r="J1701" s="1064" t="s">
        <v>18</v>
      </c>
      <c r="K1701" s="1064" t="s">
        <v>19</v>
      </c>
      <c r="L1701" s="279" t="s">
        <v>20</v>
      </c>
      <c r="M1701" s="1053"/>
      <c r="N1701" s="512"/>
      <c r="O1701" s="512"/>
      <c r="P1701" s="512"/>
      <c r="Q1701" s="512"/>
      <c r="R1701" s="512"/>
      <c r="S1701" s="512"/>
      <c r="T1701" s="512"/>
      <c r="U1701" s="512"/>
      <c r="V1701" s="512"/>
      <c r="W1701" s="512"/>
    </row>
    <row r="1702" s="178" customFormat="1" customHeight="1" spans="1:23">
      <c r="A1702" s="749" t="s">
        <v>1453</v>
      </c>
      <c r="B1702" s="1050" t="s">
        <v>1454</v>
      </c>
      <c r="C1702" s="789" t="s">
        <v>77</v>
      </c>
      <c r="D1702" s="1051">
        <v>10</v>
      </c>
      <c r="E1702" s="281"/>
      <c r="F1702" s="675">
        <v>45862</v>
      </c>
      <c r="G1702" s="840">
        <f t="shared" si="132"/>
        <v>45850</v>
      </c>
      <c r="H1702" s="676">
        <f t="shared" si="133"/>
        <v>45876</v>
      </c>
      <c r="I1702" s="749" t="s">
        <v>1456</v>
      </c>
      <c r="J1702" s="1064" t="s">
        <v>18</v>
      </c>
      <c r="K1702" s="1064" t="s">
        <v>19</v>
      </c>
      <c r="L1702" s="279" t="s">
        <v>20</v>
      </c>
      <c r="M1702" s="1053"/>
      <c r="N1702" s="512"/>
      <c r="O1702" s="512"/>
      <c r="P1702" s="512"/>
      <c r="Q1702" s="512"/>
      <c r="R1702" s="512"/>
      <c r="S1702" s="512"/>
      <c r="T1702" s="512"/>
      <c r="U1702" s="512"/>
      <c r="V1702" s="512"/>
      <c r="W1702" s="512"/>
    </row>
    <row r="1703" s="178" customFormat="1" customHeight="1" spans="1:23">
      <c r="A1703" s="749" t="s">
        <v>1453</v>
      </c>
      <c r="B1703" s="794"/>
      <c r="C1703" s="789" t="s">
        <v>784</v>
      </c>
      <c r="D1703" s="1051">
        <v>0</v>
      </c>
      <c r="E1703" s="281"/>
      <c r="F1703" s="675"/>
      <c r="G1703" s="840" t="s">
        <v>309</v>
      </c>
      <c r="H1703" s="842" t="s">
        <v>309</v>
      </c>
      <c r="I1703" s="749"/>
      <c r="J1703" s="1064" t="s">
        <v>18</v>
      </c>
      <c r="K1703" s="1064" t="s">
        <v>19</v>
      </c>
      <c r="L1703" s="279" t="s">
        <v>20</v>
      </c>
      <c r="M1703" s="1133" t="s">
        <v>1458</v>
      </c>
      <c r="N1703" s="1176"/>
      <c r="O1703" s="512"/>
      <c r="P1703" s="512"/>
      <c r="Q1703" s="512"/>
      <c r="R1703" s="512"/>
      <c r="S1703" s="512"/>
      <c r="T1703" s="512"/>
      <c r="U1703" s="512"/>
      <c r="V1703" s="512"/>
      <c r="W1703" s="512"/>
    </row>
    <row r="1704" ht="15.4" customHeight="1" spans="1:23">
      <c r="A1704" s="749" t="s">
        <v>1453</v>
      </c>
      <c r="B1704" s="1047"/>
      <c r="C1704" s="789" t="s">
        <v>786</v>
      </c>
      <c r="D1704" s="1051">
        <v>0</v>
      </c>
      <c r="E1704" s="281"/>
      <c r="F1704" s="675"/>
      <c r="G1704" s="840" t="s">
        <v>309</v>
      </c>
      <c r="H1704" s="842" t="s">
        <v>309</v>
      </c>
      <c r="I1704" s="784"/>
      <c r="J1704" s="1064" t="s">
        <v>18</v>
      </c>
      <c r="K1704" s="1064" t="s">
        <v>19</v>
      </c>
      <c r="L1704" s="279" t="s">
        <v>20</v>
      </c>
      <c r="M1704" s="216"/>
      <c r="N1704" s="1154"/>
      <c r="O1704" s="1154"/>
      <c r="P1704" s="1154"/>
      <c r="Q1704" s="1154"/>
      <c r="R1704" s="1154"/>
      <c r="S1704" s="1154"/>
      <c r="T1704" s="1154"/>
      <c r="U1704" s="1154"/>
      <c r="V1704" s="1154"/>
      <c r="W1704" s="1154"/>
    </row>
    <row r="1705" ht="15.4" customHeight="1" spans="1:23">
      <c r="A1705" s="1115" t="s">
        <v>1453</v>
      </c>
      <c r="B1705" s="1047"/>
      <c r="C1705" s="789" t="s">
        <v>788</v>
      </c>
      <c r="D1705" s="1051">
        <v>0</v>
      </c>
      <c r="E1705" s="281"/>
      <c r="F1705" s="675"/>
      <c r="G1705" s="840" t="s">
        <v>309</v>
      </c>
      <c r="H1705" s="842" t="s">
        <v>309</v>
      </c>
      <c r="I1705" s="1185"/>
      <c r="J1705" s="1084" t="s">
        <v>18</v>
      </c>
      <c r="K1705" s="1084" t="s">
        <v>19</v>
      </c>
      <c r="L1705" s="279" t="s">
        <v>20</v>
      </c>
      <c r="M1705" s="192"/>
      <c r="N1705" s="1154"/>
      <c r="O1705" s="1154"/>
      <c r="P1705" s="1154"/>
      <c r="Q1705" s="1154"/>
      <c r="R1705" s="1154"/>
      <c r="S1705" s="1154"/>
      <c r="T1705" s="1154"/>
      <c r="U1705" s="1154"/>
      <c r="V1705" s="1154"/>
      <c r="W1705" s="1154"/>
    </row>
    <row r="1706" ht="15.4" customHeight="1" spans="1:23">
      <c r="A1706" s="1198" t="s">
        <v>1440</v>
      </c>
      <c r="B1706" s="1047" t="s">
        <v>1459</v>
      </c>
      <c r="C1706" s="671" t="s">
        <v>31</v>
      </c>
      <c r="D1706" s="250">
        <v>3</v>
      </c>
      <c r="E1706" s="674" t="s">
        <v>1460</v>
      </c>
      <c r="F1706" s="675">
        <v>45876</v>
      </c>
      <c r="G1706" s="793">
        <f>VLOOKUP(CLEAN(SUBSTITUTE(TRIM(MID(E:E,FIND("/",E:E)+1,LEN(E:E)))," ","")),'Customs Decl. &amp; Local Delivery'!D:I,6,0)</f>
        <v>45852</v>
      </c>
      <c r="H1706" s="676">
        <f>VLOOKUP(CLEAN(SUBSTITUTE(TRIM(MID(E:E,FIND("/",E:E)+1,LEN(E:E)))," ","")),'Customs Decl. &amp; Local Delivery'!D:J,7,0)</f>
        <v>45884</v>
      </c>
      <c r="I1706" s="784" t="s">
        <v>1461</v>
      </c>
      <c r="J1706" s="1047" t="s">
        <v>39</v>
      </c>
      <c r="K1706" s="1084" t="s">
        <v>19</v>
      </c>
      <c r="L1706" s="351" t="s">
        <v>20</v>
      </c>
      <c r="M1706" s="784" t="s">
        <v>1462</v>
      </c>
      <c r="N1706" s="1154"/>
      <c r="O1706" s="1154"/>
      <c r="P1706" s="1154"/>
      <c r="Q1706" s="1154"/>
      <c r="R1706" s="1154"/>
      <c r="S1706" s="1154"/>
      <c r="T1706" s="1154"/>
      <c r="U1706" s="1154"/>
      <c r="V1706" s="1154"/>
      <c r="W1706" s="1154"/>
    </row>
    <row r="1707" ht="15.4" customHeight="1" spans="1:23">
      <c r="A1707" s="1198" t="s">
        <v>1440</v>
      </c>
      <c r="B1707" s="1047" t="s">
        <v>1459</v>
      </c>
      <c r="C1707" s="674" t="s">
        <v>33</v>
      </c>
      <c r="D1707" s="250">
        <v>2</v>
      </c>
      <c r="E1707" s="69"/>
      <c r="F1707" s="675">
        <v>45876</v>
      </c>
      <c r="G1707" s="675">
        <f t="shared" ref="G1707:G1721" si="134">G1706</f>
        <v>45852</v>
      </c>
      <c r="H1707" s="676">
        <f t="shared" ref="H1707:H1721" si="135">H1706</f>
        <v>45884</v>
      </c>
      <c r="I1707" s="784" t="s">
        <v>1461</v>
      </c>
      <c r="J1707" s="1047" t="s">
        <v>39</v>
      </c>
      <c r="K1707" s="1084" t="s">
        <v>19</v>
      </c>
      <c r="L1707" s="351" t="s">
        <v>20</v>
      </c>
      <c r="M1707" s="784" t="s">
        <v>1366</v>
      </c>
      <c r="N1707" s="512"/>
      <c r="O1707" s="1154"/>
      <c r="P1707" s="1154"/>
      <c r="Q1707" s="1154"/>
      <c r="R1707" s="1154"/>
      <c r="S1707" s="1154"/>
      <c r="T1707" s="1154"/>
      <c r="U1707" s="1154"/>
      <c r="V1707" s="1154"/>
      <c r="W1707" s="1154"/>
    </row>
    <row r="1708" ht="15.4" customHeight="1" spans="1:23">
      <c r="A1708" s="1198" t="s">
        <v>1440</v>
      </c>
      <c r="B1708" s="1047" t="s">
        <v>1459</v>
      </c>
      <c r="C1708" s="674" t="s">
        <v>462</v>
      </c>
      <c r="D1708" s="250">
        <v>1</v>
      </c>
      <c r="E1708" s="69"/>
      <c r="F1708" s="675">
        <v>45876</v>
      </c>
      <c r="G1708" s="675">
        <f t="shared" si="134"/>
        <v>45852</v>
      </c>
      <c r="H1708" s="676">
        <f t="shared" si="135"/>
        <v>45884</v>
      </c>
      <c r="I1708" s="784" t="s">
        <v>1461</v>
      </c>
      <c r="J1708" s="1047" t="s">
        <v>39</v>
      </c>
      <c r="K1708" s="1084" t="s">
        <v>19</v>
      </c>
      <c r="L1708" s="351" t="s">
        <v>20</v>
      </c>
      <c r="M1708" s="784"/>
      <c r="N1708" s="512"/>
      <c r="O1708" s="1154"/>
      <c r="P1708" s="1154"/>
      <c r="Q1708" s="1154"/>
      <c r="R1708" s="1154"/>
      <c r="S1708" s="1154"/>
      <c r="T1708" s="1154"/>
      <c r="U1708" s="1154"/>
      <c r="V1708" s="1154"/>
      <c r="W1708" s="1154"/>
    </row>
    <row r="1709" ht="15.4" customHeight="1" spans="1:23">
      <c r="A1709" s="1198" t="s">
        <v>1440</v>
      </c>
      <c r="B1709" s="1047" t="s">
        <v>1459</v>
      </c>
      <c r="C1709" s="674" t="s">
        <v>47</v>
      </c>
      <c r="D1709" s="250">
        <v>25</v>
      </c>
      <c r="E1709" s="69"/>
      <c r="F1709" s="675">
        <v>45876</v>
      </c>
      <c r="G1709" s="675">
        <f t="shared" si="134"/>
        <v>45852</v>
      </c>
      <c r="H1709" s="676">
        <f t="shared" si="135"/>
        <v>45884</v>
      </c>
      <c r="I1709" s="784" t="s">
        <v>1461</v>
      </c>
      <c r="J1709" s="1047" t="s">
        <v>39</v>
      </c>
      <c r="K1709" s="1084" t="s">
        <v>19</v>
      </c>
      <c r="L1709" s="351" t="s">
        <v>20</v>
      </c>
      <c r="M1709" s="784"/>
      <c r="N1709" s="512"/>
      <c r="O1709" s="1154"/>
      <c r="P1709" s="1154"/>
      <c r="Q1709" s="1154"/>
      <c r="R1709" s="1154"/>
      <c r="S1709" s="1154"/>
      <c r="T1709" s="1154"/>
      <c r="U1709" s="1154"/>
      <c r="V1709" s="1154"/>
      <c r="W1709" s="1154"/>
    </row>
    <row r="1710" ht="15.4" customHeight="1" spans="1:23">
      <c r="A1710" s="1198" t="s">
        <v>1440</v>
      </c>
      <c r="B1710" s="1047" t="s">
        <v>1459</v>
      </c>
      <c r="C1710" s="674" t="s">
        <v>48</v>
      </c>
      <c r="D1710" s="250">
        <v>25</v>
      </c>
      <c r="E1710" s="69"/>
      <c r="F1710" s="675">
        <v>45876</v>
      </c>
      <c r="G1710" s="675">
        <f t="shared" si="134"/>
        <v>45852</v>
      </c>
      <c r="H1710" s="676">
        <f t="shared" si="135"/>
        <v>45884</v>
      </c>
      <c r="I1710" s="784" t="s">
        <v>1461</v>
      </c>
      <c r="J1710" s="1047" t="s">
        <v>39</v>
      </c>
      <c r="K1710" s="1084" t="s">
        <v>19</v>
      </c>
      <c r="L1710" s="351" t="s">
        <v>20</v>
      </c>
      <c r="M1710" s="784"/>
      <c r="N1710" s="512"/>
      <c r="O1710" s="1154"/>
      <c r="P1710" s="1154"/>
      <c r="Q1710" s="1154"/>
      <c r="R1710" s="1154"/>
      <c r="S1710" s="1154"/>
      <c r="T1710" s="1154"/>
      <c r="U1710" s="1154"/>
      <c r="V1710" s="1154"/>
      <c r="W1710" s="1154"/>
    </row>
    <row r="1711" ht="15.4" customHeight="1" spans="1:23">
      <c r="A1711" s="1198" t="s">
        <v>1440</v>
      </c>
      <c r="B1711" s="1047" t="s">
        <v>1459</v>
      </c>
      <c r="C1711" s="674" t="s">
        <v>49</v>
      </c>
      <c r="D1711" s="250">
        <v>69</v>
      </c>
      <c r="E1711" s="69"/>
      <c r="F1711" s="675">
        <v>45876</v>
      </c>
      <c r="G1711" s="675">
        <f t="shared" si="134"/>
        <v>45852</v>
      </c>
      <c r="H1711" s="676">
        <f t="shared" si="135"/>
        <v>45884</v>
      </c>
      <c r="I1711" s="784" t="s">
        <v>1461</v>
      </c>
      <c r="J1711" s="1047" t="s">
        <v>39</v>
      </c>
      <c r="K1711" s="1084" t="s">
        <v>19</v>
      </c>
      <c r="L1711" s="351" t="s">
        <v>20</v>
      </c>
      <c r="M1711" s="784"/>
      <c r="N1711" s="512"/>
      <c r="O1711" s="1154"/>
      <c r="P1711" s="1154"/>
      <c r="Q1711" s="1154"/>
      <c r="R1711" s="1154"/>
      <c r="S1711" s="1154"/>
      <c r="T1711" s="1154"/>
      <c r="U1711" s="1154"/>
      <c r="V1711" s="1154"/>
      <c r="W1711" s="1154"/>
    </row>
    <row r="1712" ht="15.4" customHeight="1" spans="1:23">
      <c r="A1712" s="1198" t="s">
        <v>1440</v>
      </c>
      <c r="B1712" s="1047" t="s">
        <v>1459</v>
      </c>
      <c r="C1712" s="674" t="s">
        <v>50</v>
      </c>
      <c r="D1712" s="250">
        <v>69</v>
      </c>
      <c r="E1712" s="69"/>
      <c r="F1712" s="675">
        <v>45876</v>
      </c>
      <c r="G1712" s="675">
        <f t="shared" si="134"/>
        <v>45852</v>
      </c>
      <c r="H1712" s="676">
        <f t="shared" si="135"/>
        <v>45884</v>
      </c>
      <c r="I1712" s="784" t="s">
        <v>1461</v>
      </c>
      <c r="J1712" s="1047" t="s">
        <v>39</v>
      </c>
      <c r="K1712" s="1084" t="s">
        <v>19</v>
      </c>
      <c r="L1712" s="351" t="s">
        <v>20</v>
      </c>
      <c r="M1712" s="784"/>
      <c r="N1712" s="512"/>
      <c r="O1712" s="1154"/>
      <c r="P1712" s="1154"/>
      <c r="Q1712" s="1154"/>
      <c r="R1712" s="1154"/>
      <c r="S1712" s="1154"/>
      <c r="T1712" s="1154"/>
      <c r="U1712" s="1154"/>
      <c r="V1712" s="1154"/>
      <c r="W1712" s="1154"/>
    </row>
    <row r="1713" ht="15.4" customHeight="1" spans="1:23">
      <c r="A1713" s="1198" t="s">
        <v>1440</v>
      </c>
      <c r="B1713" s="1047" t="s">
        <v>1459</v>
      </c>
      <c r="C1713" s="671" t="s">
        <v>32</v>
      </c>
      <c r="D1713" s="250">
        <v>3</v>
      </c>
      <c r="E1713" s="69"/>
      <c r="F1713" s="675">
        <v>45876</v>
      </c>
      <c r="G1713" s="675">
        <f t="shared" si="134"/>
        <v>45852</v>
      </c>
      <c r="H1713" s="676">
        <f t="shared" si="135"/>
        <v>45884</v>
      </c>
      <c r="I1713" s="784" t="s">
        <v>1461</v>
      </c>
      <c r="J1713" s="1047" t="s">
        <v>39</v>
      </c>
      <c r="K1713" s="1084" t="s">
        <v>19</v>
      </c>
      <c r="L1713" s="351" t="s">
        <v>20</v>
      </c>
      <c r="M1713" s="784"/>
      <c r="N1713" s="512"/>
      <c r="O1713" s="1154"/>
      <c r="P1713" s="1154"/>
      <c r="Q1713" s="1154"/>
      <c r="R1713" s="1154"/>
      <c r="S1713" s="1154"/>
      <c r="T1713" s="1154"/>
      <c r="U1713" s="1154"/>
      <c r="V1713" s="1154"/>
      <c r="W1713" s="1154"/>
    </row>
    <row r="1714" ht="15.4" customHeight="1" spans="1:23">
      <c r="A1714" s="1198" t="s">
        <v>1440</v>
      </c>
      <c r="B1714" s="1047" t="s">
        <v>1459</v>
      </c>
      <c r="C1714" s="671" t="s">
        <v>34</v>
      </c>
      <c r="D1714" s="250">
        <v>2</v>
      </c>
      <c r="E1714" s="69"/>
      <c r="F1714" s="675">
        <v>45876</v>
      </c>
      <c r="G1714" s="675">
        <f t="shared" si="134"/>
        <v>45852</v>
      </c>
      <c r="H1714" s="676">
        <f t="shared" si="135"/>
        <v>45884</v>
      </c>
      <c r="I1714" s="784" t="s">
        <v>1461</v>
      </c>
      <c r="J1714" s="1047" t="s">
        <v>39</v>
      </c>
      <c r="K1714" s="1084" t="s">
        <v>19</v>
      </c>
      <c r="L1714" s="351" t="s">
        <v>20</v>
      </c>
      <c r="M1714" s="784"/>
      <c r="N1714" s="512"/>
      <c r="O1714" s="1154"/>
      <c r="P1714" s="1154"/>
      <c r="Q1714" s="1154"/>
      <c r="R1714" s="1154"/>
      <c r="S1714" s="1154"/>
      <c r="T1714" s="1154"/>
      <c r="U1714" s="1154"/>
      <c r="V1714" s="1154"/>
      <c r="W1714" s="1154"/>
    </row>
    <row r="1715" ht="15.4" customHeight="1" spans="1:23">
      <c r="A1715" s="1198" t="s">
        <v>1440</v>
      </c>
      <c r="B1715" s="1047" t="s">
        <v>1459</v>
      </c>
      <c r="C1715" s="671" t="s">
        <v>463</v>
      </c>
      <c r="D1715" s="250">
        <v>1</v>
      </c>
      <c r="E1715" s="69"/>
      <c r="F1715" s="675">
        <v>45876</v>
      </c>
      <c r="G1715" s="675">
        <f t="shared" si="134"/>
        <v>45852</v>
      </c>
      <c r="H1715" s="676">
        <f t="shared" si="135"/>
        <v>45884</v>
      </c>
      <c r="I1715" s="784" t="s">
        <v>1461</v>
      </c>
      <c r="J1715" s="1047" t="s">
        <v>39</v>
      </c>
      <c r="K1715" s="1084" t="s">
        <v>19</v>
      </c>
      <c r="L1715" s="351" t="s">
        <v>20</v>
      </c>
      <c r="M1715" s="784"/>
      <c r="N1715" s="512"/>
      <c r="O1715" s="1154"/>
      <c r="P1715" s="1154"/>
      <c r="Q1715" s="1154"/>
      <c r="R1715" s="1154"/>
      <c r="S1715" s="1154"/>
      <c r="T1715" s="1154"/>
      <c r="U1715" s="1154"/>
      <c r="V1715" s="1154"/>
      <c r="W1715" s="1154"/>
    </row>
    <row r="1716" ht="15.4" customHeight="1" spans="1:23">
      <c r="A1716" s="1198" t="s">
        <v>1440</v>
      </c>
      <c r="B1716" s="1047" t="s">
        <v>1459</v>
      </c>
      <c r="C1716" s="674" t="s">
        <v>757</v>
      </c>
      <c r="D1716" s="250">
        <v>3</v>
      </c>
      <c r="E1716" s="69"/>
      <c r="F1716" s="675">
        <v>45876</v>
      </c>
      <c r="G1716" s="675">
        <f t="shared" si="134"/>
        <v>45852</v>
      </c>
      <c r="H1716" s="676">
        <f t="shared" si="135"/>
        <v>45884</v>
      </c>
      <c r="I1716" s="1185" t="s">
        <v>1461</v>
      </c>
      <c r="J1716" s="1068" t="s">
        <v>39</v>
      </c>
      <c r="K1716" s="1084" t="s">
        <v>19</v>
      </c>
      <c r="L1716" s="351" t="s">
        <v>20</v>
      </c>
      <c r="M1716" s="784"/>
      <c r="N1716" s="512"/>
      <c r="O1716" s="1154"/>
      <c r="P1716" s="1154"/>
      <c r="Q1716" s="1154"/>
      <c r="R1716" s="1154"/>
      <c r="S1716" s="1154"/>
      <c r="T1716" s="1154"/>
      <c r="U1716" s="1154"/>
      <c r="V1716" s="1154"/>
      <c r="W1716" s="1154"/>
    </row>
    <row r="1717" ht="15.4" customHeight="1" spans="1:23">
      <c r="A1717" s="1198" t="s">
        <v>1440</v>
      </c>
      <c r="B1717" s="1047" t="s">
        <v>1459</v>
      </c>
      <c r="C1717" s="674" t="s">
        <v>761</v>
      </c>
      <c r="D1717" s="250">
        <v>3</v>
      </c>
      <c r="E1717" s="69"/>
      <c r="F1717" s="675">
        <v>45876</v>
      </c>
      <c r="G1717" s="675">
        <f t="shared" si="134"/>
        <v>45852</v>
      </c>
      <c r="H1717" s="767">
        <f t="shared" si="135"/>
        <v>45884</v>
      </c>
      <c r="I1717" s="784" t="s">
        <v>1461</v>
      </c>
      <c r="J1717" s="1047" t="s">
        <v>39</v>
      </c>
      <c r="K1717" s="1064" t="s">
        <v>19</v>
      </c>
      <c r="L1717" s="1208" t="s">
        <v>20</v>
      </c>
      <c r="M1717" s="784"/>
      <c r="N1717" s="512"/>
      <c r="O1717" s="1154"/>
      <c r="P1717" s="1154"/>
      <c r="Q1717" s="1154"/>
      <c r="R1717" s="1154"/>
      <c r="S1717" s="1154"/>
      <c r="T1717" s="1154"/>
      <c r="U1717" s="1154"/>
      <c r="V1717" s="1154"/>
      <c r="W1717" s="1154"/>
    </row>
    <row r="1718" ht="15.4" customHeight="1" spans="1:23">
      <c r="A1718" s="1198" t="s">
        <v>1440</v>
      </c>
      <c r="B1718" s="1047" t="s">
        <v>1459</v>
      </c>
      <c r="C1718" s="674" t="s">
        <v>342</v>
      </c>
      <c r="D1718" s="250">
        <v>3</v>
      </c>
      <c r="E1718" s="69"/>
      <c r="F1718" s="675">
        <v>45876</v>
      </c>
      <c r="G1718" s="675">
        <f t="shared" si="134"/>
        <v>45852</v>
      </c>
      <c r="H1718" s="767">
        <f t="shared" si="135"/>
        <v>45884</v>
      </c>
      <c r="I1718" s="784" t="s">
        <v>1461</v>
      </c>
      <c r="J1718" s="1047" t="s">
        <v>39</v>
      </c>
      <c r="K1718" s="1064" t="s">
        <v>19</v>
      </c>
      <c r="L1718" s="1208" t="s">
        <v>20</v>
      </c>
      <c r="M1718" s="784"/>
      <c r="N1718" s="512"/>
      <c r="O1718" s="1154"/>
      <c r="P1718" s="1154"/>
      <c r="Q1718" s="1154"/>
      <c r="R1718" s="1154"/>
      <c r="S1718" s="1154"/>
      <c r="T1718" s="1154"/>
      <c r="U1718" s="1154"/>
      <c r="V1718" s="1154"/>
      <c r="W1718" s="1154"/>
    </row>
    <row r="1719" ht="15.4" customHeight="1" spans="1:23">
      <c r="A1719" s="1198" t="s">
        <v>1440</v>
      </c>
      <c r="B1719" s="1047" t="s">
        <v>1459</v>
      </c>
      <c r="C1719" s="674" t="s">
        <v>396</v>
      </c>
      <c r="D1719" s="250">
        <v>3</v>
      </c>
      <c r="E1719" s="69"/>
      <c r="F1719" s="675">
        <v>45876</v>
      </c>
      <c r="G1719" s="675">
        <f t="shared" si="134"/>
        <v>45852</v>
      </c>
      <c r="H1719" s="767">
        <f t="shared" si="135"/>
        <v>45884</v>
      </c>
      <c r="I1719" s="784" t="s">
        <v>1461</v>
      </c>
      <c r="J1719" s="1047" t="s">
        <v>39</v>
      </c>
      <c r="K1719" s="1064" t="s">
        <v>19</v>
      </c>
      <c r="L1719" s="1208" t="s">
        <v>20</v>
      </c>
      <c r="M1719" s="784"/>
      <c r="N1719" s="512"/>
      <c r="O1719" s="1154"/>
      <c r="P1719" s="1154"/>
      <c r="Q1719" s="1154"/>
      <c r="R1719" s="1154"/>
      <c r="S1719" s="1154"/>
      <c r="T1719" s="1154"/>
      <c r="U1719" s="1154"/>
      <c r="V1719" s="1154"/>
      <c r="W1719" s="1154"/>
    </row>
    <row r="1720" ht="15.4" customHeight="1" spans="1:23">
      <c r="A1720" s="1198" t="s">
        <v>1440</v>
      </c>
      <c r="B1720" s="1047" t="s">
        <v>1459</v>
      </c>
      <c r="C1720" s="674" t="s">
        <v>91</v>
      </c>
      <c r="D1720" s="250">
        <v>3</v>
      </c>
      <c r="E1720" s="69"/>
      <c r="F1720" s="675">
        <v>45876</v>
      </c>
      <c r="G1720" s="675">
        <f t="shared" si="134"/>
        <v>45852</v>
      </c>
      <c r="H1720" s="767">
        <f t="shared" si="135"/>
        <v>45884</v>
      </c>
      <c r="I1720" s="784" t="s">
        <v>1461</v>
      </c>
      <c r="J1720" s="1047" t="s">
        <v>39</v>
      </c>
      <c r="K1720" s="1064" t="s">
        <v>19</v>
      </c>
      <c r="L1720" s="1208" t="s">
        <v>20</v>
      </c>
      <c r="M1720" s="784"/>
      <c r="N1720" s="512"/>
      <c r="O1720" s="1154"/>
      <c r="P1720" s="1154"/>
      <c r="Q1720" s="1154"/>
      <c r="R1720" s="1154"/>
      <c r="S1720" s="1154"/>
      <c r="T1720" s="1154"/>
      <c r="U1720" s="1154"/>
      <c r="V1720" s="1154"/>
      <c r="W1720" s="1154"/>
    </row>
    <row r="1721" ht="15.4" customHeight="1" spans="1:23">
      <c r="A1721" s="1198" t="s">
        <v>1440</v>
      </c>
      <c r="B1721" s="1047" t="s">
        <v>1459</v>
      </c>
      <c r="C1721" s="674" t="s">
        <v>77</v>
      </c>
      <c r="D1721" s="250">
        <v>3</v>
      </c>
      <c r="E1721" s="69"/>
      <c r="F1721" s="675">
        <v>45876</v>
      </c>
      <c r="G1721" s="675">
        <f t="shared" si="134"/>
        <v>45852</v>
      </c>
      <c r="H1721" s="767">
        <f t="shared" si="135"/>
        <v>45884</v>
      </c>
      <c r="I1721" s="784" t="s">
        <v>1461</v>
      </c>
      <c r="J1721" s="1047" t="s">
        <v>39</v>
      </c>
      <c r="K1721" s="1064" t="s">
        <v>19</v>
      </c>
      <c r="L1721" s="1208" t="s">
        <v>20</v>
      </c>
      <c r="M1721" s="1185"/>
      <c r="N1721" s="512"/>
      <c r="O1721" s="1154"/>
      <c r="P1721" s="1154"/>
      <c r="Q1721" s="1154"/>
      <c r="R1721" s="1154"/>
      <c r="S1721" s="1154"/>
      <c r="T1721" s="1154"/>
      <c r="U1721" s="1154"/>
      <c r="V1721" s="1154"/>
      <c r="W1721" s="1154"/>
    </row>
    <row r="1722" ht="15.4" customHeight="1" spans="1:23">
      <c r="A1722" s="1198" t="s">
        <v>1440</v>
      </c>
      <c r="B1722" s="1047" t="s">
        <v>1463</v>
      </c>
      <c r="C1722" s="747" t="s">
        <v>29</v>
      </c>
      <c r="D1722" s="347">
        <v>9</v>
      </c>
      <c r="E1722" s="674" t="s">
        <v>1464</v>
      </c>
      <c r="F1722" s="675">
        <v>45876</v>
      </c>
      <c r="G1722" s="793">
        <f>VLOOKUP(CLEAN(SUBSTITUTE(TRIM(MID(E:E,FIND("/",E:E)+1,LEN(E:E)))," ","")),'Customs Decl. &amp; Local Delivery'!D:I,6,0)</f>
        <v>45854</v>
      </c>
      <c r="H1722" s="676">
        <f>VLOOKUP(CLEAN(SUBSTITUTE(TRIM(MID(E:E,FIND("/",E:E)+1,LEN(E:E)))," ","")),'Customs Decl. &amp; Local Delivery'!D:J,7,0)</f>
        <v>45874</v>
      </c>
      <c r="I1722" s="1209" t="s">
        <v>1465</v>
      </c>
      <c r="J1722" s="1131" t="s">
        <v>161</v>
      </c>
      <c r="K1722" s="1210" t="s">
        <v>19</v>
      </c>
      <c r="L1722" s="351" t="s">
        <v>20</v>
      </c>
      <c r="M1722" s="784" t="s">
        <v>1466</v>
      </c>
      <c r="N1722" s="512"/>
      <c r="O1722" s="1154"/>
      <c r="P1722" s="1154"/>
      <c r="Q1722" s="1154"/>
      <c r="R1722" s="1154"/>
      <c r="S1722" s="1154"/>
      <c r="T1722" s="1154"/>
      <c r="U1722" s="1154"/>
      <c r="V1722" s="1154"/>
      <c r="W1722" s="1154"/>
    </row>
    <row r="1723" ht="15.4" customHeight="1" spans="1:23">
      <c r="A1723" s="1198" t="s">
        <v>1440</v>
      </c>
      <c r="B1723" s="1047" t="s">
        <v>1463</v>
      </c>
      <c r="C1723" s="1201" t="s">
        <v>31</v>
      </c>
      <c r="D1723" s="347">
        <v>9</v>
      </c>
      <c r="E1723" s="69"/>
      <c r="F1723" s="675">
        <v>45876</v>
      </c>
      <c r="G1723" s="675">
        <f t="shared" ref="G1723:G1735" si="136">G1722</f>
        <v>45854</v>
      </c>
      <c r="H1723" s="676">
        <f t="shared" ref="H1723:H1735" si="137">H1722</f>
        <v>45874</v>
      </c>
      <c r="I1723" s="784" t="s">
        <v>1465</v>
      </c>
      <c r="J1723" s="1053" t="s">
        <v>161</v>
      </c>
      <c r="K1723" s="1084" t="s">
        <v>19</v>
      </c>
      <c r="L1723" s="351" t="s">
        <v>20</v>
      </c>
      <c r="M1723" s="784" t="s">
        <v>1467</v>
      </c>
      <c r="N1723" s="512"/>
      <c r="O1723" s="1154"/>
      <c r="P1723" s="1154"/>
      <c r="Q1723" s="1154"/>
      <c r="R1723" s="1154"/>
      <c r="S1723" s="1154"/>
      <c r="T1723" s="1154"/>
      <c r="U1723" s="1154"/>
      <c r="V1723" s="1154"/>
      <c r="W1723" s="1154"/>
    </row>
    <row r="1724" ht="15.4" customHeight="1" spans="1:23">
      <c r="A1724" s="1198" t="s">
        <v>1440</v>
      </c>
      <c r="B1724" s="1047" t="s">
        <v>1463</v>
      </c>
      <c r="C1724" s="1201" t="s">
        <v>33</v>
      </c>
      <c r="D1724" s="347">
        <v>9</v>
      </c>
      <c r="E1724" s="69"/>
      <c r="F1724" s="675">
        <v>45876</v>
      </c>
      <c r="G1724" s="675">
        <f t="shared" si="136"/>
        <v>45854</v>
      </c>
      <c r="H1724" s="676">
        <f t="shared" si="137"/>
        <v>45874</v>
      </c>
      <c r="I1724" s="784" t="s">
        <v>1465</v>
      </c>
      <c r="J1724" s="1053" t="s">
        <v>161</v>
      </c>
      <c r="K1724" s="1084" t="s">
        <v>19</v>
      </c>
      <c r="L1724" s="351" t="s">
        <v>20</v>
      </c>
      <c r="M1724" s="784"/>
      <c r="N1724" s="512"/>
      <c r="O1724" s="1154"/>
      <c r="P1724" s="1154"/>
      <c r="Q1724" s="1154"/>
      <c r="R1724" s="1154"/>
      <c r="S1724" s="1154"/>
      <c r="T1724" s="1154"/>
      <c r="U1724" s="1154"/>
      <c r="V1724" s="1154"/>
      <c r="W1724" s="1154"/>
    </row>
    <row r="1725" ht="15.4" customHeight="1" spans="1:23">
      <c r="A1725" s="1198" t="s">
        <v>1440</v>
      </c>
      <c r="B1725" s="1047" t="s">
        <v>1463</v>
      </c>
      <c r="C1725" s="1201" t="s">
        <v>164</v>
      </c>
      <c r="D1725" s="347">
        <v>3</v>
      </c>
      <c r="E1725" s="69"/>
      <c r="F1725" s="675">
        <v>45876</v>
      </c>
      <c r="G1725" s="675">
        <f t="shared" si="136"/>
        <v>45854</v>
      </c>
      <c r="H1725" s="676">
        <f t="shared" si="137"/>
        <v>45874</v>
      </c>
      <c r="I1725" s="784" t="s">
        <v>1465</v>
      </c>
      <c r="J1725" s="1053" t="s">
        <v>161</v>
      </c>
      <c r="K1725" s="1084" t="s">
        <v>19</v>
      </c>
      <c r="L1725" s="351" t="s">
        <v>20</v>
      </c>
      <c r="M1725" s="784"/>
      <c r="N1725" s="512"/>
      <c r="O1725" s="1154"/>
      <c r="P1725" s="1154"/>
      <c r="Q1725" s="1154"/>
      <c r="R1725" s="1154"/>
      <c r="S1725" s="1154"/>
      <c r="T1725" s="1154"/>
      <c r="U1725" s="1154"/>
      <c r="V1725" s="1154"/>
      <c r="W1725" s="1154"/>
    </row>
    <row r="1726" ht="15.4" customHeight="1" spans="1:23">
      <c r="A1726" s="1198" t="s">
        <v>1440</v>
      </c>
      <c r="B1726" s="1047" t="s">
        <v>1463</v>
      </c>
      <c r="C1726" s="1201" t="s">
        <v>52</v>
      </c>
      <c r="D1726" s="347">
        <v>6</v>
      </c>
      <c r="E1726" s="69"/>
      <c r="F1726" s="675">
        <v>45876</v>
      </c>
      <c r="G1726" s="675">
        <f t="shared" si="136"/>
        <v>45854</v>
      </c>
      <c r="H1726" s="676">
        <f t="shared" si="137"/>
        <v>45874</v>
      </c>
      <c r="I1726" s="784" t="s">
        <v>1465</v>
      </c>
      <c r="J1726" s="1053" t="s">
        <v>161</v>
      </c>
      <c r="K1726" s="1084" t="s">
        <v>19</v>
      </c>
      <c r="L1726" s="351" t="s">
        <v>20</v>
      </c>
      <c r="M1726" s="784"/>
      <c r="N1726" s="512"/>
      <c r="O1726" s="1154"/>
      <c r="P1726" s="1154"/>
      <c r="Q1726" s="1154"/>
      <c r="R1726" s="1154"/>
      <c r="S1726" s="1154"/>
      <c r="T1726" s="1154"/>
      <c r="U1726" s="1154"/>
      <c r="V1726" s="1154"/>
      <c r="W1726" s="1154"/>
    </row>
    <row r="1727" ht="15.4" customHeight="1" spans="1:23">
      <c r="A1727" s="1198" t="s">
        <v>1440</v>
      </c>
      <c r="B1727" s="1047" t="s">
        <v>1463</v>
      </c>
      <c r="C1727" s="1201" t="s">
        <v>56</v>
      </c>
      <c r="D1727" s="347">
        <v>6</v>
      </c>
      <c r="E1727" s="69"/>
      <c r="F1727" s="675">
        <v>45876</v>
      </c>
      <c r="G1727" s="675">
        <f t="shared" si="136"/>
        <v>45854</v>
      </c>
      <c r="H1727" s="676">
        <f t="shared" si="137"/>
        <v>45874</v>
      </c>
      <c r="I1727" s="784" t="s">
        <v>1465</v>
      </c>
      <c r="J1727" s="1053" t="s">
        <v>161</v>
      </c>
      <c r="K1727" s="1084" t="s">
        <v>19</v>
      </c>
      <c r="L1727" s="351" t="s">
        <v>20</v>
      </c>
      <c r="M1727" s="784"/>
      <c r="N1727" s="512"/>
      <c r="O1727" s="1154"/>
      <c r="P1727" s="1154"/>
      <c r="Q1727" s="1154"/>
      <c r="R1727" s="1154"/>
      <c r="S1727" s="1154"/>
      <c r="T1727" s="1154"/>
      <c r="U1727" s="1154"/>
      <c r="V1727" s="1154"/>
      <c r="W1727" s="1154"/>
    </row>
    <row r="1728" ht="15.4" customHeight="1" spans="1:23">
      <c r="A1728" s="1198" t="s">
        <v>1440</v>
      </c>
      <c r="B1728" s="1047" t="s">
        <v>1463</v>
      </c>
      <c r="C1728" s="1202" t="s">
        <v>43</v>
      </c>
      <c r="D1728" s="347">
        <v>83</v>
      </c>
      <c r="E1728" s="69"/>
      <c r="F1728" s="675">
        <v>45876</v>
      </c>
      <c r="G1728" s="675">
        <f t="shared" si="136"/>
        <v>45854</v>
      </c>
      <c r="H1728" s="676">
        <f t="shared" si="137"/>
        <v>45874</v>
      </c>
      <c r="I1728" s="784" t="s">
        <v>1465</v>
      </c>
      <c r="J1728" s="1053" t="s">
        <v>161</v>
      </c>
      <c r="K1728" s="1084" t="s">
        <v>19</v>
      </c>
      <c r="L1728" s="351" t="s">
        <v>20</v>
      </c>
      <c r="M1728" s="784"/>
      <c r="N1728" s="512"/>
      <c r="O1728" s="1154"/>
      <c r="P1728" s="1154"/>
      <c r="Q1728" s="1154"/>
      <c r="R1728" s="1154"/>
      <c r="S1728" s="1154"/>
      <c r="T1728" s="1154"/>
      <c r="U1728" s="1154"/>
      <c r="V1728" s="1154"/>
      <c r="W1728" s="1154"/>
    </row>
    <row r="1729" ht="15.4" customHeight="1" spans="1:23">
      <c r="A1729" s="1198" t="s">
        <v>1440</v>
      </c>
      <c r="B1729" s="1047" t="s">
        <v>1463</v>
      </c>
      <c r="C1729" s="1211" t="s">
        <v>45</v>
      </c>
      <c r="D1729" s="347">
        <v>83</v>
      </c>
      <c r="E1729" s="69"/>
      <c r="F1729" s="675">
        <v>45876</v>
      </c>
      <c r="G1729" s="675">
        <f t="shared" si="136"/>
        <v>45854</v>
      </c>
      <c r="H1729" s="676">
        <f t="shared" si="137"/>
        <v>45874</v>
      </c>
      <c r="I1729" s="784" t="s">
        <v>1465</v>
      </c>
      <c r="J1729" s="1053" t="s">
        <v>161</v>
      </c>
      <c r="K1729" s="1084" t="s">
        <v>19</v>
      </c>
      <c r="L1729" s="351" t="s">
        <v>20</v>
      </c>
      <c r="M1729" s="784"/>
      <c r="N1729" s="512"/>
      <c r="O1729" s="1154"/>
      <c r="P1729" s="1154"/>
      <c r="Q1729" s="1154"/>
      <c r="R1729" s="1154"/>
      <c r="S1729" s="1154"/>
      <c r="T1729" s="1154"/>
      <c r="U1729" s="1154"/>
      <c r="V1729" s="1154"/>
      <c r="W1729" s="1154"/>
    </row>
    <row r="1730" ht="15.4" customHeight="1" spans="1:23">
      <c r="A1730" s="1198" t="s">
        <v>1440</v>
      </c>
      <c r="B1730" s="1047" t="s">
        <v>1463</v>
      </c>
      <c r="C1730" s="1211" t="s">
        <v>49</v>
      </c>
      <c r="D1730" s="347">
        <v>5</v>
      </c>
      <c r="E1730" s="69"/>
      <c r="F1730" s="675">
        <v>45876</v>
      </c>
      <c r="G1730" s="675">
        <f t="shared" si="136"/>
        <v>45854</v>
      </c>
      <c r="H1730" s="676">
        <f t="shared" si="137"/>
        <v>45874</v>
      </c>
      <c r="I1730" s="784" t="s">
        <v>1465</v>
      </c>
      <c r="J1730" s="1053" t="s">
        <v>161</v>
      </c>
      <c r="K1730" s="1231" t="s">
        <v>19</v>
      </c>
      <c r="L1730" s="351" t="s">
        <v>20</v>
      </c>
      <c r="M1730" s="784"/>
      <c r="N1730" s="512"/>
      <c r="O1730" s="1154"/>
      <c r="P1730" s="1154"/>
      <c r="Q1730" s="1154"/>
      <c r="R1730" s="1154"/>
      <c r="S1730" s="1154"/>
      <c r="T1730" s="1154"/>
      <c r="U1730" s="1154"/>
      <c r="V1730" s="1154"/>
      <c r="W1730" s="1154"/>
    </row>
    <row r="1731" ht="15.4" customHeight="1" spans="1:23">
      <c r="A1731" s="1198" t="s">
        <v>1440</v>
      </c>
      <c r="B1731" s="1047" t="s">
        <v>1463</v>
      </c>
      <c r="C1731" s="1211" t="s">
        <v>50</v>
      </c>
      <c r="D1731" s="347">
        <v>5</v>
      </c>
      <c r="E1731" s="69"/>
      <c r="F1731" s="675">
        <v>45876</v>
      </c>
      <c r="G1731" s="675">
        <f t="shared" si="136"/>
        <v>45854</v>
      </c>
      <c r="H1731" s="676">
        <f t="shared" si="137"/>
        <v>45874</v>
      </c>
      <c r="I1731" s="784" t="s">
        <v>1465</v>
      </c>
      <c r="J1731" s="1053" t="s">
        <v>161</v>
      </c>
      <c r="K1731" s="1231" t="s">
        <v>19</v>
      </c>
      <c r="L1731" s="351" t="s">
        <v>20</v>
      </c>
      <c r="M1731" s="784"/>
      <c r="N1731" s="512"/>
      <c r="O1731" s="1154"/>
      <c r="P1731" s="1154"/>
      <c r="Q1731" s="1154"/>
      <c r="R1731" s="1154"/>
      <c r="S1731" s="1154"/>
      <c r="T1731" s="1154"/>
      <c r="U1731" s="1154"/>
      <c r="V1731" s="1154"/>
      <c r="W1731" s="1154"/>
    </row>
    <row r="1732" ht="15.4" customHeight="1" spans="1:23">
      <c r="A1732" s="1198" t="s">
        <v>1440</v>
      </c>
      <c r="B1732" s="1047" t="s">
        <v>1463</v>
      </c>
      <c r="C1732" s="1212" t="s">
        <v>30</v>
      </c>
      <c r="D1732" s="347">
        <v>9</v>
      </c>
      <c r="E1732" s="69"/>
      <c r="F1732" s="675">
        <v>45876</v>
      </c>
      <c r="G1732" s="675">
        <f t="shared" si="136"/>
        <v>45854</v>
      </c>
      <c r="H1732" s="676">
        <f t="shared" si="137"/>
        <v>45874</v>
      </c>
      <c r="I1732" s="784" t="s">
        <v>1465</v>
      </c>
      <c r="J1732" s="1053" t="s">
        <v>161</v>
      </c>
      <c r="K1732" s="1231" t="s">
        <v>19</v>
      </c>
      <c r="L1732" s="351" t="s">
        <v>20</v>
      </c>
      <c r="M1732" s="784"/>
      <c r="N1732" s="512"/>
      <c r="O1732" s="1154"/>
      <c r="P1732" s="1154"/>
      <c r="Q1732" s="1154"/>
      <c r="R1732" s="1154"/>
      <c r="S1732" s="1154"/>
      <c r="T1732" s="1154"/>
      <c r="U1732" s="1154"/>
      <c r="V1732" s="1154"/>
      <c r="W1732" s="1154"/>
    </row>
    <row r="1733" ht="15.4" customHeight="1" spans="1:23">
      <c r="A1733" s="1198" t="s">
        <v>1440</v>
      </c>
      <c r="B1733" s="1047" t="s">
        <v>1463</v>
      </c>
      <c r="C1733" s="1212" t="s">
        <v>32</v>
      </c>
      <c r="D1733" s="347">
        <v>9</v>
      </c>
      <c r="E1733" s="69"/>
      <c r="F1733" s="675">
        <v>45876</v>
      </c>
      <c r="G1733" s="675">
        <f t="shared" si="136"/>
        <v>45854</v>
      </c>
      <c r="H1733" s="676">
        <f t="shared" si="137"/>
        <v>45874</v>
      </c>
      <c r="I1733" s="784" t="s">
        <v>1465</v>
      </c>
      <c r="J1733" s="1053" t="s">
        <v>161</v>
      </c>
      <c r="K1733" s="1231" t="s">
        <v>19</v>
      </c>
      <c r="L1733" s="351" t="s">
        <v>20</v>
      </c>
      <c r="M1733" s="784"/>
      <c r="N1733" s="512"/>
      <c r="O1733" s="1154"/>
      <c r="P1733" s="1154"/>
      <c r="Q1733" s="1154"/>
      <c r="R1733" s="1154"/>
      <c r="S1733" s="1154"/>
      <c r="T1733" s="1154"/>
      <c r="U1733" s="1154"/>
      <c r="V1733" s="1154"/>
      <c r="W1733" s="1154"/>
    </row>
    <row r="1734" ht="15.4" customHeight="1" spans="1:23">
      <c r="A1734" s="1198" t="s">
        <v>1440</v>
      </c>
      <c r="B1734" s="1047" t="s">
        <v>1463</v>
      </c>
      <c r="C1734" s="1212" t="s">
        <v>34</v>
      </c>
      <c r="D1734" s="347">
        <v>9</v>
      </c>
      <c r="E1734" s="69"/>
      <c r="F1734" s="675">
        <v>45876</v>
      </c>
      <c r="G1734" s="675">
        <f t="shared" si="136"/>
        <v>45854</v>
      </c>
      <c r="H1734" s="676">
        <f t="shared" si="137"/>
        <v>45874</v>
      </c>
      <c r="I1734" s="784" t="s">
        <v>1465</v>
      </c>
      <c r="J1734" s="1053" t="s">
        <v>161</v>
      </c>
      <c r="K1734" s="1231" t="s">
        <v>19</v>
      </c>
      <c r="L1734" s="351" t="s">
        <v>20</v>
      </c>
      <c r="M1734" s="784"/>
      <c r="N1734" s="512"/>
      <c r="O1734" s="1154"/>
      <c r="P1734" s="1154"/>
      <c r="Q1734" s="1154"/>
      <c r="R1734" s="1154"/>
      <c r="S1734" s="1154"/>
      <c r="T1734" s="1154"/>
      <c r="U1734" s="1154"/>
      <c r="V1734" s="1154"/>
      <c r="W1734" s="1154"/>
    </row>
    <row r="1735" ht="15.4" customHeight="1" spans="1:23">
      <c r="A1735" s="1198" t="s">
        <v>1440</v>
      </c>
      <c r="B1735" s="1047" t="s">
        <v>1463</v>
      </c>
      <c r="C1735" s="1213" t="s">
        <v>165</v>
      </c>
      <c r="D1735" s="354">
        <v>3</v>
      </c>
      <c r="E1735" s="69"/>
      <c r="F1735" s="675">
        <v>45876</v>
      </c>
      <c r="G1735" s="675">
        <f t="shared" si="136"/>
        <v>45854</v>
      </c>
      <c r="H1735" s="676">
        <f t="shared" si="137"/>
        <v>45874</v>
      </c>
      <c r="I1735" s="784" t="s">
        <v>1465</v>
      </c>
      <c r="J1735" s="1053" t="s">
        <v>161</v>
      </c>
      <c r="K1735" s="1231" t="s">
        <v>19</v>
      </c>
      <c r="L1735" s="351" t="s">
        <v>20</v>
      </c>
      <c r="M1735" s="784"/>
      <c r="N1735" s="512"/>
      <c r="O1735" s="1154"/>
      <c r="P1735" s="1154"/>
      <c r="Q1735" s="1154"/>
      <c r="R1735" s="1154"/>
      <c r="S1735" s="1154"/>
      <c r="T1735" s="1154"/>
      <c r="U1735" s="1154"/>
      <c r="V1735" s="1154"/>
      <c r="W1735" s="1154"/>
    </row>
    <row r="1736" ht="15.4" customHeight="1" spans="1:23">
      <c r="A1736" s="749" t="s">
        <v>1468</v>
      </c>
      <c r="B1736" s="1047" t="s">
        <v>1469</v>
      </c>
      <c r="C1736" s="1164" t="s">
        <v>15</v>
      </c>
      <c r="D1736" s="1165">
        <v>71</v>
      </c>
      <c r="E1736" s="1162" t="s">
        <v>1470</v>
      </c>
      <c r="F1736" s="675">
        <v>45901</v>
      </c>
      <c r="G1736" s="1200">
        <f>VLOOKUP(CLEAN(SUBSTITUTE(TRIM(MID(E:E,FIND("/",E:E)+1,LEN(E:E)))," ","")),'Customs Decl. &amp; Local Delivery'!D:I,6,0)</f>
        <v>45856</v>
      </c>
      <c r="H1736" s="790">
        <f>VLOOKUP(CLEAN(SUBSTITUTE(TRIM(MID(E:E,FIND("/",E:E)+1,LEN(E:E)))," ","")),'Customs Decl. &amp; Local Delivery'!D:J,7,0)</f>
        <v>45880</v>
      </c>
      <c r="I1736" s="784" t="s">
        <v>1471</v>
      </c>
      <c r="J1736" s="1064" t="s">
        <v>207</v>
      </c>
      <c r="K1736" s="1064" t="s">
        <v>19</v>
      </c>
      <c r="L1736" s="351" t="s">
        <v>20</v>
      </c>
      <c r="M1736" s="784" t="s">
        <v>1472</v>
      </c>
      <c r="N1736" s="512"/>
      <c r="O1736" s="325"/>
      <c r="P1736" s="325"/>
      <c r="Q1736" s="325"/>
      <c r="R1736" s="325"/>
      <c r="S1736" s="325"/>
      <c r="T1736" s="325"/>
      <c r="U1736" s="325"/>
      <c r="V1736" s="325"/>
      <c r="W1736" s="325"/>
    </row>
    <row r="1737" ht="15.4" customHeight="1" spans="1:23">
      <c r="A1737" s="749" t="s">
        <v>1468</v>
      </c>
      <c r="B1737" s="1047" t="s">
        <v>1469</v>
      </c>
      <c r="C1737" s="1164" t="s">
        <v>22</v>
      </c>
      <c r="D1737" s="1165">
        <v>71</v>
      </c>
      <c r="E1737" s="69"/>
      <c r="F1737" s="675">
        <v>45901</v>
      </c>
      <c r="G1737" s="703">
        <f t="shared" ref="G1737:G1751" si="138">G1736</f>
        <v>45856</v>
      </c>
      <c r="H1737" s="713">
        <f t="shared" ref="H1737:H1751" si="139">H1736</f>
        <v>45880</v>
      </c>
      <c r="I1737" s="784" t="s">
        <v>1471</v>
      </c>
      <c r="J1737" s="1064" t="s">
        <v>207</v>
      </c>
      <c r="K1737" s="1064" t="s">
        <v>19</v>
      </c>
      <c r="L1737" s="351" t="s">
        <v>20</v>
      </c>
      <c r="M1737" s="784" t="s">
        <v>1473</v>
      </c>
      <c r="N1737" s="512"/>
      <c r="O1737" s="325"/>
      <c r="P1737" s="325"/>
      <c r="Q1737" s="325"/>
      <c r="R1737" s="325"/>
      <c r="S1737" s="325"/>
      <c r="T1737" s="325"/>
      <c r="U1737" s="325"/>
      <c r="V1737" s="325"/>
      <c r="W1737" s="325"/>
    </row>
    <row r="1738" ht="15.4" customHeight="1" spans="1:23">
      <c r="A1738" s="749" t="s">
        <v>1468</v>
      </c>
      <c r="B1738" s="1047" t="s">
        <v>1469</v>
      </c>
      <c r="C1738" s="1164" t="s">
        <v>24</v>
      </c>
      <c r="D1738" s="1165">
        <v>15</v>
      </c>
      <c r="E1738" s="69"/>
      <c r="F1738" s="675">
        <v>45901</v>
      </c>
      <c r="G1738" s="703">
        <f t="shared" si="138"/>
        <v>45856</v>
      </c>
      <c r="H1738" s="713">
        <f t="shared" si="139"/>
        <v>45880</v>
      </c>
      <c r="I1738" s="784" t="s">
        <v>1471</v>
      </c>
      <c r="J1738" s="1064" t="s">
        <v>207</v>
      </c>
      <c r="K1738" s="1064" t="s">
        <v>19</v>
      </c>
      <c r="L1738" s="351" t="s">
        <v>20</v>
      </c>
      <c r="M1738" s="784"/>
      <c r="N1738" s="512"/>
      <c r="O1738" s="325"/>
      <c r="P1738" s="325"/>
      <c r="Q1738" s="325"/>
      <c r="R1738" s="325"/>
      <c r="S1738" s="325"/>
      <c r="T1738" s="325"/>
      <c r="U1738" s="325"/>
      <c r="V1738" s="325"/>
      <c r="W1738" s="325"/>
    </row>
    <row r="1739" ht="15.4" customHeight="1" spans="1:23">
      <c r="A1739" s="749" t="s">
        <v>1468</v>
      </c>
      <c r="B1739" s="1047" t="s">
        <v>1469</v>
      </c>
      <c r="C1739" s="1164" t="s">
        <v>25</v>
      </c>
      <c r="D1739" s="1165">
        <v>15</v>
      </c>
      <c r="E1739" s="69"/>
      <c r="F1739" s="675">
        <v>45901</v>
      </c>
      <c r="G1739" s="703">
        <f t="shared" si="138"/>
        <v>45856</v>
      </c>
      <c r="H1739" s="713">
        <f t="shared" si="139"/>
        <v>45880</v>
      </c>
      <c r="I1739" s="784" t="s">
        <v>1471</v>
      </c>
      <c r="J1739" s="1064" t="s">
        <v>207</v>
      </c>
      <c r="K1739" s="1064" t="s">
        <v>19</v>
      </c>
      <c r="L1739" s="351" t="s">
        <v>20</v>
      </c>
      <c r="M1739" s="784"/>
      <c r="N1739" s="512"/>
      <c r="O1739" s="325"/>
      <c r="P1739" s="325"/>
      <c r="Q1739" s="325"/>
      <c r="R1739" s="325"/>
      <c r="S1739" s="325"/>
      <c r="T1739" s="325"/>
      <c r="U1739" s="325"/>
      <c r="V1739" s="325"/>
      <c r="W1739" s="325"/>
    </row>
    <row r="1740" ht="15.4" customHeight="1" spans="1:23">
      <c r="A1740" s="749" t="s">
        <v>1468</v>
      </c>
      <c r="B1740" s="1047" t="s">
        <v>1469</v>
      </c>
      <c r="C1740" s="1164" t="s">
        <v>27</v>
      </c>
      <c r="D1740" s="1165">
        <v>20</v>
      </c>
      <c r="E1740" s="69"/>
      <c r="F1740" s="675">
        <v>45901</v>
      </c>
      <c r="G1740" s="703">
        <f t="shared" si="138"/>
        <v>45856</v>
      </c>
      <c r="H1740" s="713">
        <f t="shared" si="139"/>
        <v>45880</v>
      </c>
      <c r="I1740" s="784" t="s">
        <v>1471</v>
      </c>
      <c r="J1740" s="1064" t="s">
        <v>207</v>
      </c>
      <c r="K1740" s="1064" t="s">
        <v>19</v>
      </c>
      <c r="L1740" s="351" t="s">
        <v>20</v>
      </c>
      <c r="M1740" s="784"/>
      <c r="N1740" s="512"/>
      <c r="O1740" s="325"/>
      <c r="P1740" s="325"/>
      <c r="Q1740" s="325"/>
      <c r="R1740" s="325"/>
      <c r="S1740" s="325"/>
      <c r="T1740" s="325"/>
      <c r="U1740" s="325"/>
      <c r="V1740" s="325"/>
      <c r="W1740" s="325"/>
    </row>
    <row r="1741" ht="15.4" customHeight="1" spans="1:23">
      <c r="A1741" s="749" t="s">
        <v>1468</v>
      </c>
      <c r="B1741" s="1047" t="s">
        <v>1469</v>
      </c>
      <c r="C1741" s="1164" t="s">
        <v>28</v>
      </c>
      <c r="D1741" s="1165">
        <v>20</v>
      </c>
      <c r="E1741" s="69"/>
      <c r="F1741" s="675">
        <v>45901</v>
      </c>
      <c r="G1741" s="703">
        <f t="shared" si="138"/>
        <v>45856</v>
      </c>
      <c r="H1741" s="713">
        <f t="shared" si="139"/>
        <v>45880</v>
      </c>
      <c r="I1741" s="784" t="s">
        <v>1471</v>
      </c>
      <c r="J1741" s="1064" t="s">
        <v>207</v>
      </c>
      <c r="K1741" s="1064" t="s">
        <v>19</v>
      </c>
      <c r="L1741" s="351" t="s">
        <v>20</v>
      </c>
      <c r="M1741" s="784"/>
      <c r="N1741" s="512"/>
      <c r="O1741" s="325"/>
      <c r="P1741" s="325"/>
      <c r="Q1741" s="325"/>
      <c r="R1741" s="325"/>
      <c r="S1741" s="325"/>
      <c r="T1741" s="325"/>
      <c r="U1741" s="325"/>
      <c r="V1741" s="325"/>
      <c r="W1741" s="325"/>
    </row>
    <row r="1742" ht="15.4" customHeight="1" spans="1:23">
      <c r="A1742" s="749" t="s">
        <v>1468</v>
      </c>
      <c r="B1742" s="1047" t="s">
        <v>1469</v>
      </c>
      <c r="C1742" s="1164" t="s">
        <v>135</v>
      </c>
      <c r="D1742" s="1165">
        <v>7</v>
      </c>
      <c r="E1742" s="69"/>
      <c r="F1742" s="675">
        <v>45901</v>
      </c>
      <c r="G1742" s="703">
        <f t="shared" si="138"/>
        <v>45856</v>
      </c>
      <c r="H1742" s="713">
        <f t="shared" si="139"/>
        <v>45880</v>
      </c>
      <c r="I1742" s="784" t="s">
        <v>1471</v>
      </c>
      <c r="J1742" s="1064" t="s">
        <v>207</v>
      </c>
      <c r="K1742" s="1064" t="s">
        <v>19</v>
      </c>
      <c r="L1742" s="351" t="s">
        <v>20</v>
      </c>
      <c r="M1742" s="784"/>
      <c r="N1742" s="512"/>
      <c r="O1742" s="325"/>
      <c r="P1742" s="325"/>
      <c r="Q1742" s="325"/>
      <c r="R1742" s="325"/>
      <c r="S1742" s="325"/>
      <c r="T1742" s="325"/>
      <c r="U1742" s="325"/>
      <c r="V1742" s="325"/>
      <c r="W1742" s="325"/>
    </row>
    <row r="1743" ht="15.4" customHeight="1" spans="1:23">
      <c r="A1743" s="749" t="s">
        <v>1468</v>
      </c>
      <c r="B1743" s="1047" t="s">
        <v>1469</v>
      </c>
      <c r="C1743" s="1164" t="s">
        <v>136</v>
      </c>
      <c r="D1743" s="1165">
        <v>7</v>
      </c>
      <c r="E1743" s="69"/>
      <c r="F1743" s="675">
        <v>45901</v>
      </c>
      <c r="G1743" s="703">
        <f t="shared" si="138"/>
        <v>45856</v>
      </c>
      <c r="H1743" s="713">
        <f t="shared" si="139"/>
        <v>45880</v>
      </c>
      <c r="I1743" s="784" t="s">
        <v>1471</v>
      </c>
      <c r="J1743" s="1064" t="s">
        <v>207</v>
      </c>
      <c r="K1743" s="1064" t="s">
        <v>19</v>
      </c>
      <c r="L1743" s="351" t="s">
        <v>20</v>
      </c>
      <c r="M1743" s="784"/>
      <c r="N1743" s="512"/>
      <c r="O1743" s="325"/>
      <c r="P1743" s="325"/>
      <c r="Q1743" s="325"/>
      <c r="R1743" s="325"/>
      <c r="S1743" s="325"/>
      <c r="T1743" s="325"/>
      <c r="U1743" s="325"/>
      <c r="V1743" s="325"/>
      <c r="W1743" s="325"/>
    </row>
    <row r="1744" ht="15.4" customHeight="1" spans="1:23">
      <c r="A1744" s="749" t="s">
        <v>1468</v>
      </c>
      <c r="B1744" s="1047" t="s">
        <v>1469</v>
      </c>
      <c r="C1744" s="1164" t="s">
        <v>67</v>
      </c>
      <c r="D1744" s="1165">
        <v>31</v>
      </c>
      <c r="E1744" s="69"/>
      <c r="F1744" s="675">
        <v>45901</v>
      </c>
      <c r="G1744" s="703">
        <f t="shared" si="138"/>
        <v>45856</v>
      </c>
      <c r="H1744" s="713">
        <f t="shared" si="139"/>
        <v>45880</v>
      </c>
      <c r="I1744" s="784" t="s">
        <v>1471</v>
      </c>
      <c r="J1744" s="1064" t="s">
        <v>207</v>
      </c>
      <c r="K1744" s="1064" t="s">
        <v>19</v>
      </c>
      <c r="L1744" s="351" t="s">
        <v>20</v>
      </c>
      <c r="M1744" s="784"/>
      <c r="N1744" s="512"/>
      <c r="O1744" s="325"/>
      <c r="P1744" s="325"/>
      <c r="Q1744" s="325"/>
      <c r="R1744" s="325"/>
      <c r="S1744" s="325"/>
      <c r="T1744" s="325"/>
      <c r="U1744" s="325"/>
      <c r="V1744" s="325"/>
      <c r="W1744" s="325"/>
    </row>
    <row r="1745" ht="15.4" customHeight="1" spans="1:23">
      <c r="A1745" s="749" t="s">
        <v>1468</v>
      </c>
      <c r="B1745" s="1047" t="s">
        <v>1469</v>
      </c>
      <c r="C1745" s="1164" t="s">
        <v>69</v>
      </c>
      <c r="D1745" s="1165">
        <v>31</v>
      </c>
      <c r="E1745" s="69"/>
      <c r="F1745" s="675">
        <v>45901</v>
      </c>
      <c r="G1745" s="703">
        <f t="shared" si="138"/>
        <v>45856</v>
      </c>
      <c r="H1745" s="713">
        <f t="shared" si="139"/>
        <v>45880</v>
      </c>
      <c r="I1745" s="784" t="s">
        <v>1471</v>
      </c>
      <c r="J1745" s="1064" t="s">
        <v>207</v>
      </c>
      <c r="K1745" s="1064" t="s">
        <v>19</v>
      </c>
      <c r="L1745" s="351" t="s">
        <v>20</v>
      </c>
      <c r="M1745" s="784"/>
      <c r="N1745" s="512"/>
      <c r="O1745" s="325"/>
      <c r="P1745" s="325"/>
      <c r="Q1745" s="325"/>
      <c r="R1745" s="325"/>
      <c r="S1745" s="325"/>
      <c r="T1745" s="325"/>
      <c r="U1745" s="325"/>
      <c r="V1745" s="325"/>
      <c r="W1745" s="325"/>
    </row>
    <row r="1746" ht="15.4" customHeight="1" spans="1:23">
      <c r="A1746" s="749" t="s">
        <v>1468</v>
      </c>
      <c r="B1746" s="1047" t="s">
        <v>1469</v>
      </c>
      <c r="C1746" s="1164" t="s">
        <v>31</v>
      </c>
      <c r="D1746" s="1165">
        <v>5</v>
      </c>
      <c r="E1746" s="69"/>
      <c r="F1746" s="675">
        <v>45901</v>
      </c>
      <c r="G1746" s="703">
        <f t="shared" si="138"/>
        <v>45856</v>
      </c>
      <c r="H1746" s="713">
        <f t="shared" si="139"/>
        <v>45880</v>
      </c>
      <c r="I1746" s="784" t="s">
        <v>1471</v>
      </c>
      <c r="J1746" s="1064" t="s">
        <v>207</v>
      </c>
      <c r="K1746" s="1064" t="s">
        <v>19</v>
      </c>
      <c r="L1746" s="351" t="s">
        <v>20</v>
      </c>
      <c r="M1746" s="784"/>
      <c r="N1746" s="512"/>
      <c r="O1746" s="325"/>
      <c r="P1746" s="325"/>
      <c r="Q1746" s="325"/>
      <c r="R1746" s="325"/>
      <c r="S1746" s="325"/>
      <c r="T1746" s="325"/>
      <c r="U1746" s="325"/>
      <c r="V1746" s="325"/>
      <c r="W1746" s="325"/>
    </row>
    <row r="1747" ht="15.4" customHeight="1" spans="1:23">
      <c r="A1747" s="749" t="s">
        <v>1468</v>
      </c>
      <c r="B1747" s="1047" t="s">
        <v>1469</v>
      </c>
      <c r="C1747" s="1164" t="s">
        <v>32</v>
      </c>
      <c r="D1747" s="1165">
        <v>5</v>
      </c>
      <c r="E1747" s="69"/>
      <c r="F1747" s="675">
        <v>45901</v>
      </c>
      <c r="G1747" s="703">
        <f t="shared" si="138"/>
        <v>45856</v>
      </c>
      <c r="H1747" s="713">
        <f t="shared" si="139"/>
        <v>45880</v>
      </c>
      <c r="I1747" s="784" t="s">
        <v>1471</v>
      </c>
      <c r="J1747" s="1064" t="s">
        <v>207</v>
      </c>
      <c r="K1747" s="1064" t="s">
        <v>19</v>
      </c>
      <c r="L1747" s="351" t="s">
        <v>20</v>
      </c>
      <c r="M1747" s="784"/>
      <c r="N1747" s="512"/>
      <c r="O1747" s="325"/>
      <c r="P1747" s="325"/>
      <c r="Q1747" s="325"/>
      <c r="R1747" s="325"/>
      <c r="S1747" s="325"/>
      <c r="T1747" s="325"/>
      <c r="U1747" s="325"/>
      <c r="V1747" s="325"/>
      <c r="W1747" s="325"/>
    </row>
    <row r="1748" ht="15.4" customHeight="1" spans="1:23">
      <c r="A1748" s="749" t="s">
        <v>1468</v>
      </c>
      <c r="B1748" s="1047" t="s">
        <v>1469</v>
      </c>
      <c r="C1748" s="1164" t="s">
        <v>33</v>
      </c>
      <c r="D1748" s="1165">
        <v>3</v>
      </c>
      <c r="E1748" s="69"/>
      <c r="F1748" s="675">
        <v>45901</v>
      </c>
      <c r="G1748" s="703">
        <f t="shared" si="138"/>
        <v>45856</v>
      </c>
      <c r="H1748" s="713">
        <f t="shared" si="139"/>
        <v>45880</v>
      </c>
      <c r="I1748" s="784" t="s">
        <v>1471</v>
      </c>
      <c r="J1748" s="1064" t="s">
        <v>207</v>
      </c>
      <c r="K1748" s="1064" t="s">
        <v>19</v>
      </c>
      <c r="L1748" s="351" t="s">
        <v>20</v>
      </c>
      <c r="M1748" s="784"/>
      <c r="N1748" s="512"/>
      <c r="O1748" s="325"/>
      <c r="P1748" s="325"/>
      <c r="Q1748" s="325"/>
      <c r="R1748" s="325"/>
      <c r="S1748" s="325"/>
      <c r="T1748" s="325"/>
      <c r="U1748" s="325"/>
      <c r="V1748" s="325"/>
      <c r="W1748" s="325"/>
    </row>
    <row r="1749" ht="15.4" customHeight="1" spans="1:23">
      <c r="A1749" s="749" t="s">
        <v>1468</v>
      </c>
      <c r="B1749" s="1047" t="s">
        <v>1469</v>
      </c>
      <c r="C1749" s="1164" t="s">
        <v>34</v>
      </c>
      <c r="D1749" s="1165">
        <v>3</v>
      </c>
      <c r="E1749" s="69"/>
      <c r="F1749" s="675">
        <v>45901</v>
      </c>
      <c r="G1749" s="703">
        <f t="shared" si="138"/>
        <v>45856</v>
      </c>
      <c r="H1749" s="713">
        <f t="shared" si="139"/>
        <v>45880</v>
      </c>
      <c r="I1749" s="784" t="s">
        <v>1471</v>
      </c>
      <c r="J1749" s="1064" t="s">
        <v>207</v>
      </c>
      <c r="K1749" s="1064" t="s">
        <v>19</v>
      </c>
      <c r="L1749" s="351" t="s">
        <v>20</v>
      </c>
      <c r="M1749" s="784"/>
      <c r="N1749" s="512"/>
      <c r="O1749" s="325"/>
      <c r="P1749" s="325"/>
      <c r="Q1749" s="325"/>
      <c r="R1749" s="325"/>
      <c r="S1749" s="325"/>
      <c r="T1749" s="325"/>
      <c r="U1749" s="325"/>
      <c r="V1749" s="325"/>
      <c r="W1749" s="325"/>
    </row>
    <row r="1750" ht="15.4" customHeight="1" spans="1:23">
      <c r="A1750" s="749" t="s">
        <v>1468</v>
      </c>
      <c r="B1750" s="1047" t="s">
        <v>1469</v>
      </c>
      <c r="C1750" s="1214" t="s">
        <v>59</v>
      </c>
      <c r="D1750" s="1215">
        <v>1</v>
      </c>
      <c r="E1750" s="69"/>
      <c r="F1750" s="675">
        <v>45901</v>
      </c>
      <c r="G1750" s="703">
        <f t="shared" si="138"/>
        <v>45856</v>
      </c>
      <c r="H1750" s="713">
        <f t="shared" si="139"/>
        <v>45880</v>
      </c>
      <c r="I1750" s="784" t="s">
        <v>1471</v>
      </c>
      <c r="J1750" s="1064" t="s">
        <v>207</v>
      </c>
      <c r="K1750" s="1064" t="s">
        <v>19</v>
      </c>
      <c r="L1750" s="351" t="s">
        <v>20</v>
      </c>
      <c r="M1750" s="784"/>
      <c r="N1750" s="512"/>
      <c r="O1750" s="325"/>
      <c r="P1750" s="325"/>
      <c r="Q1750" s="325"/>
      <c r="R1750" s="325"/>
      <c r="S1750" s="325"/>
      <c r="T1750" s="325"/>
      <c r="U1750" s="325"/>
      <c r="V1750" s="325"/>
      <c r="W1750" s="325"/>
    </row>
    <row r="1751" ht="15.4" customHeight="1" spans="1:23">
      <c r="A1751" s="1115" t="s">
        <v>1468</v>
      </c>
      <c r="B1751" s="1155" t="s">
        <v>1469</v>
      </c>
      <c r="C1751" s="1164" t="s">
        <v>60</v>
      </c>
      <c r="D1751" s="1165">
        <v>1</v>
      </c>
      <c r="E1751" s="69"/>
      <c r="F1751" s="675">
        <v>45901</v>
      </c>
      <c r="G1751" s="703">
        <f t="shared" si="138"/>
        <v>45856</v>
      </c>
      <c r="H1751" s="713">
        <f t="shared" si="139"/>
        <v>45880</v>
      </c>
      <c r="I1751" s="784" t="s">
        <v>1471</v>
      </c>
      <c r="J1751" s="1084" t="s">
        <v>207</v>
      </c>
      <c r="K1751" s="1084" t="s">
        <v>19</v>
      </c>
      <c r="L1751" s="351" t="s">
        <v>20</v>
      </c>
      <c r="M1751" s="1185"/>
      <c r="N1751" s="512"/>
      <c r="O1751" s="325"/>
      <c r="P1751" s="325"/>
      <c r="Q1751" s="325"/>
      <c r="R1751" s="325"/>
      <c r="S1751" s="325"/>
      <c r="T1751" s="325"/>
      <c r="U1751" s="325"/>
      <c r="V1751" s="325"/>
      <c r="W1751" s="325"/>
    </row>
    <row r="1752" s="971" customFormat="1" ht="15.4" customHeight="1" spans="1:23">
      <c r="A1752" s="1053" t="s">
        <v>910</v>
      </c>
      <c r="B1752" s="1099" t="s">
        <v>1474</v>
      </c>
      <c r="C1752" s="1089" t="s">
        <v>15</v>
      </c>
      <c r="D1752" s="266">
        <v>200</v>
      </c>
      <c r="E1752" s="1085" t="s">
        <v>1475</v>
      </c>
      <c r="F1752" s="675">
        <v>45792</v>
      </c>
      <c r="G1752" s="793">
        <f>VLOOKUP(CLEAN(SUBSTITUTE(TRIM(MID(E:E,FIND("/",E:E)+1,LEN(E:E)))," ","")),'Customs Decl. &amp; Local Delivery'!D:I,6,0)</f>
        <v>45857</v>
      </c>
      <c r="H1752" s="676">
        <f>VLOOKUP(CLEAN(SUBSTITUTE(TRIM(MID(E:E,FIND("/",E:E)+1,LEN(E:E)))," ","")),'Customs Decl. &amp; Local Delivery'!D:J,7,0)</f>
        <v>45883</v>
      </c>
      <c r="I1752" s="1053" t="s">
        <v>1476</v>
      </c>
      <c r="J1752" s="1053" t="s">
        <v>18</v>
      </c>
      <c r="K1752" s="1053" t="s">
        <v>147</v>
      </c>
      <c r="L1752" s="351" t="s">
        <v>20</v>
      </c>
      <c r="M1752" s="1053" t="s">
        <v>1382</v>
      </c>
      <c r="N1752" s="203"/>
      <c r="O1752" s="203"/>
      <c r="P1752" s="203"/>
      <c r="Q1752" s="203"/>
      <c r="R1752" s="203"/>
      <c r="S1752" s="203"/>
      <c r="T1752" s="203"/>
      <c r="U1752" s="203"/>
      <c r="V1752" s="203"/>
      <c r="W1752" s="203"/>
    </row>
    <row r="1753" s="971" customFormat="1" ht="15.4" customHeight="1" spans="1:23">
      <c r="A1753" s="1053" t="s">
        <v>910</v>
      </c>
      <c r="B1753" s="1099" t="s">
        <v>1474</v>
      </c>
      <c r="C1753" s="1089" t="s">
        <v>27</v>
      </c>
      <c r="D1753" s="266">
        <v>200</v>
      </c>
      <c r="E1753" s="1127"/>
      <c r="F1753" s="675">
        <v>45792</v>
      </c>
      <c r="G1753" s="1180">
        <f>G1752</f>
        <v>45857</v>
      </c>
      <c r="H1753" s="676">
        <f>H1752</f>
        <v>45883</v>
      </c>
      <c r="I1753" s="1053" t="s">
        <v>1476</v>
      </c>
      <c r="J1753" s="1053" t="s">
        <v>18</v>
      </c>
      <c r="K1753" s="1053" t="s">
        <v>147</v>
      </c>
      <c r="L1753" s="351" t="s">
        <v>20</v>
      </c>
      <c r="M1753" s="1053" t="s">
        <v>1315</v>
      </c>
      <c r="N1753" s="203"/>
      <c r="O1753" s="203"/>
      <c r="P1753" s="203"/>
      <c r="Q1753" s="203"/>
      <c r="R1753" s="203"/>
      <c r="S1753" s="203"/>
      <c r="T1753" s="203"/>
      <c r="U1753" s="203"/>
      <c r="V1753" s="203"/>
      <c r="W1753" s="203"/>
    </row>
    <row r="1754" s="971" customFormat="1" ht="15.4" customHeight="1" spans="1:23">
      <c r="A1754" s="1053" t="s">
        <v>910</v>
      </c>
      <c r="B1754" s="1099" t="s">
        <v>1474</v>
      </c>
      <c r="C1754" s="1089" t="s">
        <v>348</v>
      </c>
      <c r="D1754" s="266">
        <v>100</v>
      </c>
      <c r="E1754" s="1127"/>
      <c r="F1754" s="675">
        <v>45792</v>
      </c>
      <c r="G1754" s="1216">
        <f>G1753</f>
        <v>45857</v>
      </c>
      <c r="H1754" s="676">
        <f>H1753</f>
        <v>45883</v>
      </c>
      <c r="I1754" s="1053" t="s">
        <v>1476</v>
      </c>
      <c r="J1754" s="1053" t="s">
        <v>18</v>
      </c>
      <c r="K1754" s="1053" t="s">
        <v>147</v>
      </c>
      <c r="L1754" s="351" t="s">
        <v>20</v>
      </c>
      <c r="M1754" s="1053"/>
      <c r="N1754" s="203"/>
      <c r="O1754" s="203"/>
      <c r="P1754" s="203"/>
      <c r="Q1754" s="203"/>
      <c r="R1754" s="203"/>
      <c r="S1754" s="203"/>
      <c r="T1754" s="203"/>
      <c r="U1754" s="203"/>
      <c r="V1754" s="203"/>
      <c r="W1754" s="203"/>
    </row>
    <row r="1755" s="971" customFormat="1" ht="15.4" customHeight="1" spans="1:23">
      <c r="A1755" s="1053" t="s">
        <v>910</v>
      </c>
      <c r="B1755" s="1099" t="s">
        <v>1477</v>
      </c>
      <c r="C1755" s="1089" t="s">
        <v>77</v>
      </c>
      <c r="D1755" s="266">
        <v>48</v>
      </c>
      <c r="E1755" s="1085" t="s">
        <v>1478</v>
      </c>
      <c r="F1755" s="675">
        <v>45792</v>
      </c>
      <c r="G1755" s="675">
        <f>VLOOKUP(CLEAN(SUBSTITUTE(TRIM(MID(E:E,FIND("/",E:E)+1,LEN(E:E)))," ","")),'Customs Decl. &amp; Local Delivery'!D:I,6,0)</f>
        <v>45857</v>
      </c>
      <c r="H1755" s="675">
        <f>VLOOKUP(CLEAN(SUBSTITUTE(TRIM(MID(E:E,FIND("/",E:E)+1,LEN(E:E)))," ","")),'Customs Decl. &amp; Local Delivery'!D:J,7,0)</f>
        <v>45883</v>
      </c>
      <c r="I1755" s="1053" t="s">
        <v>1479</v>
      </c>
      <c r="J1755" s="1053" t="s">
        <v>18</v>
      </c>
      <c r="K1755" s="1053" t="s">
        <v>147</v>
      </c>
      <c r="L1755" s="351" t="s">
        <v>20</v>
      </c>
      <c r="M1755" s="672" t="s">
        <v>1382</v>
      </c>
      <c r="N1755" s="203"/>
      <c r="O1755" s="203"/>
      <c r="P1755" s="203"/>
      <c r="Q1755" s="203"/>
      <c r="R1755" s="203"/>
      <c r="S1755" s="203"/>
      <c r="T1755" s="203"/>
      <c r="U1755" s="203"/>
      <c r="V1755" s="203"/>
      <c r="W1755" s="203"/>
    </row>
    <row r="1756" s="971" customFormat="1" ht="15.4" customHeight="1" spans="1:23">
      <c r="A1756" s="1053" t="s">
        <v>910</v>
      </c>
      <c r="B1756" s="1099" t="s">
        <v>1477</v>
      </c>
      <c r="C1756" s="1089" t="s">
        <v>15</v>
      </c>
      <c r="D1756" s="266">
        <v>12</v>
      </c>
      <c r="E1756" s="1127"/>
      <c r="F1756" s="675">
        <v>45792</v>
      </c>
      <c r="G1756" s="840">
        <f>G1755</f>
        <v>45857</v>
      </c>
      <c r="H1756" s="675">
        <f>H1755</f>
        <v>45883</v>
      </c>
      <c r="I1756" s="1058" t="s">
        <v>1479</v>
      </c>
      <c r="J1756" s="1053" t="s">
        <v>18</v>
      </c>
      <c r="K1756" s="1053" t="s">
        <v>147</v>
      </c>
      <c r="L1756" s="351" t="s">
        <v>20</v>
      </c>
      <c r="M1756" s="1053" t="s">
        <v>1315</v>
      </c>
      <c r="N1756" s="203"/>
      <c r="O1756" s="203"/>
      <c r="P1756" s="203"/>
      <c r="Q1756" s="203"/>
      <c r="R1756" s="203"/>
      <c r="S1756" s="203"/>
      <c r="T1756" s="203"/>
      <c r="U1756" s="203"/>
      <c r="V1756" s="203"/>
      <c r="W1756" s="203"/>
    </row>
    <row r="1757" s="971" customFormat="1" ht="15.4" customHeight="1" spans="1:23">
      <c r="A1757" s="1053" t="s">
        <v>910</v>
      </c>
      <c r="B1757" s="1099" t="s">
        <v>1477</v>
      </c>
      <c r="C1757" s="1089" t="s">
        <v>24</v>
      </c>
      <c r="D1757" s="266">
        <v>100</v>
      </c>
      <c r="E1757" s="1127"/>
      <c r="F1757" s="675">
        <v>45792</v>
      </c>
      <c r="G1757" s="840">
        <f>G1756</f>
        <v>45857</v>
      </c>
      <c r="H1757" s="675">
        <f>H1756</f>
        <v>45883</v>
      </c>
      <c r="I1757" s="1053" t="s">
        <v>1479</v>
      </c>
      <c r="J1757" s="1053" t="s">
        <v>18</v>
      </c>
      <c r="K1757" s="1053" t="s">
        <v>147</v>
      </c>
      <c r="L1757" s="351" t="s">
        <v>20</v>
      </c>
      <c r="M1757" s="1093" t="s">
        <v>1480</v>
      </c>
      <c r="N1757" s="203"/>
      <c r="O1757" s="203"/>
      <c r="P1757" s="203"/>
      <c r="Q1757" s="203"/>
      <c r="R1757" s="203"/>
      <c r="S1757" s="203"/>
      <c r="T1757" s="203"/>
      <c r="U1757" s="203"/>
      <c r="V1757" s="203"/>
      <c r="W1757" s="203"/>
    </row>
    <row r="1758" s="971" customFormat="1" ht="15.4" customHeight="1" spans="1:23">
      <c r="A1758" s="1053" t="s">
        <v>910</v>
      </c>
      <c r="B1758" s="1099" t="s">
        <v>1477</v>
      </c>
      <c r="C1758" s="1089" t="s">
        <v>27</v>
      </c>
      <c r="D1758" s="266">
        <v>30</v>
      </c>
      <c r="E1758" s="1127"/>
      <c r="F1758" s="675">
        <v>45792</v>
      </c>
      <c r="G1758" s="840">
        <f>G1757</f>
        <v>45857</v>
      </c>
      <c r="H1758" s="675">
        <f>H1757</f>
        <v>45883</v>
      </c>
      <c r="I1758" s="1053" t="s">
        <v>1479</v>
      </c>
      <c r="J1758" s="1053" t="s">
        <v>18</v>
      </c>
      <c r="K1758" s="1053" t="s">
        <v>147</v>
      </c>
      <c r="L1758" s="351" t="s">
        <v>20</v>
      </c>
      <c r="M1758" s="1093"/>
      <c r="N1758" s="203"/>
      <c r="O1758" s="203"/>
      <c r="P1758" s="203"/>
      <c r="Q1758" s="203"/>
      <c r="R1758" s="203"/>
      <c r="S1758" s="203"/>
      <c r="T1758" s="203"/>
      <c r="U1758" s="203"/>
      <c r="V1758" s="203"/>
      <c r="W1758" s="203"/>
    </row>
    <row r="1759" s="971" customFormat="1" ht="15.4" customHeight="1" spans="1:23">
      <c r="A1759" s="1053" t="s">
        <v>910</v>
      </c>
      <c r="B1759" s="1099" t="s">
        <v>1477</v>
      </c>
      <c r="C1759" s="1089" t="s">
        <v>67</v>
      </c>
      <c r="D1759" s="266">
        <v>30</v>
      </c>
      <c r="E1759" s="1127"/>
      <c r="F1759" s="675">
        <v>45792</v>
      </c>
      <c r="G1759" s="840">
        <f>G1758</f>
        <v>45857</v>
      </c>
      <c r="H1759" s="675">
        <f>H1758</f>
        <v>45883</v>
      </c>
      <c r="I1759" s="1053" t="s">
        <v>1479</v>
      </c>
      <c r="J1759" s="1053" t="s">
        <v>18</v>
      </c>
      <c r="K1759" s="1053" t="s">
        <v>147</v>
      </c>
      <c r="L1759" s="351" t="s">
        <v>20</v>
      </c>
      <c r="M1759" s="1053"/>
      <c r="N1759" s="203"/>
      <c r="O1759" s="203"/>
      <c r="P1759" s="203"/>
      <c r="Q1759" s="203"/>
      <c r="R1759" s="203"/>
      <c r="S1759" s="203"/>
      <c r="T1759" s="203"/>
      <c r="U1759" s="203"/>
      <c r="V1759" s="203"/>
      <c r="W1759" s="203"/>
    </row>
    <row r="1760" s="971" customFormat="1" ht="15.4" customHeight="1" spans="1:23">
      <c r="A1760" s="1053" t="s">
        <v>910</v>
      </c>
      <c r="B1760" s="1099" t="s">
        <v>1477</v>
      </c>
      <c r="C1760" s="1089" t="s">
        <v>70</v>
      </c>
      <c r="D1760" s="266">
        <v>50</v>
      </c>
      <c r="E1760" s="1127"/>
      <c r="F1760" s="675">
        <v>45792</v>
      </c>
      <c r="G1760" s="840">
        <f>G1759</f>
        <v>45857</v>
      </c>
      <c r="H1760" s="675">
        <f>H1759</f>
        <v>45883</v>
      </c>
      <c r="I1760" s="1053" t="s">
        <v>1479</v>
      </c>
      <c r="J1760" s="1053" t="s">
        <v>18</v>
      </c>
      <c r="K1760" s="1053" t="s">
        <v>147</v>
      </c>
      <c r="L1760" s="351" t="s">
        <v>20</v>
      </c>
      <c r="M1760" s="1053"/>
      <c r="N1760" s="203"/>
      <c r="O1760" s="203"/>
      <c r="P1760" s="203"/>
      <c r="Q1760" s="203"/>
      <c r="R1760" s="203"/>
      <c r="S1760" s="203"/>
      <c r="T1760" s="203"/>
      <c r="U1760" s="203"/>
      <c r="V1760" s="203"/>
      <c r="W1760" s="203"/>
    </row>
    <row r="1761" s="971" customFormat="1" ht="15.4" customHeight="1" spans="1:23">
      <c r="A1761" s="1053" t="s">
        <v>910</v>
      </c>
      <c r="B1761" s="1099" t="s">
        <v>1481</v>
      </c>
      <c r="C1761" s="1089" t="s">
        <v>77</v>
      </c>
      <c r="D1761" s="266">
        <v>48</v>
      </c>
      <c r="E1761" s="1085" t="s">
        <v>1482</v>
      </c>
      <c r="F1761" s="675">
        <v>45792</v>
      </c>
      <c r="G1761" s="675">
        <f>VLOOKUP(CLEAN(SUBSTITUTE(TRIM(MID(E:E,FIND("/",E:E)+1,LEN(E:E)))," ","")),'Customs Decl. &amp; Local Delivery'!D:I,6,0)</f>
        <v>45857</v>
      </c>
      <c r="H1761" s="675">
        <f>VLOOKUP(CLEAN(SUBSTITUTE(TRIM(MID(E:E,FIND("/",E:E)+1,LEN(E:E)))," ","")),'Customs Decl. &amp; Local Delivery'!D:J,7,0)</f>
        <v>45883</v>
      </c>
      <c r="I1761" s="1053" t="s">
        <v>1483</v>
      </c>
      <c r="J1761" s="1053" t="s">
        <v>18</v>
      </c>
      <c r="K1761" s="1053" t="s">
        <v>147</v>
      </c>
      <c r="L1761" s="351" t="s">
        <v>20</v>
      </c>
      <c r="M1761" s="672" t="s">
        <v>1382</v>
      </c>
      <c r="N1761" s="203"/>
      <c r="O1761" s="203"/>
      <c r="P1761" s="203"/>
      <c r="Q1761" s="203"/>
      <c r="R1761" s="203"/>
      <c r="S1761" s="203"/>
      <c r="T1761" s="203"/>
      <c r="U1761" s="203"/>
      <c r="V1761" s="203"/>
      <c r="W1761" s="203"/>
    </row>
    <row r="1762" s="971" customFormat="1" ht="15.4" customHeight="1" spans="1:23">
      <c r="A1762" s="1053" t="s">
        <v>910</v>
      </c>
      <c r="B1762" s="1099" t="s">
        <v>1481</v>
      </c>
      <c r="C1762" s="1089" t="s">
        <v>15</v>
      </c>
      <c r="D1762" s="266">
        <v>12</v>
      </c>
      <c r="E1762" s="976"/>
      <c r="F1762" s="675">
        <v>45792</v>
      </c>
      <c r="G1762" s="840">
        <f>G1761</f>
        <v>45857</v>
      </c>
      <c r="H1762" s="675">
        <f>H1761</f>
        <v>45883</v>
      </c>
      <c r="I1762" s="1053" t="s">
        <v>1483</v>
      </c>
      <c r="J1762" s="1053" t="s">
        <v>18</v>
      </c>
      <c r="K1762" s="1053" t="s">
        <v>147</v>
      </c>
      <c r="L1762" s="351" t="s">
        <v>20</v>
      </c>
      <c r="M1762" s="749" t="s">
        <v>1315</v>
      </c>
      <c r="N1762" s="203"/>
      <c r="O1762" s="203"/>
      <c r="P1762" s="203"/>
      <c r="Q1762" s="203"/>
      <c r="R1762" s="203"/>
      <c r="S1762" s="203"/>
      <c r="T1762" s="203"/>
      <c r="U1762" s="203"/>
      <c r="V1762" s="203"/>
      <c r="W1762" s="203"/>
    </row>
    <row r="1763" s="971" customFormat="1" ht="15.4" customHeight="1" spans="1:23">
      <c r="A1763" s="1053" t="s">
        <v>910</v>
      </c>
      <c r="B1763" s="1099" t="s">
        <v>1481</v>
      </c>
      <c r="C1763" s="1089" t="s">
        <v>24</v>
      </c>
      <c r="D1763" s="266">
        <v>100</v>
      </c>
      <c r="E1763" s="976"/>
      <c r="F1763" s="675">
        <v>45792</v>
      </c>
      <c r="G1763" s="840">
        <f>G1762</f>
        <v>45857</v>
      </c>
      <c r="H1763" s="675">
        <f>H1762</f>
        <v>45883</v>
      </c>
      <c r="I1763" s="1053" t="s">
        <v>1483</v>
      </c>
      <c r="J1763" s="1053" t="s">
        <v>18</v>
      </c>
      <c r="K1763" s="1053" t="s">
        <v>147</v>
      </c>
      <c r="L1763" s="351" t="s">
        <v>20</v>
      </c>
      <c r="M1763" s="1053"/>
      <c r="N1763" s="203"/>
      <c r="O1763" s="203"/>
      <c r="P1763" s="203"/>
      <c r="Q1763" s="203"/>
      <c r="R1763" s="203"/>
      <c r="S1763" s="203"/>
      <c r="T1763" s="203"/>
      <c r="U1763" s="203"/>
      <c r="V1763" s="203"/>
      <c r="W1763" s="203"/>
    </row>
    <row r="1764" s="971" customFormat="1" ht="15.4" customHeight="1" spans="1:23">
      <c r="A1764" s="1053" t="s">
        <v>910</v>
      </c>
      <c r="B1764" s="1099" t="s">
        <v>1481</v>
      </c>
      <c r="C1764" s="1089" t="s">
        <v>27</v>
      </c>
      <c r="D1764" s="266">
        <v>30</v>
      </c>
      <c r="E1764" s="976"/>
      <c r="F1764" s="675">
        <v>45792</v>
      </c>
      <c r="G1764" s="840">
        <f>G1763</f>
        <v>45857</v>
      </c>
      <c r="H1764" s="675">
        <f>H1763</f>
        <v>45883</v>
      </c>
      <c r="I1764" s="1053" t="s">
        <v>1483</v>
      </c>
      <c r="J1764" s="1053" t="s">
        <v>18</v>
      </c>
      <c r="K1764" s="1053" t="s">
        <v>147</v>
      </c>
      <c r="L1764" s="351" t="s">
        <v>20</v>
      </c>
      <c r="M1764" s="1053"/>
      <c r="N1764" s="203"/>
      <c r="O1764" s="203"/>
      <c r="P1764" s="203"/>
      <c r="Q1764" s="203"/>
      <c r="R1764" s="203"/>
      <c r="S1764" s="203"/>
      <c r="T1764" s="203"/>
      <c r="U1764" s="203"/>
      <c r="V1764" s="203"/>
      <c r="W1764" s="203"/>
    </row>
    <row r="1765" s="971" customFormat="1" ht="15.4" customHeight="1" spans="1:23">
      <c r="A1765" s="1053" t="s">
        <v>910</v>
      </c>
      <c r="B1765" s="1099" t="s">
        <v>1481</v>
      </c>
      <c r="C1765" s="1089" t="s">
        <v>67</v>
      </c>
      <c r="D1765" s="266">
        <v>30</v>
      </c>
      <c r="E1765" s="976"/>
      <c r="F1765" s="675">
        <v>45792</v>
      </c>
      <c r="G1765" s="840">
        <f>G1764</f>
        <v>45857</v>
      </c>
      <c r="H1765" s="675">
        <f>H1764</f>
        <v>45883</v>
      </c>
      <c r="I1765" s="1053" t="s">
        <v>1483</v>
      </c>
      <c r="J1765" s="1053" t="s">
        <v>18</v>
      </c>
      <c r="K1765" s="1053" t="s">
        <v>147</v>
      </c>
      <c r="L1765" s="351" t="s">
        <v>20</v>
      </c>
      <c r="M1765" s="1053"/>
      <c r="N1765" s="203"/>
      <c r="O1765" s="203"/>
      <c r="P1765" s="203"/>
      <c r="Q1765" s="203"/>
      <c r="R1765" s="203"/>
      <c r="S1765" s="203"/>
      <c r="T1765" s="203"/>
      <c r="U1765" s="203"/>
      <c r="V1765" s="203"/>
      <c r="W1765" s="203"/>
    </row>
    <row r="1766" s="971" customFormat="1" ht="15.4" customHeight="1" spans="1:23">
      <c r="A1766" s="1133" t="s">
        <v>910</v>
      </c>
      <c r="B1766" s="1197" t="s">
        <v>1481</v>
      </c>
      <c r="C1766" s="1168" t="s">
        <v>70</v>
      </c>
      <c r="D1766" s="1169">
        <v>50</v>
      </c>
      <c r="E1766" s="976"/>
      <c r="F1766" s="675">
        <v>45792</v>
      </c>
      <c r="G1766" s="840">
        <f>G1765</f>
        <v>45857</v>
      </c>
      <c r="H1766" s="675">
        <f>H1765</f>
        <v>45883</v>
      </c>
      <c r="I1766" s="1053" t="s">
        <v>1483</v>
      </c>
      <c r="J1766" s="1053" t="s">
        <v>18</v>
      </c>
      <c r="K1766" s="1053" t="s">
        <v>147</v>
      </c>
      <c r="L1766" s="351" t="s">
        <v>20</v>
      </c>
      <c r="M1766" s="1053"/>
      <c r="N1766" s="203"/>
      <c r="O1766" s="203"/>
      <c r="P1766" s="203"/>
      <c r="Q1766" s="203"/>
      <c r="R1766" s="203"/>
      <c r="S1766" s="203"/>
      <c r="T1766" s="203"/>
      <c r="U1766" s="203"/>
      <c r="V1766" s="203"/>
      <c r="W1766" s="203"/>
    </row>
    <row r="1767" s="180" customFormat="1" ht="30" spans="1:23">
      <c r="A1767" s="749" t="s">
        <v>910</v>
      </c>
      <c r="B1767" s="1047" t="s">
        <v>1484</v>
      </c>
      <c r="C1767" s="789" t="s">
        <v>318</v>
      </c>
      <c r="D1767" s="1051">
        <v>312</v>
      </c>
      <c r="E1767" s="1162" t="s">
        <v>1485</v>
      </c>
      <c r="F1767" s="675">
        <v>45823</v>
      </c>
      <c r="G1767" s="1200">
        <f>VLOOKUP(CLEAN(SUBSTITUTE(TRIM(MID(E:E,FIND("/",E:E)+1,LEN(E:E)))," ","")),'Customs Decl. &amp; Local Delivery'!D:I,6,0)</f>
        <v>45857</v>
      </c>
      <c r="H1767" s="676">
        <f>VLOOKUP(CLEAN(SUBSTITUTE(TRIM(MID(E:E,FIND("/",E:E)+1,LEN(E:E)))," ","")),'Customs Decl. &amp; Local Delivery'!D:J,7,0)</f>
        <v>45883</v>
      </c>
      <c r="I1767" s="1053" t="s">
        <v>1486</v>
      </c>
      <c r="J1767" s="1084" t="s">
        <v>18</v>
      </c>
      <c r="K1767" s="1064" t="s">
        <v>147</v>
      </c>
      <c r="L1767" s="351" t="s">
        <v>20</v>
      </c>
      <c r="M1767" s="1064" t="s">
        <v>1315</v>
      </c>
      <c r="N1767" s="203"/>
      <c r="O1767" s="203"/>
      <c r="P1767" s="203"/>
      <c r="Q1767" s="203"/>
      <c r="R1767" s="203"/>
      <c r="S1767" s="203"/>
      <c r="T1767" s="203"/>
      <c r="U1767" s="203"/>
      <c r="V1767" s="203"/>
      <c r="W1767" s="203"/>
    </row>
    <row r="1768" s="180" customFormat="1" ht="15.4" customHeight="1" spans="1:23">
      <c r="A1768" s="749" t="s">
        <v>910</v>
      </c>
      <c r="B1768" s="1047" t="s">
        <v>1487</v>
      </c>
      <c r="C1768" s="789" t="s">
        <v>15</v>
      </c>
      <c r="D1768" s="1051">
        <v>140</v>
      </c>
      <c r="E1768" s="1162" t="s">
        <v>1488</v>
      </c>
      <c r="F1768" s="675"/>
      <c r="G1768" s="793">
        <f>VLOOKUP(CLEAN(SUBSTITUTE(TRIM(MID(E:E,FIND("/",E:E)+1,LEN(E:E)))," ","")),'Customs Decl. &amp; Local Delivery'!D:I,6,0)</f>
        <v>45857</v>
      </c>
      <c r="H1768" s="676">
        <f>VLOOKUP(CLEAN(SUBSTITUTE(TRIM(MID(E:E,FIND("/",E:E)+1,LEN(E:E)))," ","")),'Customs Decl. &amp; Local Delivery'!D:J,7,0)</f>
        <v>45883</v>
      </c>
      <c r="I1768" s="784" t="s">
        <v>1489</v>
      </c>
      <c r="J1768" s="1075" t="s">
        <v>18</v>
      </c>
      <c r="K1768" s="1075" t="s">
        <v>147</v>
      </c>
      <c r="L1768" s="351" t="s">
        <v>20</v>
      </c>
      <c r="M1768" s="784" t="s">
        <v>1315</v>
      </c>
      <c r="N1768" s="203"/>
      <c r="O1768" s="203"/>
      <c r="P1768" s="203"/>
      <c r="Q1768" s="203"/>
      <c r="R1768" s="203"/>
      <c r="S1768" s="203"/>
      <c r="T1768" s="203"/>
      <c r="U1768" s="203"/>
      <c r="V1768" s="203"/>
      <c r="W1768" s="203"/>
    </row>
    <row r="1769" s="180" customFormat="1" ht="15.4" customHeight="1" spans="1:23">
      <c r="A1769" s="749" t="s">
        <v>910</v>
      </c>
      <c r="B1769" s="1047" t="s">
        <v>1487</v>
      </c>
      <c r="C1769" s="789" t="s">
        <v>59</v>
      </c>
      <c r="D1769" s="1051">
        <v>34</v>
      </c>
      <c r="E1769" s="69"/>
      <c r="F1769" s="840"/>
      <c r="G1769" s="1180">
        <f>G1768</f>
        <v>45857</v>
      </c>
      <c r="H1769" s="676">
        <f>H1768</f>
        <v>45883</v>
      </c>
      <c r="I1769" s="784" t="s">
        <v>1489</v>
      </c>
      <c r="J1769" s="1075" t="s">
        <v>18</v>
      </c>
      <c r="K1769" s="1075" t="s">
        <v>147</v>
      </c>
      <c r="L1769" s="351" t="s">
        <v>20</v>
      </c>
      <c r="M1769" s="784"/>
      <c r="N1769" s="203"/>
      <c r="O1769" s="203"/>
      <c r="P1769" s="203"/>
      <c r="Q1769" s="203"/>
      <c r="R1769" s="203"/>
      <c r="S1769" s="203"/>
      <c r="T1769" s="203"/>
      <c r="U1769" s="203"/>
      <c r="V1769" s="203"/>
      <c r="W1769" s="203"/>
    </row>
    <row r="1770" s="180" customFormat="1" ht="15.4" customHeight="1" spans="1:23">
      <c r="A1770" s="1115" t="s">
        <v>910</v>
      </c>
      <c r="B1770" s="1068" t="s">
        <v>1487</v>
      </c>
      <c r="C1770" s="1217" t="s">
        <v>60</v>
      </c>
      <c r="D1770" s="1218">
        <v>34</v>
      </c>
      <c r="E1770" s="69"/>
      <c r="F1770" s="840"/>
      <c r="G1770" s="1216">
        <f>G1769</f>
        <v>45857</v>
      </c>
      <c r="H1770" s="754">
        <f>H1769</f>
        <v>45883</v>
      </c>
      <c r="I1770" s="1185" t="s">
        <v>1489</v>
      </c>
      <c r="J1770" s="1231" t="s">
        <v>18</v>
      </c>
      <c r="K1770" s="1231" t="s">
        <v>147</v>
      </c>
      <c r="L1770" s="351" t="s">
        <v>20</v>
      </c>
      <c r="M1770" s="1185"/>
      <c r="N1770" s="203"/>
      <c r="O1770" s="203"/>
      <c r="P1770" s="203"/>
      <c r="Q1770" s="203"/>
      <c r="R1770" s="203"/>
      <c r="S1770" s="203"/>
      <c r="T1770" s="203"/>
      <c r="U1770" s="203"/>
      <c r="V1770" s="203"/>
      <c r="W1770" s="203"/>
    </row>
    <row r="1771" s="180" customFormat="1" ht="15.4" customHeight="1" spans="1:23">
      <c r="A1771" s="749" t="s">
        <v>910</v>
      </c>
      <c r="B1771" s="1047" t="s">
        <v>1490</v>
      </c>
      <c r="C1771" s="789" t="s">
        <v>15</v>
      </c>
      <c r="D1771" s="1051">
        <v>140</v>
      </c>
      <c r="E1771" s="1162" t="s">
        <v>1491</v>
      </c>
      <c r="F1771" s="675"/>
      <c r="G1771" s="793">
        <f>VLOOKUP(CLEAN(SUBSTITUTE(TRIM(MID(E:E,FIND("/",E:E)+1,LEN(E:E)))," ","")),'Customs Decl. &amp; Local Delivery'!D:I,6,0)</f>
        <v>45857</v>
      </c>
      <c r="H1771" s="676">
        <f>VLOOKUP(CLEAN(SUBSTITUTE(TRIM(MID(E:E,FIND("/",E:E)+1,LEN(E:E)))," ","")),'Customs Decl. &amp; Local Delivery'!D:J,7,0)</f>
        <v>45883</v>
      </c>
      <c r="I1771" s="784" t="s">
        <v>1492</v>
      </c>
      <c r="J1771" s="1075" t="s">
        <v>18</v>
      </c>
      <c r="K1771" s="1075" t="s">
        <v>147</v>
      </c>
      <c r="L1771" s="351" t="s">
        <v>20</v>
      </c>
      <c r="M1771" s="784" t="s">
        <v>1493</v>
      </c>
      <c r="N1771" s="203"/>
      <c r="O1771" s="203"/>
      <c r="P1771" s="203"/>
      <c r="Q1771" s="203"/>
      <c r="R1771" s="203"/>
      <c r="S1771" s="203"/>
      <c r="T1771" s="203"/>
      <c r="U1771" s="203"/>
      <c r="V1771" s="203"/>
      <c r="W1771" s="203"/>
    </row>
    <row r="1772" s="180" customFormat="1" ht="15.4" customHeight="1" spans="1:23">
      <c r="A1772" s="749" t="s">
        <v>910</v>
      </c>
      <c r="B1772" s="1047" t="s">
        <v>1490</v>
      </c>
      <c r="C1772" s="789" t="s">
        <v>59</v>
      </c>
      <c r="D1772" s="1051">
        <v>34</v>
      </c>
      <c r="E1772" s="281"/>
      <c r="F1772" s="840"/>
      <c r="G1772" s="840">
        <f>G1771</f>
        <v>45857</v>
      </c>
      <c r="H1772" s="676">
        <f>H1771</f>
        <v>45883</v>
      </c>
      <c r="I1772" s="784" t="s">
        <v>1492</v>
      </c>
      <c r="J1772" s="1075" t="s">
        <v>18</v>
      </c>
      <c r="K1772" s="1075" t="s">
        <v>147</v>
      </c>
      <c r="L1772" s="351" t="s">
        <v>20</v>
      </c>
      <c r="M1772" s="784"/>
      <c r="N1772" s="203"/>
      <c r="O1772" s="203"/>
      <c r="P1772" s="203"/>
      <c r="Q1772" s="203"/>
      <c r="R1772" s="203"/>
      <c r="S1772" s="203"/>
      <c r="T1772" s="203"/>
      <c r="U1772" s="203"/>
      <c r="V1772" s="203"/>
      <c r="W1772" s="203"/>
    </row>
    <row r="1773" s="180" customFormat="1" ht="15.4" customHeight="1" spans="1:23">
      <c r="A1773" s="749" t="s">
        <v>910</v>
      </c>
      <c r="B1773" s="1047" t="s">
        <v>1490</v>
      </c>
      <c r="C1773" s="789" t="s">
        <v>60</v>
      </c>
      <c r="D1773" s="1051">
        <v>33</v>
      </c>
      <c r="E1773" s="281"/>
      <c r="F1773" s="840"/>
      <c r="G1773" s="840">
        <f>G1772</f>
        <v>45857</v>
      </c>
      <c r="H1773" s="676">
        <f>H1772</f>
        <v>45883</v>
      </c>
      <c r="I1773" s="1185" t="s">
        <v>1492</v>
      </c>
      <c r="J1773" s="1231" t="s">
        <v>18</v>
      </c>
      <c r="K1773" s="1231" t="s">
        <v>147</v>
      </c>
      <c r="L1773" s="351" t="s">
        <v>20</v>
      </c>
      <c r="M1773" s="1093" t="s">
        <v>1494</v>
      </c>
      <c r="N1773" s="203"/>
      <c r="O1773" s="203"/>
      <c r="P1773" s="203"/>
      <c r="Q1773" s="203"/>
      <c r="R1773" s="203"/>
      <c r="S1773" s="203"/>
      <c r="T1773" s="203"/>
      <c r="U1773" s="203"/>
      <c r="V1773" s="203"/>
      <c r="W1773" s="203"/>
    </row>
    <row r="1774" ht="16.5" customHeight="1" spans="1:23">
      <c r="A1774" s="1219" t="s">
        <v>1495</v>
      </c>
      <c r="B1774" s="1220" t="s">
        <v>1496</v>
      </c>
      <c r="C1774" s="1221" t="s">
        <v>155</v>
      </c>
      <c r="D1774" s="1222">
        <v>10</v>
      </c>
      <c r="E1774" s="1223" t="s">
        <v>1497</v>
      </c>
      <c r="F1774" s="835"/>
      <c r="G1774" s="1224">
        <f>VLOOKUP(CLEAN(SUBSTITUTE(TRIM(MID(E:E,FIND("/",E:E)+1,LEN(E:E)))," ","")),'Customs Decl. &amp; Local Delivery'!D:I,6,0)</f>
        <v>45857</v>
      </c>
      <c r="H1774" s="1225">
        <f>VLOOKUP(CLEAN(SUBSTITUTE(TRIM(MID(E:E,FIND("/",E:E)+1,LEN(E:E)))," ","")),'Customs Decl. &amp; Local Delivery'!D:J,7,0)</f>
        <v>45893</v>
      </c>
      <c r="I1774" s="886" t="s">
        <v>1498</v>
      </c>
      <c r="J1774" s="877" t="s">
        <v>39</v>
      </c>
      <c r="K1774" s="868" t="s">
        <v>147</v>
      </c>
      <c r="L1774" s="1232" t="s">
        <v>20</v>
      </c>
      <c r="M1774" s="1233" t="s">
        <v>1499</v>
      </c>
      <c r="N1774" s="512"/>
      <c r="O1774" s="202"/>
      <c r="P1774" s="202"/>
      <c r="Q1774" s="202"/>
      <c r="R1774" s="202"/>
      <c r="S1774" s="202"/>
      <c r="T1774" s="202"/>
      <c r="U1774" s="202"/>
      <c r="V1774" s="202"/>
      <c r="W1774" s="202"/>
    </row>
    <row r="1775" ht="16.5" customHeight="1" spans="1:23">
      <c r="A1775" s="877" t="s">
        <v>1495</v>
      </c>
      <c r="B1775" s="1226" t="s">
        <v>1496</v>
      </c>
      <c r="C1775" s="809" t="s">
        <v>518</v>
      </c>
      <c r="D1775" s="392">
        <v>12</v>
      </c>
      <c r="E1775" s="69"/>
      <c r="F1775" s="830"/>
      <c r="G1775" s="830">
        <f t="shared" ref="G1775:G1784" si="140">G1774</f>
        <v>45857</v>
      </c>
      <c r="H1775" s="836">
        <f t="shared" ref="H1775:H1784" si="141">H1774</f>
        <v>45893</v>
      </c>
      <c r="I1775" s="1234" t="s">
        <v>1498</v>
      </c>
      <c r="J1775" s="1235" t="s">
        <v>39</v>
      </c>
      <c r="K1775" s="1236" t="s">
        <v>147</v>
      </c>
      <c r="L1775" s="1232" t="s">
        <v>20</v>
      </c>
      <c r="M1775" s="190"/>
      <c r="N1775" s="512"/>
      <c r="O1775" s="325"/>
      <c r="P1775" s="325"/>
      <c r="Q1775" s="325"/>
      <c r="R1775" s="325"/>
      <c r="S1775" s="325"/>
      <c r="T1775" s="325"/>
      <c r="U1775" s="325"/>
      <c r="V1775" s="325"/>
      <c r="W1775" s="325"/>
    </row>
    <row r="1776" ht="16.5" customHeight="1" spans="1:23">
      <c r="A1776" s="877" t="s">
        <v>1495</v>
      </c>
      <c r="B1776" s="1226" t="s">
        <v>1496</v>
      </c>
      <c r="C1776" s="809" t="s">
        <v>151</v>
      </c>
      <c r="D1776" s="1227">
        <v>1</v>
      </c>
      <c r="E1776" s="69"/>
      <c r="F1776" s="830"/>
      <c r="G1776" s="830">
        <f t="shared" si="140"/>
        <v>45857</v>
      </c>
      <c r="H1776" s="836">
        <f t="shared" si="141"/>
        <v>45893</v>
      </c>
      <c r="I1776" s="886" t="s">
        <v>1498</v>
      </c>
      <c r="J1776" s="1237" t="s">
        <v>39</v>
      </c>
      <c r="K1776" s="868" t="s">
        <v>147</v>
      </c>
      <c r="L1776" s="1232" t="s">
        <v>20</v>
      </c>
      <c r="M1776" s="190"/>
      <c r="N1776" s="512"/>
      <c r="O1776" s="325"/>
      <c r="P1776" s="325"/>
      <c r="Q1776" s="325"/>
      <c r="R1776" s="325"/>
      <c r="S1776" s="325"/>
      <c r="T1776" s="325"/>
      <c r="U1776" s="325"/>
      <c r="V1776" s="325"/>
      <c r="W1776" s="325"/>
    </row>
    <row r="1777" ht="16.5" customHeight="1" spans="1:23">
      <c r="A1777" s="877" t="s">
        <v>1495</v>
      </c>
      <c r="B1777" s="1226" t="s">
        <v>1496</v>
      </c>
      <c r="C1777" s="809" t="s">
        <v>152</v>
      </c>
      <c r="D1777" s="1227">
        <v>4</v>
      </c>
      <c r="E1777" s="69"/>
      <c r="F1777" s="830"/>
      <c r="G1777" s="830">
        <f t="shared" si="140"/>
        <v>45857</v>
      </c>
      <c r="H1777" s="836">
        <f t="shared" si="141"/>
        <v>45893</v>
      </c>
      <c r="I1777" s="886" t="s">
        <v>1498</v>
      </c>
      <c r="J1777" s="1237" t="s">
        <v>39</v>
      </c>
      <c r="K1777" s="868" t="s">
        <v>147</v>
      </c>
      <c r="L1777" s="1232" t="s">
        <v>20</v>
      </c>
      <c r="M1777" s="190"/>
      <c r="N1777" s="512"/>
      <c r="O1777" s="325"/>
      <c r="P1777" s="325"/>
      <c r="Q1777" s="325"/>
      <c r="R1777" s="325"/>
      <c r="S1777" s="325"/>
      <c r="T1777" s="325"/>
      <c r="U1777" s="325"/>
      <c r="V1777" s="325"/>
      <c r="W1777" s="325"/>
    </row>
    <row r="1778" ht="16.5" customHeight="1" spans="1:23">
      <c r="A1778" s="877" t="s">
        <v>1495</v>
      </c>
      <c r="B1778" s="1226" t="s">
        <v>1496</v>
      </c>
      <c r="C1778" s="809" t="s">
        <v>1263</v>
      </c>
      <c r="D1778" s="1227">
        <v>2</v>
      </c>
      <c r="E1778" s="69"/>
      <c r="F1778" s="830"/>
      <c r="G1778" s="830">
        <f t="shared" si="140"/>
        <v>45857</v>
      </c>
      <c r="H1778" s="836">
        <f t="shared" si="141"/>
        <v>45893</v>
      </c>
      <c r="I1778" s="886" t="s">
        <v>1498</v>
      </c>
      <c r="J1778" s="1237" t="s">
        <v>39</v>
      </c>
      <c r="K1778" s="868" t="s">
        <v>147</v>
      </c>
      <c r="L1778" s="1232" t="s">
        <v>20</v>
      </c>
      <c r="M1778" s="192"/>
      <c r="N1778" s="512"/>
      <c r="O1778" s="325"/>
      <c r="P1778" s="325"/>
      <c r="Q1778" s="325"/>
      <c r="R1778" s="325"/>
      <c r="S1778" s="325"/>
      <c r="T1778" s="325"/>
      <c r="U1778" s="325"/>
      <c r="V1778" s="325"/>
      <c r="W1778" s="325"/>
    </row>
    <row r="1779" ht="16.5" customHeight="1" spans="1:23">
      <c r="A1779" s="1228" t="s">
        <v>1500</v>
      </c>
      <c r="B1779" s="1226" t="s">
        <v>1501</v>
      </c>
      <c r="C1779" s="1221" t="s">
        <v>67</v>
      </c>
      <c r="D1779" s="1229">
        <v>27</v>
      </c>
      <c r="E1779" s="69"/>
      <c r="F1779" s="830"/>
      <c r="G1779" s="830">
        <f t="shared" si="140"/>
        <v>45857</v>
      </c>
      <c r="H1779" s="836">
        <f t="shared" si="141"/>
        <v>45893</v>
      </c>
      <c r="I1779" s="886" t="s">
        <v>1498</v>
      </c>
      <c r="J1779" s="1237" t="s">
        <v>39</v>
      </c>
      <c r="K1779" s="868" t="s">
        <v>147</v>
      </c>
      <c r="L1779" s="1232" t="s">
        <v>20</v>
      </c>
      <c r="M1779" s="1238" t="s">
        <v>1315</v>
      </c>
      <c r="N1779" s="512"/>
      <c r="O1779" s="325"/>
      <c r="P1779" s="325"/>
      <c r="Q1779" s="325"/>
      <c r="R1779" s="325"/>
      <c r="S1779" s="325"/>
      <c r="T1779" s="325"/>
      <c r="U1779" s="325"/>
      <c r="V1779" s="325"/>
      <c r="W1779" s="325"/>
    </row>
    <row r="1780" ht="16.5" customHeight="1" spans="1:23">
      <c r="A1780" s="1228" t="s">
        <v>1500</v>
      </c>
      <c r="B1780" s="1226" t="s">
        <v>1501</v>
      </c>
      <c r="C1780" s="1221" t="s">
        <v>69</v>
      </c>
      <c r="D1780" s="1229">
        <v>27</v>
      </c>
      <c r="E1780" s="69"/>
      <c r="F1780" s="830"/>
      <c r="G1780" s="830">
        <f t="shared" si="140"/>
        <v>45857</v>
      </c>
      <c r="H1780" s="836">
        <f t="shared" si="141"/>
        <v>45893</v>
      </c>
      <c r="I1780" s="886" t="s">
        <v>1498</v>
      </c>
      <c r="J1780" s="1237" t="s">
        <v>39</v>
      </c>
      <c r="K1780" s="868" t="s">
        <v>147</v>
      </c>
      <c r="L1780" s="1232" t="s">
        <v>20</v>
      </c>
      <c r="M1780" s="1239"/>
      <c r="N1780" s="512"/>
      <c r="O1780" s="325"/>
      <c r="P1780" s="325"/>
      <c r="Q1780" s="325"/>
      <c r="R1780" s="325"/>
      <c r="S1780" s="325"/>
      <c r="T1780" s="325"/>
      <c r="U1780" s="325"/>
      <c r="V1780" s="325"/>
      <c r="W1780" s="325"/>
    </row>
    <row r="1781" ht="16.5" customHeight="1" spans="1:23">
      <c r="A1781" s="1228" t="s">
        <v>1500</v>
      </c>
      <c r="B1781" s="1226" t="s">
        <v>1501</v>
      </c>
      <c r="C1781" s="1221" t="s">
        <v>33</v>
      </c>
      <c r="D1781" s="1229">
        <v>23</v>
      </c>
      <c r="E1781" s="69"/>
      <c r="F1781" s="830"/>
      <c r="G1781" s="830">
        <f t="shared" si="140"/>
        <v>45857</v>
      </c>
      <c r="H1781" s="836">
        <f t="shared" si="141"/>
        <v>45893</v>
      </c>
      <c r="I1781" s="886" t="s">
        <v>1498</v>
      </c>
      <c r="J1781" s="1237" t="s">
        <v>39</v>
      </c>
      <c r="K1781" s="868" t="s">
        <v>147</v>
      </c>
      <c r="L1781" s="1232" t="s">
        <v>20</v>
      </c>
      <c r="M1781" s="1239"/>
      <c r="N1781" s="512"/>
      <c r="O1781" s="325"/>
      <c r="P1781" s="325"/>
      <c r="Q1781" s="325"/>
      <c r="R1781" s="325"/>
      <c r="S1781" s="325"/>
      <c r="T1781" s="325"/>
      <c r="U1781" s="325"/>
      <c r="V1781" s="325"/>
      <c r="W1781" s="325"/>
    </row>
    <row r="1782" ht="16.5" customHeight="1" spans="1:23">
      <c r="A1782" s="1228" t="s">
        <v>1500</v>
      </c>
      <c r="B1782" s="1226" t="s">
        <v>1501</v>
      </c>
      <c r="C1782" s="1221" t="s">
        <v>34</v>
      </c>
      <c r="D1782" s="1229">
        <v>20</v>
      </c>
      <c r="E1782" s="69"/>
      <c r="F1782" s="830"/>
      <c r="G1782" s="830">
        <f t="shared" si="140"/>
        <v>45857</v>
      </c>
      <c r="H1782" s="836">
        <f t="shared" si="141"/>
        <v>45893</v>
      </c>
      <c r="I1782" s="886" t="s">
        <v>1498</v>
      </c>
      <c r="J1782" s="1237" t="s">
        <v>39</v>
      </c>
      <c r="K1782" s="868" t="s">
        <v>147</v>
      </c>
      <c r="L1782" s="1232" t="s">
        <v>20</v>
      </c>
      <c r="M1782" s="1239"/>
      <c r="N1782" s="512"/>
      <c r="O1782" s="325"/>
      <c r="P1782" s="325"/>
      <c r="Q1782" s="325"/>
      <c r="R1782" s="325"/>
      <c r="S1782" s="325"/>
      <c r="T1782" s="325"/>
      <c r="U1782" s="325"/>
      <c r="V1782" s="325"/>
      <c r="W1782" s="325"/>
    </row>
    <row r="1783" ht="16.5" customHeight="1" spans="1:23">
      <c r="A1783" s="1228" t="s">
        <v>1500</v>
      </c>
      <c r="B1783" s="1226" t="s">
        <v>1501</v>
      </c>
      <c r="C1783" s="1221" t="s">
        <v>342</v>
      </c>
      <c r="D1783" s="1229">
        <v>12</v>
      </c>
      <c r="E1783" s="69"/>
      <c r="F1783" s="830"/>
      <c r="G1783" s="830">
        <f t="shared" si="140"/>
        <v>45857</v>
      </c>
      <c r="H1783" s="836">
        <f t="shared" si="141"/>
        <v>45893</v>
      </c>
      <c r="I1783" s="886" t="s">
        <v>1498</v>
      </c>
      <c r="J1783" s="1237" t="s">
        <v>39</v>
      </c>
      <c r="K1783" s="868" t="s">
        <v>147</v>
      </c>
      <c r="L1783" s="1232" t="s">
        <v>20</v>
      </c>
      <c r="M1783" s="1239"/>
      <c r="N1783" s="512"/>
      <c r="O1783" s="325"/>
      <c r="P1783" s="512"/>
      <c r="Q1783" s="325"/>
      <c r="R1783" s="325"/>
      <c r="S1783" s="325"/>
      <c r="T1783" s="325"/>
      <c r="U1783" s="325"/>
      <c r="V1783" s="325"/>
      <c r="W1783" s="325"/>
    </row>
    <row r="1784" ht="16.5" customHeight="1" spans="1:23">
      <c r="A1784" s="1228" t="s">
        <v>1500</v>
      </c>
      <c r="B1784" s="1226" t="s">
        <v>1501</v>
      </c>
      <c r="C1784" s="1221" t="s">
        <v>761</v>
      </c>
      <c r="D1784" s="1229">
        <v>6</v>
      </c>
      <c r="E1784" s="69"/>
      <c r="F1784" s="1230"/>
      <c r="G1784" s="1230">
        <f t="shared" si="140"/>
        <v>45857</v>
      </c>
      <c r="H1784" s="836">
        <f t="shared" si="141"/>
        <v>45893</v>
      </c>
      <c r="I1784" s="886" t="s">
        <v>1498</v>
      </c>
      <c r="J1784" s="1237" t="s">
        <v>39</v>
      </c>
      <c r="K1784" s="868" t="s">
        <v>147</v>
      </c>
      <c r="L1784" s="1232" t="s">
        <v>20</v>
      </c>
      <c r="M1784" s="1239"/>
      <c r="N1784" s="325"/>
      <c r="O1784" s="325"/>
      <c r="P1784" s="325"/>
      <c r="Q1784" s="325"/>
      <c r="R1784" s="325"/>
      <c r="S1784" s="325"/>
      <c r="T1784" s="325"/>
      <c r="U1784" s="325"/>
      <c r="V1784" s="325"/>
      <c r="W1784" s="325"/>
    </row>
    <row r="1785" ht="16.5" customHeight="1" spans="1:23">
      <c r="A1785" s="749" t="s">
        <v>1502</v>
      </c>
      <c r="B1785" s="1047" t="s">
        <v>1503</v>
      </c>
      <c r="C1785" s="674" t="s">
        <v>761</v>
      </c>
      <c r="D1785" s="250">
        <v>1</v>
      </c>
      <c r="E1785" s="1199" t="s">
        <v>1426</v>
      </c>
      <c r="F1785" s="840" t="s">
        <v>309</v>
      </c>
      <c r="G1785" s="840">
        <v>45859</v>
      </c>
      <c r="H1785" s="675">
        <v>45860</v>
      </c>
      <c r="I1785" s="784" t="s">
        <v>1504</v>
      </c>
      <c r="J1785" s="1064" t="s">
        <v>521</v>
      </c>
      <c r="K1785" s="749" t="s">
        <v>1505</v>
      </c>
      <c r="L1785" s="240" t="s">
        <v>20</v>
      </c>
      <c r="M1785" s="808" t="s">
        <v>1506</v>
      </c>
      <c r="N1785" s="512"/>
      <c r="O1785" s="1154"/>
      <c r="P1785" s="1154"/>
      <c r="Q1785" s="1154"/>
      <c r="R1785" s="1154"/>
      <c r="S1785" s="1154"/>
      <c r="T1785" s="1154"/>
      <c r="U1785" s="1154"/>
      <c r="V1785" s="1154"/>
      <c r="W1785" s="1154"/>
    </row>
    <row r="1786" ht="16.5" customHeight="1" spans="1:23">
      <c r="A1786" s="749" t="s">
        <v>1502</v>
      </c>
      <c r="B1786" s="1047" t="s">
        <v>1503</v>
      </c>
      <c r="C1786" s="674" t="s">
        <v>24</v>
      </c>
      <c r="D1786" s="250">
        <v>3</v>
      </c>
      <c r="E1786" s="281"/>
      <c r="F1786" s="840" t="s">
        <v>309</v>
      </c>
      <c r="G1786" s="840">
        <v>45859</v>
      </c>
      <c r="H1786" s="675">
        <v>45860</v>
      </c>
      <c r="I1786" s="784" t="s">
        <v>1504</v>
      </c>
      <c r="J1786" s="1064" t="s">
        <v>521</v>
      </c>
      <c r="K1786" s="749" t="s">
        <v>1505</v>
      </c>
      <c r="L1786" s="240" t="s">
        <v>20</v>
      </c>
      <c r="M1786" s="190"/>
      <c r="N1786" s="512"/>
      <c r="O1786" s="1154"/>
      <c r="P1786" s="1154"/>
      <c r="Q1786" s="1154"/>
      <c r="R1786" s="1154"/>
      <c r="S1786" s="1154"/>
      <c r="T1786" s="1154"/>
      <c r="U1786" s="1154"/>
      <c r="V1786" s="1154"/>
      <c r="W1786" s="1154"/>
    </row>
    <row r="1787" s="6" customFormat="1" ht="15.4" customHeight="1" spans="1:23">
      <c r="A1787" s="749" t="s">
        <v>1507</v>
      </c>
      <c r="B1787" s="1047" t="s">
        <v>1508</v>
      </c>
      <c r="C1787" s="674" t="s">
        <v>15</v>
      </c>
      <c r="D1787" s="250">
        <v>85</v>
      </c>
      <c r="E1787" s="1162" t="s">
        <v>1509</v>
      </c>
      <c r="F1787" s="1156">
        <v>45891</v>
      </c>
      <c r="G1787" s="675">
        <f>VLOOKUP(CLEAN(SUBSTITUTE(TRIM(MID(E:E,FIND("/",E:E)+1,LEN(E:E)))," ","")),'Customs Decl. &amp; Local Delivery'!D:I,6,0)</f>
        <v>45860</v>
      </c>
      <c r="H1787" s="675">
        <f>VLOOKUP(CLEAN(SUBSTITUTE(TRIM(MID(E:E,FIND("/",E:E)+1,LEN(E:E)))," ","")),'Customs Decl. &amp; Local Delivery'!D:J,7,0)</f>
        <v>45884</v>
      </c>
      <c r="I1787" s="784" t="s">
        <v>1510</v>
      </c>
      <c r="J1787" s="1064" t="s">
        <v>207</v>
      </c>
      <c r="K1787" s="1064" t="s">
        <v>19</v>
      </c>
      <c r="L1787" s="279" t="s">
        <v>20</v>
      </c>
      <c r="M1787" s="1064" t="s">
        <v>1511</v>
      </c>
      <c r="N1787" s="512"/>
      <c r="O1787" s="512"/>
      <c r="P1787" s="512"/>
      <c r="Q1787" s="512"/>
      <c r="R1787" s="512"/>
      <c r="S1787" s="512"/>
      <c r="T1787" s="512"/>
      <c r="U1787" s="512"/>
      <c r="V1787" s="512"/>
      <c r="W1787" s="512"/>
    </row>
    <row r="1788" s="6" customFormat="1" ht="15.4" customHeight="1" spans="1:23">
      <c r="A1788" s="749" t="s">
        <v>1507</v>
      </c>
      <c r="B1788" s="1047" t="s">
        <v>1508</v>
      </c>
      <c r="C1788" s="674" t="s">
        <v>22</v>
      </c>
      <c r="D1788" s="250">
        <v>85</v>
      </c>
      <c r="E1788" s="69"/>
      <c r="F1788" s="675">
        <v>45891</v>
      </c>
      <c r="G1788" s="703">
        <f t="shared" ref="G1788:G1802" si="142">G1787</f>
        <v>45860</v>
      </c>
      <c r="H1788" s="703">
        <f t="shared" ref="H1788:H1802" si="143">H1787</f>
        <v>45884</v>
      </c>
      <c r="I1788" s="784" t="s">
        <v>1510</v>
      </c>
      <c r="J1788" s="1064" t="s">
        <v>207</v>
      </c>
      <c r="K1788" s="1064" t="s">
        <v>19</v>
      </c>
      <c r="L1788" s="279" t="s">
        <v>20</v>
      </c>
      <c r="M1788" s="784" t="s">
        <v>1512</v>
      </c>
      <c r="N1788" s="512"/>
      <c r="O1788" s="512"/>
      <c r="P1788" s="512"/>
      <c r="Q1788" s="512"/>
      <c r="R1788" s="512"/>
      <c r="S1788" s="512"/>
      <c r="T1788" s="512"/>
      <c r="U1788" s="512"/>
      <c r="V1788" s="512"/>
      <c r="W1788" s="512"/>
    </row>
    <row r="1789" s="6" customFormat="1" ht="15.4" customHeight="1" spans="1:23">
      <c r="A1789" s="749" t="s">
        <v>1507</v>
      </c>
      <c r="B1789" s="1047" t="s">
        <v>1508</v>
      </c>
      <c r="C1789" s="674" t="s">
        <v>24</v>
      </c>
      <c r="D1789" s="250">
        <v>15</v>
      </c>
      <c r="E1789" s="69"/>
      <c r="F1789" s="675">
        <v>45891</v>
      </c>
      <c r="G1789" s="703">
        <f t="shared" si="142"/>
        <v>45860</v>
      </c>
      <c r="H1789" s="703">
        <f t="shared" si="143"/>
        <v>45884</v>
      </c>
      <c r="I1789" s="784" t="s">
        <v>1510</v>
      </c>
      <c r="J1789" s="1064" t="s">
        <v>207</v>
      </c>
      <c r="K1789" s="1064" t="s">
        <v>19</v>
      </c>
      <c r="L1789" s="279" t="s">
        <v>20</v>
      </c>
      <c r="M1789" s="784"/>
      <c r="N1789" s="512"/>
      <c r="O1789" s="512"/>
      <c r="P1789" s="512"/>
      <c r="Q1789" s="512"/>
      <c r="R1789" s="512"/>
      <c r="S1789" s="512"/>
      <c r="T1789" s="512"/>
      <c r="U1789" s="512"/>
      <c r="V1789" s="512"/>
      <c r="W1789" s="512"/>
    </row>
    <row r="1790" s="6" customFormat="1" ht="15.4" customHeight="1" spans="1:23">
      <c r="A1790" s="749" t="s">
        <v>1507</v>
      </c>
      <c r="B1790" s="1047" t="s">
        <v>1508</v>
      </c>
      <c r="C1790" s="674" t="s">
        <v>25</v>
      </c>
      <c r="D1790" s="250">
        <v>15</v>
      </c>
      <c r="E1790" s="69"/>
      <c r="F1790" s="675">
        <v>45891</v>
      </c>
      <c r="G1790" s="703">
        <f t="shared" si="142"/>
        <v>45860</v>
      </c>
      <c r="H1790" s="703">
        <f t="shared" si="143"/>
        <v>45884</v>
      </c>
      <c r="I1790" s="784" t="s">
        <v>1510</v>
      </c>
      <c r="J1790" s="1064" t="s">
        <v>207</v>
      </c>
      <c r="K1790" s="1064" t="s">
        <v>19</v>
      </c>
      <c r="L1790" s="279" t="s">
        <v>20</v>
      </c>
      <c r="M1790" s="784"/>
      <c r="N1790" s="512"/>
      <c r="O1790" s="512"/>
      <c r="P1790" s="512"/>
      <c r="Q1790" s="512"/>
      <c r="R1790" s="512"/>
      <c r="S1790" s="512"/>
      <c r="T1790" s="512"/>
      <c r="U1790" s="512"/>
      <c r="V1790" s="512"/>
      <c r="W1790" s="512"/>
    </row>
    <row r="1791" s="6" customFormat="1" ht="15.4" customHeight="1" spans="1:23">
      <c r="A1791" s="749" t="s">
        <v>1507</v>
      </c>
      <c r="B1791" s="1047" t="s">
        <v>1508</v>
      </c>
      <c r="C1791" s="674" t="s">
        <v>27</v>
      </c>
      <c r="D1791" s="250">
        <v>20</v>
      </c>
      <c r="E1791" s="69"/>
      <c r="F1791" s="675">
        <v>45891</v>
      </c>
      <c r="G1791" s="703">
        <f t="shared" si="142"/>
        <v>45860</v>
      </c>
      <c r="H1791" s="703">
        <f t="shared" si="143"/>
        <v>45884</v>
      </c>
      <c r="I1791" s="784" t="s">
        <v>1510</v>
      </c>
      <c r="J1791" s="1064" t="s">
        <v>207</v>
      </c>
      <c r="K1791" s="1064" t="s">
        <v>19</v>
      </c>
      <c r="L1791" s="279" t="s">
        <v>20</v>
      </c>
      <c r="M1791" s="784"/>
      <c r="N1791" s="512"/>
      <c r="O1791" s="512"/>
      <c r="P1791" s="512"/>
      <c r="Q1791" s="512"/>
      <c r="R1791" s="512"/>
      <c r="S1791" s="512"/>
      <c r="T1791" s="512"/>
      <c r="U1791" s="512"/>
      <c r="V1791" s="512"/>
      <c r="W1791" s="512"/>
    </row>
    <row r="1792" s="6" customFormat="1" ht="15.4" customHeight="1" spans="1:23">
      <c r="A1792" s="749" t="s">
        <v>1507</v>
      </c>
      <c r="B1792" s="1047" t="s">
        <v>1508</v>
      </c>
      <c r="C1792" s="674" t="s">
        <v>28</v>
      </c>
      <c r="D1792" s="250">
        <v>20</v>
      </c>
      <c r="E1792" s="69"/>
      <c r="F1792" s="675">
        <v>45891</v>
      </c>
      <c r="G1792" s="703">
        <f t="shared" si="142"/>
        <v>45860</v>
      </c>
      <c r="H1792" s="703">
        <f t="shared" si="143"/>
        <v>45884</v>
      </c>
      <c r="I1792" s="784" t="s">
        <v>1510</v>
      </c>
      <c r="J1792" s="1064" t="s">
        <v>207</v>
      </c>
      <c r="K1792" s="1064" t="s">
        <v>19</v>
      </c>
      <c r="L1792" s="279" t="s">
        <v>20</v>
      </c>
      <c r="M1792" s="784"/>
      <c r="N1792" s="512"/>
      <c r="O1792" s="512"/>
      <c r="P1792" s="512"/>
      <c r="Q1792" s="512"/>
      <c r="R1792" s="512"/>
      <c r="S1792" s="512"/>
      <c r="T1792" s="512"/>
      <c r="U1792" s="512"/>
      <c r="V1792" s="512"/>
      <c r="W1792" s="512"/>
    </row>
    <row r="1793" s="6" customFormat="1" ht="15.4" customHeight="1" spans="1:23">
      <c r="A1793" s="749" t="s">
        <v>1507</v>
      </c>
      <c r="B1793" s="1047" t="s">
        <v>1508</v>
      </c>
      <c r="C1793" s="674" t="s">
        <v>67</v>
      </c>
      <c r="D1793" s="250">
        <v>20</v>
      </c>
      <c r="E1793" s="69"/>
      <c r="F1793" s="675">
        <v>45891</v>
      </c>
      <c r="G1793" s="703">
        <f t="shared" si="142"/>
        <v>45860</v>
      </c>
      <c r="H1793" s="703">
        <f t="shared" si="143"/>
        <v>45884</v>
      </c>
      <c r="I1793" s="784" t="s">
        <v>1510</v>
      </c>
      <c r="J1793" s="1064" t="s">
        <v>207</v>
      </c>
      <c r="K1793" s="1064" t="s">
        <v>19</v>
      </c>
      <c r="L1793" s="279" t="s">
        <v>20</v>
      </c>
      <c r="M1793" s="784"/>
      <c r="N1793" s="512"/>
      <c r="O1793" s="512"/>
      <c r="P1793" s="512"/>
      <c r="Q1793" s="512"/>
      <c r="R1793" s="512"/>
      <c r="S1793" s="512"/>
      <c r="T1793" s="512"/>
      <c r="U1793" s="512"/>
      <c r="V1793" s="512"/>
      <c r="W1793" s="512"/>
    </row>
    <row r="1794" s="6" customFormat="1" ht="15.4" customHeight="1" spans="1:23">
      <c r="A1794" s="749" t="s">
        <v>1507</v>
      </c>
      <c r="B1794" s="1047" t="s">
        <v>1508</v>
      </c>
      <c r="C1794" s="674" t="s">
        <v>69</v>
      </c>
      <c r="D1794" s="250">
        <v>20</v>
      </c>
      <c r="E1794" s="69"/>
      <c r="F1794" s="675">
        <v>45891</v>
      </c>
      <c r="G1794" s="703">
        <f t="shared" si="142"/>
        <v>45860</v>
      </c>
      <c r="H1794" s="703">
        <f t="shared" si="143"/>
        <v>45884</v>
      </c>
      <c r="I1794" s="784" t="s">
        <v>1510</v>
      </c>
      <c r="J1794" s="1064" t="s">
        <v>207</v>
      </c>
      <c r="K1794" s="1064" t="s">
        <v>19</v>
      </c>
      <c r="L1794" s="279" t="s">
        <v>20</v>
      </c>
      <c r="M1794" s="784"/>
      <c r="N1794" s="512"/>
      <c r="O1794" s="512"/>
      <c r="P1794" s="512"/>
      <c r="Q1794" s="512"/>
      <c r="R1794" s="512"/>
      <c r="S1794" s="512"/>
      <c r="T1794" s="512"/>
      <c r="U1794" s="512"/>
      <c r="V1794" s="512"/>
      <c r="W1794" s="512"/>
    </row>
    <row r="1795" s="6" customFormat="1" ht="15.4" customHeight="1" spans="1:23">
      <c r="A1795" s="749" t="s">
        <v>1507</v>
      </c>
      <c r="B1795" s="1047" t="s">
        <v>1508</v>
      </c>
      <c r="C1795" s="671" t="s">
        <v>70</v>
      </c>
      <c r="D1795" s="250">
        <v>15</v>
      </c>
      <c r="E1795" s="69"/>
      <c r="F1795" s="675">
        <v>45891</v>
      </c>
      <c r="G1795" s="703">
        <f t="shared" si="142"/>
        <v>45860</v>
      </c>
      <c r="H1795" s="703">
        <f t="shared" si="143"/>
        <v>45884</v>
      </c>
      <c r="I1795" s="784" t="s">
        <v>1510</v>
      </c>
      <c r="J1795" s="1064" t="s">
        <v>207</v>
      </c>
      <c r="K1795" s="1064" t="s">
        <v>19</v>
      </c>
      <c r="L1795" s="279" t="s">
        <v>20</v>
      </c>
      <c r="M1795" s="784"/>
      <c r="N1795" s="512"/>
      <c r="O1795" s="512"/>
      <c r="P1795" s="512"/>
      <c r="Q1795" s="512"/>
      <c r="R1795" s="512"/>
      <c r="S1795" s="512"/>
      <c r="T1795" s="512"/>
      <c r="U1795" s="512"/>
      <c r="V1795" s="512"/>
      <c r="W1795" s="512"/>
    </row>
    <row r="1796" ht="15.4" customHeight="1" spans="1:23">
      <c r="A1796" s="749" t="s">
        <v>1507</v>
      </c>
      <c r="B1796" s="1047" t="s">
        <v>1508</v>
      </c>
      <c r="C1796" s="671" t="s">
        <v>71</v>
      </c>
      <c r="D1796" s="250">
        <v>15</v>
      </c>
      <c r="E1796" s="69"/>
      <c r="F1796" s="675">
        <v>45891</v>
      </c>
      <c r="G1796" s="703">
        <f t="shared" si="142"/>
        <v>45860</v>
      </c>
      <c r="H1796" s="703">
        <f t="shared" si="143"/>
        <v>45884</v>
      </c>
      <c r="I1796" s="784" t="s">
        <v>1510</v>
      </c>
      <c r="J1796" s="1064" t="s">
        <v>207</v>
      </c>
      <c r="K1796" s="1064" t="s">
        <v>19</v>
      </c>
      <c r="L1796" s="279" t="s">
        <v>20</v>
      </c>
      <c r="M1796" s="784"/>
      <c r="N1796" s="512"/>
      <c r="O1796" s="325"/>
      <c r="P1796" s="325"/>
      <c r="Q1796" s="325"/>
      <c r="R1796" s="325"/>
      <c r="S1796" s="325"/>
      <c r="T1796" s="325"/>
      <c r="U1796" s="325"/>
      <c r="V1796" s="325"/>
      <c r="W1796" s="325"/>
    </row>
    <row r="1797" ht="15.4" customHeight="1" spans="1:23">
      <c r="A1797" s="749" t="s">
        <v>1507</v>
      </c>
      <c r="B1797" s="1047" t="s">
        <v>1508</v>
      </c>
      <c r="C1797" s="671" t="s">
        <v>31</v>
      </c>
      <c r="D1797" s="250">
        <v>3</v>
      </c>
      <c r="E1797" s="69"/>
      <c r="F1797" s="675">
        <v>45891</v>
      </c>
      <c r="G1797" s="703">
        <f t="shared" si="142"/>
        <v>45860</v>
      </c>
      <c r="H1797" s="703">
        <f t="shared" si="143"/>
        <v>45884</v>
      </c>
      <c r="I1797" s="784" t="s">
        <v>1510</v>
      </c>
      <c r="J1797" s="1064" t="s">
        <v>207</v>
      </c>
      <c r="K1797" s="1064" t="s">
        <v>19</v>
      </c>
      <c r="L1797" s="279" t="s">
        <v>20</v>
      </c>
      <c r="M1797" s="784"/>
      <c r="N1797" s="512"/>
      <c r="O1797" s="1154"/>
      <c r="P1797" s="1154"/>
      <c r="Q1797" s="1154"/>
      <c r="R1797" s="1154"/>
      <c r="S1797" s="1154"/>
      <c r="T1797" s="1154"/>
      <c r="U1797" s="1154"/>
      <c r="V1797" s="1154"/>
      <c r="W1797" s="1154"/>
    </row>
    <row r="1798" ht="15.4" customHeight="1" spans="1:23">
      <c r="A1798" s="749" t="s">
        <v>1507</v>
      </c>
      <c r="B1798" s="1047" t="s">
        <v>1508</v>
      </c>
      <c r="C1798" s="671" t="s">
        <v>32</v>
      </c>
      <c r="D1798" s="250">
        <v>3</v>
      </c>
      <c r="E1798" s="69"/>
      <c r="F1798" s="675">
        <v>45891</v>
      </c>
      <c r="G1798" s="703">
        <f t="shared" si="142"/>
        <v>45860</v>
      </c>
      <c r="H1798" s="703">
        <f t="shared" si="143"/>
        <v>45884</v>
      </c>
      <c r="I1798" s="784" t="s">
        <v>1510</v>
      </c>
      <c r="J1798" s="1064" t="s">
        <v>207</v>
      </c>
      <c r="K1798" s="1064" t="s">
        <v>19</v>
      </c>
      <c r="L1798" s="279" t="s">
        <v>20</v>
      </c>
      <c r="M1798" s="784"/>
      <c r="N1798" s="512"/>
      <c r="O1798" s="1154"/>
      <c r="P1798" s="1154"/>
      <c r="Q1798" s="1154"/>
      <c r="R1798" s="1154"/>
      <c r="S1798" s="1154"/>
      <c r="T1798" s="1154"/>
      <c r="U1798" s="1154"/>
      <c r="V1798" s="1154"/>
      <c r="W1798" s="1154"/>
    </row>
    <row r="1799" ht="15.4" customHeight="1" spans="1:23">
      <c r="A1799" s="749" t="s">
        <v>1507</v>
      </c>
      <c r="B1799" s="1047" t="s">
        <v>1508</v>
      </c>
      <c r="C1799" s="671" t="s">
        <v>33</v>
      </c>
      <c r="D1799" s="250">
        <v>3</v>
      </c>
      <c r="E1799" s="69"/>
      <c r="F1799" s="675">
        <v>45891</v>
      </c>
      <c r="G1799" s="703">
        <f t="shared" si="142"/>
        <v>45860</v>
      </c>
      <c r="H1799" s="703">
        <f t="shared" si="143"/>
        <v>45884</v>
      </c>
      <c r="I1799" s="784" t="s">
        <v>1510</v>
      </c>
      <c r="J1799" s="1064" t="s">
        <v>207</v>
      </c>
      <c r="K1799" s="1064" t="s">
        <v>19</v>
      </c>
      <c r="L1799" s="279" t="s">
        <v>20</v>
      </c>
      <c r="M1799" s="784"/>
      <c r="N1799" s="512"/>
      <c r="O1799" s="325"/>
      <c r="P1799" s="325"/>
      <c r="Q1799" s="325"/>
      <c r="R1799" s="325"/>
      <c r="S1799" s="325"/>
      <c r="T1799" s="325"/>
      <c r="U1799" s="325"/>
      <c r="V1799" s="325"/>
      <c r="W1799" s="325"/>
    </row>
    <row r="1800" ht="15.4" customHeight="1" spans="1:23">
      <c r="A1800" s="749" t="s">
        <v>1507</v>
      </c>
      <c r="B1800" s="1047" t="s">
        <v>1508</v>
      </c>
      <c r="C1800" s="671" t="s">
        <v>34</v>
      </c>
      <c r="D1800" s="250">
        <v>3</v>
      </c>
      <c r="E1800" s="69"/>
      <c r="F1800" s="675">
        <v>45891</v>
      </c>
      <c r="G1800" s="703">
        <f t="shared" si="142"/>
        <v>45860</v>
      </c>
      <c r="H1800" s="703">
        <f t="shared" si="143"/>
        <v>45884</v>
      </c>
      <c r="I1800" s="784" t="s">
        <v>1510</v>
      </c>
      <c r="J1800" s="1064" t="s">
        <v>207</v>
      </c>
      <c r="K1800" s="1064" t="s">
        <v>19</v>
      </c>
      <c r="L1800" s="279" t="s">
        <v>20</v>
      </c>
      <c r="M1800" s="784"/>
      <c r="N1800" s="512"/>
      <c r="O1800" s="325"/>
      <c r="P1800" s="325"/>
      <c r="Q1800" s="325"/>
      <c r="R1800" s="325"/>
      <c r="S1800" s="325"/>
      <c r="T1800" s="325"/>
      <c r="U1800" s="325"/>
      <c r="V1800" s="325"/>
      <c r="W1800" s="325"/>
    </row>
    <row r="1801" ht="15.4" customHeight="1" spans="1:23">
      <c r="A1801" s="749" t="s">
        <v>1507</v>
      </c>
      <c r="B1801" s="1047" t="s">
        <v>1508</v>
      </c>
      <c r="C1801" s="671" t="s">
        <v>59</v>
      </c>
      <c r="D1801" s="250">
        <v>2</v>
      </c>
      <c r="E1801" s="69"/>
      <c r="F1801" s="675">
        <v>45891</v>
      </c>
      <c r="G1801" s="703">
        <f t="shared" si="142"/>
        <v>45860</v>
      </c>
      <c r="H1801" s="703">
        <f t="shared" si="143"/>
        <v>45884</v>
      </c>
      <c r="I1801" s="784" t="s">
        <v>1510</v>
      </c>
      <c r="J1801" s="1064" t="s">
        <v>207</v>
      </c>
      <c r="K1801" s="1064" t="s">
        <v>19</v>
      </c>
      <c r="L1801" s="279" t="s">
        <v>20</v>
      </c>
      <c r="M1801" s="784"/>
      <c r="N1801" s="512"/>
      <c r="O1801" s="325"/>
      <c r="P1801" s="325"/>
      <c r="Q1801" s="325"/>
      <c r="R1801" s="325"/>
      <c r="S1801" s="325"/>
      <c r="T1801" s="325"/>
      <c r="U1801" s="325"/>
      <c r="V1801" s="325"/>
      <c r="W1801" s="325"/>
    </row>
    <row r="1802" ht="15.4" customHeight="1" spans="1:23">
      <c r="A1802" s="749" t="s">
        <v>1507</v>
      </c>
      <c r="B1802" s="1047" t="s">
        <v>1508</v>
      </c>
      <c r="C1802" s="748" t="s">
        <v>60</v>
      </c>
      <c r="D1802" s="293">
        <v>2</v>
      </c>
      <c r="E1802" s="69"/>
      <c r="F1802" s="675">
        <v>45891</v>
      </c>
      <c r="G1802" s="703">
        <f t="shared" si="142"/>
        <v>45860</v>
      </c>
      <c r="H1802" s="703">
        <f t="shared" si="143"/>
        <v>45884</v>
      </c>
      <c r="I1802" s="1185" t="s">
        <v>1510</v>
      </c>
      <c r="J1802" s="1084" t="s">
        <v>207</v>
      </c>
      <c r="K1802" s="1084" t="s">
        <v>19</v>
      </c>
      <c r="L1802" s="279" t="s">
        <v>20</v>
      </c>
      <c r="M1802" s="784"/>
      <c r="N1802" s="512"/>
      <c r="O1802" s="325"/>
      <c r="P1802" s="325"/>
      <c r="Q1802" s="325"/>
      <c r="R1802" s="325"/>
      <c r="S1802" s="325"/>
      <c r="T1802" s="325"/>
      <c r="U1802" s="325"/>
      <c r="V1802" s="325"/>
      <c r="W1802" s="325"/>
    </row>
    <row r="1803" ht="15.4" customHeight="1" spans="1:23">
      <c r="A1803" s="749" t="s">
        <v>1507</v>
      </c>
      <c r="B1803" s="1155" t="s">
        <v>1513</v>
      </c>
      <c r="C1803" s="674" t="s">
        <v>129</v>
      </c>
      <c r="D1803" s="250">
        <v>25</v>
      </c>
      <c r="E1803" s="1162" t="s">
        <v>1514</v>
      </c>
      <c r="F1803" s="675">
        <v>45891</v>
      </c>
      <c r="G1803" s="1200">
        <f>VLOOKUP(CLEAN(SUBSTITUTE(TRIM(MID(E:E,FIND("/",E:E)+1,LEN(E:E)))," ","")),'Customs Decl. &amp; Local Delivery'!D:I,6,0)</f>
        <v>45860</v>
      </c>
      <c r="H1803" s="676">
        <f>VLOOKUP(CLEAN(SUBSTITUTE(TRIM(MID(E:E,FIND("/",E:E)+1,LEN(E:E)))," ","")),'Customs Decl. &amp; Local Delivery'!D:J,7,0)</f>
        <v>45889</v>
      </c>
      <c r="I1803" s="784" t="s">
        <v>1515</v>
      </c>
      <c r="J1803" s="1064" t="s">
        <v>215</v>
      </c>
      <c r="K1803" s="1064" t="s">
        <v>19</v>
      </c>
      <c r="L1803" s="255" t="s">
        <v>20</v>
      </c>
      <c r="M1803" s="784" t="s">
        <v>1516</v>
      </c>
      <c r="N1803" s="512"/>
      <c r="O1803" s="325"/>
      <c r="P1803" s="325"/>
      <c r="Q1803" s="325"/>
      <c r="R1803" s="325"/>
      <c r="S1803" s="325"/>
      <c r="T1803" s="325"/>
      <c r="U1803" s="325"/>
      <c r="V1803" s="325"/>
      <c r="W1803" s="325"/>
    </row>
    <row r="1804" ht="15.4" customHeight="1" spans="1:23">
      <c r="A1804" s="749" t="s">
        <v>1507</v>
      </c>
      <c r="B1804" s="1155" t="s">
        <v>1513</v>
      </c>
      <c r="C1804" s="674" t="s">
        <v>133</v>
      </c>
      <c r="D1804" s="250">
        <v>25</v>
      </c>
      <c r="E1804" s="69"/>
      <c r="F1804" s="675">
        <v>45891</v>
      </c>
      <c r="G1804" s="703">
        <f t="shared" ref="G1804:G1820" si="144">G1803</f>
        <v>45860</v>
      </c>
      <c r="H1804" s="713">
        <f t="shared" ref="H1804:H1820" si="145">H1803</f>
        <v>45889</v>
      </c>
      <c r="I1804" s="784" t="s">
        <v>1515</v>
      </c>
      <c r="J1804" s="1064" t="s">
        <v>215</v>
      </c>
      <c r="K1804" s="1064" t="s">
        <v>19</v>
      </c>
      <c r="L1804" s="255" t="s">
        <v>20</v>
      </c>
      <c r="M1804" s="784" t="s">
        <v>1512</v>
      </c>
      <c r="N1804" s="512"/>
      <c r="O1804" s="325"/>
      <c r="P1804" s="325"/>
      <c r="Q1804" s="325"/>
      <c r="R1804" s="325"/>
      <c r="S1804" s="325"/>
      <c r="T1804" s="325"/>
      <c r="U1804" s="325"/>
      <c r="V1804" s="325"/>
      <c r="W1804" s="325"/>
    </row>
    <row r="1805" ht="15.4" customHeight="1" spans="1:23">
      <c r="A1805" s="749" t="s">
        <v>1507</v>
      </c>
      <c r="B1805" s="1155" t="s">
        <v>1513</v>
      </c>
      <c r="C1805" s="674" t="s">
        <v>15</v>
      </c>
      <c r="D1805" s="250">
        <v>35</v>
      </c>
      <c r="E1805" s="69"/>
      <c r="F1805" s="675">
        <v>45891</v>
      </c>
      <c r="G1805" s="703">
        <f t="shared" si="144"/>
        <v>45860</v>
      </c>
      <c r="H1805" s="713">
        <f t="shared" si="145"/>
        <v>45889</v>
      </c>
      <c r="I1805" s="784" t="s">
        <v>1515</v>
      </c>
      <c r="J1805" s="1064" t="s">
        <v>215</v>
      </c>
      <c r="K1805" s="1064" t="s">
        <v>19</v>
      </c>
      <c r="L1805" s="255" t="s">
        <v>20</v>
      </c>
      <c r="M1805" s="784" t="s">
        <v>1517</v>
      </c>
      <c r="N1805" s="512"/>
      <c r="O1805" s="325"/>
      <c r="P1805" s="325"/>
      <c r="Q1805" s="325"/>
      <c r="R1805" s="325"/>
      <c r="S1805" s="325"/>
      <c r="T1805" s="325"/>
      <c r="U1805" s="325"/>
      <c r="V1805" s="325"/>
      <c r="W1805" s="325"/>
    </row>
    <row r="1806" ht="15.4" customHeight="1" spans="1:23">
      <c r="A1806" s="749" t="s">
        <v>1507</v>
      </c>
      <c r="B1806" s="1155" t="s">
        <v>1513</v>
      </c>
      <c r="C1806" s="674" t="s">
        <v>22</v>
      </c>
      <c r="D1806" s="250">
        <v>35</v>
      </c>
      <c r="E1806" s="69"/>
      <c r="F1806" s="675">
        <v>45891</v>
      </c>
      <c r="G1806" s="703">
        <f t="shared" si="144"/>
        <v>45860</v>
      </c>
      <c r="H1806" s="713">
        <f t="shared" si="145"/>
        <v>45889</v>
      </c>
      <c r="I1806" s="784" t="s">
        <v>1515</v>
      </c>
      <c r="J1806" s="1064" t="s">
        <v>215</v>
      </c>
      <c r="K1806" s="1064" t="s">
        <v>19</v>
      </c>
      <c r="L1806" s="255" t="s">
        <v>20</v>
      </c>
      <c r="M1806" s="784"/>
      <c r="N1806" s="512"/>
      <c r="O1806" s="325"/>
      <c r="P1806" s="325"/>
      <c r="Q1806" s="325"/>
      <c r="R1806" s="325"/>
      <c r="S1806" s="325"/>
      <c r="T1806" s="325"/>
      <c r="U1806" s="325"/>
      <c r="V1806" s="325"/>
      <c r="W1806" s="325"/>
    </row>
    <row r="1807" ht="15.4" customHeight="1" spans="1:23">
      <c r="A1807" s="749" t="s">
        <v>1507</v>
      </c>
      <c r="B1807" s="1155" t="s">
        <v>1513</v>
      </c>
      <c r="C1807" s="674" t="s">
        <v>24</v>
      </c>
      <c r="D1807" s="250">
        <v>25</v>
      </c>
      <c r="E1807" s="69"/>
      <c r="F1807" s="675">
        <v>45891</v>
      </c>
      <c r="G1807" s="703">
        <f t="shared" si="144"/>
        <v>45860</v>
      </c>
      <c r="H1807" s="713">
        <f t="shared" si="145"/>
        <v>45889</v>
      </c>
      <c r="I1807" s="784" t="s">
        <v>1515</v>
      </c>
      <c r="J1807" s="1064" t="s">
        <v>215</v>
      </c>
      <c r="K1807" s="1064" t="s">
        <v>19</v>
      </c>
      <c r="L1807" s="255" t="s">
        <v>20</v>
      </c>
      <c r="M1807" s="784"/>
      <c r="N1807" s="512"/>
      <c r="O1807" s="325"/>
      <c r="P1807" s="325"/>
      <c r="Q1807" s="325"/>
      <c r="R1807" s="325"/>
      <c r="S1807" s="325"/>
      <c r="T1807" s="325"/>
      <c r="U1807" s="325"/>
      <c r="V1807" s="325"/>
      <c r="W1807" s="325"/>
    </row>
    <row r="1808" ht="15.4" customHeight="1" spans="1:23">
      <c r="A1808" s="749" t="s">
        <v>1507</v>
      </c>
      <c r="B1808" s="1155" t="s">
        <v>1513</v>
      </c>
      <c r="C1808" s="674" t="s">
        <v>25</v>
      </c>
      <c r="D1808" s="250">
        <v>25</v>
      </c>
      <c r="E1808" s="69"/>
      <c r="F1808" s="675">
        <v>45891</v>
      </c>
      <c r="G1808" s="703">
        <f t="shared" si="144"/>
        <v>45860</v>
      </c>
      <c r="H1808" s="713">
        <f t="shared" si="145"/>
        <v>45889</v>
      </c>
      <c r="I1808" s="784" t="s">
        <v>1515</v>
      </c>
      <c r="J1808" s="1064" t="s">
        <v>215</v>
      </c>
      <c r="K1808" s="1064" t="s">
        <v>19</v>
      </c>
      <c r="L1808" s="255" t="s">
        <v>20</v>
      </c>
      <c r="M1808" s="784"/>
      <c r="N1808" s="512"/>
      <c r="O1808" s="325"/>
      <c r="P1808" s="325"/>
      <c r="Q1808" s="325"/>
      <c r="R1808" s="325"/>
      <c r="S1808" s="325"/>
      <c r="T1808" s="325"/>
      <c r="U1808" s="325"/>
      <c r="V1808" s="325"/>
      <c r="W1808" s="325"/>
    </row>
    <row r="1809" ht="15.4" customHeight="1" spans="1:23">
      <c r="A1809" s="749" t="s">
        <v>1507</v>
      </c>
      <c r="B1809" s="1155" t="s">
        <v>1513</v>
      </c>
      <c r="C1809" s="674" t="s">
        <v>27</v>
      </c>
      <c r="D1809" s="250">
        <v>30</v>
      </c>
      <c r="E1809" s="69"/>
      <c r="F1809" s="675">
        <v>45891</v>
      </c>
      <c r="G1809" s="703">
        <f t="shared" si="144"/>
        <v>45860</v>
      </c>
      <c r="H1809" s="713">
        <f t="shared" si="145"/>
        <v>45889</v>
      </c>
      <c r="I1809" s="784" t="s">
        <v>1515</v>
      </c>
      <c r="J1809" s="1064" t="s">
        <v>215</v>
      </c>
      <c r="K1809" s="1064" t="s">
        <v>19</v>
      </c>
      <c r="L1809" s="255" t="s">
        <v>20</v>
      </c>
      <c r="M1809" s="784"/>
      <c r="N1809" s="512"/>
      <c r="O1809" s="325"/>
      <c r="P1809" s="325"/>
      <c r="Q1809" s="325"/>
      <c r="R1809" s="325"/>
      <c r="S1809" s="325"/>
      <c r="T1809" s="325"/>
      <c r="U1809" s="325"/>
      <c r="V1809" s="325"/>
      <c r="W1809" s="325"/>
    </row>
    <row r="1810" ht="15.4" customHeight="1" spans="1:23">
      <c r="A1810" s="749" t="s">
        <v>1507</v>
      </c>
      <c r="B1810" s="1155" t="s">
        <v>1513</v>
      </c>
      <c r="C1810" s="674" t="s">
        <v>28</v>
      </c>
      <c r="D1810" s="250">
        <v>30</v>
      </c>
      <c r="E1810" s="69"/>
      <c r="F1810" s="675">
        <v>45891</v>
      </c>
      <c r="G1810" s="703">
        <f t="shared" si="144"/>
        <v>45860</v>
      </c>
      <c r="H1810" s="713">
        <f t="shared" si="145"/>
        <v>45889</v>
      </c>
      <c r="I1810" s="784" t="s">
        <v>1515</v>
      </c>
      <c r="J1810" s="1064" t="s">
        <v>215</v>
      </c>
      <c r="K1810" s="1064" t="s">
        <v>19</v>
      </c>
      <c r="L1810" s="255" t="s">
        <v>20</v>
      </c>
      <c r="M1810" s="784"/>
      <c r="N1810" s="512"/>
      <c r="O1810" s="325"/>
      <c r="P1810" s="325"/>
      <c r="Q1810" s="325"/>
      <c r="R1810" s="325"/>
      <c r="S1810" s="325"/>
      <c r="T1810" s="325"/>
      <c r="U1810" s="325"/>
      <c r="V1810" s="325"/>
      <c r="W1810" s="325"/>
    </row>
    <row r="1811" ht="15.4" customHeight="1" spans="1:23">
      <c r="A1811" s="749" t="s">
        <v>1507</v>
      </c>
      <c r="B1811" s="1155" t="s">
        <v>1513</v>
      </c>
      <c r="C1811" s="671" t="s">
        <v>135</v>
      </c>
      <c r="D1811" s="250">
        <v>30</v>
      </c>
      <c r="E1811" s="69"/>
      <c r="F1811" s="675">
        <v>45891</v>
      </c>
      <c r="G1811" s="703">
        <f t="shared" si="144"/>
        <v>45860</v>
      </c>
      <c r="H1811" s="713">
        <f t="shared" si="145"/>
        <v>45889</v>
      </c>
      <c r="I1811" s="784" t="s">
        <v>1515</v>
      </c>
      <c r="J1811" s="1064" t="s">
        <v>215</v>
      </c>
      <c r="K1811" s="1064" t="s">
        <v>19</v>
      </c>
      <c r="L1811" s="255" t="s">
        <v>20</v>
      </c>
      <c r="M1811" s="784"/>
      <c r="N1811" s="512"/>
      <c r="O1811" s="325"/>
      <c r="P1811" s="325"/>
      <c r="Q1811" s="325"/>
      <c r="R1811" s="325"/>
      <c r="S1811" s="325"/>
      <c r="T1811" s="325"/>
      <c r="U1811" s="325"/>
      <c r="V1811" s="325"/>
      <c r="W1811" s="325"/>
    </row>
    <row r="1812" ht="15.4" customHeight="1" spans="1:23">
      <c r="A1812" s="749" t="s">
        <v>1507</v>
      </c>
      <c r="B1812" s="1155" t="s">
        <v>1513</v>
      </c>
      <c r="C1812" s="671" t="s">
        <v>136</v>
      </c>
      <c r="D1812" s="250">
        <v>30</v>
      </c>
      <c r="E1812" s="69"/>
      <c r="F1812" s="675">
        <v>45891</v>
      </c>
      <c r="G1812" s="703">
        <f t="shared" si="144"/>
        <v>45860</v>
      </c>
      <c r="H1812" s="713">
        <f t="shared" si="145"/>
        <v>45889</v>
      </c>
      <c r="I1812" s="784" t="s">
        <v>1515</v>
      </c>
      <c r="J1812" s="1064" t="s">
        <v>215</v>
      </c>
      <c r="K1812" s="1064" t="s">
        <v>19</v>
      </c>
      <c r="L1812" s="255" t="s">
        <v>20</v>
      </c>
      <c r="M1812" s="784"/>
      <c r="N1812" s="512"/>
      <c r="O1812" s="325"/>
      <c r="P1812" s="325"/>
      <c r="Q1812" s="325"/>
      <c r="R1812" s="325"/>
      <c r="S1812" s="325"/>
      <c r="T1812" s="325"/>
      <c r="U1812" s="325"/>
      <c r="V1812" s="325"/>
      <c r="W1812" s="325"/>
    </row>
    <row r="1813" ht="15.4" customHeight="1" spans="1:23">
      <c r="A1813" s="749" t="s">
        <v>1507</v>
      </c>
      <c r="B1813" s="1155" t="s">
        <v>1513</v>
      </c>
      <c r="C1813" s="674" t="s">
        <v>67</v>
      </c>
      <c r="D1813" s="250">
        <v>13</v>
      </c>
      <c r="E1813" s="69"/>
      <c r="F1813" s="675">
        <v>45891</v>
      </c>
      <c r="G1813" s="703">
        <f t="shared" si="144"/>
        <v>45860</v>
      </c>
      <c r="H1813" s="713">
        <f t="shared" si="145"/>
        <v>45889</v>
      </c>
      <c r="I1813" s="784" t="s">
        <v>1515</v>
      </c>
      <c r="J1813" s="1064" t="s">
        <v>215</v>
      </c>
      <c r="K1813" s="1064" t="s">
        <v>19</v>
      </c>
      <c r="L1813" s="255" t="s">
        <v>20</v>
      </c>
      <c r="M1813" s="784"/>
      <c r="N1813" s="512"/>
      <c r="O1813" s="1154"/>
      <c r="P1813" s="1154"/>
      <c r="Q1813" s="1154"/>
      <c r="R1813" s="1154"/>
      <c r="S1813" s="1154"/>
      <c r="T1813" s="1154"/>
      <c r="U1813" s="1154"/>
      <c r="V1813" s="1154"/>
      <c r="W1813" s="1154"/>
    </row>
    <row r="1814" ht="15.4" customHeight="1" spans="1:23">
      <c r="A1814" s="749" t="s">
        <v>1507</v>
      </c>
      <c r="B1814" s="1155" t="s">
        <v>1513</v>
      </c>
      <c r="C1814" s="674" t="s">
        <v>69</v>
      </c>
      <c r="D1814" s="250">
        <v>13</v>
      </c>
      <c r="E1814" s="69"/>
      <c r="F1814" s="675">
        <v>45891</v>
      </c>
      <c r="G1814" s="703">
        <f t="shared" si="144"/>
        <v>45860</v>
      </c>
      <c r="H1814" s="713">
        <f t="shared" si="145"/>
        <v>45889</v>
      </c>
      <c r="I1814" s="784" t="s">
        <v>1515</v>
      </c>
      <c r="J1814" s="1064" t="s">
        <v>215</v>
      </c>
      <c r="K1814" s="1064" t="s">
        <v>19</v>
      </c>
      <c r="L1814" s="255" t="s">
        <v>20</v>
      </c>
      <c r="M1814" s="784"/>
      <c r="N1814" s="512"/>
      <c r="O1814" s="1154"/>
      <c r="P1814" s="1154"/>
      <c r="Q1814" s="1154"/>
      <c r="R1814" s="1154"/>
      <c r="S1814" s="1154"/>
      <c r="T1814" s="1154"/>
      <c r="U1814" s="1154"/>
      <c r="V1814" s="1154"/>
      <c r="W1814" s="1154"/>
    </row>
    <row r="1815" ht="15.4" customHeight="1" spans="1:23">
      <c r="A1815" s="749" t="s">
        <v>1507</v>
      </c>
      <c r="B1815" s="1155" t="s">
        <v>1513</v>
      </c>
      <c r="C1815" s="671" t="s">
        <v>164</v>
      </c>
      <c r="D1815" s="250">
        <v>4</v>
      </c>
      <c r="E1815" s="69"/>
      <c r="F1815" s="675">
        <v>45891</v>
      </c>
      <c r="G1815" s="703">
        <f t="shared" si="144"/>
        <v>45860</v>
      </c>
      <c r="H1815" s="713">
        <f t="shared" si="145"/>
        <v>45889</v>
      </c>
      <c r="I1815" s="784" t="s">
        <v>1515</v>
      </c>
      <c r="J1815" s="1064" t="s">
        <v>215</v>
      </c>
      <c r="K1815" s="1064" t="s">
        <v>19</v>
      </c>
      <c r="L1815" s="255" t="s">
        <v>20</v>
      </c>
      <c r="M1815" s="784"/>
      <c r="N1815" s="512"/>
      <c r="O1815" s="325"/>
      <c r="P1815" s="325"/>
      <c r="Q1815" s="325"/>
      <c r="R1815" s="325"/>
      <c r="S1815" s="325"/>
      <c r="T1815" s="325"/>
      <c r="U1815" s="325"/>
      <c r="V1815" s="325"/>
      <c r="W1815" s="325"/>
    </row>
    <row r="1816" ht="15.4" customHeight="1" spans="1:23">
      <c r="A1816" s="749" t="s">
        <v>1507</v>
      </c>
      <c r="B1816" s="1155" t="s">
        <v>1513</v>
      </c>
      <c r="C1816" s="671" t="s">
        <v>165</v>
      </c>
      <c r="D1816" s="250">
        <v>4</v>
      </c>
      <c r="E1816" s="69"/>
      <c r="F1816" s="675">
        <v>45891</v>
      </c>
      <c r="G1816" s="703">
        <f t="shared" si="144"/>
        <v>45860</v>
      </c>
      <c r="H1816" s="713">
        <f t="shared" si="145"/>
        <v>45889</v>
      </c>
      <c r="I1816" s="784" t="s">
        <v>1515</v>
      </c>
      <c r="J1816" s="1064" t="s">
        <v>215</v>
      </c>
      <c r="K1816" s="1064" t="s">
        <v>19</v>
      </c>
      <c r="L1816" s="255" t="s">
        <v>20</v>
      </c>
      <c r="M1816" s="784"/>
      <c r="N1816" s="512"/>
      <c r="O1816" s="325"/>
      <c r="P1816" s="325"/>
      <c r="Q1816" s="325"/>
      <c r="R1816" s="325"/>
      <c r="S1816" s="325"/>
      <c r="T1816" s="325"/>
      <c r="U1816" s="325"/>
      <c r="V1816" s="325"/>
      <c r="W1816" s="325"/>
    </row>
    <row r="1817" ht="15.4" customHeight="1" spans="1:23">
      <c r="A1817" s="749" t="s">
        <v>1507</v>
      </c>
      <c r="B1817" s="1155" t="s">
        <v>1513</v>
      </c>
      <c r="C1817" s="671" t="s">
        <v>31</v>
      </c>
      <c r="D1817" s="250">
        <v>1</v>
      </c>
      <c r="E1817" s="69"/>
      <c r="F1817" s="675">
        <v>45891</v>
      </c>
      <c r="G1817" s="703">
        <f t="shared" si="144"/>
        <v>45860</v>
      </c>
      <c r="H1817" s="713">
        <f t="shared" si="145"/>
        <v>45889</v>
      </c>
      <c r="I1817" s="784" t="s">
        <v>1515</v>
      </c>
      <c r="J1817" s="1064" t="s">
        <v>215</v>
      </c>
      <c r="K1817" s="1064" t="s">
        <v>19</v>
      </c>
      <c r="L1817" s="255" t="s">
        <v>20</v>
      </c>
      <c r="M1817" s="784"/>
      <c r="N1817" s="512"/>
      <c r="O1817" s="325"/>
      <c r="P1817" s="325"/>
      <c r="Q1817" s="325"/>
      <c r="R1817" s="325"/>
      <c r="S1817" s="325"/>
      <c r="T1817" s="325"/>
      <c r="U1817" s="325"/>
      <c r="V1817" s="325"/>
      <c r="W1817" s="325"/>
    </row>
    <row r="1818" ht="15.4" customHeight="1" spans="1:23">
      <c r="A1818" s="749" t="s">
        <v>1507</v>
      </c>
      <c r="B1818" s="1155" t="s">
        <v>1513</v>
      </c>
      <c r="C1818" s="671" t="s">
        <v>32</v>
      </c>
      <c r="D1818" s="250">
        <v>1</v>
      </c>
      <c r="E1818" s="69"/>
      <c r="F1818" s="675">
        <v>45891</v>
      </c>
      <c r="G1818" s="703">
        <f t="shared" si="144"/>
        <v>45860</v>
      </c>
      <c r="H1818" s="713">
        <f t="shared" si="145"/>
        <v>45889</v>
      </c>
      <c r="I1818" s="784" t="s">
        <v>1515</v>
      </c>
      <c r="J1818" s="1064" t="s">
        <v>215</v>
      </c>
      <c r="K1818" s="1064" t="s">
        <v>19</v>
      </c>
      <c r="L1818" s="255" t="s">
        <v>20</v>
      </c>
      <c r="M1818" s="784"/>
      <c r="N1818" s="512"/>
      <c r="O1818" s="325"/>
      <c r="P1818" s="325"/>
      <c r="Q1818" s="325"/>
      <c r="R1818" s="325"/>
      <c r="S1818" s="325"/>
      <c r="T1818" s="325"/>
      <c r="U1818" s="325"/>
      <c r="V1818" s="325"/>
      <c r="W1818" s="325"/>
    </row>
    <row r="1819" ht="15.4" customHeight="1" spans="1:23">
      <c r="A1819" s="749" t="s">
        <v>1507</v>
      </c>
      <c r="B1819" s="1155" t="s">
        <v>1513</v>
      </c>
      <c r="C1819" s="671" t="s">
        <v>59</v>
      </c>
      <c r="D1819" s="250">
        <v>1</v>
      </c>
      <c r="E1819" s="69"/>
      <c r="F1819" s="675">
        <v>45891</v>
      </c>
      <c r="G1819" s="703">
        <f t="shared" si="144"/>
        <v>45860</v>
      </c>
      <c r="H1819" s="713">
        <f t="shared" si="145"/>
        <v>45889</v>
      </c>
      <c r="I1819" s="784" t="s">
        <v>1515</v>
      </c>
      <c r="J1819" s="1064" t="s">
        <v>215</v>
      </c>
      <c r="K1819" s="1064" t="s">
        <v>19</v>
      </c>
      <c r="L1819" s="255" t="s">
        <v>20</v>
      </c>
      <c r="M1819" s="784"/>
      <c r="N1819" s="512"/>
      <c r="O1819" s="325"/>
      <c r="P1819" s="325"/>
      <c r="Q1819" s="325"/>
      <c r="R1819" s="325"/>
      <c r="S1819" s="325"/>
      <c r="T1819" s="325"/>
      <c r="U1819" s="325"/>
      <c r="V1819" s="325"/>
      <c r="W1819" s="325"/>
    </row>
    <row r="1820" ht="15.4" customHeight="1" spans="1:23">
      <c r="A1820" s="1115" t="s">
        <v>1507</v>
      </c>
      <c r="B1820" s="1155" t="s">
        <v>1513</v>
      </c>
      <c r="C1820" s="671" t="s">
        <v>60</v>
      </c>
      <c r="D1820" s="250">
        <v>1</v>
      </c>
      <c r="E1820" s="69"/>
      <c r="F1820" s="675">
        <v>45891</v>
      </c>
      <c r="G1820" s="1240">
        <f t="shared" si="144"/>
        <v>45860</v>
      </c>
      <c r="H1820" s="713">
        <f t="shared" si="145"/>
        <v>45889</v>
      </c>
      <c r="I1820" s="784" t="s">
        <v>1515</v>
      </c>
      <c r="J1820" s="1064" t="s">
        <v>215</v>
      </c>
      <c r="K1820" s="1064" t="s">
        <v>19</v>
      </c>
      <c r="L1820" s="255" t="s">
        <v>20</v>
      </c>
      <c r="M1820" s="1185"/>
      <c r="N1820" s="512"/>
      <c r="O1820" s="325"/>
      <c r="P1820" s="325"/>
      <c r="Q1820" s="325"/>
      <c r="R1820" s="325"/>
      <c r="S1820" s="325"/>
      <c r="T1820" s="325"/>
      <c r="U1820" s="325"/>
      <c r="V1820" s="325"/>
      <c r="W1820" s="325"/>
    </row>
    <row r="1821" s="180" customFormat="1" ht="30" spans="1:23">
      <c r="A1821" s="877" t="s">
        <v>1345</v>
      </c>
      <c r="B1821" s="1241" t="s">
        <v>1518</v>
      </c>
      <c r="C1821" s="1242" t="s">
        <v>651</v>
      </c>
      <c r="D1821" s="1243">
        <v>45</v>
      </c>
      <c r="E1821" s="1244" t="s">
        <v>1519</v>
      </c>
      <c r="F1821" s="835">
        <v>45818</v>
      </c>
      <c r="G1821" s="835">
        <f>VLOOKUP(CLEAN(SUBSTITUTE(TRIM(MID(E:E,FIND("/",E:E)+1,LEN(E:E)))," ","")),'Customs Decl. &amp; Local Delivery'!D:I,6,0)</f>
        <v>45860</v>
      </c>
      <c r="H1821" s="835">
        <f>VLOOKUP(CLEAN(SUBSTITUTE(TRIM(MID(E:E,FIND("/",E:E)+1,LEN(E:E)))," ","")),'Customs Decl. &amp; Local Delivery'!D:J,7,0)</f>
        <v>45894</v>
      </c>
      <c r="I1821" s="1234" t="s">
        <v>1520</v>
      </c>
      <c r="J1821" s="1256" t="s">
        <v>18</v>
      </c>
      <c r="K1821" s="1257" t="s">
        <v>147</v>
      </c>
      <c r="L1821" s="1258" t="s">
        <v>20</v>
      </c>
      <c r="M1821" s="853" t="s">
        <v>1366</v>
      </c>
      <c r="N1821" s="512"/>
      <c r="O1821" s="512"/>
      <c r="P1821" s="512"/>
      <c r="Q1821" s="512"/>
      <c r="R1821" s="512"/>
      <c r="S1821" s="512"/>
      <c r="T1821" s="512"/>
      <c r="U1821" s="512"/>
      <c r="V1821" s="512"/>
      <c r="W1821" s="512"/>
    </row>
    <row r="1822" s="180" customFormat="1" ht="30" spans="1:23">
      <c r="A1822" s="877" t="s">
        <v>1345</v>
      </c>
      <c r="B1822" s="1245" t="s">
        <v>1521</v>
      </c>
      <c r="C1822" s="1246" t="s">
        <v>651</v>
      </c>
      <c r="D1822" s="1247">
        <v>45</v>
      </c>
      <c r="E1822" s="1244" t="s">
        <v>1522</v>
      </c>
      <c r="F1822" s="835">
        <v>45848</v>
      </c>
      <c r="G1822" s="835">
        <f>VLOOKUP(CLEAN(SUBSTITUTE(TRIM(MID(E:E,FIND("/",E:E)+1,LEN(E:E)))," ","")),'Customs Decl. &amp; Local Delivery'!D:I,6,0)</f>
        <v>45860</v>
      </c>
      <c r="H1822" s="835">
        <f>VLOOKUP(CLEAN(SUBSTITUTE(TRIM(MID(E:E,FIND("/",E:E)+1,LEN(E:E)))," ","")),'Customs Decl. &amp; Local Delivery'!D:J,7,0)</f>
        <v>45894</v>
      </c>
      <c r="I1822" s="900" t="s">
        <v>1523</v>
      </c>
      <c r="J1822" s="1259" t="s">
        <v>18</v>
      </c>
      <c r="K1822" s="1260" t="s">
        <v>147</v>
      </c>
      <c r="L1822" s="1261" t="s">
        <v>20</v>
      </c>
      <c r="M1822" s="886" t="s">
        <v>1366</v>
      </c>
      <c r="N1822" s="512"/>
      <c r="O1822" s="512"/>
      <c r="P1822" s="512"/>
      <c r="Q1822" s="512"/>
      <c r="R1822" s="512"/>
      <c r="S1822" s="512"/>
      <c r="T1822" s="512"/>
      <c r="U1822" s="512"/>
      <c r="V1822" s="512"/>
      <c r="W1822" s="512"/>
    </row>
    <row r="1823" s="180" customFormat="1" ht="30" spans="1:23">
      <c r="A1823" s="871" t="s">
        <v>1345</v>
      </c>
      <c r="B1823" s="845" t="s">
        <v>1524</v>
      </c>
      <c r="C1823" s="866" t="s">
        <v>651</v>
      </c>
      <c r="D1823" s="392">
        <v>45</v>
      </c>
      <c r="E1823" s="1244" t="s">
        <v>1525</v>
      </c>
      <c r="F1823" s="835">
        <v>45848</v>
      </c>
      <c r="G1823" s="835">
        <f>VLOOKUP(CLEAN(SUBSTITUTE(TRIM(MID(E:E,FIND("/",E:E)+1,LEN(E:E)))," ","")),'Customs Decl. &amp; Local Delivery'!D:I,6,0)</f>
        <v>45860</v>
      </c>
      <c r="H1823" s="835">
        <f>VLOOKUP(CLEAN(SUBSTITUTE(TRIM(MID(E:E,FIND("/",E:E)+1,LEN(E:E)))," ","")),'Customs Decl. &amp; Local Delivery'!D:J,7,0)</f>
        <v>45894</v>
      </c>
      <c r="I1823" s="886" t="s">
        <v>1526</v>
      </c>
      <c r="J1823" s="1262" t="s">
        <v>18</v>
      </c>
      <c r="K1823" s="1262" t="s">
        <v>147</v>
      </c>
      <c r="L1823" s="1258" t="s">
        <v>20</v>
      </c>
      <c r="M1823" s="886" t="s">
        <v>1366</v>
      </c>
      <c r="N1823" s="512"/>
      <c r="O1823" s="512"/>
      <c r="P1823" s="512"/>
      <c r="Q1823" s="512"/>
      <c r="R1823" s="512"/>
      <c r="S1823" s="512"/>
      <c r="T1823" s="512"/>
      <c r="U1823" s="512"/>
      <c r="V1823" s="512"/>
      <c r="W1823" s="512"/>
    </row>
    <row r="1824" s="180" customFormat="1" spans="1:23">
      <c r="A1824" s="871" t="s">
        <v>1345</v>
      </c>
      <c r="B1824" s="845" t="s">
        <v>1527</v>
      </c>
      <c r="C1824" s="866" t="s">
        <v>651</v>
      </c>
      <c r="D1824" s="392">
        <v>45</v>
      </c>
      <c r="E1824" s="1244" t="s">
        <v>1528</v>
      </c>
      <c r="F1824" s="835">
        <v>45848</v>
      </c>
      <c r="G1824" s="835">
        <f>VLOOKUP(CLEAN(SUBSTITUTE(TRIM(MID(E:E,FIND("/",E:E)+1,LEN(E:E)))," ","")),'Customs Decl. &amp; Local Delivery'!D:I,6,0)</f>
        <v>45860</v>
      </c>
      <c r="H1824" s="835">
        <f>VLOOKUP(CLEAN(SUBSTITUTE(TRIM(MID(E:E,FIND("/",E:E)+1,LEN(E:E)))," ","")),'Customs Decl. &amp; Local Delivery'!D:J,7,0)</f>
        <v>45894</v>
      </c>
      <c r="I1824" s="886" t="s">
        <v>1529</v>
      </c>
      <c r="J1824" s="1262" t="s">
        <v>18</v>
      </c>
      <c r="K1824" s="1262" t="s">
        <v>147</v>
      </c>
      <c r="L1824" s="1258" t="s">
        <v>20</v>
      </c>
      <c r="M1824" s="886" t="s">
        <v>1366</v>
      </c>
      <c r="N1824" s="512"/>
      <c r="O1824" s="512"/>
      <c r="P1824" s="512"/>
      <c r="Q1824" s="512"/>
      <c r="R1824" s="512"/>
      <c r="S1824" s="512"/>
      <c r="T1824" s="512"/>
      <c r="U1824" s="512"/>
      <c r="V1824" s="512"/>
      <c r="W1824" s="512"/>
    </row>
    <row r="1825" s="180" customFormat="1" spans="1:23">
      <c r="A1825" s="871" t="s">
        <v>1345</v>
      </c>
      <c r="B1825" s="845" t="s">
        <v>1530</v>
      </c>
      <c r="C1825" s="866" t="s">
        <v>651</v>
      </c>
      <c r="D1825" s="392">
        <v>2</v>
      </c>
      <c r="E1825" s="281"/>
      <c r="F1825" s="835">
        <v>45848</v>
      </c>
      <c r="G1825" s="830">
        <f>G1824</f>
        <v>45860</v>
      </c>
      <c r="H1825" s="835">
        <f>H1824</f>
        <v>45894</v>
      </c>
      <c r="I1825" s="886" t="s">
        <v>1529</v>
      </c>
      <c r="J1825" s="1262" t="s">
        <v>18</v>
      </c>
      <c r="K1825" s="1262" t="s">
        <v>147</v>
      </c>
      <c r="L1825" s="1258" t="s">
        <v>20</v>
      </c>
      <c r="M1825" s="1263"/>
      <c r="N1825" s="512"/>
      <c r="O1825" s="512"/>
      <c r="P1825" s="512"/>
      <c r="Q1825" s="512"/>
      <c r="R1825" s="512"/>
      <c r="S1825" s="512"/>
      <c r="T1825" s="512"/>
      <c r="U1825" s="512"/>
      <c r="V1825" s="512"/>
      <c r="W1825" s="512"/>
    </row>
    <row r="1826" s="180" customFormat="1" ht="30" spans="1:23">
      <c r="A1826" s="871" t="s">
        <v>1345</v>
      </c>
      <c r="B1826" s="845" t="s">
        <v>1531</v>
      </c>
      <c r="C1826" s="866" t="s">
        <v>651</v>
      </c>
      <c r="D1826" s="392">
        <v>45</v>
      </c>
      <c r="E1826" s="1244" t="s">
        <v>1532</v>
      </c>
      <c r="F1826" s="835">
        <v>45848</v>
      </c>
      <c r="G1826" s="835">
        <f>VLOOKUP(CLEAN(SUBSTITUTE(TRIM(MID(E:E,FIND("/",E:E)+1,LEN(E:E)))," ","")),'Customs Decl. &amp; Local Delivery'!D:I,6,0)</f>
        <v>45860</v>
      </c>
      <c r="H1826" s="835">
        <f>VLOOKUP(CLEAN(SUBSTITUTE(TRIM(MID(E:E,FIND("/",E:E)+1,LEN(E:E)))," ","")),'Customs Decl. &amp; Local Delivery'!D:J,7,0)</f>
        <v>45894</v>
      </c>
      <c r="I1826" s="886" t="s">
        <v>1533</v>
      </c>
      <c r="J1826" s="1262" t="s">
        <v>18</v>
      </c>
      <c r="K1826" s="1262" t="s">
        <v>147</v>
      </c>
      <c r="L1826" s="1258" t="s">
        <v>20</v>
      </c>
      <c r="M1826" s="886" t="s">
        <v>1366</v>
      </c>
      <c r="N1826" s="512"/>
      <c r="O1826" s="512"/>
      <c r="P1826" s="512"/>
      <c r="Q1826" s="512"/>
      <c r="R1826" s="512"/>
      <c r="S1826" s="512"/>
      <c r="T1826" s="512"/>
      <c r="U1826" s="512"/>
      <c r="V1826" s="512"/>
      <c r="W1826" s="512"/>
    </row>
    <row r="1827" s="180" customFormat="1" ht="30" spans="1:23">
      <c r="A1827" s="871" t="s">
        <v>1345</v>
      </c>
      <c r="B1827" s="845" t="s">
        <v>1530</v>
      </c>
      <c r="C1827" s="866" t="s">
        <v>651</v>
      </c>
      <c r="D1827" s="392">
        <v>41</v>
      </c>
      <c r="E1827" s="1244" t="s">
        <v>1534</v>
      </c>
      <c r="F1827" s="835">
        <v>45818</v>
      </c>
      <c r="G1827" s="835">
        <f>VLOOKUP(CLEAN(SUBSTITUTE(TRIM(MID(E:E,FIND("/",E:E)+1,LEN(E:E)))," ","")),'Customs Decl. &amp; Local Delivery'!D:I,6,0)</f>
        <v>45863</v>
      </c>
      <c r="H1827" s="835">
        <f>VLOOKUP(CLEAN(SUBSTITUTE(TRIM(MID(E:E,FIND("/",E:E)+1,LEN(E:E)))," ","")),'Customs Decl. &amp; Local Delivery'!D:J,7,0)</f>
        <v>45895</v>
      </c>
      <c r="I1827" s="886" t="s">
        <v>1535</v>
      </c>
      <c r="J1827" s="1262" t="s">
        <v>18</v>
      </c>
      <c r="K1827" s="1262" t="s">
        <v>147</v>
      </c>
      <c r="L1827" s="1258" t="s">
        <v>20</v>
      </c>
      <c r="M1827" s="1263" t="s">
        <v>1536</v>
      </c>
      <c r="N1827" s="203"/>
      <c r="O1827" s="203"/>
      <c r="P1827" s="203"/>
      <c r="Q1827" s="203"/>
      <c r="R1827" s="203"/>
      <c r="S1827" s="203"/>
      <c r="T1827" s="203"/>
      <c r="U1827" s="203"/>
      <c r="V1827" s="203"/>
      <c r="W1827" s="203"/>
    </row>
    <row r="1828" s="180" customFormat="1" ht="30" spans="1:23">
      <c r="A1828" s="871" t="s">
        <v>1345</v>
      </c>
      <c r="B1828" s="845" t="s">
        <v>1537</v>
      </c>
      <c r="C1828" s="866" t="s">
        <v>651</v>
      </c>
      <c r="D1828" s="392">
        <v>45</v>
      </c>
      <c r="E1828" s="1244" t="s">
        <v>1538</v>
      </c>
      <c r="F1828" s="835">
        <v>45818</v>
      </c>
      <c r="G1828" s="835">
        <f>VLOOKUP(CLEAN(SUBSTITUTE(TRIM(MID(E:E,FIND("/",E:E)+1,LEN(E:E)))," ","")),'Customs Decl. &amp; Local Delivery'!D:I,6,0)</f>
        <v>45863</v>
      </c>
      <c r="H1828" s="835">
        <f>VLOOKUP(CLEAN(SUBSTITUTE(TRIM(MID(E:E,FIND("/",E:E)+1,LEN(E:E)))," ","")),'Customs Decl. &amp; Local Delivery'!D:J,7,0)</f>
        <v>45895</v>
      </c>
      <c r="I1828" s="886" t="s">
        <v>1539</v>
      </c>
      <c r="J1828" s="1262" t="s">
        <v>18</v>
      </c>
      <c r="K1828" s="1262" t="s">
        <v>147</v>
      </c>
      <c r="L1828" s="1258" t="s">
        <v>20</v>
      </c>
      <c r="M1828" s="1262" t="s">
        <v>1540</v>
      </c>
      <c r="N1828" s="203"/>
      <c r="O1828" s="203"/>
      <c r="P1828" s="203"/>
      <c r="Q1828" s="203"/>
      <c r="R1828" s="203"/>
      <c r="S1828" s="203"/>
      <c r="T1828" s="203"/>
      <c r="U1828" s="203"/>
      <c r="V1828" s="203"/>
      <c r="W1828" s="203"/>
    </row>
    <row r="1829" s="180" customFormat="1" ht="30" spans="1:23">
      <c r="A1829" s="871" t="s">
        <v>1345</v>
      </c>
      <c r="B1829" s="845" t="s">
        <v>1541</v>
      </c>
      <c r="C1829" s="866" t="s">
        <v>651</v>
      </c>
      <c r="D1829" s="392">
        <v>45</v>
      </c>
      <c r="E1829" s="1244" t="s">
        <v>1542</v>
      </c>
      <c r="F1829" s="835">
        <v>45818</v>
      </c>
      <c r="G1829" s="835">
        <f>VLOOKUP(CLEAN(SUBSTITUTE(TRIM(MID(E:E,FIND("/",E:E)+1,LEN(E:E)))," ","")),'Customs Decl. &amp; Local Delivery'!D:I,6,0)</f>
        <v>45863</v>
      </c>
      <c r="H1829" s="835">
        <f>VLOOKUP(CLEAN(SUBSTITUTE(TRIM(MID(E:E,FIND("/",E:E)+1,LEN(E:E)))," ","")),'Customs Decl. &amp; Local Delivery'!D:J,7,0)</f>
        <v>45895</v>
      </c>
      <c r="I1829" s="886" t="s">
        <v>1543</v>
      </c>
      <c r="J1829" s="1262" t="s">
        <v>18</v>
      </c>
      <c r="K1829" s="1262" t="s">
        <v>147</v>
      </c>
      <c r="L1829" s="1258" t="s">
        <v>20</v>
      </c>
      <c r="M1829" s="1262" t="s">
        <v>1540</v>
      </c>
      <c r="N1829" s="203"/>
      <c r="O1829" s="203"/>
      <c r="P1829" s="203"/>
      <c r="Q1829" s="203"/>
      <c r="R1829" s="203"/>
      <c r="S1829" s="203"/>
      <c r="T1829" s="203"/>
      <c r="U1829" s="203"/>
      <c r="V1829" s="203"/>
      <c r="W1829" s="203"/>
    </row>
    <row r="1830" s="180" customFormat="1" spans="1:23">
      <c r="A1830" s="871" t="s">
        <v>1345</v>
      </c>
      <c r="B1830" s="845" t="s">
        <v>1544</v>
      </c>
      <c r="C1830" s="866" t="s">
        <v>651</v>
      </c>
      <c r="D1830" s="392">
        <v>45</v>
      </c>
      <c r="E1830" s="1244" t="s">
        <v>1545</v>
      </c>
      <c r="F1830" s="835">
        <v>45848</v>
      </c>
      <c r="G1830" s="835">
        <f>VLOOKUP(CLEAN(SUBSTITUTE(TRIM(MID(E:E,FIND("/",E:E)+1,LEN(E:E)))," ","")),'Customs Decl. &amp; Local Delivery'!D:I,6,0)</f>
        <v>45863</v>
      </c>
      <c r="H1830" s="835">
        <f>VLOOKUP(CLEAN(SUBSTITUTE(TRIM(MID(E:E,FIND("/",E:E)+1,LEN(E:E)))," ","")),'Customs Decl. &amp; Local Delivery'!D:J,7,0)</f>
        <v>45895</v>
      </c>
      <c r="I1830" s="886" t="s">
        <v>1546</v>
      </c>
      <c r="J1830" s="1262" t="s">
        <v>18</v>
      </c>
      <c r="K1830" s="1262" t="s">
        <v>147</v>
      </c>
      <c r="L1830" s="1258" t="s">
        <v>20</v>
      </c>
      <c r="M1830" s="1262" t="s">
        <v>1540</v>
      </c>
      <c r="N1830" s="203"/>
      <c r="O1830" s="203"/>
      <c r="P1830" s="203"/>
      <c r="Q1830" s="203"/>
      <c r="R1830" s="203"/>
      <c r="S1830" s="203"/>
      <c r="T1830" s="203"/>
      <c r="U1830" s="203"/>
      <c r="V1830" s="203"/>
      <c r="W1830" s="203"/>
    </row>
    <row r="1831" s="180" customFormat="1" spans="1:23">
      <c r="A1831" s="871" t="s">
        <v>1345</v>
      </c>
      <c r="B1831" s="845" t="s">
        <v>1530</v>
      </c>
      <c r="C1831" s="866" t="s">
        <v>651</v>
      </c>
      <c r="D1831" s="392">
        <v>1</v>
      </c>
      <c r="E1831" s="281"/>
      <c r="F1831" s="835">
        <v>45848</v>
      </c>
      <c r="G1831" s="830">
        <f>G1830</f>
        <v>45863</v>
      </c>
      <c r="H1831" s="835">
        <f>H1830</f>
        <v>45895</v>
      </c>
      <c r="I1831" s="886" t="s">
        <v>1546</v>
      </c>
      <c r="J1831" s="1262" t="s">
        <v>18</v>
      </c>
      <c r="K1831" s="1262" t="s">
        <v>147</v>
      </c>
      <c r="L1831" s="1258" t="s">
        <v>20</v>
      </c>
      <c r="M1831" s="1263"/>
      <c r="N1831" s="512"/>
      <c r="O1831" s="512"/>
      <c r="P1831" s="512"/>
      <c r="Q1831" s="512"/>
      <c r="R1831" s="512"/>
      <c r="S1831" s="512"/>
      <c r="T1831" s="512"/>
      <c r="U1831" s="512"/>
      <c r="V1831" s="512"/>
      <c r="W1831" s="512"/>
    </row>
    <row r="1832" s="180" customFormat="1" ht="30" spans="1:23">
      <c r="A1832" s="871" t="s">
        <v>1345</v>
      </c>
      <c r="B1832" s="845" t="s">
        <v>1547</v>
      </c>
      <c r="C1832" s="866" t="s">
        <v>651</v>
      </c>
      <c r="D1832" s="392">
        <v>45</v>
      </c>
      <c r="E1832" s="1244" t="s">
        <v>1548</v>
      </c>
      <c r="F1832" s="835">
        <v>45848</v>
      </c>
      <c r="G1832" s="835">
        <f>VLOOKUP(CLEAN(SUBSTITUTE(TRIM(MID(E:E,FIND("/",E:E)+1,LEN(E:E)))," ","")),'Customs Decl. &amp; Local Delivery'!D:I,6,0)</f>
        <v>45863</v>
      </c>
      <c r="H1832" s="835">
        <f>VLOOKUP(CLEAN(SUBSTITUTE(TRIM(MID(E:E,FIND("/",E:E)+1,LEN(E:E)))," ","")),'Customs Decl. &amp; Local Delivery'!D:J,7,0)</f>
        <v>45895</v>
      </c>
      <c r="I1832" s="886" t="s">
        <v>1549</v>
      </c>
      <c r="J1832" s="1262" t="s">
        <v>18</v>
      </c>
      <c r="K1832" s="1262" t="s">
        <v>147</v>
      </c>
      <c r="L1832" s="1258" t="s">
        <v>20</v>
      </c>
      <c r="M1832" s="1262" t="s">
        <v>1540</v>
      </c>
      <c r="N1832" s="203"/>
      <c r="O1832" s="203"/>
      <c r="P1832" s="203"/>
      <c r="Q1832" s="203"/>
      <c r="R1832" s="203"/>
      <c r="S1832" s="203"/>
      <c r="T1832" s="203"/>
      <c r="U1832" s="203"/>
      <c r="V1832" s="203"/>
      <c r="W1832" s="203"/>
    </row>
    <row r="1833" customFormat="1" ht="30" spans="1:23">
      <c r="A1833" s="871" t="s">
        <v>910</v>
      </c>
      <c r="B1833" s="845" t="s">
        <v>1550</v>
      </c>
      <c r="C1833" s="1248" t="s">
        <v>318</v>
      </c>
      <c r="D1833" s="1249">
        <v>312</v>
      </c>
      <c r="E1833" s="1244" t="s">
        <v>1551</v>
      </c>
      <c r="F1833" s="835">
        <v>45823</v>
      </c>
      <c r="G1833" s="835">
        <f>VLOOKUP(CLEAN(SUBSTITUTE(TRIM(MID(E:E,FIND("/",E:E)+1,LEN(E:E)))," ","")),'Customs Decl. &amp; Local Delivery'!D:I,6,0)</f>
        <v>45863</v>
      </c>
      <c r="H1833" s="835">
        <f>VLOOKUP(CLEAN(SUBSTITUTE(TRIM(MID(E:E,FIND("/",E:E)+1,LEN(E:E)))," ","")),'Customs Decl. &amp; Local Delivery'!D:J,7,0)</f>
        <v>45895</v>
      </c>
      <c r="I1833" s="1262" t="s">
        <v>1552</v>
      </c>
      <c r="J1833" s="1262" t="s">
        <v>18</v>
      </c>
      <c r="K1833" s="1262" t="s">
        <v>147</v>
      </c>
      <c r="L1833" s="874" t="s">
        <v>20</v>
      </c>
      <c r="M1833" s="1262" t="s">
        <v>1315</v>
      </c>
      <c r="N1833" s="512"/>
      <c r="O1833" s="325"/>
      <c r="P1833" s="325"/>
      <c r="Q1833" s="325"/>
      <c r="R1833" s="325"/>
      <c r="S1833" s="325"/>
      <c r="T1833" s="325"/>
      <c r="U1833" s="325"/>
      <c r="V1833" s="325"/>
      <c r="W1833" s="325"/>
    </row>
    <row r="1834" customFormat="1" ht="30" spans="1:23">
      <c r="A1834" s="871" t="s">
        <v>910</v>
      </c>
      <c r="B1834" s="845" t="s">
        <v>1553</v>
      </c>
      <c r="C1834" s="1248" t="s">
        <v>349</v>
      </c>
      <c r="D1834" s="1249">
        <v>218</v>
      </c>
      <c r="E1834" s="1244" t="s">
        <v>1554</v>
      </c>
      <c r="F1834" s="1250">
        <v>45823</v>
      </c>
      <c r="G1834" s="835">
        <f>VLOOKUP(CLEAN(SUBSTITUTE(TRIM(MID(E:E,FIND("/",E:E)+1,LEN(E:E)))," ","")),'Customs Decl. &amp; Local Delivery'!D:I,6,0)</f>
        <v>45863</v>
      </c>
      <c r="H1834" s="835">
        <f>VLOOKUP(CLEAN(SUBSTITUTE(TRIM(MID(E:E,FIND("/",E:E)+1,LEN(E:E)))," ","")),'Customs Decl. &amp; Local Delivery'!D:J,7,0)</f>
        <v>45895</v>
      </c>
      <c r="I1834" s="1262" t="s">
        <v>1555</v>
      </c>
      <c r="J1834" s="1262" t="s">
        <v>18</v>
      </c>
      <c r="K1834" s="1262" t="s">
        <v>147</v>
      </c>
      <c r="L1834" s="874" t="s">
        <v>20</v>
      </c>
      <c r="M1834" s="1262" t="s">
        <v>1315</v>
      </c>
      <c r="N1834" s="512"/>
      <c r="O1834" s="325"/>
      <c r="P1834" s="325"/>
      <c r="Q1834" s="325"/>
      <c r="R1834" s="325"/>
      <c r="S1834" s="325"/>
      <c r="T1834" s="325"/>
      <c r="U1834" s="325"/>
      <c r="V1834" s="325"/>
      <c r="W1834" s="325"/>
    </row>
    <row r="1835" ht="16.5" customHeight="1" spans="1:23">
      <c r="A1835" s="749" t="s">
        <v>1500</v>
      </c>
      <c r="B1835" s="1047" t="s">
        <v>1556</v>
      </c>
      <c r="C1835" s="674" t="s">
        <v>757</v>
      </c>
      <c r="D1835" s="263">
        <v>10</v>
      </c>
      <c r="E1835" s="1199" t="s">
        <v>1426</v>
      </c>
      <c r="F1835" s="840" t="s">
        <v>309</v>
      </c>
      <c r="G1835" s="840">
        <v>45866</v>
      </c>
      <c r="H1835" s="840">
        <v>45869</v>
      </c>
      <c r="I1835" s="784" t="s">
        <v>1557</v>
      </c>
      <c r="J1835" s="1064" t="s">
        <v>521</v>
      </c>
      <c r="K1835" s="780" t="s">
        <v>1558</v>
      </c>
      <c r="L1835" s="351" t="s">
        <v>1559</v>
      </c>
      <c r="M1835" s="1111" t="s">
        <v>1560</v>
      </c>
      <c r="N1835" s="1154"/>
      <c r="O1835" s="1154"/>
      <c r="P1835" s="1154"/>
      <c r="Q1835" s="1154"/>
      <c r="R1835" s="1154"/>
      <c r="S1835" s="1154"/>
      <c r="T1835" s="1154"/>
      <c r="U1835" s="1154"/>
      <c r="V1835" s="1154"/>
      <c r="W1835" s="1154"/>
    </row>
    <row r="1836" ht="16.5" customHeight="1" spans="1:23">
      <c r="A1836" s="749" t="s">
        <v>1500</v>
      </c>
      <c r="B1836" s="1047" t="s">
        <v>1556</v>
      </c>
      <c r="C1836" s="674" t="s">
        <v>1561</v>
      </c>
      <c r="D1836" s="263">
        <v>10</v>
      </c>
      <c r="E1836" s="281"/>
      <c r="F1836" s="840" t="s">
        <v>309</v>
      </c>
      <c r="G1836" s="840">
        <v>45866</v>
      </c>
      <c r="H1836" s="840">
        <v>45869</v>
      </c>
      <c r="I1836" s="784" t="s">
        <v>1557</v>
      </c>
      <c r="J1836" s="1064" t="s">
        <v>521</v>
      </c>
      <c r="K1836" s="780" t="s">
        <v>1558</v>
      </c>
      <c r="L1836" s="351" t="s">
        <v>1559</v>
      </c>
      <c r="M1836" s="1111"/>
      <c r="N1836" s="512"/>
      <c r="O1836" s="1154"/>
      <c r="P1836" s="1154"/>
      <c r="Q1836" s="1154"/>
      <c r="R1836" s="1154"/>
      <c r="S1836" s="1154"/>
      <c r="T1836" s="1154"/>
      <c r="U1836" s="1154"/>
      <c r="V1836" s="1154"/>
      <c r="W1836" s="1154"/>
    </row>
    <row r="1837" ht="16.5" customHeight="1" spans="1:23">
      <c r="A1837" s="749" t="s">
        <v>1500</v>
      </c>
      <c r="B1837" s="1047" t="s">
        <v>1556</v>
      </c>
      <c r="C1837" s="674" t="s">
        <v>903</v>
      </c>
      <c r="D1837" s="263">
        <v>10</v>
      </c>
      <c r="E1837" s="281"/>
      <c r="F1837" s="840" t="s">
        <v>309</v>
      </c>
      <c r="G1837" s="840">
        <v>45866</v>
      </c>
      <c r="H1837" s="840">
        <v>45869</v>
      </c>
      <c r="I1837" s="784" t="s">
        <v>1557</v>
      </c>
      <c r="J1837" s="1064" t="s">
        <v>521</v>
      </c>
      <c r="K1837" s="780" t="s">
        <v>1558</v>
      </c>
      <c r="L1837" s="351" t="s">
        <v>1559</v>
      </c>
      <c r="M1837" s="1111"/>
      <c r="N1837" s="512"/>
      <c r="O1837" s="1154"/>
      <c r="P1837" s="1154"/>
      <c r="Q1837" s="1154"/>
      <c r="R1837" s="1154"/>
      <c r="S1837" s="1154"/>
      <c r="T1837" s="1154"/>
      <c r="U1837" s="1154"/>
      <c r="V1837" s="1154"/>
      <c r="W1837" s="1154"/>
    </row>
    <row r="1838" ht="16.5" customHeight="1" spans="1:23">
      <c r="A1838" s="749" t="s">
        <v>1500</v>
      </c>
      <c r="B1838" s="1047" t="s">
        <v>1556</v>
      </c>
      <c r="C1838" s="702" t="s">
        <v>1562</v>
      </c>
      <c r="D1838" s="263">
        <v>20</v>
      </c>
      <c r="E1838" s="281"/>
      <c r="F1838" s="840" t="s">
        <v>309</v>
      </c>
      <c r="G1838" s="840">
        <v>45866</v>
      </c>
      <c r="H1838" s="840">
        <v>45869</v>
      </c>
      <c r="I1838" s="784" t="s">
        <v>1557</v>
      </c>
      <c r="J1838" s="1064" t="s">
        <v>521</v>
      </c>
      <c r="K1838" s="780" t="s">
        <v>1558</v>
      </c>
      <c r="L1838" s="351" t="s">
        <v>1559</v>
      </c>
      <c r="M1838" s="1111"/>
      <c r="N1838" s="512"/>
      <c r="O1838" s="1154"/>
      <c r="P1838" s="1154"/>
      <c r="Q1838" s="1154"/>
      <c r="R1838" s="1154"/>
      <c r="S1838" s="1154"/>
      <c r="T1838" s="1154"/>
      <c r="U1838" s="1154"/>
      <c r="V1838" s="1154"/>
      <c r="W1838" s="1154"/>
    </row>
    <row r="1839" s="180" customFormat="1" ht="33.75" customHeight="1" spans="1:23">
      <c r="A1839" s="871" t="s">
        <v>1345</v>
      </c>
      <c r="B1839" s="845" t="s">
        <v>1563</v>
      </c>
      <c r="C1839" s="866" t="s">
        <v>651</v>
      </c>
      <c r="D1839" s="392">
        <v>41</v>
      </c>
      <c r="E1839" s="1244" t="s">
        <v>1564</v>
      </c>
      <c r="F1839" s="1251">
        <v>45818</v>
      </c>
      <c r="G1839" s="835">
        <f>VLOOKUP(CLEAN(SUBSTITUTE(TRIM(MID(E:E,FIND("/",E:E)+1,LEN(E:E)))," ","")),'Customs Decl. &amp; Local Delivery'!D:I,6,0)</f>
        <v>45870</v>
      </c>
      <c r="H1839" s="835">
        <f>VLOOKUP(CLEAN(SUBSTITUTE(TRIM(MID(E:E,FIND("/",E:E)+1,LEN(E:E)))," ","")),'Customs Decl. &amp; Local Delivery'!D:J,7,0)</f>
        <v>45901</v>
      </c>
      <c r="I1839" s="886" t="s">
        <v>1565</v>
      </c>
      <c r="J1839" s="1262" t="s">
        <v>18</v>
      </c>
      <c r="K1839" s="1262" t="s">
        <v>147</v>
      </c>
      <c r="L1839" s="1258" t="s">
        <v>20</v>
      </c>
      <c r="M1839" s="1263" t="s">
        <v>1566</v>
      </c>
      <c r="N1839" s="203"/>
      <c r="O1839" s="203"/>
      <c r="P1839" s="203"/>
      <c r="Q1839" s="203"/>
      <c r="R1839" s="203"/>
      <c r="S1839" s="203"/>
      <c r="T1839" s="203"/>
      <c r="U1839" s="203"/>
      <c r="V1839" s="203"/>
      <c r="W1839" s="203"/>
    </row>
    <row r="1840" s="180" customFormat="1" spans="1:23">
      <c r="A1840" s="871" t="s">
        <v>1345</v>
      </c>
      <c r="B1840" s="845" t="s">
        <v>1567</v>
      </c>
      <c r="C1840" s="866" t="s">
        <v>651</v>
      </c>
      <c r="D1840" s="392">
        <v>45</v>
      </c>
      <c r="E1840" s="1244" t="s">
        <v>1568</v>
      </c>
      <c r="F1840" s="835">
        <v>45818</v>
      </c>
      <c r="G1840" s="835">
        <f>VLOOKUP(CLEAN(SUBSTITUTE(TRIM(MID(E:E,FIND("/",E:E)+1,LEN(E:E)))," ","")),'Customs Decl. &amp; Local Delivery'!D:I,6,0)</f>
        <v>45870</v>
      </c>
      <c r="H1840" s="835">
        <f>VLOOKUP(CLEAN(SUBSTITUTE(TRIM(MID(E:E,FIND("/",E:E)+1,LEN(E:E)))," ","")),'Customs Decl. &amp; Local Delivery'!D:J,7,0)</f>
        <v>45901</v>
      </c>
      <c r="I1840" s="886" t="s">
        <v>1569</v>
      </c>
      <c r="J1840" s="1262" t="s">
        <v>18</v>
      </c>
      <c r="K1840" s="1262" t="s">
        <v>147</v>
      </c>
      <c r="L1840" s="1258" t="s">
        <v>20</v>
      </c>
      <c r="M1840" s="853" t="s">
        <v>1366</v>
      </c>
      <c r="N1840" s="203"/>
      <c r="O1840" s="203"/>
      <c r="P1840" s="203"/>
      <c r="Q1840" s="203"/>
      <c r="R1840" s="203"/>
      <c r="S1840" s="203"/>
      <c r="T1840" s="203"/>
      <c r="U1840" s="203"/>
      <c r="V1840" s="203"/>
      <c r="W1840" s="203"/>
    </row>
    <row r="1841" s="180" customFormat="1" spans="1:23">
      <c r="A1841" s="871" t="s">
        <v>1345</v>
      </c>
      <c r="B1841" s="845" t="s">
        <v>1563</v>
      </c>
      <c r="C1841" s="866" t="s">
        <v>651</v>
      </c>
      <c r="D1841" s="392">
        <v>2</v>
      </c>
      <c r="E1841" s="281"/>
      <c r="F1841" s="835">
        <v>45818</v>
      </c>
      <c r="G1841" s="830">
        <f>G1840</f>
        <v>45870</v>
      </c>
      <c r="H1841" s="835">
        <f>H1840</f>
        <v>45901</v>
      </c>
      <c r="I1841" s="886" t="s">
        <v>1569</v>
      </c>
      <c r="J1841" s="1262" t="s">
        <v>18</v>
      </c>
      <c r="K1841" s="1262" t="s">
        <v>147</v>
      </c>
      <c r="L1841" s="1258" t="s">
        <v>20</v>
      </c>
      <c r="M1841" s="877"/>
      <c r="N1841" s="512"/>
      <c r="O1841" s="512"/>
      <c r="P1841" s="512"/>
      <c r="Q1841" s="512"/>
      <c r="R1841" s="512"/>
      <c r="S1841" s="512"/>
      <c r="T1841" s="512"/>
      <c r="U1841" s="512"/>
      <c r="V1841" s="512"/>
      <c r="W1841" s="512"/>
    </row>
    <row r="1842" s="180" customFormat="1" ht="30" spans="1:23">
      <c r="A1842" s="871" t="s">
        <v>1345</v>
      </c>
      <c r="B1842" s="845" t="s">
        <v>1570</v>
      </c>
      <c r="C1842" s="866" t="s">
        <v>651</v>
      </c>
      <c r="D1842" s="392">
        <v>45</v>
      </c>
      <c r="E1842" s="1244" t="s">
        <v>1571</v>
      </c>
      <c r="F1842" s="835">
        <v>45818</v>
      </c>
      <c r="G1842" s="835">
        <f>VLOOKUP(CLEAN(SUBSTITUTE(TRIM(MID(E:E,FIND("/",E:E)+1,LEN(E:E)))," ","")),'Customs Decl. &amp; Local Delivery'!D:I,6,0)</f>
        <v>45870</v>
      </c>
      <c r="H1842" s="835">
        <f>VLOOKUP(CLEAN(SUBSTITUTE(TRIM(MID(E:E,FIND("/",E:E)+1,LEN(E:E)))," ","")),'Customs Decl. &amp; Local Delivery'!D:J,7,0)</f>
        <v>45901</v>
      </c>
      <c r="I1842" s="886" t="s">
        <v>1572</v>
      </c>
      <c r="J1842" s="1262" t="s">
        <v>18</v>
      </c>
      <c r="K1842" s="1262" t="s">
        <v>147</v>
      </c>
      <c r="L1842" s="1258" t="s">
        <v>20</v>
      </c>
      <c r="M1842" s="853" t="s">
        <v>1366</v>
      </c>
      <c r="N1842" s="203"/>
      <c r="O1842" s="203"/>
      <c r="P1842" s="203"/>
      <c r="Q1842" s="203"/>
      <c r="R1842" s="203"/>
      <c r="S1842" s="203"/>
      <c r="T1842" s="203"/>
      <c r="U1842" s="203"/>
      <c r="V1842" s="203"/>
      <c r="W1842" s="203"/>
    </row>
    <row r="1843" s="180" customFormat="1" spans="1:23">
      <c r="A1843" s="871" t="s">
        <v>1345</v>
      </c>
      <c r="B1843" s="845" t="s">
        <v>1573</v>
      </c>
      <c r="C1843" s="866" t="s">
        <v>651</v>
      </c>
      <c r="D1843" s="392">
        <v>45</v>
      </c>
      <c r="E1843" s="1244" t="s">
        <v>1574</v>
      </c>
      <c r="F1843" s="835">
        <v>45818</v>
      </c>
      <c r="G1843" s="835">
        <f>VLOOKUP(CLEAN(SUBSTITUTE(TRIM(MID(E:E,FIND("/",E:E)+1,LEN(E:E)))," ","")),'Customs Decl. &amp; Local Delivery'!D:I,6,0)</f>
        <v>45870</v>
      </c>
      <c r="H1843" s="835">
        <f>VLOOKUP(CLEAN(SUBSTITUTE(TRIM(MID(E:E,FIND("/",E:E)+1,LEN(E:E)))," ","")),'Customs Decl. &amp; Local Delivery'!D:J,7,0)</f>
        <v>45901</v>
      </c>
      <c r="I1843" s="886" t="s">
        <v>1575</v>
      </c>
      <c r="J1843" s="1262" t="s">
        <v>18</v>
      </c>
      <c r="K1843" s="1262" t="s">
        <v>147</v>
      </c>
      <c r="L1843" s="1258" t="s">
        <v>20</v>
      </c>
      <c r="M1843" s="853" t="s">
        <v>1366</v>
      </c>
      <c r="N1843" s="203"/>
      <c r="O1843" s="203"/>
      <c r="P1843" s="203"/>
      <c r="Q1843" s="203"/>
      <c r="R1843" s="203"/>
      <c r="S1843" s="203"/>
      <c r="T1843" s="203"/>
      <c r="U1843" s="203"/>
      <c r="V1843" s="203"/>
      <c r="W1843" s="203"/>
    </row>
    <row r="1844" s="180" customFormat="1" spans="1:23">
      <c r="A1844" s="871" t="s">
        <v>1345</v>
      </c>
      <c r="B1844" s="845" t="s">
        <v>1563</v>
      </c>
      <c r="C1844" s="866" t="s">
        <v>651</v>
      </c>
      <c r="D1844" s="392">
        <v>2</v>
      </c>
      <c r="E1844" s="281"/>
      <c r="F1844" s="835">
        <v>45818</v>
      </c>
      <c r="G1844" s="830">
        <f>G1843</f>
        <v>45870</v>
      </c>
      <c r="H1844" s="835">
        <f>H1843</f>
        <v>45901</v>
      </c>
      <c r="I1844" s="886" t="s">
        <v>1575</v>
      </c>
      <c r="J1844" s="1262" t="s">
        <v>18</v>
      </c>
      <c r="K1844" s="1262" t="s">
        <v>147</v>
      </c>
      <c r="L1844" s="1258" t="s">
        <v>20</v>
      </c>
      <c r="M1844" s="877"/>
      <c r="N1844" s="512"/>
      <c r="O1844" s="512"/>
      <c r="P1844" s="512"/>
      <c r="Q1844" s="512"/>
      <c r="R1844" s="512"/>
      <c r="S1844" s="512"/>
      <c r="T1844" s="512"/>
      <c r="U1844" s="512"/>
      <c r="V1844" s="512"/>
      <c r="W1844" s="512"/>
    </row>
    <row r="1845" s="180" customFormat="1" ht="30" spans="1:23">
      <c r="A1845" s="871" t="s">
        <v>1345</v>
      </c>
      <c r="B1845" s="845" t="s">
        <v>1576</v>
      </c>
      <c r="C1845" s="866" t="s">
        <v>651</v>
      </c>
      <c r="D1845" s="392">
        <v>45</v>
      </c>
      <c r="E1845" s="1244" t="s">
        <v>1577</v>
      </c>
      <c r="F1845" s="835">
        <v>45818</v>
      </c>
      <c r="G1845" s="835">
        <f>VLOOKUP(CLEAN(SUBSTITUTE(TRIM(MID(E:E,FIND("/",E:E)+1,LEN(E:E)))," ","")),'Customs Decl. &amp; Local Delivery'!D:I,6,0)</f>
        <v>45870</v>
      </c>
      <c r="H1845" s="835">
        <f>VLOOKUP(CLEAN(SUBSTITUTE(TRIM(MID(E:E,FIND("/",E:E)+1,LEN(E:E)))," ","")),'Customs Decl. &amp; Local Delivery'!D:J,7,0)</f>
        <v>45901</v>
      </c>
      <c r="I1845" s="886" t="s">
        <v>1578</v>
      </c>
      <c r="J1845" s="1262" t="s">
        <v>18</v>
      </c>
      <c r="K1845" s="1262" t="s">
        <v>147</v>
      </c>
      <c r="L1845" s="1258" t="s">
        <v>20</v>
      </c>
      <c r="M1845" s="853" t="s">
        <v>1366</v>
      </c>
      <c r="N1845" s="203"/>
      <c r="O1845" s="203"/>
      <c r="P1845" s="203"/>
      <c r="Q1845" s="203"/>
      <c r="R1845" s="203"/>
      <c r="S1845" s="203"/>
      <c r="T1845" s="203"/>
      <c r="U1845" s="203"/>
      <c r="V1845" s="203"/>
      <c r="W1845" s="203"/>
    </row>
    <row r="1846" s="180" customFormat="1" ht="30" spans="1:23">
      <c r="A1846" s="871" t="s">
        <v>1345</v>
      </c>
      <c r="B1846" s="845" t="s">
        <v>1579</v>
      </c>
      <c r="C1846" s="866" t="s">
        <v>651</v>
      </c>
      <c r="D1846" s="392">
        <v>45</v>
      </c>
      <c r="E1846" s="1244" t="s">
        <v>1580</v>
      </c>
      <c r="F1846" s="835">
        <v>45818</v>
      </c>
      <c r="G1846" s="835">
        <f>VLOOKUP(CLEAN(SUBSTITUTE(TRIM(MID(E:E,FIND("/",E:E)+1,LEN(E:E)))," ","")),'Customs Decl. &amp; Local Delivery'!D:I,6,0)</f>
        <v>45870</v>
      </c>
      <c r="H1846" s="835">
        <f>VLOOKUP(CLEAN(SUBSTITUTE(TRIM(MID(E:E,FIND("/",E:E)+1,LEN(E:E)))," ","")),'Customs Decl. &amp; Local Delivery'!D:J,7,0)</f>
        <v>45902</v>
      </c>
      <c r="I1846" s="886" t="s">
        <v>1581</v>
      </c>
      <c r="J1846" s="1262" t="s">
        <v>18</v>
      </c>
      <c r="K1846" s="1262" t="s">
        <v>147</v>
      </c>
      <c r="L1846" s="1258" t="s">
        <v>20</v>
      </c>
      <c r="M1846" s="853" t="s">
        <v>1540</v>
      </c>
      <c r="N1846" s="203"/>
      <c r="O1846" s="203"/>
      <c r="P1846" s="203"/>
      <c r="Q1846" s="203"/>
      <c r="R1846" s="203"/>
      <c r="S1846" s="203"/>
      <c r="T1846" s="203"/>
      <c r="U1846" s="203"/>
      <c r="V1846" s="203"/>
      <c r="W1846" s="203"/>
    </row>
    <row r="1847" s="180" customFormat="1" ht="30" spans="1:23">
      <c r="A1847" s="871" t="s">
        <v>1345</v>
      </c>
      <c r="B1847" s="845" t="s">
        <v>1582</v>
      </c>
      <c r="C1847" s="866" t="s">
        <v>651</v>
      </c>
      <c r="D1847" s="392">
        <v>45</v>
      </c>
      <c r="E1847" s="1244" t="s">
        <v>1583</v>
      </c>
      <c r="F1847" s="835">
        <v>45848</v>
      </c>
      <c r="G1847" s="835">
        <f>VLOOKUP(CLEAN(SUBSTITUTE(TRIM(MID(E:E,FIND("/",E:E)+1,LEN(E:E)))," ","")),'Customs Decl. &amp; Local Delivery'!D:I,6,0)</f>
        <v>45870</v>
      </c>
      <c r="H1847" s="835">
        <f>VLOOKUP(CLEAN(SUBSTITUTE(TRIM(MID(E:E,FIND("/",E:E)+1,LEN(E:E)))," ","")),'Customs Decl. &amp; Local Delivery'!D:J,7,0)</f>
        <v>45902</v>
      </c>
      <c r="I1847" s="886" t="s">
        <v>1584</v>
      </c>
      <c r="J1847" s="1262" t="s">
        <v>18</v>
      </c>
      <c r="K1847" s="1262" t="s">
        <v>147</v>
      </c>
      <c r="L1847" s="1258" t="s">
        <v>20</v>
      </c>
      <c r="M1847" s="886" t="s">
        <v>1540</v>
      </c>
      <c r="N1847" s="512"/>
      <c r="O1847" s="512"/>
      <c r="P1847" s="512"/>
      <c r="Q1847" s="512"/>
      <c r="R1847" s="512"/>
      <c r="S1847" s="512"/>
      <c r="T1847" s="512"/>
      <c r="U1847" s="512"/>
      <c r="V1847" s="512"/>
      <c r="W1847" s="512"/>
    </row>
    <row r="1848" s="180" customFormat="1" ht="30" spans="1:23">
      <c r="A1848" s="871" t="s">
        <v>1345</v>
      </c>
      <c r="B1848" s="845" t="s">
        <v>1585</v>
      </c>
      <c r="C1848" s="866" t="s">
        <v>651</v>
      </c>
      <c r="D1848" s="392">
        <v>45</v>
      </c>
      <c r="E1848" s="1244" t="s">
        <v>1586</v>
      </c>
      <c r="F1848" s="835">
        <v>45818</v>
      </c>
      <c r="G1848" s="835">
        <f>VLOOKUP(CLEAN(SUBSTITUTE(TRIM(MID(E:E,FIND("/",E:E)+1,LEN(E:E)))," ","")),'Customs Decl. &amp; Local Delivery'!D:I,6,0)</f>
        <v>45870</v>
      </c>
      <c r="H1848" s="835">
        <f>VLOOKUP(CLEAN(SUBSTITUTE(TRIM(MID(E:E,FIND("/",E:E)+1,LEN(E:E)))," ","")),'Customs Decl. &amp; Local Delivery'!D:J,7,0)</f>
        <v>45902</v>
      </c>
      <c r="I1848" s="886" t="s">
        <v>1587</v>
      </c>
      <c r="J1848" s="1262" t="s">
        <v>18</v>
      </c>
      <c r="K1848" s="1262" t="s">
        <v>147</v>
      </c>
      <c r="L1848" s="1258" t="s">
        <v>20</v>
      </c>
      <c r="M1848" s="853" t="s">
        <v>1540</v>
      </c>
      <c r="N1848" s="203"/>
      <c r="O1848" s="203"/>
      <c r="P1848" s="203"/>
      <c r="Q1848" s="203"/>
      <c r="R1848" s="203"/>
      <c r="S1848" s="203"/>
      <c r="T1848" s="203"/>
      <c r="U1848" s="203"/>
      <c r="V1848" s="203"/>
      <c r="W1848" s="203"/>
    </row>
    <row r="1849" s="180" customFormat="1" ht="30" spans="1:23">
      <c r="A1849" s="871" t="s">
        <v>1345</v>
      </c>
      <c r="B1849" s="845" t="s">
        <v>1588</v>
      </c>
      <c r="C1849" s="866" t="s">
        <v>651</v>
      </c>
      <c r="D1849" s="392">
        <v>45</v>
      </c>
      <c r="E1849" s="1244" t="s">
        <v>1589</v>
      </c>
      <c r="F1849" s="835">
        <v>45818</v>
      </c>
      <c r="G1849" s="835">
        <f>VLOOKUP(CLEAN(SUBSTITUTE(TRIM(MID(E:E,FIND("/",E:E)+1,LEN(E:E)))," ","")),'Customs Decl. &amp; Local Delivery'!D:I,6,0)</f>
        <v>45870</v>
      </c>
      <c r="H1849" s="835">
        <f>VLOOKUP(CLEAN(SUBSTITUTE(TRIM(MID(E:E,FIND("/",E:E)+1,LEN(E:E)))," ","")),'Customs Decl. &amp; Local Delivery'!D:J,7,0)</f>
        <v>45902</v>
      </c>
      <c r="I1849" s="886" t="s">
        <v>1590</v>
      </c>
      <c r="J1849" s="1262" t="s">
        <v>18</v>
      </c>
      <c r="K1849" s="1262" t="s">
        <v>147</v>
      </c>
      <c r="L1849" s="1258" t="s">
        <v>20</v>
      </c>
      <c r="M1849" s="853" t="s">
        <v>1540</v>
      </c>
      <c r="N1849" s="203"/>
      <c r="O1849" s="203"/>
      <c r="P1849" s="203"/>
      <c r="Q1849" s="203"/>
      <c r="R1849" s="203"/>
      <c r="S1849" s="203"/>
      <c r="T1849" s="203"/>
      <c r="U1849" s="203"/>
      <c r="V1849" s="203"/>
      <c r="W1849" s="203"/>
    </row>
    <row r="1850" s="180" customFormat="1" ht="30" spans="1:23">
      <c r="A1850" s="871" t="s">
        <v>1345</v>
      </c>
      <c r="B1850" s="845" t="s">
        <v>1591</v>
      </c>
      <c r="C1850" s="866" t="s">
        <v>651</v>
      </c>
      <c r="D1850" s="392">
        <v>45</v>
      </c>
      <c r="E1850" s="1244" t="s">
        <v>1592</v>
      </c>
      <c r="F1850" s="835">
        <v>45848</v>
      </c>
      <c r="G1850" s="835">
        <f>VLOOKUP(CLEAN(SUBSTITUTE(TRIM(MID(E:E,FIND("/",E:E)+1,LEN(E:E)))," ","")),'Customs Decl. &amp; Local Delivery'!D:I,6,0)</f>
        <v>45870</v>
      </c>
      <c r="H1850" s="835">
        <f>VLOOKUP(CLEAN(SUBSTITUTE(TRIM(MID(E:E,FIND("/",E:E)+1,LEN(E:E)))," ","")),'Customs Decl. &amp; Local Delivery'!D:J,7,0)</f>
        <v>45901</v>
      </c>
      <c r="I1850" s="886" t="s">
        <v>1593</v>
      </c>
      <c r="J1850" s="1262" t="s">
        <v>18</v>
      </c>
      <c r="K1850" s="1262" t="s">
        <v>147</v>
      </c>
      <c r="L1850" s="1258" t="s">
        <v>20</v>
      </c>
      <c r="M1850" s="886" t="s">
        <v>1540</v>
      </c>
      <c r="N1850" s="203"/>
      <c r="O1850" s="203"/>
      <c r="P1850" s="203"/>
      <c r="Q1850" s="203"/>
      <c r="R1850" s="203"/>
      <c r="S1850" s="203"/>
      <c r="T1850" s="203"/>
      <c r="U1850" s="203"/>
      <c r="V1850" s="203"/>
      <c r="W1850" s="203"/>
    </row>
    <row r="1851" ht="16.5" customHeight="1" spans="1:23">
      <c r="A1851" s="877" t="s">
        <v>1495</v>
      </c>
      <c r="B1851" s="1252" t="s">
        <v>1594</v>
      </c>
      <c r="C1851" s="809" t="s">
        <v>135</v>
      </c>
      <c r="D1851" s="1227">
        <v>30</v>
      </c>
      <c r="E1851" s="1223" t="s">
        <v>1595</v>
      </c>
      <c r="F1851" s="835"/>
      <c r="G1851" s="835">
        <f>VLOOKUP(CLEAN(SUBSTITUTE(TRIM(MID(E:E,FIND("/",E:E)+1,LEN(E:E)))," ","")),'Customs Decl. &amp; Local Delivery'!D:I,6,0)</f>
        <v>45871</v>
      </c>
      <c r="H1851" s="835">
        <f>VLOOKUP(CLEAN(SUBSTITUTE(TRIM(MID(E:E,FIND("/",E:E)+1,LEN(E:E)))," ","")),'Customs Decl. &amp; Local Delivery'!D:J,7,0)</f>
        <v>45889</v>
      </c>
      <c r="I1851" s="886" t="s">
        <v>1596</v>
      </c>
      <c r="J1851" s="1262" t="s">
        <v>18</v>
      </c>
      <c r="K1851" s="868" t="s">
        <v>19</v>
      </c>
      <c r="L1851" s="1264" t="s">
        <v>20</v>
      </c>
      <c r="M1851" s="1239" t="s">
        <v>1597</v>
      </c>
      <c r="N1851" s="325"/>
      <c r="O1851" s="325"/>
      <c r="P1851" s="325"/>
      <c r="Q1851" s="325"/>
      <c r="R1851" s="325"/>
      <c r="S1851" s="325"/>
      <c r="T1851" s="325"/>
      <c r="U1851" s="325"/>
      <c r="V1851" s="325"/>
      <c r="W1851" s="325"/>
    </row>
    <row r="1852" ht="16.5" customHeight="1" spans="1:23">
      <c r="A1852" s="877" t="s">
        <v>1495</v>
      </c>
      <c r="B1852" s="1241" t="s">
        <v>1594</v>
      </c>
      <c r="C1852" s="809" t="s">
        <v>136</v>
      </c>
      <c r="D1852" s="1227">
        <v>30</v>
      </c>
      <c r="E1852" s="281"/>
      <c r="F1852" s="830"/>
      <c r="G1852" s="830">
        <f>G1851</f>
        <v>45871</v>
      </c>
      <c r="H1852" s="839">
        <f>H1851</f>
        <v>45889</v>
      </c>
      <c r="I1852" s="886" t="s">
        <v>1596</v>
      </c>
      <c r="J1852" s="1262" t="s">
        <v>18</v>
      </c>
      <c r="K1852" s="868" t="s">
        <v>19</v>
      </c>
      <c r="L1852" s="1264" t="s">
        <v>20</v>
      </c>
      <c r="M1852" s="1238"/>
      <c r="N1852" s="512"/>
      <c r="O1852" s="325"/>
      <c r="P1852" s="325"/>
      <c r="Q1852" s="325"/>
      <c r="R1852" s="325"/>
      <c r="S1852" s="325"/>
      <c r="T1852" s="325"/>
      <c r="U1852" s="325"/>
      <c r="V1852" s="325"/>
      <c r="W1852" s="325"/>
    </row>
    <row r="1853" ht="16.5" customHeight="1" spans="1:23">
      <c r="A1853" s="877" t="s">
        <v>1495</v>
      </c>
      <c r="B1853" s="1241" t="s">
        <v>1594</v>
      </c>
      <c r="C1853" s="809" t="s">
        <v>155</v>
      </c>
      <c r="D1853" s="1227">
        <v>75</v>
      </c>
      <c r="E1853" s="281"/>
      <c r="F1853" s="830"/>
      <c r="G1853" s="830">
        <f>G1852</f>
        <v>45871</v>
      </c>
      <c r="H1853" s="839">
        <f>H1852</f>
        <v>45889</v>
      </c>
      <c r="I1853" s="886" t="s">
        <v>1596</v>
      </c>
      <c r="J1853" s="1262" t="s">
        <v>18</v>
      </c>
      <c r="K1853" s="868" t="s">
        <v>147</v>
      </c>
      <c r="L1853" s="1265" t="s">
        <v>20</v>
      </c>
      <c r="M1853" s="1266" t="s">
        <v>1598</v>
      </c>
      <c r="N1853" s="512"/>
      <c r="O1853" s="325"/>
      <c r="P1853" s="325"/>
      <c r="Q1853" s="325"/>
      <c r="R1853" s="325"/>
      <c r="S1853" s="325"/>
      <c r="T1853" s="325"/>
      <c r="U1853" s="325"/>
      <c r="V1853" s="325"/>
      <c r="W1853" s="325"/>
    </row>
    <row r="1854" ht="15.4" customHeight="1" spans="1:23">
      <c r="A1854" s="877" t="s">
        <v>1495</v>
      </c>
      <c r="B1854" s="1226" t="s">
        <v>1496</v>
      </c>
      <c r="C1854" s="809" t="s">
        <v>155</v>
      </c>
      <c r="D1854" s="1249">
        <v>10</v>
      </c>
      <c r="E1854" s="281"/>
      <c r="F1854" s="830"/>
      <c r="G1854" s="830">
        <f>G1853</f>
        <v>45871</v>
      </c>
      <c r="H1854" s="839">
        <f>H1853</f>
        <v>45889</v>
      </c>
      <c r="I1854" s="886" t="s">
        <v>1596</v>
      </c>
      <c r="J1854" s="1262" t="s">
        <v>18</v>
      </c>
      <c r="K1854" s="868" t="s">
        <v>147</v>
      </c>
      <c r="L1854" s="1265" t="s">
        <v>20</v>
      </c>
      <c r="M1854" s="192"/>
      <c r="N1854" s="512"/>
      <c r="O1854" s="325"/>
      <c r="P1854" s="325"/>
      <c r="Q1854" s="325"/>
      <c r="R1854" s="325"/>
      <c r="S1854" s="325"/>
      <c r="T1854" s="325"/>
      <c r="U1854" s="325"/>
      <c r="V1854" s="325"/>
      <c r="W1854" s="325"/>
    </row>
    <row r="1855" ht="15.4" customHeight="1" spans="1:23">
      <c r="A1855" s="877" t="s">
        <v>1294</v>
      </c>
      <c r="B1855" s="1253" t="s">
        <v>1599</v>
      </c>
      <c r="C1855" s="1254" t="s">
        <v>129</v>
      </c>
      <c r="D1855" s="1222">
        <v>5</v>
      </c>
      <c r="E1855" s="1244" t="s">
        <v>1600</v>
      </c>
      <c r="F1855" s="835">
        <v>45907</v>
      </c>
      <c r="G1855" s="835">
        <f>VLOOKUP(CLEAN(SUBSTITUTE(TRIM(MID(E:E,FIND("/",E:E)+1,LEN(E:E)))," ","")),'Customs Decl. &amp; Local Delivery'!D:I,6,0)</f>
        <v>45871</v>
      </c>
      <c r="H1855" s="835">
        <f>VLOOKUP(CLEAN(SUBSTITUTE(TRIM(MID(E:E,FIND("/",E:E)+1,LEN(E:E)))," ","")),'Customs Decl. &amp; Local Delivery'!D:J,7,0)</f>
        <v>45904</v>
      </c>
      <c r="I1855" s="1234" t="s">
        <v>1601</v>
      </c>
      <c r="J1855" s="1267" t="s">
        <v>207</v>
      </c>
      <c r="K1855" s="1267" t="s">
        <v>19</v>
      </c>
      <c r="L1855" s="1268" t="s">
        <v>20</v>
      </c>
      <c r="M1855" s="900" t="s">
        <v>1602</v>
      </c>
      <c r="N1855" s="512"/>
      <c r="O1855" s="325"/>
      <c r="P1855" s="325"/>
      <c r="Q1855" s="325"/>
      <c r="R1855" s="325"/>
      <c r="S1855" s="325"/>
      <c r="T1855" s="325"/>
      <c r="U1855" s="325"/>
      <c r="V1855" s="325"/>
      <c r="W1855" s="325"/>
    </row>
    <row r="1856" ht="15.4" customHeight="1" spans="1:23">
      <c r="A1856" s="877" t="s">
        <v>1294</v>
      </c>
      <c r="B1856" s="845" t="s">
        <v>1599</v>
      </c>
      <c r="C1856" s="1255" t="s">
        <v>133</v>
      </c>
      <c r="D1856" s="1227">
        <v>5</v>
      </c>
      <c r="E1856" s="281"/>
      <c r="F1856" s="835">
        <v>45907</v>
      </c>
      <c r="G1856" s="830">
        <f t="shared" ref="G1856:G1877" si="146">G1855</f>
        <v>45871</v>
      </c>
      <c r="H1856" s="835">
        <f t="shared" ref="H1856:H1877" si="147">H1855</f>
        <v>45904</v>
      </c>
      <c r="I1856" s="1234" t="s">
        <v>1601</v>
      </c>
      <c r="J1856" s="1259" t="s">
        <v>207</v>
      </c>
      <c r="K1856" s="1259" t="s">
        <v>19</v>
      </c>
      <c r="L1856" s="1268" t="s">
        <v>20</v>
      </c>
      <c r="M1856" s="900" t="s">
        <v>1473</v>
      </c>
      <c r="N1856" s="512"/>
      <c r="O1856" s="325"/>
      <c r="P1856" s="325"/>
      <c r="Q1856" s="325"/>
      <c r="R1856" s="325"/>
      <c r="S1856" s="325"/>
      <c r="T1856" s="325"/>
      <c r="U1856" s="325"/>
      <c r="V1856" s="325"/>
      <c r="W1856" s="325"/>
    </row>
    <row r="1857" ht="15.4" customHeight="1" spans="1:23">
      <c r="A1857" s="877" t="s">
        <v>1294</v>
      </c>
      <c r="B1857" s="845" t="s">
        <v>1599</v>
      </c>
      <c r="C1857" s="1255" t="s">
        <v>15</v>
      </c>
      <c r="D1857" s="1227">
        <v>88</v>
      </c>
      <c r="E1857" s="69"/>
      <c r="F1857" s="835">
        <v>45907</v>
      </c>
      <c r="G1857" s="830">
        <f t="shared" si="146"/>
        <v>45871</v>
      </c>
      <c r="H1857" s="835">
        <f t="shared" si="147"/>
        <v>45904</v>
      </c>
      <c r="I1857" s="1234" t="s">
        <v>1601</v>
      </c>
      <c r="J1857" s="1259" t="s">
        <v>207</v>
      </c>
      <c r="K1857" s="1259" t="s">
        <v>19</v>
      </c>
      <c r="L1857" s="1268" t="s">
        <v>20</v>
      </c>
      <c r="M1857" s="900"/>
      <c r="N1857" s="512"/>
      <c r="O1857" s="325"/>
      <c r="P1857" s="325"/>
      <c r="Q1857" s="325"/>
      <c r="R1857" s="325"/>
      <c r="S1857" s="325"/>
      <c r="T1857" s="325"/>
      <c r="U1857" s="325"/>
      <c r="V1857" s="325"/>
      <c r="W1857" s="325"/>
    </row>
    <row r="1858" ht="15.4" customHeight="1" spans="1:23">
      <c r="A1858" s="877" t="s">
        <v>1294</v>
      </c>
      <c r="B1858" s="845" t="s">
        <v>1599</v>
      </c>
      <c r="C1858" s="1255" t="s">
        <v>22</v>
      </c>
      <c r="D1858" s="1227">
        <v>88</v>
      </c>
      <c r="E1858" s="69"/>
      <c r="F1858" s="835">
        <v>45907</v>
      </c>
      <c r="G1858" s="830">
        <f t="shared" si="146"/>
        <v>45871</v>
      </c>
      <c r="H1858" s="835">
        <f t="shared" si="147"/>
        <v>45904</v>
      </c>
      <c r="I1858" s="1234" t="s">
        <v>1601</v>
      </c>
      <c r="J1858" s="1259" t="s">
        <v>207</v>
      </c>
      <c r="K1858" s="1259" t="s">
        <v>19</v>
      </c>
      <c r="L1858" s="1268" t="s">
        <v>20</v>
      </c>
      <c r="M1858" s="900"/>
      <c r="N1858" s="512"/>
      <c r="O1858" s="325"/>
      <c r="P1858" s="325"/>
      <c r="Q1858" s="325"/>
      <c r="R1858" s="325"/>
      <c r="S1858" s="325"/>
      <c r="T1858" s="325"/>
      <c r="U1858" s="325"/>
      <c r="V1858" s="325"/>
      <c r="W1858" s="325"/>
    </row>
    <row r="1859" ht="15.4" customHeight="1" spans="1:23">
      <c r="A1859" s="877" t="s">
        <v>1294</v>
      </c>
      <c r="B1859" s="845" t="s">
        <v>1599</v>
      </c>
      <c r="C1859" s="1255" t="s">
        <v>24</v>
      </c>
      <c r="D1859" s="1227">
        <v>4</v>
      </c>
      <c r="E1859" s="69"/>
      <c r="F1859" s="835">
        <v>45907</v>
      </c>
      <c r="G1859" s="830">
        <f t="shared" si="146"/>
        <v>45871</v>
      </c>
      <c r="H1859" s="835">
        <f t="shared" si="147"/>
        <v>45904</v>
      </c>
      <c r="I1859" s="1234" t="s">
        <v>1601</v>
      </c>
      <c r="J1859" s="1259" t="s">
        <v>207</v>
      </c>
      <c r="K1859" s="1259" t="s">
        <v>19</v>
      </c>
      <c r="L1859" s="1268" t="s">
        <v>20</v>
      </c>
      <c r="M1859" s="900"/>
      <c r="N1859" s="512"/>
      <c r="O1859" s="325"/>
      <c r="P1859" s="325"/>
      <c r="Q1859" s="325"/>
      <c r="R1859" s="325"/>
      <c r="S1859" s="325"/>
      <c r="T1859" s="325"/>
      <c r="U1859" s="325"/>
      <c r="V1859" s="325"/>
      <c r="W1859" s="325"/>
    </row>
    <row r="1860" ht="15.4" customHeight="1" spans="1:23">
      <c r="A1860" s="877" t="s">
        <v>1294</v>
      </c>
      <c r="B1860" s="845" t="s">
        <v>1599</v>
      </c>
      <c r="C1860" s="1255" t="s">
        <v>25</v>
      </c>
      <c r="D1860" s="1227">
        <v>4</v>
      </c>
      <c r="E1860" s="69"/>
      <c r="F1860" s="835">
        <v>45907</v>
      </c>
      <c r="G1860" s="830">
        <f t="shared" si="146"/>
        <v>45871</v>
      </c>
      <c r="H1860" s="835">
        <f t="shared" si="147"/>
        <v>45904</v>
      </c>
      <c r="I1860" s="1234" t="s">
        <v>1601</v>
      </c>
      <c r="J1860" s="1259" t="s">
        <v>207</v>
      </c>
      <c r="K1860" s="1259" t="s">
        <v>19</v>
      </c>
      <c r="L1860" s="1268" t="s">
        <v>20</v>
      </c>
      <c r="M1860" s="900"/>
      <c r="N1860" s="512"/>
      <c r="O1860" s="325"/>
      <c r="P1860" s="325"/>
      <c r="Q1860" s="325"/>
      <c r="R1860" s="325"/>
      <c r="S1860" s="325"/>
      <c r="T1860" s="325"/>
      <c r="U1860" s="325"/>
      <c r="V1860" s="325"/>
      <c r="W1860" s="325"/>
    </row>
    <row r="1861" ht="15.4" customHeight="1" spans="1:23">
      <c r="A1861" s="877" t="s">
        <v>1294</v>
      </c>
      <c r="B1861" s="845" t="s">
        <v>1599</v>
      </c>
      <c r="C1861" s="1255" t="s">
        <v>27</v>
      </c>
      <c r="D1861" s="1227">
        <v>12</v>
      </c>
      <c r="E1861" s="69"/>
      <c r="F1861" s="835">
        <v>45907</v>
      </c>
      <c r="G1861" s="830">
        <f t="shared" si="146"/>
        <v>45871</v>
      </c>
      <c r="H1861" s="835">
        <f t="shared" si="147"/>
        <v>45904</v>
      </c>
      <c r="I1861" s="1234" t="s">
        <v>1601</v>
      </c>
      <c r="J1861" s="1259" t="s">
        <v>207</v>
      </c>
      <c r="K1861" s="1259" t="s">
        <v>19</v>
      </c>
      <c r="L1861" s="1268" t="s">
        <v>20</v>
      </c>
      <c r="M1861" s="900"/>
      <c r="N1861" s="512"/>
      <c r="O1861" s="325"/>
      <c r="P1861" s="325"/>
      <c r="Q1861" s="325"/>
      <c r="R1861" s="325"/>
      <c r="S1861" s="325"/>
      <c r="T1861" s="325"/>
      <c r="U1861" s="325"/>
      <c r="V1861" s="325"/>
      <c r="W1861" s="325"/>
    </row>
    <row r="1862" ht="15.4" customHeight="1" spans="1:23">
      <c r="A1862" s="877" t="s">
        <v>1294</v>
      </c>
      <c r="B1862" s="845" t="s">
        <v>1599</v>
      </c>
      <c r="C1862" s="1255" t="s">
        <v>28</v>
      </c>
      <c r="D1862" s="1227">
        <v>12</v>
      </c>
      <c r="E1862" s="69"/>
      <c r="F1862" s="835">
        <v>45907</v>
      </c>
      <c r="G1862" s="830">
        <f t="shared" si="146"/>
        <v>45871</v>
      </c>
      <c r="H1862" s="835">
        <f t="shared" si="147"/>
        <v>45904</v>
      </c>
      <c r="I1862" s="1234" t="s">
        <v>1601</v>
      </c>
      <c r="J1862" s="1259" t="s">
        <v>207</v>
      </c>
      <c r="K1862" s="1259" t="s">
        <v>19</v>
      </c>
      <c r="L1862" s="1268" t="s">
        <v>20</v>
      </c>
      <c r="M1862" s="900"/>
      <c r="N1862" s="512"/>
      <c r="O1862" s="325"/>
      <c r="P1862" s="325"/>
      <c r="Q1862" s="325"/>
      <c r="R1862" s="325"/>
      <c r="S1862" s="325"/>
      <c r="T1862" s="325"/>
      <c r="U1862" s="325"/>
      <c r="V1862" s="325"/>
      <c r="W1862" s="325"/>
    </row>
    <row r="1863" ht="15.4" customHeight="1" spans="1:23">
      <c r="A1863" s="877" t="s">
        <v>1294</v>
      </c>
      <c r="B1863" s="845" t="s">
        <v>1599</v>
      </c>
      <c r="C1863" s="1255" t="s">
        <v>67</v>
      </c>
      <c r="D1863" s="1227">
        <v>7</v>
      </c>
      <c r="E1863" s="69"/>
      <c r="F1863" s="835">
        <v>45907</v>
      </c>
      <c r="G1863" s="830">
        <f t="shared" si="146"/>
        <v>45871</v>
      </c>
      <c r="H1863" s="835">
        <f t="shared" si="147"/>
        <v>45904</v>
      </c>
      <c r="I1863" s="1234" t="s">
        <v>1601</v>
      </c>
      <c r="J1863" s="1259" t="s">
        <v>207</v>
      </c>
      <c r="K1863" s="1259" t="s">
        <v>19</v>
      </c>
      <c r="L1863" s="1268" t="s">
        <v>20</v>
      </c>
      <c r="M1863" s="900"/>
      <c r="N1863" s="512"/>
      <c r="O1863" s="325"/>
      <c r="P1863" s="325"/>
      <c r="Q1863" s="325"/>
      <c r="R1863" s="325"/>
      <c r="S1863" s="325"/>
      <c r="T1863" s="325"/>
      <c r="U1863" s="325"/>
      <c r="V1863" s="325"/>
      <c r="W1863" s="325"/>
    </row>
    <row r="1864" ht="15.4" customHeight="1" spans="1:23">
      <c r="A1864" s="877" t="s">
        <v>1294</v>
      </c>
      <c r="B1864" s="845" t="s">
        <v>1599</v>
      </c>
      <c r="C1864" s="1255" t="s">
        <v>69</v>
      </c>
      <c r="D1864" s="1227">
        <v>7</v>
      </c>
      <c r="E1864" s="69"/>
      <c r="F1864" s="835">
        <v>45907</v>
      </c>
      <c r="G1864" s="830">
        <f t="shared" si="146"/>
        <v>45871</v>
      </c>
      <c r="H1864" s="835">
        <f t="shared" si="147"/>
        <v>45904</v>
      </c>
      <c r="I1864" s="1234" t="s">
        <v>1601</v>
      </c>
      <c r="J1864" s="1259" t="s">
        <v>207</v>
      </c>
      <c r="K1864" s="1259" t="s">
        <v>19</v>
      </c>
      <c r="L1864" s="1268" t="s">
        <v>20</v>
      </c>
      <c r="M1864" s="900"/>
      <c r="N1864" s="512"/>
      <c r="O1864" s="325"/>
      <c r="P1864" s="325"/>
      <c r="Q1864" s="325"/>
      <c r="R1864" s="325"/>
      <c r="S1864" s="325"/>
      <c r="T1864" s="325"/>
      <c r="U1864" s="325"/>
      <c r="V1864" s="325"/>
      <c r="W1864" s="325"/>
    </row>
    <row r="1865" ht="15.4" customHeight="1" spans="1:23">
      <c r="A1865" s="877" t="s">
        <v>1294</v>
      </c>
      <c r="B1865" s="845" t="s">
        <v>1599</v>
      </c>
      <c r="C1865" s="1255" t="s">
        <v>165</v>
      </c>
      <c r="D1865" s="1227">
        <v>15</v>
      </c>
      <c r="E1865" s="69"/>
      <c r="F1865" s="835">
        <v>45907</v>
      </c>
      <c r="G1865" s="830">
        <f t="shared" si="146"/>
        <v>45871</v>
      </c>
      <c r="H1865" s="835">
        <f t="shared" si="147"/>
        <v>45904</v>
      </c>
      <c r="I1865" s="1234" t="s">
        <v>1601</v>
      </c>
      <c r="J1865" s="1259" t="s">
        <v>207</v>
      </c>
      <c r="K1865" s="1259" t="s">
        <v>19</v>
      </c>
      <c r="L1865" s="1268" t="s">
        <v>20</v>
      </c>
      <c r="M1865" s="900"/>
      <c r="N1865" s="512"/>
      <c r="O1865" s="325"/>
      <c r="P1865" s="325"/>
      <c r="Q1865" s="325"/>
      <c r="R1865" s="325"/>
      <c r="S1865" s="325"/>
      <c r="T1865" s="325"/>
      <c r="U1865" s="325"/>
      <c r="V1865" s="325"/>
      <c r="W1865" s="325"/>
    </row>
    <row r="1866" ht="15.4" customHeight="1" spans="1:23">
      <c r="A1866" s="877" t="s">
        <v>1294</v>
      </c>
      <c r="B1866" s="845" t="s">
        <v>1599</v>
      </c>
      <c r="C1866" s="1255" t="s">
        <v>462</v>
      </c>
      <c r="D1866" s="1227">
        <v>1</v>
      </c>
      <c r="E1866" s="69"/>
      <c r="F1866" s="835">
        <v>45907</v>
      </c>
      <c r="G1866" s="830">
        <f t="shared" si="146"/>
        <v>45871</v>
      </c>
      <c r="H1866" s="835">
        <f t="shared" si="147"/>
        <v>45904</v>
      </c>
      <c r="I1866" s="1234" t="s">
        <v>1601</v>
      </c>
      <c r="J1866" s="1259" t="s">
        <v>207</v>
      </c>
      <c r="K1866" s="1259" t="s">
        <v>19</v>
      </c>
      <c r="L1866" s="1268" t="s">
        <v>20</v>
      </c>
      <c r="M1866" s="900"/>
      <c r="N1866" s="512"/>
      <c r="O1866" s="325"/>
      <c r="P1866" s="325"/>
      <c r="Q1866" s="325"/>
      <c r="R1866" s="325"/>
      <c r="S1866" s="325"/>
      <c r="T1866" s="325"/>
      <c r="U1866" s="325"/>
      <c r="V1866" s="325"/>
      <c r="W1866" s="325"/>
    </row>
    <row r="1867" ht="15.4" customHeight="1" spans="1:23">
      <c r="A1867" s="877" t="s">
        <v>1294</v>
      </c>
      <c r="B1867" s="845" t="s">
        <v>1599</v>
      </c>
      <c r="C1867" s="1255" t="s">
        <v>463</v>
      </c>
      <c r="D1867" s="1227">
        <v>3</v>
      </c>
      <c r="E1867" s="69"/>
      <c r="F1867" s="835">
        <v>45907</v>
      </c>
      <c r="G1867" s="830">
        <f t="shared" si="146"/>
        <v>45871</v>
      </c>
      <c r="H1867" s="835">
        <f t="shared" si="147"/>
        <v>45904</v>
      </c>
      <c r="I1867" s="1234" t="s">
        <v>1601</v>
      </c>
      <c r="J1867" s="1259" t="s">
        <v>207</v>
      </c>
      <c r="K1867" s="1259" t="s">
        <v>19</v>
      </c>
      <c r="L1867" s="1268" t="s">
        <v>20</v>
      </c>
      <c r="M1867" s="900"/>
      <c r="N1867" s="512"/>
      <c r="O1867" s="325"/>
      <c r="P1867" s="325"/>
      <c r="Q1867" s="325"/>
      <c r="R1867" s="325"/>
      <c r="S1867" s="325"/>
      <c r="T1867" s="325"/>
      <c r="U1867" s="325"/>
      <c r="V1867" s="325"/>
      <c r="W1867" s="325"/>
    </row>
    <row r="1868" ht="15.4" customHeight="1" spans="1:23">
      <c r="A1868" s="877" t="s">
        <v>1294</v>
      </c>
      <c r="B1868" s="845" t="s">
        <v>1599</v>
      </c>
      <c r="C1868" s="1255" t="s">
        <v>29</v>
      </c>
      <c r="D1868" s="1227">
        <v>2</v>
      </c>
      <c r="E1868" s="69"/>
      <c r="F1868" s="835">
        <v>45907</v>
      </c>
      <c r="G1868" s="830">
        <f t="shared" si="146"/>
        <v>45871</v>
      </c>
      <c r="H1868" s="835">
        <f t="shared" si="147"/>
        <v>45904</v>
      </c>
      <c r="I1868" s="1234" t="s">
        <v>1601</v>
      </c>
      <c r="J1868" s="1259" t="s">
        <v>207</v>
      </c>
      <c r="K1868" s="1259" t="s">
        <v>19</v>
      </c>
      <c r="L1868" s="1268" t="s">
        <v>20</v>
      </c>
      <c r="M1868" s="900"/>
      <c r="N1868" s="512"/>
      <c r="O1868" s="325"/>
      <c r="P1868" s="325"/>
      <c r="Q1868" s="325"/>
      <c r="R1868" s="325"/>
      <c r="S1868" s="325"/>
      <c r="T1868" s="325"/>
      <c r="U1868" s="325"/>
      <c r="V1868" s="325"/>
      <c r="W1868" s="325"/>
    </row>
    <row r="1869" ht="15.4" customHeight="1" spans="1:23">
      <c r="A1869" s="877" t="s">
        <v>1294</v>
      </c>
      <c r="B1869" s="845" t="s">
        <v>1599</v>
      </c>
      <c r="C1869" s="1255" t="s">
        <v>30</v>
      </c>
      <c r="D1869" s="1227">
        <v>7</v>
      </c>
      <c r="E1869" s="69"/>
      <c r="F1869" s="835">
        <v>45907</v>
      </c>
      <c r="G1869" s="830">
        <f t="shared" si="146"/>
        <v>45871</v>
      </c>
      <c r="H1869" s="835">
        <f t="shared" si="147"/>
        <v>45904</v>
      </c>
      <c r="I1869" s="1234" t="s">
        <v>1601</v>
      </c>
      <c r="J1869" s="1259" t="s">
        <v>207</v>
      </c>
      <c r="K1869" s="1259" t="s">
        <v>19</v>
      </c>
      <c r="L1869" s="1268" t="s">
        <v>20</v>
      </c>
      <c r="M1869" s="900"/>
      <c r="N1869" s="512"/>
      <c r="O1869" s="325"/>
      <c r="P1869" s="325"/>
      <c r="Q1869" s="325"/>
      <c r="R1869" s="325"/>
      <c r="S1869" s="325"/>
      <c r="T1869" s="325"/>
      <c r="U1869" s="325"/>
      <c r="V1869" s="325"/>
      <c r="W1869" s="325"/>
    </row>
    <row r="1870" ht="15.4" customHeight="1" spans="1:23">
      <c r="A1870" s="877" t="s">
        <v>1294</v>
      </c>
      <c r="B1870" s="845" t="s">
        <v>1599</v>
      </c>
      <c r="C1870" s="1255" t="s">
        <v>31</v>
      </c>
      <c r="D1870" s="1227">
        <v>1</v>
      </c>
      <c r="E1870" s="69"/>
      <c r="F1870" s="835">
        <v>45907</v>
      </c>
      <c r="G1870" s="830">
        <f t="shared" si="146"/>
        <v>45871</v>
      </c>
      <c r="H1870" s="835">
        <f t="shared" si="147"/>
        <v>45904</v>
      </c>
      <c r="I1870" s="1234" t="s">
        <v>1601</v>
      </c>
      <c r="J1870" s="1259" t="s">
        <v>207</v>
      </c>
      <c r="K1870" s="1259" t="s">
        <v>19</v>
      </c>
      <c r="L1870" s="1268" t="s">
        <v>20</v>
      </c>
      <c r="M1870" s="900"/>
      <c r="N1870" s="512"/>
      <c r="O1870" s="325"/>
      <c r="P1870" s="325"/>
      <c r="Q1870" s="325"/>
      <c r="R1870" s="325"/>
      <c r="S1870" s="325"/>
      <c r="T1870" s="325"/>
      <c r="U1870" s="325"/>
      <c r="V1870" s="325"/>
      <c r="W1870" s="325"/>
    </row>
    <row r="1871" ht="15.4" customHeight="1" spans="1:23">
      <c r="A1871" s="877" t="s">
        <v>1294</v>
      </c>
      <c r="B1871" s="845" t="s">
        <v>1599</v>
      </c>
      <c r="C1871" s="1255" t="s">
        <v>32</v>
      </c>
      <c r="D1871" s="1227">
        <v>4</v>
      </c>
      <c r="E1871" s="69"/>
      <c r="F1871" s="835">
        <v>45907</v>
      </c>
      <c r="G1871" s="830">
        <f t="shared" si="146"/>
        <v>45871</v>
      </c>
      <c r="H1871" s="835">
        <f t="shared" si="147"/>
        <v>45904</v>
      </c>
      <c r="I1871" s="1234" t="s">
        <v>1601</v>
      </c>
      <c r="J1871" s="1259" t="s">
        <v>207</v>
      </c>
      <c r="K1871" s="1259" t="s">
        <v>19</v>
      </c>
      <c r="L1871" s="1268" t="s">
        <v>20</v>
      </c>
      <c r="M1871" s="900"/>
      <c r="N1871" s="512"/>
      <c r="O1871" s="325"/>
      <c r="P1871" s="325"/>
      <c r="Q1871" s="325"/>
      <c r="R1871" s="325"/>
      <c r="S1871" s="325"/>
      <c r="T1871" s="325"/>
      <c r="U1871" s="325"/>
      <c r="V1871" s="325"/>
      <c r="W1871" s="325"/>
    </row>
    <row r="1872" ht="15.4" customHeight="1" spans="1:23">
      <c r="A1872" s="877" t="s">
        <v>1294</v>
      </c>
      <c r="B1872" s="845" t="s">
        <v>1599</v>
      </c>
      <c r="C1872" s="1255" t="s">
        <v>34</v>
      </c>
      <c r="D1872" s="1227">
        <v>6</v>
      </c>
      <c r="E1872" s="69"/>
      <c r="F1872" s="835">
        <v>45907</v>
      </c>
      <c r="G1872" s="830">
        <f t="shared" si="146"/>
        <v>45871</v>
      </c>
      <c r="H1872" s="835">
        <f t="shared" si="147"/>
        <v>45904</v>
      </c>
      <c r="I1872" s="1234" t="s">
        <v>1601</v>
      </c>
      <c r="J1872" s="1259" t="s">
        <v>207</v>
      </c>
      <c r="K1872" s="1259" t="s">
        <v>19</v>
      </c>
      <c r="L1872" s="1268" t="s">
        <v>20</v>
      </c>
      <c r="M1872" s="900"/>
      <c r="N1872" s="512"/>
      <c r="O1872" s="325"/>
      <c r="P1872" s="325"/>
      <c r="Q1872" s="325"/>
      <c r="R1872" s="325"/>
      <c r="S1872" s="325"/>
      <c r="T1872" s="325"/>
      <c r="U1872" s="325"/>
      <c r="V1872" s="325"/>
      <c r="W1872" s="325"/>
    </row>
    <row r="1873" ht="15.4" customHeight="1" spans="1:23">
      <c r="A1873" s="877" t="s">
        <v>1294</v>
      </c>
      <c r="B1873" s="845" t="s">
        <v>1599</v>
      </c>
      <c r="C1873" s="1255" t="s">
        <v>784</v>
      </c>
      <c r="D1873" s="1227">
        <v>3</v>
      </c>
      <c r="E1873" s="69"/>
      <c r="F1873" s="835">
        <v>45907</v>
      </c>
      <c r="G1873" s="830">
        <f t="shared" si="146"/>
        <v>45871</v>
      </c>
      <c r="H1873" s="835">
        <f t="shared" si="147"/>
        <v>45904</v>
      </c>
      <c r="I1873" s="1234" t="s">
        <v>1601</v>
      </c>
      <c r="J1873" s="1259" t="s">
        <v>207</v>
      </c>
      <c r="K1873" s="1259" t="s">
        <v>19</v>
      </c>
      <c r="L1873" s="1268" t="s">
        <v>20</v>
      </c>
      <c r="M1873" s="900"/>
      <c r="N1873" s="512"/>
      <c r="O1873" s="325"/>
      <c r="P1873" s="325"/>
      <c r="Q1873" s="325"/>
      <c r="R1873" s="325"/>
      <c r="S1873" s="325"/>
      <c r="T1873" s="325"/>
      <c r="U1873" s="325"/>
      <c r="V1873" s="325"/>
      <c r="W1873" s="325"/>
    </row>
    <row r="1874" ht="15.4" customHeight="1" spans="1:23">
      <c r="A1874" s="877" t="s">
        <v>1294</v>
      </c>
      <c r="B1874" s="845" t="s">
        <v>1599</v>
      </c>
      <c r="C1874" s="1255" t="s">
        <v>785</v>
      </c>
      <c r="D1874" s="1227">
        <v>3</v>
      </c>
      <c r="E1874" s="69"/>
      <c r="F1874" s="835">
        <v>45907</v>
      </c>
      <c r="G1874" s="830">
        <f t="shared" si="146"/>
        <v>45871</v>
      </c>
      <c r="H1874" s="835">
        <f t="shared" si="147"/>
        <v>45904</v>
      </c>
      <c r="I1874" s="1234" t="s">
        <v>1601</v>
      </c>
      <c r="J1874" s="1259" t="s">
        <v>207</v>
      </c>
      <c r="K1874" s="1259" t="s">
        <v>19</v>
      </c>
      <c r="L1874" s="1268" t="s">
        <v>20</v>
      </c>
      <c r="M1874" s="900"/>
      <c r="N1874" s="512"/>
      <c r="O1874" s="325"/>
      <c r="P1874" s="325"/>
      <c r="Q1874" s="325"/>
      <c r="R1874" s="325"/>
      <c r="S1874" s="325"/>
      <c r="T1874" s="325"/>
      <c r="U1874" s="325"/>
      <c r="V1874" s="325"/>
      <c r="W1874" s="325"/>
    </row>
    <row r="1875" ht="15.4" customHeight="1" spans="1:23">
      <c r="A1875" s="877" t="s">
        <v>1294</v>
      </c>
      <c r="B1875" s="845" t="s">
        <v>1599</v>
      </c>
      <c r="C1875" s="1255" t="s">
        <v>786</v>
      </c>
      <c r="D1875" s="1227">
        <v>3</v>
      </c>
      <c r="E1875" s="69"/>
      <c r="F1875" s="835">
        <v>45907</v>
      </c>
      <c r="G1875" s="830">
        <f t="shared" si="146"/>
        <v>45871</v>
      </c>
      <c r="H1875" s="835">
        <f t="shared" si="147"/>
        <v>45904</v>
      </c>
      <c r="I1875" s="1234" t="s">
        <v>1601</v>
      </c>
      <c r="J1875" s="1259" t="s">
        <v>207</v>
      </c>
      <c r="K1875" s="1259" t="s">
        <v>19</v>
      </c>
      <c r="L1875" s="1268" t="s">
        <v>20</v>
      </c>
      <c r="M1875" s="900"/>
      <c r="N1875" s="512"/>
      <c r="O1875" s="325"/>
      <c r="P1875" s="325"/>
      <c r="Q1875" s="325"/>
      <c r="R1875" s="325"/>
      <c r="S1875" s="325"/>
      <c r="T1875" s="325"/>
      <c r="U1875" s="325"/>
      <c r="V1875" s="325"/>
      <c r="W1875" s="325"/>
    </row>
    <row r="1876" ht="15.4" customHeight="1" spans="1:23">
      <c r="A1876" s="877" t="s">
        <v>1294</v>
      </c>
      <c r="B1876" s="845" t="s">
        <v>1599</v>
      </c>
      <c r="C1876" s="1255" t="s">
        <v>787</v>
      </c>
      <c r="D1876" s="1227">
        <v>3</v>
      </c>
      <c r="E1876" s="69"/>
      <c r="F1876" s="835">
        <v>45907</v>
      </c>
      <c r="G1876" s="830">
        <f t="shared" si="146"/>
        <v>45871</v>
      </c>
      <c r="H1876" s="835">
        <f t="shared" si="147"/>
        <v>45904</v>
      </c>
      <c r="I1876" s="1234" t="s">
        <v>1601</v>
      </c>
      <c r="J1876" s="1259" t="s">
        <v>207</v>
      </c>
      <c r="K1876" s="1259" t="s">
        <v>19</v>
      </c>
      <c r="L1876" s="1268" t="s">
        <v>20</v>
      </c>
      <c r="M1876" s="900"/>
      <c r="N1876" s="512"/>
      <c r="O1876" s="1154"/>
      <c r="P1876" s="1154"/>
      <c r="Q1876" s="1154"/>
      <c r="R1876" s="1154"/>
      <c r="S1876" s="1154"/>
      <c r="T1876" s="1154"/>
      <c r="U1876" s="1154"/>
      <c r="V1876" s="1154"/>
      <c r="W1876" s="1154"/>
    </row>
    <row r="1877" ht="15.4" customHeight="1" spans="1:23">
      <c r="A1877" s="877" t="s">
        <v>1294</v>
      </c>
      <c r="B1877" s="845" t="s">
        <v>1599</v>
      </c>
      <c r="C1877" s="1255" t="s">
        <v>788</v>
      </c>
      <c r="D1877" s="1227">
        <v>12</v>
      </c>
      <c r="E1877" s="281"/>
      <c r="F1877" s="835">
        <v>45907</v>
      </c>
      <c r="G1877" s="1230">
        <f t="shared" si="146"/>
        <v>45871</v>
      </c>
      <c r="H1877" s="1250">
        <f t="shared" si="147"/>
        <v>45904</v>
      </c>
      <c r="I1877" s="1282" t="s">
        <v>1601</v>
      </c>
      <c r="J1877" s="1259" t="s">
        <v>207</v>
      </c>
      <c r="K1877" s="1259" t="s">
        <v>19</v>
      </c>
      <c r="L1877" s="1268" t="s">
        <v>20</v>
      </c>
      <c r="M1877" s="900"/>
      <c r="N1877" s="512"/>
      <c r="O1877" s="1154"/>
      <c r="P1877" s="1154"/>
      <c r="Q1877" s="1154"/>
      <c r="R1877" s="1154"/>
      <c r="S1877" s="1154"/>
      <c r="T1877" s="1154"/>
      <c r="U1877" s="1154"/>
      <c r="V1877" s="1154"/>
      <c r="W1877" s="1154"/>
    </row>
    <row r="1878" ht="15.4" customHeight="1" spans="1:23">
      <c r="A1878" s="1269" t="s">
        <v>1603</v>
      </c>
      <c r="B1878" s="845" t="s">
        <v>1604</v>
      </c>
      <c r="C1878" s="1270" t="s">
        <v>77</v>
      </c>
      <c r="D1878" s="423">
        <v>48</v>
      </c>
      <c r="E1878" s="1244" t="s">
        <v>1605</v>
      </c>
      <c r="F1878" s="835">
        <v>45864</v>
      </c>
      <c r="G1878" s="835">
        <f>VLOOKUP(CLEAN(SUBSTITUTE(TRIM(MID(E:E,FIND("/",E:E)+1,LEN(E:E)))," ","")),'Customs Decl. &amp; Local Delivery'!D:I,6,0)</f>
        <v>45873</v>
      </c>
      <c r="H1878" s="836">
        <f>VLOOKUP(CLEAN(SUBSTITUTE(TRIM(MID(E:E,FIND("/",E:E)+1,LEN(E:E)))," ","")),'Customs Decl. &amp; Local Delivery'!D:J,7,0)</f>
        <v>45896</v>
      </c>
      <c r="I1878" s="886" t="s">
        <v>1606</v>
      </c>
      <c r="J1878" s="1283" t="s">
        <v>18</v>
      </c>
      <c r="K1878" s="1284" t="s">
        <v>19</v>
      </c>
      <c r="L1878" s="395" t="s">
        <v>20</v>
      </c>
      <c r="M1878" s="1285" t="s">
        <v>1607</v>
      </c>
      <c r="N1878" s="512"/>
      <c r="O1878" s="325"/>
      <c r="P1878" s="325"/>
      <c r="Q1878" s="325"/>
      <c r="R1878" s="325"/>
      <c r="S1878" s="325"/>
      <c r="T1878" s="325"/>
      <c r="U1878" s="325"/>
      <c r="V1878" s="325"/>
      <c r="W1878" s="325"/>
    </row>
    <row r="1879" ht="15.4" customHeight="1" spans="1:23">
      <c r="A1879" s="1269" t="s">
        <v>1603</v>
      </c>
      <c r="B1879" s="845" t="s">
        <v>1604</v>
      </c>
      <c r="C1879" s="1271" t="s">
        <v>15</v>
      </c>
      <c r="D1879" s="423">
        <v>12</v>
      </c>
      <c r="E1879" s="281"/>
      <c r="F1879" s="835">
        <v>45864</v>
      </c>
      <c r="G1879" s="830">
        <f>G1878</f>
        <v>45873</v>
      </c>
      <c r="H1879" s="836">
        <f>H1878</f>
        <v>45896</v>
      </c>
      <c r="I1879" s="886" t="s">
        <v>1606</v>
      </c>
      <c r="J1879" s="1283" t="s">
        <v>18</v>
      </c>
      <c r="K1879" s="1284" t="s">
        <v>19</v>
      </c>
      <c r="L1879" s="395" t="s">
        <v>20</v>
      </c>
      <c r="M1879" s="1286" t="s">
        <v>1366</v>
      </c>
      <c r="N1879" s="512"/>
      <c r="O1879" s="325"/>
      <c r="P1879" s="325"/>
      <c r="Q1879" s="325"/>
      <c r="R1879" s="325"/>
      <c r="S1879" s="325"/>
      <c r="T1879" s="325"/>
      <c r="U1879" s="325"/>
      <c r="V1879" s="325"/>
      <c r="W1879" s="325"/>
    </row>
    <row r="1880" ht="15.4" customHeight="1" spans="1:23">
      <c r="A1880" s="1269" t="s">
        <v>1603</v>
      </c>
      <c r="B1880" s="845" t="s">
        <v>1604</v>
      </c>
      <c r="C1880" s="1271" t="s">
        <v>24</v>
      </c>
      <c r="D1880" s="423">
        <v>100</v>
      </c>
      <c r="E1880" s="69"/>
      <c r="F1880" s="835">
        <v>45864</v>
      </c>
      <c r="G1880" s="830">
        <f>G1879</f>
        <v>45873</v>
      </c>
      <c r="H1880" s="836">
        <f>H1879</f>
        <v>45896</v>
      </c>
      <c r="I1880" s="886" t="s">
        <v>1606</v>
      </c>
      <c r="J1880" s="1283" t="s">
        <v>18</v>
      </c>
      <c r="K1880" s="1284" t="s">
        <v>19</v>
      </c>
      <c r="L1880" s="395" t="s">
        <v>20</v>
      </c>
      <c r="M1880" s="1286"/>
      <c r="N1880" s="512"/>
      <c r="O1880" s="325"/>
      <c r="P1880" s="325"/>
      <c r="Q1880" s="325"/>
      <c r="R1880" s="325"/>
      <c r="S1880" s="325"/>
      <c r="T1880" s="325"/>
      <c r="U1880" s="325"/>
      <c r="V1880" s="325"/>
      <c r="W1880" s="325"/>
    </row>
    <row r="1881" ht="15.4" customHeight="1" spans="1:23">
      <c r="A1881" s="1269" t="s">
        <v>1603</v>
      </c>
      <c r="B1881" s="845" t="s">
        <v>1604</v>
      </c>
      <c r="C1881" s="1271" t="s">
        <v>27</v>
      </c>
      <c r="D1881" s="423">
        <v>30</v>
      </c>
      <c r="E1881" s="69"/>
      <c r="F1881" s="835">
        <v>45864</v>
      </c>
      <c r="G1881" s="830">
        <f>G1880</f>
        <v>45873</v>
      </c>
      <c r="H1881" s="836">
        <f>H1880</f>
        <v>45896</v>
      </c>
      <c r="I1881" s="886" t="s">
        <v>1606</v>
      </c>
      <c r="J1881" s="1283" t="s">
        <v>18</v>
      </c>
      <c r="K1881" s="1284" t="s">
        <v>19</v>
      </c>
      <c r="L1881" s="395" t="s">
        <v>20</v>
      </c>
      <c r="M1881" s="1286"/>
      <c r="N1881" s="512"/>
      <c r="O1881" s="325"/>
      <c r="P1881" s="325"/>
      <c r="Q1881" s="325"/>
      <c r="R1881" s="325"/>
      <c r="S1881" s="325"/>
      <c r="T1881" s="325"/>
      <c r="U1881" s="325"/>
      <c r="V1881" s="325"/>
      <c r="W1881" s="325"/>
    </row>
    <row r="1882" ht="15.4" customHeight="1" spans="1:23">
      <c r="A1882" s="1269" t="s">
        <v>1603</v>
      </c>
      <c r="B1882" s="845" t="s">
        <v>1604</v>
      </c>
      <c r="C1882" s="1271" t="s">
        <v>67</v>
      </c>
      <c r="D1882" s="423">
        <v>30</v>
      </c>
      <c r="E1882" s="69"/>
      <c r="F1882" s="835">
        <v>45864</v>
      </c>
      <c r="G1882" s="830">
        <f>G1881</f>
        <v>45873</v>
      </c>
      <c r="H1882" s="836">
        <f>H1881</f>
        <v>45896</v>
      </c>
      <c r="I1882" s="886" t="s">
        <v>1606</v>
      </c>
      <c r="J1882" s="1283" t="s">
        <v>18</v>
      </c>
      <c r="K1882" s="1284" t="s">
        <v>19</v>
      </c>
      <c r="L1882" s="395" t="s">
        <v>20</v>
      </c>
      <c r="M1882" s="1286"/>
      <c r="N1882" s="512"/>
      <c r="O1882" s="325"/>
      <c r="P1882" s="325"/>
      <c r="Q1882" s="325"/>
      <c r="R1882" s="325"/>
      <c r="S1882" s="325"/>
      <c r="T1882" s="325"/>
      <c r="U1882" s="325"/>
      <c r="V1882" s="325"/>
      <c r="W1882" s="325"/>
    </row>
    <row r="1883" ht="15.4" customHeight="1" spans="1:23">
      <c r="A1883" s="1272" t="s">
        <v>1603</v>
      </c>
      <c r="B1883" s="845" t="s">
        <v>1604</v>
      </c>
      <c r="C1883" s="1273" t="s">
        <v>70</v>
      </c>
      <c r="D1883" s="1274">
        <v>50</v>
      </c>
      <c r="E1883" s="69"/>
      <c r="F1883" s="835">
        <v>45864</v>
      </c>
      <c r="G1883" s="830">
        <f>G1882</f>
        <v>45873</v>
      </c>
      <c r="H1883" s="836">
        <f>H1882</f>
        <v>45896</v>
      </c>
      <c r="I1883" s="886" t="s">
        <v>1606</v>
      </c>
      <c r="J1883" s="1283" t="s">
        <v>18</v>
      </c>
      <c r="K1883" s="1284" t="s">
        <v>19</v>
      </c>
      <c r="L1883" s="395" t="s">
        <v>20</v>
      </c>
      <c r="M1883" s="1284"/>
      <c r="N1883" s="512"/>
      <c r="O1883" s="325"/>
      <c r="P1883" s="325"/>
      <c r="Q1883" s="325"/>
      <c r="R1883" s="325"/>
      <c r="S1883" s="325"/>
      <c r="T1883" s="325"/>
      <c r="U1883" s="325"/>
      <c r="V1883" s="325"/>
      <c r="W1883" s="325"/>
    </row>
    <row r="1884" s="178" customFormat="1" ht="20" customHeight="1" spans="1:23">
      <c r="A1884" s="1237" t="s">
        <v>1280</v>
      </c>
      <c r="B1884" s="1275" t="s">
        <v>1608</v>
      </c>
      <c r="C1884" s="1276" t="s">
        <v>111</v>
      </c>
      <c r="D1884" s="1277">
        <v>73</v>
      </c>
      <c r="E1884" s="888" t="s">
        <v>1609</v>
      </c>
      <c r="F1884" s="835">
        <v>45902</v>
      </c>
      <c r="G1884" s="835">
        <f>VLOOKUP(CLEAN(SUBSTITUTE(TRIM(MID(E:E,FIND("/",E:E)+1,LEN(E:E)))," ","")),'Customs Decl. &amp; Local Delivery'!D:I,6,0)</f>
        <v>45873</v>
      </c>
      <c r="H1884" s="836">
        <f>VLOOKUP(CLEAN(SUBSTITUTE(TRIM(MID(E:E,FIND("/",E:E)+1,LEN(E:E)))," ","")),'Customs Decl. &amp; Local Delivery'!D:J,7,0)</f>
        <v>45900</v>
      </c>
      <c r="I1884" s="877" t="s">
        <v>1610</v>
      </c>
      <c r="J1884" s="1287" t="s">
        <v>39</v>
      </c>
      <c r="K1884" s="1288" t="s">
        <v>107</v>
      </c>
      <c r="L1884" s="395" t="s">
        <v>20</v>
      </c>
      <c r="M1884" s="1288" t="s">
        <v>1611</v>
      </c>
      <c r="N1884" s="512"/>
      <c r="O1884" s="512"/>
      <c r="P1884" s="512"/>
      <c r="Q1884" s="512"/>
      <c r="R1884" s="512"/>
      <c r="S1884" s="512"/>
      <c r="T1884" s="512"/>
      <c r="U1884" s="512"/>
      <c r="V1884" s="512"/>
      <c r="W1884" s="512"/>
    </row>
    <row r="1885" s="178" customFormat="1" ht="20" customHeight="1" spans="1:23">
      <c r="A1885" s="1237" t="s">
        <v>1280</v>
      </c>
      <c r="B1885" s="1275" t="s">
        <v>1608</v>
      </c>
      <c r="C1885" s="1276" t="s">
        <v>112</v>
      </c>
      <c r="D1885" s="1277">
        <v>73</v>
      </c>
      <c r="E1885" s="922"/>
      <c r="F1885" s="835">
        <v>45902</v>
      </c>
      <c r="G1885" s="830">
        <f t="shared" ref="G1885:G1893" si="148">G1884</f>
        <v>45873</v>
      </c>
      <c r="H1885" s="836">
        <f t="shared" ref="H1885:H1893" si="149">H1884</f>
        <v>45900</v>
      </c>
      <c r="I1885" s="877" t="s">
        <v>1610</v>
      </c>
      <c r="J1885" s="1287" t="s">
        <v>39</v>
      </c>
      <c r="K1885" s="1288" t="s">
        <v>107</v>
      </c>
      <c r="L1885" s="395" t="s">
        <v>20</v>
      </c>
      <c r="M1885" s="1288" t="s">
        <v>1366</v>
      </c>
      <c r="N1885" s="512"/>
      <c r="O1885" s="512"/>
      <c r="P1885" s="512"/>
      <c r="Q1885" s="512"/>
      <c r="R1885" s="512"/>
      <c r="S1885" s="512"/>
      <c r="T1885" s="512"/>
      <c r="U1885" s="512"/>
      <c r="V1885" s="512"/>
      <c r="W1885" s="512"/>
    </row>
    <row r="1886" s="178" customFormat="1" ht="20" customHeight="1" spans="1:23">
      <c r="A1886" s="1237" t="s">
        <v>1280</v>
      </c>
      <c r="B1886" s="1275" t="s">
        <v>1608</v>
      </c>
      <c r="C1886" s="1276" t="s">
        <v>114</v>
      </c>
      <c r="D1886" s="1277">
        <v>23</v>
      </c>
      <c r="E1886" s="922"/>
      <c r="F1886" s="835">
        <v>45902</v>
      </c>
      <c r="G1886" s="830">
        <f t="shared" si="148"/>
        <v>45873</v>
      </c>
      <c r="H1886" s="836">
        <f t="shared" si="149"/>
        <v>45900</v>
      </c>
      <c r="I1886" s="877" t="s">
        <v>1610</v>
      </c>
      <c r="J1886" s="1287" t="s">
        <v>39</v>
      </c>
      <c r="K1886" s="1288" t="s">
        <v>107</v>
      </c>
      <c r="L1886" s="395" t="s">
        <v>20</v>
      </c>
      <c r="M1886" s="1288" t="s">
        <v>1612</v>
      </c>
      <c r="N1886" s="512"/>
      <c r="O1886" s="512"/>
      <c r="P1886" s="512"/>
      <c r="Q1886" s="512"/>
      <c r="R1886" s="512"/>
      <c r="S1886" s="512"/>
      <c r="T1886" s="512"/>
      <c r="U1886" s="512"/>
      <c r="V1886" s="512"/>
      <c r="W1886" s="512"/>
    </row>
    <row r="1887" s="178" customFormat="1" ht="20" customHeight="1" spans="1:23">
      <c r="A1887" s="1237" t="s">
        <v>1280</v>
      </c>
      <c r="B1887" s="1275" t="s">
        <v>1608</v>
      </c>
      <c r="C1887" s="1276" t="s">
        <v>115</v>
      </c>
      <c r="D1887" s="1277">
        <v>23</v>
      </c>
      <c r="E1887" s="922"/>
      <c r="F1887" s="835">
        <v>45902</v>
      </c>
      <c r="G1887" s="830">
        <f t="shared" si="148"/>
        <v>45873</v>
      </c>
      <c r="H1887" s="836">
        <f t="shared" si="149"/>
        <v>45900</v>
      </c>
      <c r="I1887" s="877" t="s">
        <v>1610</v>
      </c>
      <c r="J1887" s="1287" t="s">
        <v>39</v>
      </c>
      <c r="K1887" s="1288" t="s">
        <v>107</v>
      </c>
      <c r="L1887" s="395" t="s">
        <v>20</v>
      </c>
      <c r="M1887" s="1289" t="s">
        <v>1613</v>
      </c>
      <c r="N1887" s="512"/>
      <c r="O1887" s="512"/>
      <c r="P1887" s="512"/>
      <c r="Q1887" s="512"/>
      <c r="R1887" s="512"/>
      <c r="S1887" s="512"/>
      <c r="T1887" s="512"/>
      <c r="U1887" s="512"/>
      <c r="V1887" s="512"/>
      <c r="W1887" s="512"/>
    </row>
    <row r="1888" s="178" customFormat="1" ht="20" customHeight="1" spans="1:23">
      <c r="A1888" s="1237" t="s">
        <v>1280</v>
      </c>
      <c r="B1888" s="1275" t="s">
        <v>1608</v>
      </c>
      <c r="C1888" s="1276" t="s">
        <v>116</v>
      </c>
      <c r="D1888" s="1277">
        <v>38</v>
      </c>
      <c r="E1888" s="922"/>
      <c r="F1888" s="835">
        <v>45902</v>
      </c>
      <c r="G1888" s="830">
        <f t="shared" si="148"/>
        <v>45873</v>
      </c>
      <c r="H1888" s="836">
        <f t="shared" si="149"/>
        <v>45900</v>
      </c>
      <c r="I1888" s="877" t="s">
        <v>1610</v>
      </c>
      <c r="J1888" s="1287" t="s">
        <v>39</v>
      </c>
      <c r="K1888" s="1288" t="s">
        <v>107</v>
      </c>
      <c r="L1888" s="395" t="s">
        <v>20</v>
      </c>
      <c r="M1888" s="1288"/>
      <c r="N1888" s="512"/>
      <c r="O1888" s="512"/>
      <c r="P1888" s="512"/>
      <c r="Q1888" s="512"/>
      <c r="R1888" s="512"/>
      <c r="S1888" s="512"/>
      <c r="T1888" s="512"/>
      <c r="U1888" s="512"/>
      <c r="V1888" s="512"/>
      <c r="W1888" s="512"/>
    </row>
    <row r="1889" s="178" customFormat="1" ht="20" customHeight="1" spans="1:23">
      <c r="A1889" s="1237" t="s">
        <v>1280</v>
      </c>
      <c r="B1889" s="1275" t="s">
        <v>1608</v>
      </c>
      <c r="C1889" s="1276" t="s">
        <v>117</v>
      </c>
      <c r="D1889" s="1277">
        <v>38</v>
      </c>
      <c r="E1889" s="922"/>
      <c r="F1889" s="835">
        <v>45902</v>
      </c>
      <c r="G1889" s="830">
        <f t="shared" si="148"/>
        <v>45873</v>
      </c>
      <c r="H1889" s="836">
        <f t="shared" si="149"/>
        <v>45900</v>
      </c>
      <c r="I1889" s="877" t="s">
        <v>1610</v>
      </c>
      <c r="J1889" s="1287" t="s">
        <v>39</v>
      </c>
      <c r="K1889" s="1288" t="s">
        <v>107</v>
      </c>
      <c r="L1889" s="395" t="s">
        <v>20</v>
      </c>
      <c r="M1889" s="1288"/>
      <c r="N1889" s="512"/>
      <c r="O1889" s="512"/>
      <c r="P1889" s="512"/>
      <c r="Q1889" s="512"/>
      <c r="R1889" s="512"/>
      <c r="S1889" s="512"/>
      <c r="T1889" s="512"/>
      <c r="U1889" s="512"/>
      <c r="V1889" s="512"/>
      <c r="W1889" s="512"/>
    </row>
    <row r="1890" s="178" customFormat="1" ht="20" customHeight="1" spans="1:23">
      <c r="A1890" s="1237" t="s">
        <v>1280</v>
      </c>
      <c r="B1890" s="1275" t="s">
        <v>1608</v>
      </c>
      <c r="C1890" s="1276" t="s">
        <v>118</v>
      </c>
      <c r="D1890" s="1277">
        <v>29</v>
      </c>
      <c r="E1890" s="922"/>
      <c r="F1890" s="835">
        <v>45902</v>
      </c>
      <c r="G1890" s="830">
        <f t="shared" si="148"/>
        <v>45873</v>
      </c>
      <c r="H1890" s="836">
        <f t="shared" si="149"/>
        <v>45900</v>
      </c>
      <c r="I1890" s="877" t="s">
        <v>1610</v>
      </c>
      <c r="J1890" s="1287" t="s">
        <v>39</v>
      </c>
      <c r="K1890" s="1288" t="s">
        <v>107</v>
      </c>
      <c r="L1890" s="395" t="s">
        <v>20</v>
      </c>
      <c r="M1890" s="1288"/>
      <c r="N1890" s="512"/>
      <c r="O1890" s="512"/>
      <c r="P1890" s="512"/>
      <c r="Q1890" s="512"/>
      <c r="R1890" s="512"/>
      <c r="S1890" s="512"/>
      <c r="T1890" s="512"/>
      <c r="U1890" s="512"/>
      <c r="V1890" s="512"/>
      <c r="W1890" s="512"/>
    </row>
    <row r="1891" s="178" customFormat="1" ht="20" customHeight="1" spans="1:23">
      <c r="A1891" s="1237" t="s">
        <v>1280</v>
      </c>
      <c r="B1891" s="1275" t="s">
        <v>1608</v>
      </c>
      <c r="C1891" s="1276" t="s">
        <v>119</v>
      </c>
      <c r="D1891" s="1277">
        <v>29</v>
      </c>
      <c r="E1891" s="922"/>
      <c r="F1891" s="835">
        <v>45902</v>
      </c>
      <c r="G1891" s="830">
        <f t="shared" si="148"/>
        <v>45873</v>
      </c>
      <c r="H1891" s="836">
        <f t="shared" si="149"/>
        <v>45900</v>
      </c>
      <c r="I1891" s="877" t="s">
        <v>1610</v>
      </c>
      <c r="J1891" s="1287" t="s">
        <v>39</v>
      </c>
      <c r="K1891" s="1288" t="s">
        <v>107</v>
      </c>
      <c r="L1891" s="395" t="s">
        <v>20</v>
      </c>
      <c r="M1891" s="1288"/>
      <c r="N1891" s="512"/>
      <c r="O1891" s="512"/>
      <c r="P1891" s="512"/>
      <c r="Q1891" s="512"/>
      <c r="R1891" s="512"/>
      <c r="S1891" s="512"/>
      <c r="T1891" s="512"/>
      <c r="U1891" s="512"/>
      <c r="V1891" s="512"/>
      <c r="W1891" s="512"/>
    </row>
    <row r="1892" s="178" customFormat="1" ht="20" customHeight="1" spans="1:23">
      <c r="A1892" s="1237" t="s">
        <v>1280</v>
      </c>
      <c r="B1892" s="1275" t="s">
        <v>1608</v>
      </c>
      <c r="C1892" s="1276" t="s">
        <v>120</v>
      </c>
      <c r="D1892" s="1277">
        <v>9</v>
      </c>
      <c r="E1892" s="922"/>
      <c r="F1892" s="835">
        <v>45902</v>
      </c>
      <c r="G1892" s="830">
        <f t="shared" si="148"/>
        <v>45873</v>
      </c>
      <c r="H1892" s="836">
        <f t="shared" si="149"/>
        <v>45900</v>
      </c>
      <c r="I1892" s="877" t="s">
        <v>1610</v>
      </c>
      <c r="J1892" s="1287" t="s">
        <v>39</v>
      </c>
      <c r="K1892" s="1288" t="s">
        <v>107</v>
      </c>
      <c r="L1892" s="395" t="s">
        <v>20</v>
      </c>
      <c r="M1892" s="1288"/>
      <c r="N1892" s="512"/>
      <c r="O1892" s="512"/>
      <c r="P1892" s="512"/>
      <c r="Q1892" s="512"/>
      <c r="R1892" s="512"/>
      <c r="S1892" s="512"/>
      <c r="T1892" s="512"/>
      <c r="U1892" s="512"/>
      <c r="V1892" s="512"/>
      <c r="W1892" s="512"/>
    </row>
    <row r="1893" s="178" customFormat="1" ht="20" customHeight="1" spans="1:23">
      <c r="A1893" s="1237" t="s">
        <v>1280</v>
      </c>
      <c r="B1893" s="1275" t="s">
        <v>1608</v>
      </c>
      <c r="C1893" s="1276" t="s">
        <v>121</v>
      </c>
      <c r="D1893" s="1277">
        <v>9</v>
      </c>
      <c r="E1893" s="922"/>
      <c r="F1893" s="835">
        <v>45902</v>
      </c>
      <c r="G1893" s="830">
        <f t="shared" si="148"/>
        <v>45873</v>
      </c>
      <c r="H1893" s="836">
        <f t="shared" si="149"/>
        <v>45900</v>
      </c>
      <c r="I1893" s="877" t="s">
        <v>1610</v>
      </c>
      <c r="J1893" s="1287" t="s">
        <v>39</v>
      </c>
      <c r="K1893" s="1288" t="s">
        <v>107</v>
      </c>
      <c r="L1893" s="395" t="s">
        <v>20</v>
      </c>
      <c r="M1893" s="1288"/>
      <c r="N1893" s="512"/>
      <c r="O1893" s="512"/>
      <c r="P1893" s="512"/>
      <c r="Q1893" s="512"/>
      <c r="R1893" s="512"/>
      <c r="S1893" s="512"/>
      <c r="T1893" s="512"/>
      <c r="U1893" s="512"/>
      <c r="V1893" s="512"/>
      <c r="W1893" s="512"/>
    </row>
    <row r="1894" s="180" customFormat="1" ht="30" spans="1:23">
      <c r="A1894" s="877" t="s">
        <v>910</v>
      </c>
      <c r="B1894" s="845" t="s">
        <v>1614</v>
      </c>
      <c r="C1894" s="1248" t="s">
        <v>651</v>
      </c>
      <c r="D1894" s="1249">
        <v>45</v>
      </c>
      <c r="E1894" s="1244" t="s">
        <v>1615</v>
      </c>
      <c r="F1894" s="835">
        <v>45823</v>
      </c>
      <c r="G1894" s="835">
        <f>VLOOKUP(CLEAN(SUBSTITUTE(TRIM(MID(E:E,FIND("/",E:E)+1,LEN(E:E)))," ","")),'Customs Decl. &amp; Local Delivery'!D:I,6,0)</f>
        <v>45874</v>
      </c>
      <c r="H1894" s="836">
        <f>VLOOKUP(CLEAN(SUBSTITUTE(TRIM(MID(E:E,FIND("/",E:E)+1,LEN(E:E)))," ","")),'Customs Decl. &amp; Local Delivery'!D:J,7,0)</f>
        <v>45907</v>
      </c>
      <c r="I1894" s="886" t="s">
        <v>1616</v>
      </c>
      <c r="J1894" s="1290" t="s">
        <v>18</v>
      </c>
      <c r="K1894" s="1262" t="s">
        <v>147</v>
      </c>
      <c r="L1894" s="874" t="s">
        <v>20</v>
      </c>
      <c r="M1894" s="886" t="s">
        <v>1540</v>
      </c>
      <c r="N1894" s="512"/>
      <c r="O1894" s="512"/>
      <c r="P1894" s="512"/>
      <c r="Q1894" s="512"/>
      <c r="R1894" s="512"/>
      <c r="S1894" s="512"/>
      <c r="T1894" s="512"/>
      <c r="U1894" s="512"/>
      <c r="V1894" s="512"/>
      <c r="W1894" s="512"/>
    </row>
    <row r="1895" s="180" customFormat="1" ht="30" spans="1:23">
      <c r="A1895" s="877" t="s">
        <v>910</v>
      </c>
      <c r="B1895" s="1253" t="s">
        <v>1617</v>
      </c>
      <c r="C1895" s="1278" t="s">
        <v>651</v>
      </c>
      <c r="D1895" s="1279">
        <v>45</v>
      </c>
      <c r="E1895" s="1244" t="s">
        <v>1618</v>
      </c>
      <c r="F1895" s="835">
        <v>45823</v>
      </c>
      <c r="G1895" s="835">
        <f>VLOOKUP(CLEAN(SUBSTITUTE(TRIM(MID(E:E,FIND("/",E:E)+1,LEN(E:E)))," ","")),'Customs Decl. &amp; Local Delivery'!D:I,6,0)</f>
        <v>45874</v>
      </c>
      <c r="H1895" s="836">
        <f>VLOOKUP(CLEAN(SUBSTITUTE(TRIM(MID(E:E,FIND("/",E:E)+1,LEN(E:E)))," ","")),'Customs Decl. &amp; Local Delivery'!D:J,7,0)</f>
        <v>45907</v>
      </c>
      <c r="I1895" s="886" t="s">
        <v>1619</v>
      </c>
      <c r="J1895" s="1290" t="s">
        <v>18</v>
      </c>
      <c r="K1895" s="1262" t="s">
        <v>147</v>
      </c>
      <c r="L1895" s="874" t="s">
        <v>20</v>
      </c>
      <c r="M1895" s="886" t="s">
        <v>1540</v>
      </c>
      <c r="N1895" s="512"/>
      <c r="O1895" s="512"/>
      <c r="P1895" s="512"/>
      <c r="Q1895" s="512"/>
      <c r="R1895" s="512"/>
      <c r="S1895" s="512"/>
      <c r="T1895" s="512"/>
      <c r="U1895" s="512"/>
      <c r="V1895" s="512"/>
      <c r="W1895" s="512"/>
    </row>
    <row r="1896" s="180" customFormat="1" ht="30" spans="1:23">
      <c r="A1896" s="877" t="s">
        <v>910</v>
      </c>
      <c r="B1896" s="845" t="s">
        <v>1620</v>
      </c>
      <c r="C1896" s="1248" t="s">
        <v>651</v>
      </c>
      <c r="D1896" s="1249">
        <v>45</v>
      </c>
      <c r="E1896" s="1244" t="s">
        <v>1621</v>
      </c>
      <c r="F1896" s="835">
        <v>45853</v>
      </c>
      <c r="G1896" s="835">
        <f>VLOOKUP(CLEAN(SUBSTITUTE(TRIM(MID(E:E,FIND("/",E:E)+1,LEN(E:E)))," ","")),'Customs Decl. &amp; Local Delivery'!D:I,6,0)</f>
        <v>45874</v>
      </c>
      <c r="H1896" s="836">
        <f>VLOOKUP(CLEAN(SUBSTITUTE(TRIM(MID(E:E,FIND("/",E:E)+1,LEN(E:E)))," ","")),'Customs Decl. &amp; Local Delivery'!D:J,7,0)</f>
        <v>45907</v>
      </c>
      <c r="I1896" s="886" t="s">
        <v>1622</v>
      </c>
      <c r="J1896" s="1290" t="s">
        <v>18</v>
      </c>
      <c r="K1896" s="1262" t="s">
        <v>147</v>
      </c>
      <c r="L1896" s="874" t="s">
        <v>20</v>
      </c>
      <c r="M1896" s="886" t="s">
        <v>1540</v>
      </c>
      <c r="N1896" s="512"/>
      <c r="O1896" s="512"/>
      <c r="P1896" s="512"/>
      <c r="Q1896" s="512"/>
      <c r="R1896" s="512"/>
      <c r="S1896" s="512"/>
      <c r="T1896" s="512"/>
      <c r="U1896" s="512"/>
      <c r="V1896" s="512"/>
      <c r="W1896" s="512"/>
    </row>
    <row r="1897" s="180" customFormat="1" spans="1:23">
      <c r="A1897" s="877" t="s">
        <v>910</v>
      </c>
      <c r="B1897" s="845" t="s">
        <v>1623</v>
      </c>
      <c r="C1897" s="1248" t="s">
        <v>651</v>
      </c>
      <c r="D1897" s="1249">
        <v>45</v>
      </c>
      <c r="E1897" s="1244" t="s">
        <v>1624</v>
      </c>
      <c r="F1897" s="835">
        <v>45853</v>
      </c>
      <c r="G1897" s="835">
        <f>VLOOKUP(CLEAN(SUBSTITUTE(TRIM(MID(E:E,FIND("/",E:E)+1,LEN(E:E)))," ","")),'Customs Decl. &amp; Local Delivery'!D:I,6,0)</f>
        <v>45874</v>
      </c>
      <c r="H1897" s="836">
        <f>VLOOKUP(CLEAN(SUBSTITUTE(TRIM(MID(E:E,FIND("/",E:E)+1,LEN(E:E)))," ","")),'Customs Decl. &amp; Local Delivery'!D:J,7,0)</f>
        <v>45906</v>
      </c>
      <c r="I1897" s="886" t="s">
        <v>1625</v>
      </c>
      <c r="J1897" s="1290" t="s">
        <v>18</v>
      </c>
      <c r="K1897" s="1262" t="s">
        <v>147</v>
      </c>
      <c r="L1897" s="874" t="s">
        <v>20</v>
      </c>
      <c r="M1897" s="886" t="s">
        <v>1366</v>
      </c>
      <c r="N1897" s="512"/>
      <c r="O1897" s="512"/>
      <c r="P1897" s="512"/>
      <c r="Q1897" s="512"/>
      <c r="R1897" s="512"/>
      <c r="S1897" s="512"/>
      <c r="T1897" s="512"/>
      <c r="U1897" s="512"/>
      <c r="V1897" s="512"/>
      <c r="W1897" s="512"/>
    </row>
    <row r="1898" s="180" customFormat="1" spans="1:23">
      <c r="A1898" s="871" t="s">
        <v>1345</v>
      </c>
      <c r="B1898" s="845" t="s">
        <v>1530</v>
      </c>
      <c r="C1898" s="866" t="s">
        <v>651</v>
      </c>
      <c r="D1898" s="392">
        <v>1</v>
      </c>
      <c r="E1898" s="281"/>
      <c r="F1898" s="835">
        <v>45853</v>
      </c>
      <c r="G1898" s="830">
        <f>G1897</f>
        <v>45874</v>
      </c>
      <c r="H1898" s="836">
        <f>H1897</f>
        <v>45906</v>
      </c>
      <c r="I1898" s="886" t="s">
        <v>1625</v>
      </c>
      <c r="J1898" s="1290" t="s">
        <v>18</v>
      </c>
      <c r="K1898" s="1262" t="s">
        <v>147</v>
      </c>
      <c r="L1898" s="1258" t="s">
        <v>20</v>
      </c>
      <c r="M1898" s="1263"/>
      <c r="N1898" s="512"/>
      <c r="O1898" s="512"/>
      <c r="P1898" s="512"/>
      <c r="Q1898" s="512"/>
      <c r="R1898" s="512"/>
      <c r="S1898" s="512"/>
      <c r="T1898" s="512"/>
      <c r="U1898" s="512"/>
      <c r="V1898" s="512"/>
      <c r="W1898" s="512"/>
    </row>
    <row r="1899" s="180" customFormat="1" ht="30" spans="1:23">
      <c r="A1899" s="1280" t="s">
        <v>1345</v>
      </c>
      <c r="B1899" s="1241" t="s">
        <v>1626</v>
      </c>
      <c r="C1899" s="866" t="s">
        <v>651</v>
      </c>
      <c r="D1899" s="392">
        <v>45</v>
      </c>
      <c r="E1899" s="1244" t="s">
        <v>1627</v>
      </c>
      <c r="F1899" s="835">
        <v>45848</v>
      </c>
      <c r="G1899" s="835">
        <f>VLOOKUP(CLEAN(SUBSTITUTE(TRIM(MID(E:E,FIND("/",E:E)+1,LEN(E:E)))," ","")),'Customs Decl. &amp; Local Delivery'!D:I,6,0)</f>
        <v>45874</v>
      </c>
      <c r="H1899" s="836">
        <f>VLOOKUP(CLEAN(SUBSTITUTE(TRIM(MID(E:E,FIND("/",E:E)+1,LEN(E:E)))," ","")),'Customs Decl. &amp; Local Delivery'!D:J,7,0)</f>
        <v>45904</v>
      </c>
      <c r="I1899" s="886" t="s">
        <v>1628</v>
      </c>
      <c r="J1899" s="1291" t="s">
        <v>18</v>
      </c>
      <c r="K1899" s="1260" t="s">
        <v>147</v>
      </c>
      <c r="L1899" s="874" t="s">
        <v>20</v>
      </c>
      <c r="M1899" s="900" t="s">
        <v>1629</v>
      </c>
      <c r="N1899" s="512"/>
      <c r="O1899" s="512"/>
      <c r="P1899" s="512"/>
      <c r="Q1899" s="512"/>
      <c r="R1899" s="512"/>
      <c r="S1899" s="512"/>
      <c r="T1899" s="512"/>
      <c r="U1899" s="512"/>
      <c r="V1899" s="512"/>
      <c r="W1899" s="512"/>
    </row>
    <row r="1900" s="180" customFormat="1" ht="30" spans="1:23">
      <c r="A1900" s="877" t="s">
        <v>1345</v>
      </c>
      <c r="B1900" s="1245" t="s">
        <v>1630</v>
      </c>
      <c r="C1900" s="1281" t="s">
        <v>651</v>
      </c>
      <c r="D1900" s="413">
        <v>45</v>
      </c>
      <c r="E1900" s="1244" t="s">
        <v>1631</v>
      </c>
      <c r="F1900" s="835">
        <v>45848</v>
      </c>
      <c r="G1900" s="835">
        <f>VLOOKUP(CLEAN(SUBSTITUTE(TRIM(MID(E:E,FIND("/",E:E)+1,LEN(E:E)))," ","")),'Customs Decl. &amp; Local Delivery'!D:I,6,0)</f>
        <v>45874</v>
      </c>
      <c r="H1900" s="836">
        <f>VLOOKUP(CLEAN(SUBSTITUTE(TRIM(MID(E:E,FIND("/",E:E)+1,LEN(E:E)))," ","")),'Customs Decl. &amp; Local Delivery'!D:J,7,0)</f>
        <v>45904</v>
      </c>
      <c r="I1900" s="886" t="s">
        <v>1632</v>
      </c>
      <c r="J1900" s="1291" t="s">
        <v>18</v>
      </c>
      <c r="K1900" s="1260" t="s">
        <v>147</v>
      </c>
      <c r="L1900" s="874" t="s">
        <v>20</v>
      </c>
      <c r="M1900" s="886" t="s">
        <v>1629</v>
      </c>
      <c r="N1900" s="512"/>
      <c r="O1900" s="512"/>
      <c r="P1900" s="512"/>
      <c r="Q1900" s="512"/>
      <c r="R1900" s="512"/>
      <c r="S1900" s="512"/>
      <c r="T1900" s="512"/>
      <c r="U1900" s="512"/>
      <c r="V1900" s="512"/>
      <c r="W1900" s="512"/>
    </row>
    <row r="1901" s="180" customFormat="1" ht="30" spans="1:23">
      <c r="A1901" s="877" t="s">
        <v>1345</v>
      </c>
      <c r="B1901" s="845" t="s">
        <v>1633</v>
      </c>
      <c r="C1901" s="866" t="s">
        <v>651</v>
      </c>
      <c r="D1901" s="392">
        <v>45</v>
      </c>
      <c r="E1901" s="1244" t="s">
        <v>1634</v>
      </c>
      <c r="F1901" s="835">
        <v>45848</v>
      </c>
      <c r="G1901" s="835">
        <f>VLOOKUP(CLEAN(SUBSTITUTE(TRIM(MID(E:E,FIND("/",E:E)+1,LEN(E:E)))," ","")),'Customs Decl. &amp; Local Delivery'!D:I,6,0)</f>
        <v>45874</v>
      </c>
      <c r="H1901" s="836">
        <f>VLOOKUP(CLEAN(SUBSTITUTE(TRIM(MID(E:E,FIND("/",E:E)+1,LEN(E:E)))," ","")),'Customs Decl. &amp; Local Delivery'!D:J,7,0)</f>
        <v>45904</v>
      </c>
      <c r="I1901" s="886" t="s">
        <v>1635</v>
      </c>
      <c r="J1901" s="1291" t="s">
        <v>18</v>
      </c>
      <c r="K1901" s="1260" t="s">
        <v>147</v>
      </c>
      <c r="L1901" s="874" t="s">
        <v>20</v>
      </c>
      <c r="M1901" s="900" t="s">
        <v>1629</v>
      </c>
      <c r="N1901" s="512"/>
      <c r="O1901" s="512"/>
      <c r="P1901" s="512"/>
      <c r="Q1901" s="512"/>
      <c r="R1901" s="512"/>
      <c r="S1901" s="512"/>
      <c r="T1901" s="512"/>
      <c r="U1901" s="512"/>
      <c r="V1901" s="512"/>
      <c r="W1901" s="512"/>
    </row>
    <row r="1902" s="180" customFormat="1" ht="30" spans="1:23">
      <c r="A1902" s="877" t="s">
        <v>910</v>
      </c>
      <c r="B1902" s="845" t="s">
        <v>1636</v>
      </c>
      <c r="C1902" s="1248" t="s">
        <v>651</v>
      </c>
      <c r="D1902" s="1249">
        <v>45</v>
      </c>
      <c r="E1902" s="1244" t="s">
        <v>1637</v>
      </c>
      <c r="F1902" s="835">
        <v>45853</v>
      </c>
      <c r="G1902" s="835">
        <f>VLOOKUP(CLEAN(SUBSTITUTE(TRIM(MID(E:E,FIND("/",E:E)+1,LEN(E:E)))," ","")),'Customs Decl. &amp; Local Delivery'!D:I,6,0)</f>
        <v>45874</v>
      </c>
      <c r="H1902" s="836">
        <f>VLOOKUP(CLEAN(SUBSTITUTE(TRIM(MID(E:E,FIND("/",E:E)+1,LEN(E:E)))," ","")),'Customs Decl. &amp; Local Delivery'!D:J,7,0)</f>
        <v>45907</v>
      </c>
      <c r="I1902" s="886" t="s">
        <v>1638</v>
      </c>
      <c r="J1902" s="1290" t="s">
        <v>18</v>
      </c>
      <c r="K1902" s="1262" t="s">
        <v>147</v>
      </c>
      <c r="L1902" s="874" t="s">
        <v>20</v>
      </c>
      <c r="M1902" s="886" t="s">
        <v>1540</v>
      </c>
      <c r="N1902" s="512"/>
      <c r="O1902" s="512"/>
      <c r="P1902" s="512"/>
      <c r="Q1902" s="512"/>
      <c r="R1902" s="512"/>
      <c r="S1902" s="512"/>
      <c r="T1902" s="512"/>
      <c r="U1902" s="512"/>
      <c r="V1902" s="512"/>
      <c r="W1902" s="512"/>
    </row>
    <row r="1903" s="180" customFormat="1" ht="30" spans="1:23">
      <c r="A1903" s="877" t="s">
        <v>1345</v>
      </c>
      <c r="B1903" s="1241" t="s">
        <v>1639</v>
      </c>
      <c r="C1903" s="866" t="s">
        <v>651</v>
      </c>
      <c r="D1903" s="392">
        <v>45</v>
      </c>
      <c r="E1903" s="1244" t="s">
        <v>1640</v>
      </c>
      <c r="F1903" s="835">
        <v>45797</v>
      </c>
      <c r="G1903" s="835">
        <f>VLOOKUP(CLEAN(SUBSTITUTE(TRIM(MID(E:E,FIND("/",E:E)+1,LEN(E:E)))," ","")),'Customs Decl. &amp; Local Delivery'!D:I,6,0)</f>
        <v>45874</v>
      </c>
      <c r="H1903" s="836">
        <f>VLOOKUP(CLEAN(SUBSTITUTE(TRIM(MID(E:E,FIND("/",E:E)+1,LEN(E:E)))," ","")),'Customs Decl. &amp; Local Delivery'!D:J,7,0)</f>
        <v>45912</v>
      </c>
      <c r="I1903" s="886" t="s">
        <v>1641</v>
      </c>
      <c r="J1903" s="1292" t="s">
        <v>39</v>
      </c>
      <c r="K1903" s="1262" t="s">
        <v>147</v>
      </c>
      <c r="L1903" s="874" t="s">
        <v>20</v>
      </c>
      <c r="M1903" s="853" t="s">
        <v>1540</v>
      </c>
      <c r="N1903" s="512"/>
      <c r="O1903" s="512"/>
      <c r="P1903" s="512"/>
      <c r="Q1903" s="512"/>
      <c r="R1903" s="512"/>
      <c r="S1903" s="512"/>
      <c r="T1903" s="512"/>
      <c r="U1903" s="512"/>
      <c r="V1903" s="512"/>
      <c r="W1903" s="512"/>
    </row>
    <row r="1904" s="180" customFormat="1" ht="30" spans="1:23">
      <c r="A1904" s="877" t="s">
        <v>910</v>
      </c>
      <c r="B1904" s="845" t="s">
        <v>1642</v>
      </c>
      <c r="C1904" s="1248" t="s">
        <v>651</v>
      </c>
      <c r="D1904" s="1249">
        <v>45</v>
      </c>
      <c r="E1904" s="1244" t="s">
        <v>1643</v>
      </c>
      <c r="F1904" s="835">
        <v>45853</v>
      </c>
      <c r="G1904" s="835">
        <f>VLOOKUP(CLEAN(SUBSTITUTE(TRIM(MID(E:E,FIND("/",E:E)+1,LEN(E:E)))," ","")),'Customs Decl. &amp; Local Delivery'!D:I,6,0)</f>
        <v>45876</v>
      </c>
      <c r="H1904" s="836">
        <f>VLOOKUP(CLEAN(SUBSTITUTE(TRIM(MID(E:E,FIND("/",E:E)+1,LEN(E:E)))," ","")),'Customs Decl. &amp; Local Delivery'!D:J,7,0)</f>
        <v>45906</v>
      </c>
      <c r="I1904" s="886" t="s">
        <v>1644</v>
      </c>
      <c r="J1904" s="1290" t="s">
        <v>18</v>
      </c>
      <c r="K1904" s="1262" t="s">
        <v>147</v>
      </c>
      <c r="L1904" s="874" t="s">
        <v>20</v>
      </c>
      <c r="M1904" s="886" t="s">
        <v>1366</v>
      </c>
      <c r="N1904" s="512"/>
      <c r="O1904" s="512"/>
      <c r="P1904" s="512"/>
      <c r="Q1904" s="512"/>
      <c r="R1904" s="512"/>
      <c r="S1904" s="512"/>
      <c r="T1904" s="512"/>
      <c r="U1904" s="512"/>
      <c r="V1904" s="512"/>
      <c r="W1904" s="512"/>
    </row>
    <row r="1905" s="180" customFormat="1" ht="30" spans="1:23">
      <c r="A1905" s="877" t="s">
        <v>910</v>
      </c>
      <c r="B1905" s="845" t="s">
        <v>1645</v>
      </c>
      <c r="C1905" s="1248" t="s">
        <v>651</v>
      </c>
      <c r="D1905" s="1249">
        <v>45</v>
      </c>
      <c r="E1905" s="1244" t="s">
        <v>1646</v>
      </c>
      <c r="F1905" s="835">
        <v>45853</v>
      </c>
      <c r="G1905" s="835">
        <f>VLOOKUP(CLEAN(SUBSTITUTE(TRIM(MID(E:E,FIND("/",E:E)+1,LEN(E:E)))," ","")),'Customs Decl. &amp; Local Delivery'!D:I,6,0)</f>
        <v>45876</v>
      </c>
      <c r="H1905" s="836">
        <f>VLOOKUP(CLEAN(SUBSTITUTE(TRIM(MID(E:E,FIND("/",E:E)+1,LEN(E:E)))," ","")),'Customs Decl. &amp; Local Delivery'!D:J,7,0)</f>
        <v>45906</v>
      </c>
      <c r="I1905" s="886" t="s">
        <v>1647</v>
      </c>
      <c r="J1905" s="1290" t="s">
        <v>18</v>
      </c>
      <c r="K1905" s="1262" t="s">
        <v>147</v>
      </c>
      <c r="L1905" s="874" t="s">
        <v>20</v>
      </c>
      <c r="M1905" s="886" t="s">
        <v>1366</v>
      </c>
      <c r="N1905" s="512"/>
      <c r="O1905" s="512"/>
      <c r="P1905" s="512"/>
      <c r="Q1905" s="512"/>
      <c r="R1905" s="512"/>
      <c r="S1905" s="512"/>
      <c r="T1905" s="512"/>
      <c r="U1905" s="512"/>
      <c r="V1905" s="512"/>
      <c r="W1905" s="512"/>
    </row>
    <row r="1906" s="180" customFormat="1" spans="1:23">
      <c r="A1906" s="877" t="s">
        <v>1345</v>
      </c>
      <c r="B1906" s="1241" t="s">
        <v>1648</v>
      </c>
      <c r="C1906" s="1242" t="s">
        <v>631</v>
      </c>
      <c r="D1906" s="1243">
        <v>25</v>
      </c>
      <c r="E1906" s="1244" t="s">
        <v>1649</v>
      </c>
      <c r="F1906" s="835">
        <v>45797</v>
      </c>
      <c r="G1906" s="835">
        <f>VLOOKUP(CLEAN(SUBSTITUTE(TRIM(MID(E:E,FIND("/",E:E)+1,LEN(E:E)))," ","")),'Customs Decl. &amp; Local Delivery'!D:I,6,0)</f>
        <v>45876</v>
      </c>
      <c r="H1906" s="836">
        <f>VLOOKUP(CLEAN(SUBSTITUTE(TRIM(MID(E:E,FIND("/",E:E)+1,LEN(E:E)))," ","")),'Customs Decl. &amp; Local Delivery'!D:J,7,0)</f>
        <v>45911</v>
      </c>
      <c r="I1906" s="886" t="s">
        <v>1650</v>
      </c>
      <c r="J1906" s="1287" t="s">
        <v>39</v>
      </c>
      <c r="K1906" s="1260" t="s">
        <v>147</v>
      </c>
      <c r="L1906" s="874" t="s">
        <v>20</v>
      </c>
      <c r="M1906" s="853" t="s">
        <v>1366</v>
      </c>
      <c r="N1906" s="203"/>
      <c r="O1906" s="203"/>
      <c r="P1906" s="203"/>
      <c r="Q1906" s="203"/>
      <c r="R1906" s="203"/>
      <c r="S1906" s="203"/>
      <c r="T1906" s="203"/>
      <c r="U1906" s="203"/>
      <c r="V1906" s="203"/>
      <c r="W1906" s="203"/>
    </row>
    <row r="1907" s="180" customFormat="1" spans="1:23">
      <c r="A1907" s="1280" t="s">
        <v>1345</v>
      </c>
      <c r="B1907" s="1241" t="s">
        <v>1648</v>
      </c>
      <c r="C1907" s="866" t="s">
        <v>1211</v>
      </c>
      <c r="D1907" s="392">
        <v>24</v>
      </c>
      <c r="E1907" s="281"/>
      <c r="F1907" s="835">
        <v>45797</v>
      </c>
      <c r="G1907" s="830">
        <f>G1906</f>
        <v>45876</v>
      </c>
      <c r="H1907" s="836">
        <f>H1906</f>
        <v>45911</v>
      </c>
      <c r="I1907" s="886" t="s">
        <v>1650</v>
      </c>
      <c r="J1907" s="1293" t="s">
        <v>39</v>
      </c>
      <c r="K1907" s="1260" t="s">
        <v>147</v>
      </c>
      <c r="L1907" s="874" t="s">
        <v>20</v>
      </c>
      <c r="M1907" s="900"/>
      <c r="N1907" s="203"/>
      <c r="O1907" s="203"/>
      <c r="P1907" s="203"/>
      <c r="Q1907" s="203"/>
      <c r="R1907" s="203"/>
      <c r="S1907" s="203"/>
      <c r="T1907" s="203"/>
      <c r="U1907" s="203"/>
      <c r="V1907" s="203"/>
      <c r="W1907" s="203"/>
    </row>
    <row r="1908" ht="16.5" customHeight="1" spans="1:23">
      <c r="A1908" s="877" t="s">
        <v>1651</v>
      </c>
      <c r="B1908" s="845" t="s">
        <v>1652</v>
      </c>
      <c r="C1908" s="1255" t="s">
        <v>129</v>
      </c>
      <c r="D1908" s="1227">
        <v>7</v>
      </c>
      <c r="E1908" s="1244" t="s">
        <v>1653</v>
      </c>
      <c r="F1908" s="835">
        <v>45923</v>
      </c>
      <c r="G1908" s="835">
        <f>VLOOKUP(CLEAN(SUBSTITUTE(TRIM(MID(E:E,FIND("/",E:E)+1,LEN(E:E)))," ","")),'Customs Decl. &amp; Local Delivery'!D:I,6,0)</f>
        <v>45876</v>
      </c>
      <c r="H1908" s="836">
        <f>VLOOKUP(CLEAN(SUBSTITUTE(TRIM(MID(E:E,FIND("/",E:E)+1,LEN(E:E)))," ","")),'Customs Decl. &amp; Local Delivery'!D:J,7,0)</f>
        <v>45908</v>
      </c>
      <c r="I1908" s="886" t="s">
        <v>1654</v>
      </c>
      <c r="J1908" s="1294" t="s">
        <v>207</v>
      </c>
      <c r="K1908" s="1262" t="s">
        <v>19</v>
      </c>
      <c r="L1908" s="874" t="s">
        <v>20</v>
      </c>
      <c r="M1908" s="886" t="s">
        <v>1655</v>
      </c>
      <c r="N1908" s="512"/>
      <c r="O1908" s="325"/>
      <c r="P1908" s="325"/>
      <c r="Q1908" s="325"/>
      <c r="R1908" s="325"/>
      <c r="S1908" s="325"/>
      <c r="T1908" s="325"/>
      <c r="U1908" s="325"/>
      <c r="V1908" s="325"/>
      <c r="W1908" s="325"/>
    </row>
    <row r="1909" ht="16.5" customHeight="1" spans="1:23">
      <c r="A1909" s="877" t="s">
        <v>1651</v>
      </c>
      <c r="B1909" s="845" t="s">
        <v>1652</v>
      </c>
      <c r="C1909" s="1255" t="s">
        <v>133</v>
      </c>
      <c r="D1909" s="1227">
        <v>7</v>
      </c>
      <c r="E1909" s="281"/>
      <c r="F1909" s="835">
        <v>45923</v>
      </c>
      <c r="G1909" s="830">
        <f t="shared" ref="G1909:G1925" si="150">G1908</f>
        <v>45876</v>
      </c>
      <c r="H1909" s="836">
        <f t="shared" ref="H1909:H1925" si="151">H1908</f>
        <v>45908</v>
      </c>
      <c r="I1909" s="886" t="s">
        <v>1654</v>
      </c>
      <c r="J1909" s="1294" t="s">
        <v>207</v>
      </c>
      <c r="K1909" s="1262" t="s">
        <v>19</v>
      </c>
      <c r="L1909" s="874" t="s">
        <v>20</v>
      </c>
      <c r="M1909" s="886" t="s">
        <v>1473</v>
      </c>
      <c r="N1909" s="512"/>
      <c r="O1909" s="325"/>
      <c r="P1909" s="325"/>
      <c r="Q1909" s="325"/>
      <c r="R1909" s="325"/>
      <c r="S1909" s="325"/>
      <c r="T1909" s="325"/>
      <c r="U1909" s="325"/>
      <c r="V1909" s="325"/>
      <c r="W1909" s="325"/>
    </row>
    <row r="1910" ht="16.5" customHeight="1" spans="1:23">
      <c r="A1910" s="877" t="s">
        <v>1651</v>
      </c>
      <c r="B1910" s="845" t="s">
        <v>1652</v>
      </c>
      <c r="C1910" s="1255" t="s">
        <v>15</v>
      </c>
      <c r="D1910" s="1227">
        <v>85</v>
      </c>
      <c r="E1910" s="281"/>
      <c r="F1910" s="835">
        <v>45923</v>
      </c>
      <c r="G1910" s="830">
        <f t="shared" si="150"/>
        <v>45876</v>
      </c>
      <c r="H1910" s="836">
        <f t="shared" si="151"/>
        <v>45908</v>
      </c>
      <c r="I1910" s="886" t="s">
        <v>1654</v>
      </c>
      <c r="J1910" s="1294" t="s">
        <v>207</v>
      </c>
      <c r="K1910" s="1262" t="s">
        <v>19</v>
      </c>
      <c r="L1910" s="874" t="s">
        <v>20</v>
      </c>
      <c r="M1910" s="886"/>
      <c r="N1910" s="512"/>
      <c r="O1910" s="325"/>
      <c r="P1910" s="325"/>
      <c r="Q1910" s="325"/>
      <c r="R1910" s="325"/>
      <c r="S1910" s="325"/>
      <c r="T1910" s="325"/>
      <c r="U1910" s="325"/>
      <c r="V1910" s="325"/>
      <c r="W1910" s="325"/>
    </row>
    <row r="1911" ht="16.5" customHeight="1" spans="1:23">
      <c r="A1911" s="877" t="s">
        <v>1651</v>
      </c>
      <c r="B1911" s="845" t="s">
        <v>1652</v>
      </c>
      <c r="C1911" s="1255" t="s">
        <v>22</v>
      </c>
      <c r="D1911" s="1227">
        <v>85</v>
      </c>
      <c r="E1911" s="69"/>
      <c r="F1911" s="835">
        <v>45923</v>
      </c>
      <c r="G1911" s="830">
        <f t="shared" si="150"/>
        <v>45876</v>
      </c>
      <c r="H1911" s="836">
        <f t="shared" si="151"/>
        <v>45908</v>
      </c>
      <c r="I1911" s="886" t="s">
        <v>1654</v>
      </c>
      <c r="J1911" s="1294" t="s">
        <v>207</v>
      </c>
      <c r="K1911" s="1262" t="s">
        <v>19</v>
      </c>
      <c r="L1911" s="874" t="s">
        <v>20</v>
      </c>
      <c r="M1911" s="886"/>
      <c r="N1911" s="512"/>
      <c r="O1911" s="325"/>
      <c r="P1911" s="325"/>
      <c r="Q1911" s="325"/>
      <c r="R1911" s="325"/>
      <c r="S1911" s="325"/>
      <c r="T1911" s="325"/>
      <c r="U1911" s="325"/>
      <c r="V1911" s="325"/>
      <c r="W1911" s="325"/>
    </row>
    <row r="1912" ht="16.5" customHeight="1" spans="1:23">
      <c r="A1912" s="877" t="s">
        <v>1651</v>
      </c>
      <c r="B1912" s="845" t="s">
        <v>1652</v>
      </c>
      <c r="C1912" s="1255" t="s">
        <v>24</v>
      </c>
      <c r="D1912" s="1227">
        <v>28</v>
      </c>
      <c r="E1912" s="281"/>
      <c r="F1912" s="835">
        <v>45923</v>
      </c>
      <c r="G1912" s="830">
        <f t="shared" si="150"/>
        <v>45876</v>
      </c>
      <c r="H1912" s="836">
        <f t="shared" si="151"/>
        <v>45908</v>
      </c>
      <c r="I1912" s="886" t="s">
        <v>1654</v>
      </c>
      <c r="J1912" s="1294" t="s">
        <v>207</v>
      </c>
      <c r="K1912" s="1262" t="s">
        <v>19</v>
      </c>
      <c r="L1912" s="874" t="s">
        <v>20</v>
      </c>
      <c r="M1912" s="886"/>
      <c r="N1912" s="512"/>
      <c r="O1912" s="325"/>
      <c r="P1912" s="325"/>
      <c r="Q1912" s="325"/>
      <c r="R1912" s="325"/>
      <c r="S1912" s="325"/>
      <c r="T1912" s="325"/>
      <c r="U1912" s="325"/>
      <c r="V1912" s="325"/>
      <c r="W1912" s="325"/>
    </row>
    <row r="1913" ht="16.5" customHeight="1" spans="1:23">
      <c r="A1913" s="877" t="s">
        <v>1651</v>
      </c>
      <c r="B1913" s="845" t="s">
        <v>1652</v>
      </c>
      <c r="C1913" s="1255" t="s">
        <v>25</v>
      </c>
      <c r="D1913" s="1227">
        <v>28</v>
      </c>
      <c r="E1913" s="281"/>
      <c r="F1913" s="835">
        <v>45923</v>
      </c>
      <c r="G1913" s="830">
        <f t="shared" si="150"/>
        <v>45876</v>
      </c>
      <c r="H1913" s="836">
        <f t="shared" si="151"/>
        <v>45908</v>
      </c>
      <c r="I1913" s="886" t="s">
        <v>1654</v>
      </c>
      <c r="J1913" s="1294" t="s">
        <v>207</v>
      </c>
      <c r="K1913" s="1262" t="s">
        <v>19</v>
      </c>
      <c r="L1913" s="874" t="s">
        <v>20</v>
      </c>
      <c r="M1913" s="886"/>
      <c r="N1913" s="512"/>
      <c r="O1913" s="325"/>
      <c r="P1913" s="325"/>
      <c r="Q1913" s="325"/>
      <c r="R1913" s="325"/>
      <c r="S1913" s="325"/>
      <c r="T1913" s="325"/>
      <c r="U1913" s="325"/>
      <c r="V1913" s="325"/>
      <c r="W1913" s="325"/>
    </row>
    <row r="1914" ht="16.5" customHeight="1" spans="1:23">
      <c r="A1914" s="877" t="s">
        <v>1651</v>
      </c>
      <c r="B1914" s="845" t="s">
        <v>1652</v>
      </c>
      <c r="C1914" s="1255" t="s">
        <v>27</v>
      </c>
      <c r="D1914" s="1227">
        <v>23</v>
      </c>
      <c r="E1914" s="69"/>
      <c r="F1914" s="835">
        <v>45923</v>
      </c>
      <c r="G1914" s="830">
        <f t="shared" si="150"/>
        <v>45876</v>
      </c>
      <c r="H1914" s="836">
        <f t="shared" si="151"/>
        <v>45908</v>
      </c>
      <c r="I1914" s="886" t="s">
        <v>1654</v>
      </c>
      <c r="J1914" s="1294" t="s">
        <v>207</v>
      </c>
      <c r="K1914" s="1262" t="s">
        <v>19</v>
      </c>
      <c r="L1914" s="874" t="s">
        <v>20</v>
      </c>
      <c r="M1914" s="886"/>
      <c r="N1914" s="512"/>
      <c r="O1914" s="325"/>
      <c r="P1914" s="325"/>
      <c r="Q1914" s="325"/>
      <c r="R1914" s="325"/>
      <c r="S1914" s="325"/>
      <c r="T1914" s="325"/>
      <c r="U1914" s="325"/>
      <c r="V1914" s="325"/>
      <c r="W1914" s="325"/>
    </row>
    <row r="1915" ht="16.5" customHeight="1" spans="1:23">
      <c r="A1915" s="877" t="s">
        <v>1651</v>
      </c>
      <c r="B1915" s="845" t="s">
        <v>1652</v>
      </c>
      <c r="C1915" s="1255" t="s">
        <v>28</v>
      </c>
      <c r="D1915" s="1227">
        <v>23</v>
      </c>
      <c r="E1915" s="281"/>
      <c r="F1915" s="835">
        <v>45923</v>
      </c>
      <c r="G1915" s="830">
        <f t="shared" si="150"/>
        <v>45876</v>
      </c>
      <c r="H1915" s="836">
        <f t="shared" si="151"/>
        <v>45908</v>
      </c>
      <c r="I1915" s="886" t="s">
        <v>1654</v>
      </c>
      <c r="J1915" s="1294" t="s">
        <v>207</v>
      </c>
      <c r="K1915" s="1262" t="s">
        <v>19</v>
      </c>
      <c r="L1915" s="874" t="s">
        <v>20</v>
      </c>
      <c r="M1915" s="886"/>
      <c r="N1915" s="512"/>
      <c r="O1915" s="325"/>
      <c r="P1915" s="325"/>
      <c r="Q1915" s="325"/>
      <c r="R1915" s="325"/>
      <c r="S1915" s="325"/>
      <c r="T1915" s="325"/>
      <c r="U1915" s="325"/>
      <c r="V1915" s="325"/>
      <c r="W1915" s="325"/>
    </row>
    <row r="1916" ht="16.5" customHeight="1" spans="1:23">
      <c r="A1916" s="877" t="s">
        <v>1651</v>
      </c>
      <c r="B1916" s="845" t="s">
        <v>1652</v>
      </c>
      <c r="C1916" s="1255" t="s">
        <v>67</v>
      </c>
      <c r="D1916" s="1227">
        <v>24</v>
      </c>
      <c r="E1916" s="281"/>
      <c r="F1916" s="835">
        <v>45923</v>
      </c>
      <c r="G1916" s="830">
        <f t="shared" si="150"/>
        <v>45876</v>
      </c>
      <c r="H1916" s="836">
        <f t="shared" si="151"/>
        <v>45908</v>
      </c>
      <c r="I1916" s="886" t="s">
        <v>1654</v>
      </c>
      <c r="J1916" s="1294" t="s">
        <v>207</v>
      </c>
      <c r="K1916" s="1262" t="s">
        <v>19</v>
      </c>
      <c r="L1916" s="874" t="s">
        <v>20</v>
      </c>
      <c r="M1916" s="886"/>
      <c r="N1916" s="512"/>
      <c r="O1916" s="1154"/>
      <c r="P1916" s="1154"/>
      <c r="Q1916" s="1154"/>
      <c r="R1916" s="1154"/>
      <c r="S1916" s="1154"/>
      <c r="T1916" s="1154"/>
      <c r="U1916" s="1154"/>
      <c r="V1916" s="1154"/>
      <c r="W1916" s="1154"/>
    </row>
    <row r="1917" ht="16.5" customHeight="1" spans="1:23">
      <c r="A1917" s="877" t="s">
        <v>1651</v>
      </c>
      <c r="B1917" s="845" t="s">
        <v>1652</v>
      </c>
      <c r="C1917" s="1255" t="s">
        <v>69</v>
      </c>
      <c r="D1917" s="1227">
        <v>24</v>
      </c>
      <c r="E1917" s="281"/>
      <c r="F1917" s="835">
        <v>45923</v>
      </c>
      <c r="G1917" s="830">
        <f t="shared" si="150"/>
        <v>45876</v>
      </c>
      <c r="H1917" s="836">
        <f t="shared" si="151"/>
        <v>45908</v>
      </c>
      <c r="I1917" s="886" t="s">
        <v>1654</v>
      </c>
      <c r="J1917" s="1294" t="s">
        <v>207</v>
      </c>
      <c r="K1917" s="1262" t="s">
        <v>19</v>
      </c>
      <c r="L1917" s="874" t="s">
        <v>20</v>
      </c>
      <c r="M1917" s="886"/>
      <c r="N1917" s="512"/>
      <c r="O1917" s="1154"/>
      <c r="P1917" s="1154"/>
      <c r="Q1917" s="1154"/>
      <c r="R1917" s="1154"/>
      <c r="S1917" s="1154"/>
      <c r="T1917" s="1154"/>
      <c r="U1917" s="1154"/>
      <c r="V1917" s="1154"/>
      <c r="W1917" s="1154"/>
    </row>
    <row r="1918" ht="16.5" customHeight="1" spans="1:23">
      <c r="A1918" s="877" t="s">
        <v>1651</v>
      </c>
      <c r="B1918" s="845" t="s">
        <v>1652</v>
      </c>
      <c r="C1918" s="1255" t="s">
        <v>70</v>
      </c>
      <c r="D1918" s="1227">
        <v>5</v>
      </c>
      <c r="E1918" s="69"/>
      <c r="F1918" s="835">
        <v>45923</v>
      </c>
      <c r="G1918" s="830">
        <f t="shared" si="150"/>
        <v>45876</v>
      </c>
      <c r="H1918" s="836">
        <f t="shared" si="151"/>
        <v>45908</v>
      </c>
      <c r="I1918" s="886" t="s">
        <v>1654</v>
      </c>
      <c r="J1918" s="1294" t="s">
        <v>207</v>
      </c>
      <c r="K1918" s="1262" t="s">
        <v>19</v>
      </c>
      <c r="L1918" s="874" t="s">
        <v>20</v>
      </c>
      <c r="M1918" s="886"/>
      <c r="N1918" s="512"/>
      <c r="O1918" s="1154"/>
      <c r="P1918" s="1154"/>
      <c r="Q1918" s="1154"/>
      <c r="R1918" s="1154"/>
      <c r="S1918" s="1154"/>
      <c r="T1918" s="1154"/>
      <c r="U1918" s="1154"/>
      <c r="V1918" s="1154"/>
      <c r="W1918" s="1154"/>
    </row>
    <row r="1919" ht="16.5" customHeight="1" spans="1:23">
      <c r="A1919" s="877" t="s">
        <v>1651</v>
      </c>
      <c r="B1919" s="845" t="s">
        <v>1652</v>
      </c>
      <c r="C1919" s="1255" t="s">
        <v>71</v>
      </c>
      <c r="D1919" s="1227">
        <v>5</v>
      </c>
      <c r="E1919" s="281"/>
      <c r="F1919" s="835">
        <v>45923</v>
      </c>
      <c r="G1919" s="830">
        <f t="shared" si="150"/>
        <v>45876</v>
      </c>
      <c r="H1919" s="836">
        <f t="shared" si="151"/>
        <v>45908</v>
      </c>
      <c r="I1919" s="886" t="s">
        <v>1654</v>
      </c>
      <c r="J1919" s="1294" t="s">
        <v>207</v>
      </c>
      <c r="K1919" s="1262" t="s">
        <v>19</v>
      </c>
      <c r="L1919" s="874" t="s">
        <v>20</v>
      </c>
      <c r="M1919" s="886"/>
      <c r="N1919" s="512"/>
      <c r="O1919" s="1154"/>
      <c r="P1919" s="1154"/>
      <c r="Q1919" s="1154"/>
      <c r="R1919" s="1154"/>
      <c r="S1919" s="1154"/>
      <c r="T1919" s="1154"/>
      <c r="U1919" s="1154"/>
      <c r="V1919" s="1154"/>
      <c r="W1919" s="1154"/>
    </row>
    <row r="1920" ht="16.5" customHeight="1" spans="1:23">
      <c r="A1920" s="877" t="s">
        <v>1651</v>
      </c>
      <c r="B1920" s="845" t="s">
        <v>1652</v>
      </c>
      <c r="C1920" s="1255" t="s">
        <v>462</v>
      </c>
      <c r="D1920" s="1227">
        <v>3</v>
      </c>
      <c r="E1920" s="281"/>
      <c r="F1920" s="835">
        <v>45923</v>
      </c>
      <c r="G1920" s="830">
        <f t="shared" si="150"/>
        <v>45876</v>
      </c>
      <c r="H1920" s="836">
        <f t="shared" si="151"/>
        <v>45908</v>
      </c>
      <c r="I1920" s="886" t="s">
        <v>1654</v>
      </c>
      <c r="J1920" s="1294" t="s">
        <v>207</v>
      </c>
      <c r="K1920" s="1262" t="s">
        <v>19</v>
      </c>
      <c r="L1920" s="874" t="s">
        <v>20</v>
      </c>
      <c r="M1920" s="886"/>
      <c r="N1920" s="512"/>
      <c r="O1920" s="1154"/>
      <c r="P1920" s="1154"/>
      <c r="Q1920" s="1154"/>
      <c r="R1920" s="1154"/>
      <c r="S1920" s="1154"/>
      <c r="T1920" s="1154"/>
      <c r="U1920" s="1154"/>
      <c r="V1920" s="1154"/>
      <c r="W1920" s="1154"/>
    </row>
    <row r="1921" ht="16.5" customHeight="1" spans="1:23">
      <c r="A1921" s="877" t="s">
        <v>1651</v>
      </c>
      <c r="B1921" s="845" t="s">
        <v>1652</v>
      </c>
      <c r="C1921" s="1255" t="s">
        <v>463</v>
      </c>
      <c r="D1921" s="1227">
        <v>3</v>
      </c>
      <c r="E1921" s="281"/>
      <c r="F1921" s="835">
        <v>45923</v>
      </c>
      <c r="G1921" s="830">
        <f t="shared" si="150"/>
        <v>45876</v>
      </c>
      <c r="H1921" s="836">
        <f t="shared" si="151"/>
        <v>45908</v>
      </c>
      <c r="I1921" s="886" t="s">
        <v>1654</v>
      </c>
      <c r="J1921" s="1294" t="s">
        <v>207</v>
      </c>
      <c r="K1921" s="1262" t="s">
        <v>19</v>
      </c>
      <c r="L1921" s="874" t="s">
        <v>20</v>
      </c>
      <c r="M1921" s="886"/>
      <c r="N1921" s="512"/>
      <c r="O1921" s="1154"/>
      <c r="P1921" s="1154"/>
      <c r="Q1921" s="1154"/>
      <c r="R1921" s="1154"/>
      <c r="S1921" s="1154"/>
      <c r="T1921" s="1154"/>
      <c r="U1921" s="1154"/>
      <c r="V1921" s="1154"/>
      <c r="W1921" s="1154"/>
    </row>
    <row r="1922" ht="16.5" customHeight="1" spans="1:23">
      <c r="A1922" s="877" t="s">
        <v>1651</v>
      </c>
      <c r="B1922" s="845" t="s">
        <v>1652</v>
      </c>
      <c r="C1922" s="1255" t="s">
        <v>29</v>
      </c>
      <c r="D1922" s="1227">
        <v>2</v>
      </c>
      <c r="E1922" s="281"/>
      <c r="F1922" s="835">
        <v>45923</v>
      </c>
      <c r="G1922" s="830">
        <f t="shared" si="150"/>
        <v>45876</v>
      </c>
      <c r="H1922" s="836">
        <f t="shared" si="151"/>
        <v>45908</v>
      </c>
      <c r="I1922" s="886" t="s">
        <v>1654</v>
      </c>
      <c r="J1922" s="1294" t="s">
        <v>207</v>
      </c>
      <c r="K1922" s="1262" t="s">
        <v>19</v>
      </c>
      <c r="L1922" s="874" t="s">
        <v>20</v>
      </c>
      <c r="M1922" s="886"/>
      <c r="N1922" s="512"/>
      <c r="O1922" s="1154"/>
      <c r="P1922" s="1154"/>
      <c r="Q1922" s="1154"/>
      <c r="R1922" s="1154"/>
      <c r="S1922" s="1154"/>
      <c r="T1922" s="1154"/>
      <c r="U1922" s="1154"/>
      <c r="V1922" s="1154"/>
      <c r="W1922" s="1154"/>
    </row>
    <row r="1923" ht="16.5" customHeight="1" spans="1:23">
      <c r="A1923" s="877" t="s">
        <v>1651</v>
      </c>
      <c r="B1923" s="845" t="s">
        <v>1652</v>
      </c>
      <c r="C1923" s="1255" t="s">
        <v>30</v>
      </c>
      <c r="D1923" s="1227">
        <v>2</v>
      </c>
      <c r="E1923" s="281"/>
      <c r="F1923" s="835">
        <v>45923</v>
      </c>
      <c r="G1923" s="830">
        <f t="shared" si="150"/>
        <v>45876</v>
      </c>
      <c r="H1923" s="836">
        <f t="shared" si="151"/>
        <v>45908</v>
      </c>
      <c r="I1923" s="886" t="s">
        <v>1654</v>
      </c>
      <c r="J1923" s="1294" t="s">
        <v>207</v>
      </c>
      <c r="K1923" s="1262" t="s">
        <v>19</v>
      </c>
      <c r="L1923" s="874" t="s">
        <v>20</v>
      </c>
      <c r="M1923" s="886"/>
      <c r="N1923" s="512"/>
      <c r="O1923" s="1154"/>
      <c r="P1923" s="1154"/>
      <c r="Q1923" s="1154"/>
      <c r="R1923" s="1154"/>
      <c r="S1923" s="1154"/>
      <c r="T1923" s="1154"/>
      <c r="U1923" s="1154"/>
      <c r="V1923" s="1154"/>
      <c r="W1923" s="1154"/>
    </row>
    <row r="1924" ht="16.5" customHeight="1" spans="1:23">
      <c r="A1924" s="877" t="s">
        <v>1651</v>
      </c>
      <c r="B1924" s="845" t="s">
        <v>1652</v>
      </c>
      <c r="C1924" s="1255" t="s">
        <v>31</v>
      </c>
      <c r="D1924" s="1227">
        <v>1</v>
      </c>
      <c r="E1924" s="281"/>
      <c r="F1924" s="835">
        <v>45923</v>
      </c>
      <c r="G1924" s="830">
        <f t="shared" si="150"/>
        <v>45876</v>
      </c>
      <c r="H1924" s="836">
        <f t="shared" si="151"/>
        <v>45908</v>
      </c>
      <c r="I1924" s="886" t="s">
        <v>1654</v>
      </c>
      <c r="J1924" s="1294" t="s">
        <v>207</v>
      </c>
      <c r="K1924" s="1262" t="s">
        <v>19</v>
      </c>
      <c r="L1924" s="874" t="s">
        <v>20</v>
      </c>
      <c r="M1924" s="886"/>
      <c r="N1924" s="512"/>
      <c r="O1924" s="1154"/>
      <c r="P1924" s="1154"/>
      <c r="Q1924" s="1154"/>
      <c r="R1924" s="1154"/>
      <c r="S1924" s="1154"/>
      <c r="T1924" s="1154"/>
      <c r="U1924" s="1154"/>
      <c r="V1924" s="1154"/>
      <c r="W1924" s="1154"/>
    </row>
    <row r="1925" ht="16.5" customHeight="1" spans="1:23">
      <c r="A1925" s="877" t="s">
        <v>1651</v>
      </c>
      <c r="B1925" s="845" t="s">
        <v>1652</v>
      </c>
      <c r="C1925" s="1255" t="s">
        <v>32</v>
      </c>
      <c r="D1925" s="1227">
        <v>1</v>
      </c>
      <c r="E1925" s="281"/>
      <c r="F1925" s="835">
        <v>45923</v>
      </c>
      <c r="G1925" s="830">
        <f t="shared" si="150"/>
        <v>45876</v>
      </c>
      <c r="H1925" s="836">
        <f t="shared" si="151"/>
        <v>45908</v>
      </c>
      <c r="I1925" s="886" t="s">
        <v>1654</v>
      </c>
      <c r="J1925" s="1294" t="s">
        <v>207</v>
      </c>
      <c r="K1925" s="1262" t="s">
        <v>19</v>
      </c>
      <c r="L1925" s="874" t="s">
        <v>20</v>
      </c>
      <c r="M1925" s="886"/>
      <c r="N1925" s="512"/>
      <c r="O1925" s="1154"/>
      <c r="P1925" s="1154"/>
      <c r="Q1925" s="1154"/>
      <c r="R1925" s="1154"/>
      <c r="S1925" s="1154"/>
      <c r="T1925" s="1154"/>
      <c r="U1925" s="1154"/>
      <c r="V1925" s="1154"/>
      <c r="W1925" s="1154"/>
    </row>
    <row r="1926" ht="15.4" customHeight="1" spans="1:23">
      <c r="A1926" s="877" t="s">
        <v>910</v>
      </c>
      <c r="B1926" s="845" t="s">
        <v>1656</v>
      </c>
      <c r="C1926" s="1248" t="s">
        <v>15</v>
      </c>
      <c r="D1926" s="1249">
        <v>140</v>
      </c>
      <c r="E1926" s="1244" t="s">
        <v>1657</v>
      </c>
      <c r="F1926" s="835">
        <v>45853</v>
      </c>
      <c r="G1926" s="835">
        <f>VLOOKUP(CLEAN(SUBSTITUTE(TRIM(MID(E:E,FIND("/",E:E)+1,LEN(E:E)))," ","")),'Customs Decl. &amp; Local Delivery'!D:I,6,0)</f>
        <v>45880</v>
      </c>
      <c r="H1926" s="836">
        <f>VLOOKUP(CLEAN(SUBSTITUTE(TRIM(MID(E:E,FIND("/",E:E)+1,LEN(E:E)))," ","")),'Customs Decl. &amp; Local Delivery'!D:J,7,0)</f>
        <v>45905</v>
      </c>
      <c r="I1926" s="886" t="s">
        <v>1658</v>
      </c>
      <c r="J1926" s="1317" t="s">
        <v>18</v>
      </c>
      <c r="K1926" s="1286" t="s">
        <v>147</v>
      </c>
      <c r="L1926" s="874" t="s">
        <v>20</v>
      </c>
      <c r="M1926" s="886" t="s">
        <v>1315</v>
      </c>
      <c r="N1926" s="512"/>
      <c r="O1926" s="325"/>
      <c r="P1926" s="325"/>
      <c r="Q1926" s="325"/>
      <c r="R1926" s="325"/>
      <c r="S1926" s="325"/>
      <c r="T1926" s="325"/>
      <c r="U1926" s="325"/>
      <c r="V1926" s="325"/>
      <c r="W1926" s="325"/>
    </row>
    <row r="1927" ht="15.4" customHeight="1" spans="1:23">
      <c r="A1927" s="877" t="s">
        <v>910</v>
      </c>
      <c r="B1927" s="845" t="s">
        <v>1656</v>
      </c>
      <c r="C1927" s="1248" t="s">
        <v>59</v>
      </c>
      <c r="D1927" s="1249">
        <v>34</v>
      </c>
      <c r="E1927" s="69"/>
      <c r="F1927" s="835">
        <v>45853</v>
      </c>
      <c r="G1927" s="839">
        <f>G1926</f>
        <v>45880</v>
      </c>
      <c r="H1927" s="836">
        <f>H1926</f>
        <v>45905</v>
      </c>
      <c r="I1927" s="886" t="s">
        <v>1658</v>
      </c>
      <c r="J1927" s="1317" t="s">
        <v>18</v>
      </c>
      <c r="K1927" s="1286" t="s">
        <v>147</v>
      </c>
      <c r="L1927" s="874" t="s">
        <v>20</v>
      </c>
      <c r="M1927" s="886"/>
      <c r="N1927" s="512"/>
      <c r="O1927" s="325"/>
      <c r="P1927" s="325"/>
      <c r="Q1927" s="325"/>
      <c r="R1927" s="325"/>
      <c r="S1927" s="325"/>
      <c r="T1927" s="325"/>
      <c r="U1927" s="325"/>
      <c r="V1927" s="325"/>
      <c r="W1927" s="325"/>
    </row>
    <row r="1928" ht="15.4" customHeight="1" spans="1:23">
      <c r="A1928" s="877" t="s">
        <v>910</v>
      </c>
      <c r="B1928" s="845" t="s">
        <v>1656</v>
      </c>
      <c r="C1928" s="1248" t="s">
        <v>60</v>
      </c>
      <c r="D1928" s="1249">
        <v>34</v>
      </c>
      <c r="E1928" s="69"/>
      <c r="F1928" s="835">
        <v>45853</v>
      </c>
      <c r="G1928" s="839">
        <f>G1927</f>
        <v>45880</v>
      </c>
      <c r="H1928" s="836">
        <f>H1927</f>
        <v>45905</v>
      </c>
      <c r="I1928" s="886" t="s">
        <v>1658</v>
      </c>
      <c r="J1928" s="1317" t="s">
        <v>18</v>
      </c>
      <c r="K1928" s="1286" t="s">
        <v>147</v>
      </c>
      <c r="L1928" s="874" t="s">
        <v>20</v>
      </c>
      <c r="M1928" s="886"/>
      <c r="N1928" s="325"/>
      <c r="O1928" s="325"/>
      <c r="P1928" s="325"/>
      <c r="Q1928" s="325"/>
      <c r="R1928" s="325"/>
      <c r="S1928" s="325"/>
      <c r="T1928" s="325"/>
      <c r="U1928" s="325"/>
      <c r="V1928" s="325"/>
      <c r="W1928" s="325"/>
    </row>
    <row r="1929" ht="15.4" customHeight="1" spans="1:23">
      <c r="A1929" s="877" t="s">
        <v>910</v>
      </c>
      <c r="B1929" s="845" t="s">
        <v>1659</v>
      </c>
      <c r="C1929" s="1248" t="s">
        <v>15</v>
      </c>
      <c r="D1929" s="1249">
        <v>140</v>
      </c>
      <c r="E1929" s="1244" t="s">
        <v>1660</v>
      </c>
      <c r="F1929" s="835">
        <v>45853</v>
      </c>
      <c r="G1929" s="835">
        <f>VLOOKUP(CLEAN(SUBSTITUTE(TRIM(MID(E:E,FIND("/",E:E)+1,LEN(E:E)))," ","")),'Customs Decl. &amp; Local Delivery'!D:I,6,0)</f>
        <v>45880</v>
      </c>
      <c r="H1929" s="836">
        <f>VLOOKUP(CLEAN(SUBSTITUTE(TRIM(MID(E:E,FIND("/",E:E)+1,LEN(E:E)))," ","")),'Customs Decl. &amp; Local Delivery'!D:J,7,0)</f>
        <v>45905</v>
      </c>
      <c r="I1929" s="886" t="s">
        <v>1661</v>
      </c>
      <c r="J1929" s="1317" t="s">
        <v>18</v>
      </c>
      <c r="K1929" s="1286" t="s">
        <v>147</v>
      </c>
      <c r="L1929" s="874" t="s">
        <v>20</v>
      </c>
      <c r="M1929" s="886" t="s">
        <v>1315</v>
      </c>
      <c r="N1929" s="512"/>
      <c r="O1929" s="325"/>
      <c r="P1929" s="325"/>
      <c r="Q1929" s="325"/>
      <c r="R1929" s="325"/>
      <c r="S1929" s="325"/>
      <c r="T1929" s="325"/>
      <c r="U1929" s="325"/>
      <c r="V1929" s="325"/>
      <c r="W1929" s="325"/>
    </row>
    <row r="1930" customFormat="1" ht="15.4" customHeight="1" spans="1:23">
      <c r="A1930" s="877" t="s">
        <v>910</v>
      </c>
      <c r="B1930" s="845" t="s">
        <v>1659</v>
      </c>
      <c r="C1930" s="1248" t="s">
        <v>59</v>
      </c>
      <c r="D1930" s="1249">
        <v>34</v>
      </c>
      <c r="E1930" s="69"/>
      <c r="F1930" s="835">
        <v>45853</v>
      </c>
      <c r="G1930" s="839">
        <f>G1929</f>
        <v>45880</v>
      </c>
      <c r="H1930" s="836">
        <f>H1929</f>
        <v>45905</v>
      </c>
      <c r="I1930" s="886" t="s">
        <v>1661</v>
      </c>
      <c r="J1930" s="1290" t="s">
        <v>18</v>
      </c>
      <c r="K1930" s="1262" t="s">
        <v>147</v>
      </c>
      <c r="L1930" s="874" t="s">
        <v>20</v>
      </c>
      <c r="M1930" s="886"/>
      <c r="N1930" s="512"/>
      <c r="O1930" s="325"/>
      <c r="P1930" s="325"/>
      <c r="Q1930" s="325"/>
      <c r="R1930" s="325"/>
      <c r="S1930" s="325"/>
      <c r="T1930" s="325"/>
      <c r="U1930" s="325"/>
      <c r="V1930" s="325"/>
      <c r="W1930" s="325"/>
    </row>
    <row r="1931" customFormat="1" ht="15.4" customHeight="1" spans="1:23">
      <c r="A1931" s="1280" t="s">
        <v>910</v>
      </c>
      <c r="B1931" s="845" t="s">
        <v>1659</v>
      </c>
      <c r="C1931" s="1295" t="s">
        <v>60</v>
      </c>
      <c r="D1931" s="1296">
        <v>34</v>
      </c>
      <c r="E1931" s="69"/>
      <c r="F1931" s="835">
        <v>45853</v>
      </c>
      <c r="G1931" s="839">
        <f>G1930</f>
        <v>45880</v>
      </c>
      <c r="H1931" s="836">
        <f>H1930</f>
        <v>45905</v>
      </c>
      <c r="I1931" s="886" t="s">
        <v>1661</v>
      </c>
      <c r="J1931" s="1290" t="s">
        <v>18</v>
      </c>
      <c r="K1931" s="1262" t="s">
        <v>147</v>
      </c>
      <c r="L1931" s="874" t="s">
        <v>20</v>
      </c>
      <c r="M1931" s="886"/>
      <c r="N1931" s="512"/>
      <c r="O1931" s="325"/>
      <c r="P1931" s="325"/>
      <c r="Q1931" s="325"/>
      <c r="R1931" s="325"/>
      <c r="S1931" s="325"/>
      <c r="T1931" s="325"/>
      <c r="U1931" s="325"/>
      <c r="V1931" s="325"/>
      <c r="W1931" s="325"/>
    </row>
    <row r="1932" customFormat="1" ht="15.4" customHeight="1" spans="1:23">
      <c r="A1932" s="877" t="s">
        <v>910</v>
      </c>
      <c r="B1932" s="845" t="s">
        <v>1662</v>
      </c>
      <c r="C1932" s="1248" t="s">
        <v>396</v>
      </c>
      <c r="D1932" s="1249">
        <v>50</v>
      </c>
      <c r="E1932" s="1244" t="s">
        <v>1663</v>
      </c>
      <c r="F1932" s="835">
        <v>45853</v>
      </c>
      <c r="G1932" s="835">
        <f>VLOOKUP(CLEAN(SUBSTITUTE(TRIM(MID(E:E,FIND("/",E:E)+1,LEN(E:E)))," ","")),'Customs Decl. &amp; Local Delivery'!D:I,6,0)</f>
        <v>45880</v>
      </c>
      <c r="H1932" s="836">
        <f>VLOOKUP(CLEAN(SUBSTITUTE(TRIM(MID(E:E,FIND("/",E:E)+1,LEN(E:E)))," ","")),'Customs Decl. &amp; Local Delivery'!D:J,7,0)</f>
        <v>45905</v>
      </c>
      <c r="I1932" s="886" t="s">
        <v>1664</v>
      </c>
      <c r="J1932" s="1290" t="s">
        <v>18</v>
      </c>
      <c r="K1932" s="1262" t="s">
        <v>147</v>
      </c>
      <c r="L1932" s="874" t="s">
        <v>20</v>
      </c>
      <c r="M1932" s="886" t="s">
        <v>1315</v>
      </c>
      <c r="N1932" s="512"/>
      <c r="O1932" s="325"/>
      <c r="P1932" s="325"/>
      <c r="Q1932" s="325"/>
      <c r="R1932" s="325"/>
      <c r="S1932" s="325"/>
      <c r="T1932" s="325"/>
      <c r="U1932" s="325"/>
      <c r="V1932" s="325"/>
      <c r="W1932" s="325"/>
    </row>
    <row r="1933" customFormat="1" ht="15.4" customHeight="1" spans="1:23">
      <c r="A1933" s="877" t="s">
        <v>910</v>
      </c>
      <c r="B1933" s="845" t="s">
        <v>1662</v>
      </c>
      <c r="C1933" s="1297" t="s">
        <v>15</v>
      </c>
      <c r="D1933" s="1298">
        <v>120</v>
      </c>
      <c r="E1933" s="281"/>
      <c r="F1933" s="835">
        <v>45853</v>
      </c>
      <c r="G1933" s="839">
        <f>G1932</f>
        <v>45880</v>
      </c>
      <c r="H1933" s="836">
        <f>H1932</f>
        <v>45905</v>
      </c>
      <c r="I1933" s="886" t="s">
        <v>1664</v>
      </c>
      <c r="J1933" s="1290" t="s">
        <v>18</v>
      </c>
      <c r="K1933" s="1262" t="s">
        <v>147</v>
      </c>
      <c r="L1933" s="874" t="s">
        <v>20</v>
      </c>
      <c r="M1933" s="1263" t="s">
        <v>1665</v>
      </c>
      <c r="N1933" s="512"/>
      <c r="O1933" s="325"/>
      <c r="P1933" s="325"/>
      <c r="Q1933" s="325"/>
      <c r="R1933" s="325"/>
      <c r="S1933" s="325"/>
      <c r="T1933" s="325"/>
      <c r="U1933" s="325"/>
      <c r="V1933" s="325"/>
      <c r="W1933" s="325"/>
    </row>
    <row r="1934" customFormat="1" ht="15.4" customHeight="1" spans="1:23">
      <c r="A1934" s="877" t="s">
        <v>910</v>
      </c>
      <c r="B1934" s="845" t="s">
        <v>1662</v>
      </c>
      <c r="C1934" s="1297" t="s">
        <v>24</v>
      </c>
      <c r="D1934" s="1298">
        <v>261</v>
      </c>
      <c r="E1934" s="281"/>
      <c r="F1934" s="835">
        <v>45853</v>
      </c>
      <c r="G1934" s="839">
        <f>G1933</f>
        <v>45880</v>
      </c>
      <c r="H1934" s="836">
        <f>H1933</f>
        <v>45905</v>
      </c>
      <c r="I1934" s="886" t="s">
        <v>1664</v>
      </c>
      <c r="J1934" s="1290" t="s">
        <v>18</v>
      </c>
      <c r="K1934" s="1262" t="s">
        <v>147</v>
      </c>
      <c r="L1934" s="874" t="s">
        <v>20</v>
      </c>
      <c r="M1934" s="886"/>
      <c r="N1934" s="512"/>
      <c r="O1934" s="1154"/>
      <c r="P1934" s="1154"/>
      <c r="Q1934" s="1154"/>
      <c r="R1934" s="1154"/>
      <c r="S1934" s="1154"/>
      <c r="T1934" s="1154"/>
      <c r="U1934" s="1154"/>
      <c r="V1934" s="1154"/>
      <c r="W1934" s="1154"/>
    </row>
    <row r="1935" s="180" customFormat="1" ht="15.4" customHeight="1" spans="1:23">
      <c r="A1935" s="1280" t="s">
        <v>910</v>
      </c>
      <c r="B1935" s="1299" t="s">
        <v>1490</v>
      </c>
      <c r="C1935" s="1295" t="s">
        <v>60</v>
      </c>
      <c r="D1935" s="1296">
        <v>1</v>
      </c>
      <c r="E1935" s="281"/>
      <c r="F1935" s="835">
        <v>45853</v>
      </c>
      <c r="G1935" s="839">
        <f>G1934</f>
        <v>45880</v>
      </c>
      <c r="H1935" s="836">
        <f>H1934</f>
        <v>45905</v>
      </c>
      <c r="I1935" s="886" t="s">
        <v>1664</v>
      </c>
      <c r="J1935" s="1291" t="s">
        <v>18</v>
      </c>
      <c r="K1935" s="1259" t="s">
        <v>147</v>
      </c>
      <c r="L1935" s="874" t="s">
        <v>20</v>
      </c>
      <c r="M1935" s="1318" t="s">
        <v>1666</v>
      </c>
      <c r="N1935" s="512"/>
      <c r="O1935" s="512"/>
      <c r="P1935" s="512"/>
      <c r="Q1935" s="512"/>
      <c r="R1935" s="512"/>
      <c r="S1935" s="512"/>
      <c r="T1935" s="512"/>
      <c r="U1935" s="512"/>
      <c r="V1935" s="512"/>
      <c r="W1935" s="512"/>
    </row>
    <row r="1936" s="180" customFormat="1" ht="30" spans="1:23">
      <c r="A1936" s="877" t="s">
        <v>910</v>
      </c>
      <c r="B1936" s="845" t="s">
        <v>1667</v>
      </c>
      <c r="C1936" s="1248" t="s">
        <v>651</v>
      </c>
      <c r="D1936" s="1249">
        <v>45</v>
      </c>
      <c r="E1936" s="1244" t="s">
        <v>1668</v>
      </c>
      <c r="F1936" s="835">
        <v>45823</v>
      </c>
      <c r="G1936" s="835">
        <f>VLOOKUP(CLEAN(SUBSTITUTE(TRIM(MID(E:E,FIND("/",E:E)+1,LEN(E:E)))," ","")),'Customs Decl. &amp; Local Delivery'!D:I,6,0)</f>
        <v>45881</v>
      </c>
      <c r="H1936" s="836">
        <f>VLOOKUP(CLEAN(SUBSTITUTE(TRIM(MID(E:E,FIND("/",E:E)+1,LEN(E:E)))," ","")),'Customs Decl. &amp; Local Delivery'!D:J,7,0)</f>
        <v>45910</v>
      </c>
      <c r="I1936" s="886" t="s">
        <v>1669</v>
      </c>
      <c r="J1936" s="1290" t="s">
        <v>18</v>
      </c>
      <c r="K1936" s="1262" t="s">
        <v>147</v>
      </c>
      <c r="L1936" s="874" t="s">
        <v>20</v>
      </c>
      <c r="M1936" s="853" t="s">
        <v>1540</v>
      </c>
      <c r="N1936" s="512"/>
      <c r="O1936" s="512"/>
      <c r="P1936" s="512"/>
      <c r="Q1936" s="512"/>
      <c r="R1936" s="512"/>
      <c r="S1936" s="512"/>
      <c r="T1936" s="512"/>
      <c r="U1936" s="512"/>
      <c r="V1936" s="512"/>
      <c r="W1936" s="512"/>
    </row>
    <row r="1937" s="180" customFormat="1" ht="30" spans="1:23">
      <c r="A1937" s="1300" t="s">
        <v>910</v>
      </c>
      <c r="B1937" s="1253" t="s">
        <v>1670</v>
      </c>
      <c r="C1937" s="1278" t="s">
        <v>651</v>
      </c>
      <c r="D1937" s="1279">
        <v>45</v>
      </c>
      <c r="E1937" s="1244" t="s">
        <v>1671</v>
      </c>
      <c r="F1937" s="835">
        <v>45823</v>
      </c>
      <c r="G1937" s="835">
        <f>VLOOKUP(CLEAN(SUBSTITUTE(TRIM(MID(E:E,FIND("/",E:E)+1,LEN(E:E)))," ","")),'Customs Decl. &amp; Local Delivery'!D:I,6,0)</f>
        <v>45881</v>
      </c>
      <c r="H1937" s="836">
        <f>VLOOKUP(CLEAN(SUBSTITUTE(TRIM(MID(E:E,FIND("/",E:E)+1,LEN(E:E)))," ","")),'Customs Decl. &amp; Local Delivery'!D:J,7,0)</f>
        <v>45910</v>
      </c>
      <c r="I1937" s="886" t="s">
        <v>1672</v>
      </c>
      <c r="J1937" s="1319" t="s">
        <v>18</v>
      </c>
      <c r="K1937" s="1256" t="s">
        <v>147</v>
      </c>
      <c r="L1937" s="1232" t="s">
        <v>20</v>
      </c>
      <c r="M1937" s="853" t="s">
        <v>1540</v>
      </c>
      <c r="N1937" s="512"/>
      <c r="O1937" s="512"/>
      <c r="P1937" s="512"/>
      <c r="Q1937" s="512"/>
      <c r="R1937" s="512"/>
      <c r="S1937" s="512"/>
      <c r="T1937" s="512"/>
      <c r="U1937" s="512"/>
      <c r="V1937" s="512"/>
      <c r="W1937" s="512"/>
    </row>
    <row r="1938" s="180" customFormat="1" ht="30" spans="1:23">
      <c r="A1938" s="877" t="s">
        <v>910</v>
      </c>
      <c r="B1938" s="845" t="s">
        <v>1673</v>
      </c>
      <c r="C1938" s="1248" t="s">
        <v>651</v>
      </c>
      <c r="D1938" s="1249">
        <v>45</v>
      </c>
      <c r="E1938" s="1244" t="s">
        <v>1674</v>
      </c>
      <c r="F1938" s="835">
        <v>45823</v>
      </c>
      <c r="G1938" s="835">
        <f>VLOOKUP(CLEAN(SUBSTITUTE(TRIM(MID(E:E,FIND("/",E:E)+1,LEN(E:E)))," ","")),'Customs Decl. &amp; Local Delivery'!D:I,6,0)</f>
        <v>45881</v>
      </c>
      <c r="H1938" s="836">
        <f>VLOOKUP(CLEAN(SUBSTITUTE(TRIM(MID(E:E,FIND("/",E:E)+1,LEN(E:E)))," ","")),'Customs Decl. &amp; Local Delivery'!D:J,7,0)</f>
        <v>45910</v>
      </c>
      <c r="I1938" s="886" t="s">
        <v>1675</v>
      </c>
      <c r="J1938" s="1290" t="s">
        <v>18</v>
      </c>
      <c r="K1938" s="1262" t="s">
        <v>147</v>
      </c>
      <c r="L1938" s="874" t="s">
        <v>20</v>
      </c>
      <c r="M1938" s="853" t="s">
        <v>1540</v>
      </c>
      <c r="N1938" s="512"/>
      <c r="O1938" s="512"/>
      <c r="P1938" s="512"/>
      <c r="Q1938" s="512"/>
      <c r="R1938" s="512"/>
      <c r="S1938" s="512"/>
      <c r="T1938" s="512"/>
      <c r="U1938" s="512"/>
      <c r="V1938" s="512"/>
      <c r="W1938" s="512"/>
    </row>
    <row r="1939" s="180" customFormat="1" ht="30" spans="1:23">
      <c r="A1939" s="1301" t="s">
        <v>910</v>
      </c>
      <c r="B1939" s="845" t="s">
        <v>1676</v>
      </c>
      <c r="C1939" s="1248" t="s">
        <v>651</v>
      </c>
      <c r="D1939" s="1249">
        <v>45</v>
      </c>
      <c r="E1939" s="1244" t="s">
        <v>1677</v>
      </c>
      <c r="F1939" s="835">
        <v>45823</v>
      </c>
      <c r="G1939" s="835">
        <f>VLOOKUP(CLEAN(SUBSTITUTE(TRIM(MID(E:E,FIND("/",E:E)+1,LEN(E:E)))," ","")),'Customs Decl. &amp; Local Delivery'!D:I,6,0)</f>
        <v>45881</v>
      </c>
      <c r="H1939" s="836">
        <f>VLOOKUP(CLEAN(SUBSTITUTE(TRIM(MID(E:E,FIND("/",E:E)+1,LEN(E:E)))," ","")),'Customs Decl. &amp; Local Delivery'!D:J,7,0)</f>
        <v>45910</v>
      </c>
      <c r="I1939" s="886" t="s">
        <v>1678</v>
      </c>
      <c r="J1939" s="1290" t="s">
        <v>18</v>
      </c>
      <c r="K1939" s="1262" t="s">
        <v>147</v>
      </c>
      <c r="L1939" s="874" t="s">
        <v>20</v>
      </c>
      <c r="M1939" s="853" t="s">
        <v>1540</v>
      </c>
      <c r="N1939" s="512"/>
      <c r="O1939" s="512"/>
      <c r="P1939" s="512"/>
      <c r="Q1939" s="512"/>
      <c r="R1939" s="512"/>
      <c r="S1939" s="512"/>
      <c r="T1939" s="512"/>
      <c r="U1939" s="512"/>
      <c r="V1939" s="512"/>
      <c r="W1939" s="512"/>
    </row>
    <row r="1940" s="180" customFormat="1" ht="30" spans="1:23">
      <c r="A1940" s="1301" t="s">
        <v>910</v>
      </c>
      <c r="B1940" s="845" t="s">
        <v>1679</v>
      </c>
      <c r="C1940" s="1248" t="s">
        <v>651</v>
      </c>
      <c r="D1940" s="1249">
        <v>45</v>
      </c>
      <c r="E1940" s="1244" t="s">
        <v>1680</v>
      </c>
      <c r="F1940" s="835">
        <v>45823</v>
      </c>
      <c r="G1940" s="835">
        <f>VLOOKUP(CLEAN(SUBSTITUTE(TRIM(MID(E:E,FIND("/",E:E)+1,LEN(E:E)))," ","")),'Customs Decl. &amp; Local Delivery'!D:I,6,0)</f>
        <v>45881</v>
      </c>
      <c r="H1940" s="836">
        <f>VLOOKUP(CLEAN(SUBSTITUTE(TRIM(MID(E:E,FIND("/",E:E)+1,LEN(E:E)))," ","")),'Customs Decl. &amp; Local Delivery'!D:J,7,0)</f>
        <v>45910</v>
      </c>
      <c r="I1940" s="886" t="s">
        <v>1681</v>
      </c>
      <c r="J1940" s="1290" t="s">
        <v>18</v>
      </c>
      <c r="K1940" s="1262" t="s">
        <v>147</v>
      </c>
      <c r="L1940" s="874" t="s">
        <v>20</v>
      </c>
      <c r="M1940" s="853" t="s">
        <v>1540</v>
      </c>
      <c r="N1940" s="512"/>
      <c r="O1940" s="512"/>
      <c r="P1940" s="512"/>
      <c r="Q1940" s="512"/>
      <c r="R1940" s="512"/>
      <c r="S1940" s="512"/>
      <c r="T1940" s="512"/>
      <c r="U1940" s="512"/>
      <c r="V1940" s="512"/>
      <c r="W1940" s="512"/>
    </row>
    <row r="1941" s="180" customFormat="1" ht="30" spans="1:23">
      <c r="A1941" s="1301" t="s">
        <v>910</v>
      </c>
      <c r="B1941" s="845" t="s">
        <v>1682</v>
      </c>
      <c r="C1941" s="1248" t="s">
        <v>651</v>
      </c>
      <c r="D1941" s="1249">
        <v>45</v>
      </c>
      <c r="E1941" s="1244" t="s">
        <v>1683</v>
      </c>
      <c r="F1941" s="835">
        <v>45823</v>
      </c>
      <c r="G1941" s="835">
        <f>VLOOKUP(CLEAN(SUBSTITUTE(TRIM(MID(E:E,FIND("/",E:E)+1,LEN(E:E)))," ","")),'Customs Decl. &amp; Local Delivery'!D:I,6,0)</f>
        <v>45881</v>
      </c>
      <c r="H1941" s="836">
        <f>VLOOKUP(CLEAN(SUBSTITUTE(TRIM(MID(E:E,FIND("/",E:E)+1,LEN(E:E)))," ","")),'Customs Decl. &amp; Local Delivery'!D:J,7,0)</f>
        <v>45908</v>
      </c>
      <c r="I1941" s="886" t="s">
        <v>1684</v>
      </c>
      <c r="J1941" s="1290" t="s">
        <v>18</v>
      </c>
      <c r="K1941" s="1262" t="s">
        <v>147</v>
      </c>
      <c r="L1941" s="874" t="s">
        <v>20</v>
      </c>
      <c r="M1941" s="853" t="s">
        <v>1366</v>
      </c>
      <c r="N1941" s="512"/>
      <c r="O1941" s="512"/>
      <c r="P1941" s="512"/>
      <c r="Q1941" s="512"/>
      <c r="R1941" s="512"/>
      <c r="S1941" s="512"/>
      <c r="T1941" s="512"/>
      <c r="U1941" s="512"/>
      <c r="V1941" s="512"/>
      <c r="W1941" s="512"/>
    </row>
    <row r="1942" s="180" customFormat="1" ht="30" spans="1:23">
      <c r="A1942" s="1301" t="s">
        <v>910</v>
      </c>
      <c r="B1942" s="1299" t="s">
        <v>1685</v>
      </c>
      <c r="C1942" s="1295" t="s">
        <v>651</v>
      </c>
      <c r="D1942" s="1296">
        <v>45</v>
      </c>
      <c r="E1942" s="1244" t="s">
        <v>1686</v>
      </c>
      <c r="F1942" s="835">
        <v>45823</v>
      </c>
      <c r="G1942" s="835">
        <f>VLOOKUP(CLEAN(SUBSTITUTE(TRIM(MID(E:E,FIND("/",E:E)+1,LEN(E:E)))," ","")),'Customs Decl. &amp; Local Delivery'!D:I,6,0)</f>
        <v>45881</v>
      </c>
      <c r="H1942" s="836">
        <f>VLOOKUP(CLEAN(SUBSTITUTE(TRIM(MID(E:E,FIND("/",E:E)+1,LEN(E:E)))," ","")),'Customs Decl. &amp; Local Delivery'!D:J,7,0)</f>
        <v>45908</v>
      </c>
      <c r="I1942" s="886" t="s">
        <v>1687</v>
      </c>
      <c r="J1942" s="1290" t="s">
        <v>18</v>
      </c>
      <c r="K1942" s="1262" t="s">
        <v>147</v>
      </c>
      <c r="L1942" s="874" t="s">
        <v>20</v>
      </c>
      <c r="M1942" s="853" t="s">
        <v>1366</v>
      </c>
      <c r="N1942" s="512"/>
      <c r="O1942" s="512"/>
      <c r="P1942" s="512"/>
      <c r="Q1942" s="512"/>
      <c r="R1942" s="512"/>
      <c r="S1942" s="512"/>
      <c r="T1942" s="512"/>
      <c r="U1942" s="512"/>
      <c r="V1942" s="512"/>
      <c r="W1942" s="512"/>
    </row>
    <row r="1943" s="180" customFormat="1" ht="30" spans="1:23">
      <c r="A1943" s="877" t="s">
        <v>910</v>
      </c>
      <c r="B1943" s="1299" t="s">
        <v>1688</v>
      </c>
      <c r="C1943" s="1295" t="s">
        <v>651</v>
      </c>
      <c r="D1943" s="1296">
        <v>45</v>
      </c>
      <c r="E1943" s="1244" t="s">
        <v>1689</v>
      </c>
      <c r="F1943" s="835">
        <v>45823</v>
      </c>
      <c r="G1943" s="835">
        <f>VLOOKUP(CLEAN(SUBSTITUTE(TRIM(MID(E:E,FIND("/",E:E)+1,LEN(E:E)))," ","")),'Customs Decl. &amp; Local Delivery'!D:I,6,0)</f>
        <v>45881</v>
      </c>
      <c r="H1943" s="836">
        <f>VLOOKUP(CLEAN(SUBSTITUTE(TRIM(MID(E:E,FIND("/",E:E)+1,LEN(E:E)))," ","")),'Customs Decl. &amp; Local Delivery'!D:J,7,0)</f>
        <v>45908</v>
      </c>
      <c r="I1943" s="886" t="s">
        <v>1690</v>
      </c>
      <c r="J1943" s="1290" t="s">
        <v>18</v>
      </c>
      <c r="K1943" s="1262" t="s">
        <v>147</v>
      </c>
      <c r="L1943" s="874" t="s">
        <v>20</v>
      </c>
      <c r="M1943" s="853" t="s">
        <v>1366</v>
      </c>
      <c r="N1943" s="512"/>
      <c r="O1943" s="512"/>
      <c r="P1943" s="512"/>
      <c r="Q1943" s="512"/>
      <c r="R1943" s="512"/>
      <c r="S1943" s="512"/>
      <c r="T1943" s="512"/>
      <c r="U1943" s="512"/>
      <c r="V1943" s="512"/>
      <c r="W1943" s="512"/>
    </row>
    <row r="1944" s="6" customFormat="1" ht="15.4" customHeight="1" spans="1:23">
      <c r="A1944" s="877" t="s">
        <v>1507</v>
      </c>
      <c r="B1944" s="845" t="s">
        <v>1691</v>
      </c>
      <c r="C1944" s="809" t="s">
        <v>129</v>
      </c>
      <c r="D1944" s="392">
        <v>20</v>
      </c>
      <c r="E1944" s="1244" t="s">
        <v>1692</v>
      </c>
      <c r="F1944" s="835">
        <v>45891</v>
      </c>
      <c r="G1944" s="835">
        <f>VLOOKUP(CLEAN(SUBSTITUTE(TRIM(MID(E:E,FIND("/",E:E)+1,LEN(E:E)))," ","")),'Customs Decl. &amp; Local Delivery'!D:I,6,0)</f>
        <v>45884</v>
      </c>
      <c r="H1944" s="836">
        <f>VLOOKUP(CLEAN(SUBSTITUTE(TRIM(MID(E:E,FIND("/",E:E)+1,LEN(E:E)))," ","")),'Customs Decl. &amp; Local Delivery'!D:J,7,0)</f>
        <v>45908</v>
      </c>
      <c r="I1944" s="886" t="s">
        <v>1693</v>
      </c>
      <c r="J1944" s="1320" t="s">
        <v>18</v>
      </c>
      <c r="K1944" s="1288" t="s">
        <v>19</v>
      </c>
      <c r="L1944" s="874" t="s">
        <v>20</v>
      </c>
      <c r="M1944" s="1321" t="s">
        <v>1694</v>
      </c>
      <c r="N1944" s="512"/>
      <c r="O1944" s="512"/>
      <c r="P1944" s="512"/>
      <c r="Q1944" s="512"/>
      <c r="R1944" s="512"/>
      <c r="S1944" s="512"/>
      <c r="T1944" s="512"/>
      <c r="U1944" s="512"/>
      <c r="V1944" s="512"/>
      <c r="W1944" s="512"/>
    </row>
    <row r="1945" s="6" customFormat="1" ht="15.4" customHeight="1" spans="1:23">
      <c r="A1945" s="877" t="s">
        <v>1507</v>
      </c>
      <c r="B1945" s="845" t="s">
        <v>1691</v>
      </c>
      <c r="C1945" s="809" t="s">
        <v>15</v>
      </c>
      <c r="D1945" s="392">
        <v>35</v>
      </c>
      <c r="E1945" s="281"/>
      <c r="F1945" s="835">
        <v>45891</v>
      </c>
      <c r="G1945" s="830">
        <f t="shared" ref="G1945:G1964" si="152">G1944</f>
        <v>45884</v>
      </c>
      <c r="H1945" s="836">
        <f t="shared" ref="H1945:H1964" si="153">H1944</f>
        <v>45908</v>
      </c>
      <c r="I1945" s="886" t="s">
        <v>1693</v>
      </c>
      <c r="J1945" s="1320" t="s">
        <v>18</v>
      </c>
      <c r="K1945" s="1288" t="s">
        <v>19</v>
      </c>
      <c r="L1945" s="874" t="s">
        <v>20</v>
      </c>
      <c r="M1945" s="886" t="s">
        <v>1315</v>
      </c>
      <c r="N1945" s="512"/>
      <c r="O1945" s="512"/>
      <c r="P1945" s="512"/>
      <c r="Q1945" s="512"/>
      <c r="R1945" s="512"/>
      <c r="S1945" s="512"/>
      <c r="T1945" s="512"/>
      <c r="U1945" s="512"/>
      <c r="V1945" s="512"/>
      <c r="W1945" s="512"/>
    </row>
    <row r="1946" s="6" customFormat="1" ht="15.4" customHeight="1" spans="1:23">
      <c r="A1946" s="877" t="s">
        <v>1507</v>
      </c>
      <c r="B1946" s="845" t="s">
        <v>1691</v>
      </c>
      <c r="C1946" s="809" t="s">
        <v>24</v>
      </c>
      <c r="D1946" s="392">
        <v>10</v>
      </c>
      <c r="E1946" s="281"/>
      <c r="F1946" s="835">
        <v>45891</v>
      </c>
      <c r="G1946" s="830">
        <f t="shared" si="152"/>
        <v>45884</v>
      </c>
      <c r="H1946" s="836">
        <f t="shared" si="153"/>
        <v>45908</v>
      </c>
      <c r="I1946" s="886" t="s">
        <v>1693</v>
      </c>
      <c r="J1946" s="1320" t="s">
        <v>18</v>
      </c>
      <c r="K1946" s="1288" t="s">
        <v>19</v>
      </c>
      <c r="L1946" s="874" t="s">
        <v>20</v>
      </c>
      <c r="M1946" s="886"/>
      <c r="N1946" s="512"/>
      <c r="O1946" s="512"/>
      <c r="P1946" s="512"/>
      <c r="Q1946" s="512"/>
      <c r="R1946" s="512"/>
      <c r="S1946" s="512"/>
      <c r="T1946" s="512"/>
      <c r="U1946" s="512"/>
      <c r="V1946" s="512"/>
      <c r="W1946" s="512"/>
    </row>
    <row r="1947" s="6" customFormat="1" ht="15.4" customHeight="1" spans="1:23">
      <c r="A1947" s="877" t="s">
        <v>1507</v>
      </c>
      <c r="B1947" s="845" t="s">
        <v>1691</v>
      </c>
      <c r="C1947" s="809" t="s">
        <v>27</v>
      </c>
      <c r="D1947" s="392">
        <v>2</v>
      </c>
      <c r="E1947" s="281"/>
      <c r="F1947" s="835">
        <v>45891</v>
      </c>
      <c r="G1947" s="830">
        <f t="shared" si="152"/>
        <v>45884</v>
      </c>
      <c r="H1947" s="836">
        <f t="shared" si="153"/>
        <v>45908</v>
      </c>
      <c r="I1947" s="886" t="s">
        <v>1693</v>
      </c>
      <c r="J1947" s="1320" t="s">
        <v>18</v>
      </c>
      <c r="K1947" s="1288" t="s">
        <v>19</v>
      </c>
      <c r="L1947" s="874" t="s">
        <v>20</v>
      </c>
      <c r="M1947" s="886"/>
      <c r="N1947" s="512"/>
      <c r="O1947" s="512"/>
      <c r="P1947" s="512"/>
      <c r="Q1947" s="512"/>
      <c r="R1947" s="512"/>
      <c r="S1947" s="512"/>
      <c r="T1947" s="512"/>
      <c r="U1947" s="512"/>
      <c r="V1947" s="512"/>
      <c r="W1947" s="512"/>
    </row>
    <row r="1948" s="6" customFormat="1" ht="15.4" customHeight="1" spans="1:23">
      <c r="A1948" s="877" t="s">
        <v>1507</v>
      </c>
      <c r="B1948" s="845" t="s">
        <v>1691</v>
      </c>
      <c r="C1948" s="809" t="s">
        <v>28</v>
      </c>
      <c r="D1948" s="392">
        <v>2</v>
      </c>
      <c r="E1948" s="69"/>
      <c r="F1948" s="835">
        <v>45891</v>
      </c>
      <c r="G1948" s="830">
        <f t="shared" si="152"/>
        <v>45884</v>
      </c>
      <c r="H1948" s="836">
        <f t="shared" si="153"/>
        <v>45908</v>
      </c>
      <c r="I1948" s="886" t="s">
        <v>1693</v>
      </c>
      <c r="J1948" s="1320" t="s">
        <v>18</v>
      </c>
      <c r="K1948" s="1288" t="s">
        <v>19</v>
      </c>
      <c r="L1948" s="874" t="s">
        <v>20</v>
      </c>
      <c r="M1948" s="886"/>
      <c r="N1948" s="512"/>
      <c r="O1948" s="512"/>
      <c r="P1948" s="512"/>
      <c r="Q1948" s="512"/>
      <c r="R1948" s="512"/>
      <c r="S1948" s="512"/>
      <c r="T1948" s="512"/>
      <c r="U1948" s="512"/>
      <c r="V1948" s="512"/>
      <c r="W1948" s="512"/>
    </row>
    <row r="1949" s="6" customFormat="1" ht="15.4" customHeight="1" spans="1:23">
      <c r="A1949" s="877" t="s">
        <v>1507</v>
      </c>
      <c r="B1949" s="845" t="s">
        <v>1691</v>
      </c>
      <c r="C1949" s="809" t="s">
        <v>135</v>
      </c>
      <c r="D1949" s="392">
        <v>12</v>
      </c>
      <c r="E1949" s="281"/>
      <c r="F1949" s="835">
        <v>45891</v>
      </c>
      <c r="G1949" s="830">
        <f t="shared" si="152"/>
        <v>45884</v>
      </c>
      <c r="H1949" s="836">
        <f t="shared" si="153"/>
        <v>45908</v>
      </c>
      <c r="I1949" s="886" t="s">
        <v>1693</v>
      </c>
      <c r="J1949" s="1320" t="s">
        <v>18</v>
      </c>
      <c r="K1949" s="1288" t="s">
        <v>19</v>
      </c>
      <c r="L1949" s="874" t="s">
        <v>20</v>
      </c>
      <c r="M1949" s="886"/>
      <c r="N1949" s="512"/>
      <c r="O1949" s="512"/>
      <c r="P1949" s="512"/>
      <c r="Q1949" s="512"/>
      <c r="R1949" s="512"/>
      <c r="S1949" s="512"/>
      <c r="T1949" s="512"/>
      <c r="U1949" s="512"/>
      <c r="V1949" s="512"/>
      <c r="W1949" s="512"/>
    </row>
    <row r="1950" s="6" customFormat="1" ht="15.4" customHeight="1" spans="1:23">
      <c r="A1950" s="877" t="s">
        <v>1507</v>
      </c>
      <c r="B1950" s="845" t="s">
        <v>1691</v>
      </c>
      <c r="C1950" s="809" t="s">
        <v>67</v>
      </c>
      <c r="D1950" s="392">
        <v>22</v>
      </c>
      <c r="E1950" s="281"/>
      <c r="F1950" s="835">
        <v>45891</v>
      </c>
      <c r="G1950" s="830">
        <f t="shared" si="152"/>
        <v>45884</v>
      </c>
      <c r="H1950" s="836">
        <f t="shared" si="153"/>
        <v>45908</v>
      </c>
      <c r="I1950" s="886" t="s">
        <v>1693</v>
      </c>
      <c r="J1950" s="1320" t="s">
        <v>18</v>
      </c>
      <c r="K1950" s="1288" t="s">
        <v>19</v>
      </c>
      <c r="L1950" s="874" t="s">
        <v>20</v>
      </c>
      <c r="M1950" s="886"/>
      <c r="N1950" s="512"/>
      <c r="O1950" s="512"/>
      <c r="P1950" s="512"/>
      <c r="Q1950" s="512"/>
      <c r="R1950" s="512"/>
      <c r="S1950" s="512"/>
      <c r="T1950" s="512"/>
      <c r="U1950" s="512"/>
      <c r="V1950" s="512"/>
      <c r="W1950" s="512"/>
    </row>
    <row r="1951" s="6" customFormat="1" ht="15.4" customHeight="1" spans="1:23">
      <c r="A1951" s="877" t="s">
        <v>1507</v>
      </c>
      <c r="B1951" s="845" t="s">
        <v>1691</v>
      </c>
      <c r="C1951" s="809" t="s">
        <v>69</v>
      </c>
      <c r="D1951" s="392">
        <v>11</v>
      </c>
      <c r="E1951" s="69"/>
      <c r="F1951" s="835">
        <v>45891</v>
      </c>
      <c r="G1951" s="830">
        <f t="shared" si="152"/>
        <v>45884</v>
      </c>
      <c r="H1951" s="836">
        <f t="shared" si="153"/>
        <v>45908</v>
      </c>
      <c r="I1951" s="886" t="s">
        <v>1693</v>
      </c>
      <c r="J1951" s="1320" t="s">
        <v>18</v>
      </c>
      <c r="K1951" s="1288" t="s">
        <v>19</v>
      </c>
      <c r="L1951" s="874" t="s">
        <v>20</v>
      </c>
      <c r="M1951" s="886"/>
      <c r="N1951" s="512"/>
      <c r="O1951" s="512"/>
      <c r="P1951" s="512"/>
      <c r="Q1951" s="512"/>
      <c r="R1951" s="512"/>
      <c r="S1951" s="512"/>
      <c r="T1951" s="512"/>
      <c r="U1951" s="512"/>
      <c r="V1951" s="512"/>
      <c r="W1951" s="512"/>
    </row>
    <row r="1952" s="6" customFormat="1" ht="15.4" customHeight="1" spans="1:23">
      <c r="A1952" s="877" t="s">
        <v>1507</v>
      </c>
      <c r="B1952" s="845" t="s">
        <v>1691</v>
      </c>
      <c r="C1952" s="866" t="s">
        <v>70</v>
      </c>
      <c r="D1952" s="392">
        <v>5</v>
      </c>
      <c r="E1952" s="281"/>
      <c r="F1952" s="835">
        <v>45891</v>
      </c>
      <c r="G1952" s="830">
        <f t="shared" si="152"/>
        <v>45884</v>
      </c>
      <c r="H1952" s="836">
        <f t="shared" si="153"/>
        <v>45908</v>
      </c>
      <c r="I1952" s="886" t="s">
        <v>1693</v>
      </c>
      <c r="J1952" s="1320" t="s">
        <v>18</v>
      </c>
      <c r="K1952" s="1288" t="s">
        <v>19</v>
      </c>
      <c r="L1952" s="874" t="s">
        <v>20</v>
      </c>
      <c r="M1952" s="886"/>
      <c r="N1952" s="512"/>
      <c r="O1952" s="512"/>
      <c r="P1952" s="512"/>
      <c r="Q1952" s="512"/>
      <c r="R1952" s="512"/>
      <c r="S1952" s="512"/>
      <c r="T1952" s="512"/>
      <c r="U1952" s="512"/>
      <c r="V1952" s="512"/>
      <c r="W1952" s="512"/>
    </row>
    <row r="1953" s="6" customFormat="1" ht="15.4" customHeight="1" spans="1:23">
      <c r="A1953" s="877" t="s">
        <v>1507</v>
      </c>
      <c r="B1953" s="845" t="s">
        <v>1691</v>
      </c>
      <c r="C1953" s="866" t="s">
        <v>164</v>
      </c>
      <c r="D1953" s="392">
        <v>1</v>
      </c>
      <c r="E1953" s="281"/>
      <c r="F1953" s="835">
        <v>45891</v>
      </c>
      <c r="G1953" s="830">
        <f t="shared" si="152"/>
        <v>45884</v>
      </c>
      <c r="H1953" s="836">
        <f t="shared" si="153"/>
        <v>45908</v>
      </c>
      <c r="I1953" s="886" t="s">
        <v>1693</v>
      </c>
      <c r="J1953" s="1320" t="s">
        <v>18</v>
      </c>
      <c r="K1953" s="1288" t="s">
        <v>19</v>
      </c>
      <c r="L1953" s="874" t="s">
        <v>20</v>
      </c>
      <c r="M1953" s="886"/>
      <c r="N1953" s="512"/>
      <c r="O1953" s="512"/>
      <c r="P1953" s="512"/>
      <c r="Q1953" s="512"/>
      <c r="R1953" s="512"/>
      <c r="S1953" s="512"/>
      <c r="T1953" s="512"/>
      <c r="U1953" s="512"/>
      <c r="V1953" s="512"/>
      <c r="W1953" s="512"/>
    </row>
    <row r="1954" s="6" customFormat="1" ht="15.4" customHeight="1" spans="1:23">
      <c r="A1954" s="877" t="s">
        <v>1507</v>
      </c>
      <c r="B1954" s="845" t="s">
        <v>1691</v>
      </c>
      <c r="C1954" s="866" t="s">
        <v>165</v>
      </c>
      <c r="D1954" s="392">
        <v>1</v>
      </c>
      <c r="E1954" s="69"/>
      <c r="F1954" s="835">
        <v>45891</v>
      </c>
      <c r="G1954" s="830">
        <f t="shared" si="152"/>
        <v>45884</v>
      </c>
      <c r="H1954" s="836">
        <f t="shared" si="153"/>
        <v>45908</v>
      </c>
      <c r="I1954" s="886" t="s">
        <v>1693</v>
      </c>
      <c r="J1954" s="1320" t="s">
        <v>18</v>
      </c>
      <c r="K1954" s="1288" t="s">
        <v>19</v>
      </c>
      <c r="L1954" s="874" t="s">
        <v>20</v>
      </c>
      <c r="M1954" s="886"/>
      <c r="N1954" s="512"/>
      <c r="O1954" s="512"/>
      <c r="P1954" s="512"/>
      <c r="Q1954" s="512"/>
      <c r="R1954" s="512"/>
      <c r="S1954" s="512"/>
      <c r="T1954" s="512"/>
      <c r="U1954" s="512"/>
      <c r="V1954" s="512"/>
      <c r="W1954" s="512"/>
    </row>
    <row r="1955" s="6" customFormat="1" ht="15.4" customHeight="1" spans="1:23">
      <c r="A1955" s="877" t="s">
        <v>1507</v>
      </c>
      <c r="B1955" s="845" t="s">
        <v>1691</v>
      </c>
      <c r="C1955" s="866" t="s">
        <v>31</v>
      </c>
      <c r="D1955" s="392">
        <v>3</v>
      </c>
      <c r="E1955" s="281"/>
      <c r="F1955" s="835">
        <v>45891</v>
      </c>
      <c r="G1955" s="830">
        <f t="shared" si="152"/>
        <v>45884</v>
      </c>
      <c r="H1955" s="836">
        <f t="shared" si="153"/>
        <v>45908</v>
      </c>
      <c r="I1955" s="886" t="s">
        <v>1693</v>
      </c>
      <c r="J1955" s="1320" t="s">
        <v>18</v>
      </c>
      <c r="K1955" s="1288" t="s">
        <v>19</v>
      </c>
      <c r="L1955" s="874" t="s">
        <v>20</v>
      </c>
      <c r="M1955" s="886"/>
      <c r="N1955" s="512"/>
      <c r="O1955" s="512"/>
      <c r="P1955" s="512"/>
      <c r="Q1955" s="512"/>
      <c r="R1955" s="512"/>
      <c r="S1955" s="512"/>
      <c r="T1955" s="512"/>
      <c r="U1955" s="512"/>
      <c r="V1955" s="512"/>
      <c r="W1955" s="512"/>
    </row>
    <row r="1956" s="6" customFormat="1" ht="15.4" customHeight="1" spans="1:23">
      <c r="A1956" s="877" t="s">
        <v>1507</v>
      </c>
      <c r="B1956" s="845" t="s">
        <v>1691</v>
      </c>
      <c r="C1956" s="866" t="s">
        <v>32</v>
      </c>
      <c r="D1956" s="392">
        <v>4</v>
      </c>
      <c r="E1956" s="281"/>
      <c r="F1956" s="835">
        <v>45891</v>
      </c>
      <c r="G1956" s="830">
        <f t="shared" si="152"/>
        <v>45884</v>
      </c>
      <c r="H1956" s="836">
        <f t="shared" si="153"/>
        <v>45908</v>
      </c>
      <c r="I1956" s="886" t="s">
        <v>1693</v>
      </c>
      <c r="J1956" s="1320" t="s">
        <v>18</v>
      </c>
      <c r="K1956" s="1288" t="s">
        <v>19</v>
      </c>
      <c r="L1956" s="874" t="s">
        <v>20</v>
      </c>
      <c r="M1956" s="886"/>
      <c r="N1956" s="512"/>
      <c r="O1956" s="512"/>
      <c r="P1956" s="512"/>
      <c r="Q1956" s="512"/>
      <c r="R1956" s="512"/>
      <c r="S1956" s="512"/>
      <c r="T1956" s="512"/>
      <c r="U1956" s="512"/>
      <c r="V1956" s="512"/>
      <c r="W1956" s="512"/>
    </row>
    <row r="1957" s="6" customFormat="1" ht="15.4" customHeight="1" spans="1:23">
      <c r="A1957" s="877" t="s">
        <v>1507</v>
      </c>
      <c r="B1957" s="845" t="s">
        <v>1691</v>
      </c>
      <c r="C1957" s="866" t="s">
        <v>59</v>
      </c>
      <c r="D1957" s="874">
        <v>24</v>
      </c>
      <c r="E1957" s="69"/>
      <c r="F1957" s="835">
        <v>45891</v>
      </c>
      <c r="G1957" s="830">
        <f t="shared" si="152"/>
        <v>45884</v>
      </c>
      <c r="H1957" s="836">
        <f t="shared" si="153"/>
        <v>45908</v>
      </c>
      <c r="I1957" s="886" t="s">
        <v>1693</v>
      </c>
      <c r="J1957" s="1320" t="s">
        <v>18</v>
      </c>
      <c r="K1957" s="1288" t="s">
        <v>19</v>
      </c>
      <c r="L1957" s="874" t="s">
        <v>20</v>
      </c>
      <c r="M1957" s="886"/>
      <c r="N1957" s="512"/>
      <c r="O1957" s="512"/>
      <c r="P1957" s="512"/>
      <c r="Q1957" s="512"/>
      <c r="R1957" s="512"/>
      <c r="S1957" s="512"/>
      <c r="T1957" s="512"/>
      <c r="U1957" s="512"/>
      <c r="V1957" s="512"/>
      <c r="W1957" s="512"/>
    </row>
    <row r="1958" s="6" customFormat="1" ht="15.4" customHeight="1" spans="1:23">
      <c r="A1958" s="877" t="s">
        <v>1507</v>
      </c>
      <c r="B1958" s="845" t="s">
        <v>1691</v>
      </c>
      <c r="C1958" s="866" t="s">
        <v>60</v>
      </c>
      <c r="D1958" s="874">
        <v>24</v>
      </c>
      <c r="E1958" s="281"/>
      <c r="F1958" s="835">
        <v>45891</v>
      </c>
      <c r="G1958" s="830">
        <f t="shared" si="152"/>
        <v>45884</v>
      </c>
      <c r="H1958" s="836">
        <f t="shared" si="153"/>
        <v>45908</v>
      </c>
      <c r="I1958" s="886" t="s">
        <v>1693</v>
      </c>
      <c r="J1958" s="1320" t="s">
        <v>18</v>
      </c>
      <c r="K1958" s="1288" t="s">
        <v>19</v>
      </c>
      <c r="L1958" s="874" t="s">
        <v>20</v>
      </c>
      <c r="M1958" s="886"/>
      <c r="N1958" s="512"/>
      <c r="O1958" s="512"/>
      <c r="P1958" s="512"/>
      <c r="Q1958" s="512"/>
      <c r="R1958" s="512"/>
      <c r="S1958" s="512"/>
      <c r="T1958" s="512"/>
      <c r="U1958" s="512"/>
      <c r="V1958" s="512"/>
      <c r="W1958" s="512"/>
    </row>
    <row r="1959" s="6" customFormat="1" ht="15.4" customHeight="1" spans="1:23">
      <c r="A1959" s="877" t="s">
        <v>1507</v>
      </c>
      <c r="B1959" s="845" t="s">
        <v>1691</v>
      </c>
      <c r="C1959" s="866" t="s">
        <v>761</v>
      </c>
      <c r="D1959" s="392">
        <v>1</v>
      </c>
      <c r="E1959" s="281"/>
      <c r="F1959" s="835">
        <v>45891</v>
      </c>
      <c r="G1959" s="830">
        <f t="shared" si="152"/>
        <v>45884</v>
      </c>
      <c r="H1959" s="836">
        <f t="shared" si="153"/>
        <v>45908</v>
      </c>
      <c r="I1959" s="886" t="s">
        <v>1693</v>
      </c>
      <c r="J1959" s="1320" t="s">
        <v>18</v>
      </c>
      <c r="K1959" s="1288" t="s">
        <v>19</v>
      </c>
      <c r="L1959" s="874" t="s">
        <v>20</v>
      </c>
      <c r="M1959" s="886"/>
      <c r="N1959" s="512"/>
      <c r="O1959" s="512"/>
      <c r="P1959" s="512"/>
      <c r="Q1959" s="512"/>
      <c r="R1959" s="512"/>
      <c r="S1959" s="512"/>
      <c r="T1959" s="512"/>
      <c r="U1959" s="512"/>
      <c r="V1959" s="512"/>
      <c r="W1959" s="512"/>
    </row>
    <row r="1960" s="6" customFormat="1" ht="15.4" customHeight="1" spans="1:23">
      <c r="A1960" s="877" t="s">
        <v>1507</v>
      </c>
      <c r="B1960" s="845" t="s">
        <v>1691</v>
      </c>
      <c r="C1960" s="866" t="s">
        <v>342</v>
      </c>
      <c r="D1960" s="392">
        <v>1</v>
      </c>
      <c r="E1960" s="69"/>
      <c r="F1960" s="835">
        <v>45891</v>
      </c>
      <c r="G1960" s="830">
        <f t="shared" si="152"/>
        <v>45884</v>
      </c>
      <c r="H1960" s="836">
        <f t="shared" si="153"/>
        <v>45908</v>
      </c>
      <c r="I1960" s="886" t="s">
        <v>1693</v>
      </c>
      <c r="J1960" s="1320" t="s">
        <v>18</v>
      </c>
      <c r="K1960" s="1288" t="s">
        <v>19</v>
      </c>
      <c r="L1960" s="874" t="s">
        <v>20</v>
      </c>
      <c r="M1960" s="886"/>
      <c r="N1960" s="512"/>
      <c r="O1960" s="512"/>
      <c r="P1960" s="512"/>
      <c r="Q1960" s="512"/>
      <c r="R1960" s="512"/>
      <c r="S1960" s="512"/>
      <c r="T1960" s="512"/>
      <c r="U1960" s="512"/>
      <c r="V1960" s="512"/>
      <c r="W1960" s="512"/>
    </row>
    <row r="1961" s="6" customFormat="1" ht="15.4" customHeight="1" spans="1:23">
      <c r="A1961" s="877" t="s">
        <v>1507</v>
      </c>
      <c r="B1961" s="845" t="s">
        <v>1691</v>
      </c>
      <c r="C1961" s="866" t="s">
        <v>91</v>
      </c>
      <c r="D1961" s="392">
        <v>1</v>
      </c>
      <c r="E1961" s="69"/>
      <c r="F1961" s="835">
        <v>45891</v>
      </c>
      <c r="G1961" s="830">
        <f t="shared" si="152"/>
        <v>45884</v>
      </c>
      <c r="H1961" s="836">
        <f t="shared" si="153"/>
        <v>45908</v>
      </c>
      <c r="I1961" s="886" t="s">
        <v>1693</v>
      </c>
      <c r="J1961" s="1320" t="s">
        <v>18</v>
      </c>
      <c r="K1961" s="1288" t="s">
        <v>19</v>
      </c>
      <c r="L1961" s="874" t="s">
        <v>20</v>
      </c>
      <c r="M1961" s="886"/>
      <c r="N1961" s="512"/>
      <c r="O1961" s="512"/>
      <c r="P1961" s="512"/>
      <c r="Q1961" s="512"/>
      <c r="R1961" s="512"/>
      <c r="S1961" s="512"/>
      <c r="T1961" s="512"/>
      <c r="U1961" s="512"/>
      <c r="V1961" s="512"/>
      <c r="W1961" s="512"/>
    </row>
    <row r="1962" s="6" customFormat="1" ht="15.4" customHeight="1" spans="1:23">
      <c r="A1962" s="877" t="s">
        <v>1507</v>
      </c>
      <c r="B1962" s="845" t="s">
        <v>1691</v>
      </c>
      <c r="C1962" s="866" t="s">
        <v>77</v>
      </c>
      <c r="D1962" s="392">
        <v>2</v>
      </c>
      <c r="E1962" s="69"/>
      <c r="F1962" s="835">
        <v>45891</v>
      </c>
      <c r="G1962" s="830">
        <f t="shared" si="152"/>
        <v>45884</v>
      </c>
      <c r="H1962" s="836">
        <f t="shared" si="153"/>
        <v>45908</v>
      </c>
      <c r="I1962" s="886" t="s">
        <v>1693</v>
      </c>
      <c r="J1962" s="1320" t="s">
        <v>18</v>
      </c>
      <c r="K1962" s="1288" t="s">
        <v>19</v>
      </c>
      <c r="L1962" s="874" t="s">
        <v>20</v>
      </c>
      <c r="M1962" s="886"/>
      <c r="N1962" s="512"/>
      <c r="O1962" s="512"/>
      <c r="P1962" s="512"/>
      <c r="Q1962" s="512"/>
      <c r="R1962" s="512"/>
      <c r="S1962" s="512"/>
      <c r="T1962" s="512"/>
      <c r="U1962" s="512"/>
      <c r="V1962" s="512"/>
      <c r="W1962" s="512"/>
    </row>
    <row r="1963" s="6" customFormat="1" ht="15.4" customHeight="1" spans="1:23">
      <c r="A1963" s="877" t="s">
        <v>1507</v>
      </c>
      <c r="B1963" s="845" t="s">
        <v>1691</v>
      </c>
      <c r="C1963" s="866" t="s">
        <v>786</v>
      </c>
      <c r="D1963" s="392">
        <v>1</v>
      </c>
      <c r="E1963" s="69"/>
      <c r="F1963" s="835">
        <v>45891</v>
      </c>
      <c r="G1963" s="830">
        <f t="shared" si="152"/>
        <v>45884</v>
      </c>
      <c r="H1963" s="836">
        <f t="shared" si="153"/>
        <v>45908</v>
      </c>
      <c r="I1963" s="886" t="s">
        <v>1693</v>
      </c>
      <c r="J1963" s="1320" t="s">
        <v>18</v>
      </c>
      <c r="K1963" s="1288" t="s">
        <v>19</v>
      </c>
      <c r="L1963" s="874" t="s">
        <v>20</v>
      </c>
      <c r="M1963" s="886"/>
      <c r="N1963" s="512"/>
      <c r="O1963" s="512"/>
      <c r="P1963" s="512"/>
      <c r="Q1963" s="512"/>
      <c r="R1963" s="512"/>
      <c r="S1963" s="512"/>
      <c r="T1963" s="512"/>
      <c r="U1963" s="512"/>
      <c r="V1963" s="512"/>
      <c r="W1963" s="512"/>
    </row>
    <row r="1964" s="6" customFormat="1" ht="15.4" customHeight="1" spans="1:23">
      <c r="A1964" s="877" t="s">
        <v>1507</v>
      </c>
      <c r="B1964" s="845" t="s">
        <v>1691</v>
      </c>
      <c r="C1964" s="866" t="s">
        <v>788</v>
      </c>
      <c r="D1964" s="392">
        <v>1</v>
      </c>
      <c r="E1964" s="69"/>
      <c r="F1964" s="835">
        <v>45891</v>
      </c>
      <c r="G1964" s="830">
        <f t="shared" si="152"/>
        <v>45884</v>
      </c>
      <c r="H1964" s="836">
        <f t="shared" si="153"/>
        <v>45908</v>
      </c>
      <c r="I1964" s="886" t="s">
        <v>1693</v>
      </c>
      <c r="J1964" s="1322" t="s">
        <v>18</v>
      </c>
      <c r="K1964" s="1323" t="s">
        <v>19</v>
      </c>
      <c r="L1964" s="874" t="s">
        <v>20</v>
      </c>
      <c r="M1964" s="900"/>
      <c r="N1964" s="512"/>
      <c r="O1964" s="512"/>
      <c r="P1964" s="512"/>
      <c r="Q1964" s="512"/>
      <c r="R1964" s="512"/>
      <c r="S1964" s="512"/>
      <c r="T1964" s="512"/>
      <c r="U1964" s="512"/>
      <c r="V1964" s="512"/>
      <c r="W1964" s="512"/>
    </row>
    <row r="1965" ht="15.4" customHeight="1" spans="1:23">
      <c r="A1965" s="1269" t="s">
        <v>910</v>
      </c>
      <c r="B1965" s="845" t="s">
        <v>1695</v>
      </c>
      <c r="C1965" s="1248" t="s">
        <v>15</v>
      </c>
      <c r="D1965" s="1249">
        <v>140</v>
      </c>
      <c r="E1965" s="1244" t="s">
        <v>1696</v>
      </c>
      <c r="F1965" s="830">
        <v>45823</v>
      </c>
      <c r="G1965" s="835">
        <f>VLOOKUP(CLEAN(SUBSTITUTE(TRIM(MID(E:E,FIND("/",E:E)+1,LEN(E:E)))," ","")),'Customs Decl. &amp; Local Delivery'!D:I,6,0)</f>
        <v>45884</v>
      </c>
      <c r="H1965" s="836">
        <f>VLOOKUP(CLEAN(SUBSTITUTE(TRIM(MID(E:E,FIND("/",E:E)+1,LEN(E:E)))," ","")),'Customs Decl. &amp; Local Delivery'!D:J,7,0)</f>
        <v>45908</v>
      </c>
      <c r="I1965" s="886" t="s">
        <v>1697</v>
      </c>
      <c r="J1965" s="1317" t="s">
        <v>18</v>
      </c>
      <c r="K1965" s="1286" t="s">
        <v>147</v>
      </c>
      <c r="L1965" s="874" t="s">
        <v>20</v>
      </c>
      <c r="M1965" s="1262" t="s">
        <v>1315</v>
      </c>
      <c r="N1965" s="512"/>
      <c r="O1965" s="1154"/>
      <c r="P1965" s="1154"/>
      <c r="Q1965" s="1154"/>
      <c r="R1965" s="1154"/>
      <c r="S1965" s="1154"/>
      <c r="T1965" s="1154"/>
      <c r="U1965" s="1154"/>
      <c r="V1965" s="1154"/>
      <c r="W1965" s="1154"/>
    </row>
    <row r="1966" ht="15.4" customHeight="1" spans="1:23">
      <c r="A1966" s="1269" t="s">
        <v>910</v>
      </c>
      <c r="B1966" s="845" t="s">
        <v>1695</v>
      </c>
      <c r="C1966" s="1248" t="s">
        <v>59</v>
      </c>
      <c r="D1966" s="1249">
        <v>34</v>
      </c>
      <c r="E1966" s="69"/>
      <c r="F1966" s="830">
        <v>45823</v>
      </c>
      <c r="G1966" s="830">
        <f>G1965</f>
        <v>45884</v>
      </c>
      <c r="H1966" s="836">
        <f>H1965</f>
        <v>45908</v>
      </c>
      <c r="I1966" s="886" t="s">
        <v>1697</v>
      </c>
      <c r="J1966" s="1317" t="s">
        <v>18</v>
      </c>
      <c r="K1966" s="1286" t="s">
        <v>147</v>
      </c>
      <c r="L1966" s="874" t="s">
        <v>20</v>
      </c>
      <c r="M1966" s="1262"/>
      <c r="N1966" s="512"/>
      <c r="O1966" s="1154"/>
      <c r="P1966" s="1154"/>
      <c r="Q1966" s="1154"/>
      <c r="R1966" s="1154"/>
      <c r="S1966" s="1154"/>
      <c r="T1966" s="1154"/>
      <c r="U1966" s="1154"/>
      <c r="V1966" s="1154"/>
      <c r="W1966" s="1154"/>
    </row>
    <row r="1967" ht="15.4" customHeight="1" spans="1:23">
      <c r="A1967" s="1269" t="s">
        <v>910</v>
      </c>
      <c r="B1967" s="845" t="s">
        <v>1695</v>
      </c>
      <c r="C1967" s="1248" t="s">
        <v>60</v>
      </c>
      <c r="D1967" s="1249">
        <v>34</v>
      </c>
      <c r="E1967" s="69"/>
      <c r="F1967" s="830">
        <v>45823</v>
      </c>
      <c r="G1967" s="830">
        <f>G1966</f>
        <v>45884</v>
      </c>
      <c r="H1967" s="836">
        <f>H1966</f>
        <v>45908</v>
      </c>
      <c r="I1967" s="886" t="s">
        <v>1697</v>
      </c>
      <c r="J1967" s="1317" t="s">
        <v>18</v>
      </c>
      <c r="K1967" s="1286" t="s">
        <v>147</v>
      </c>
      <c r="L1967" s="874" t="s">
        <v>20</v>
      </c>
      <c r="M1967" s="1262"/>
      <c r="N1967" s="1154"/>
      <c r="O1967" s="1154"/>
      <c r="P1967" s="1154"/>
      <c r="Q1967" s="1154"/>
      <c r="R1967" s="1154"/>
      <c r="S1967" s="1154"/>
      <c r="T1967" s="1154"/>
      <c r="U1967" s="1154"/>
      <c r="V1967" s="1154"/>
      <c r="W1967" s="1154"/>
    </row>
    <row r="1968" spans="1:23">
      <c r="A1968" s="877" t="s">
        <v>910</v>
      </c>
      <c r="B1968" s="845" t="s">
        <v>1698</v>
      </c>
      <c r="C1968" s="1248" t="s">
        <v>651</v>
      </c>
      <c r="D1968" s="1249">
        <v>45</v>
      </c>
      <c r="E1968" s="1302" t="s">
        <v>1699</v>
      </c>
      <c r="F1968" s="839">
        <v>45884</v>
      </c>
      <c r="G1968" s="835">
        <f>VLOOKUP(CLEAN(SUBSTITUTE(TRIM(MID(E:E,FIND("/",E:E)+1,LEN(E:E)))," ","")),'Customs Decl. &amp; Local Delivery'!D:I,6,0)</f>
        <v>45891</v>
      </c>
      <c r="H1968" s="836">
        <f>VLOOKUP(CLEAN(SUBSTITUTE(TRIM(MID(E:E,FIND("/",E:E)+1,LEN(E:E)))," ","")),'Customs Decl. &amp; Local Delivery'!D:J,7,0)</f>
        <v>45918</v>
      </c>
      <c r="I1968" s="886" t="s">
        <v>1700</v>
      </c>
      <c r="J1968" s="1324" t="s">
        <v>18</v>
      </c>
      <c r="K1968" s="1325" t="s">
        <v>147</v>
      </c>
      <c r="L1968" s="874" t="s">
        <v>1559</v>
      </c>
      <c r="M1968" s="886" t="s">
        <v>1540</v>
      </c>
      <c r="N1968" s="512"/>
      <c r="O1968" s="1154"/>
      <c r="P1968" s="1154"/>
      <c r="Q1968" s="1154"/>
      <c r="R1968" s="1154"/>
      <c r="S1968" s="1154"/>
      <c r="T1968" s="1154"/>
      <c r="U1968" s="1154"/>
      <c r="V1968" s="1154"/>
      <c r="W1968" s="1154"/>
    </row>
    <row r="1969" spans="1:23">
      <c r="A1969" s="1272" t="s">
        <v>910</v>
      </c>
      <c r="B1969" s="1299" t="s">
        <v>1701</v>
      </c>
      <c r="C1969" s="1295" t="s">
        <v>651</v>
      </c>
      <c r="D1969" s="1296">
        <v>3</v>
      </c>
      <c r="E1969" s="192"/>
      <c r="F1969" s="839">
        <v>45884</v>
      </c>
      <c r="G1969" s="839">
        <f>G1968</f>
        <v>45891</v>
      </c>
      <c r="H1969" s="836">
        <f>H1968</f>
        <v>45918</v>
      </c>
      <c r="I1969" s="886" t="s">
        <v>1700</v>
      </c>
      <c r="J1969" s="1324" t="s">
        <v>18</v>
      </c>
      <c r="K1969" s="1325" t="s">
        <v>147</v>
      </c>
      <c r="L1969" s="874" t="s">
        <v>1559</v>
      </c>
      <c r="M1969" s="886"/>
      <c r="N1969" s="512"/>
      <c r="O1969" s="325"/>
      <c r="P1969" s="325"/>
      <c r="Q1969" s="325"/>
      <c r="R1969" s="325"/>
      <c r="S1969" s="325"/>
      <c r="T1969" s="325"/>
      <c r="U1969" s="325"/>
      <c r="V1969" s="325"/>
      <c r="W1969" s="325"/>
    </row>
    <row r="1970" spans="1:23">
      <c r="A1970" s="877" t="s">
        <v>910</v>
      </c>
      <c r="B1970" s="845" t="s">
        <v>1702</v>
      </c>
      <c r="C1970" s="1248" t="s">
        <v>651</v>
      </c>
      <c r="D1970" s="1249">
        <v>45</v>
      </c>
      <c r="E1970" s="1244" t="s">
        <v>1703</v>
      </c>
      <c r="F1970" s="839">
        <v>45884</v>
      </c>
      <c r="G1970" s="835">
        <f>VLOOKUP(CLEAN(SUBSTITUTE(TRIM(MID(E:E,FIND("/",E:E)+1,LEN(E:E)))," ","")),'Customs Decl. &amp; Local Delivery'!D:I,6,0)</f>
        <v>45891</v>
      </c>
      <c r="H1970" s="836">
        <f>VLOOKUP(CLEAN(SUBSTITUTE(TRIM(MID(E:E,FIND("/",E:E)+1,LEN(E:E)))," ","")),'Customs Decl. &amp; Local Delivery'!D:J,7,0)</f>
        <v>45918</v>
      </c>
      <c r="I1970" s="886" t="s">
        <v>1704</v>
      </c>
      <c r="J1970" s="1324" t="s">
        <v>18</v>
      </c>
      <c r="K1970" s="1325" t="s">
        <v>147</v>
      </c>
      <c r="L1970" s="874" t="s">
        <v>1559</v>
      </c>
      <c r="M1970" s="886" t="s">
        <v>1540</v>
      </c>
      <c r="N1970" s="512"/>
      <c r="O1970" s="1154"/>
      <c r="P1970" s="1154"/>
      <c r="Q1970" s="1154"/>
      <c r="R1970" s="1154"/>
      <c r="S1970" s="1154"/>
      <c r="T1970" s="1154"/>
      <c r="U1970" s="1154"/>
      <c r="V1970" s="1154"/>
      <c r="W1970" s="1154"/>
    </row>
    <row r="1971" spans="1:23">
      <c r="A1971" s="1272" t="s">
        <v>910</v>
      </c>
      <c r="B1971" s="1299" t="s">
        <v>1701</v>
      </c>
      <c r="C1971" s="1295" t="s">
        <v>651</v>
      </c>
      <c r="D1971" s="1296">
        <v>3</v>
      </c>
      <c r="E1971" s="281"/>
      <c r="F1971" s="839">
        <v>45884</v>
      </c>
      <c r="G1971" s="839">
        <f>G1970</f>
        <v>45891</v>
      </c>
      <c r="H1971" s="836">
        <f>H1970</f>
        <v>45918</v>
      </c>
      <c r="I1971" s="886" t="s">
        <v>1704</v>
      </c>
      <c r="J1971" s="1324" t="s">
        <v>18</v>
      </c>
      <c r="K1971" s="1325" t="s">
        <v>147</v>
      </c>
      <c r="L1971" s="874" t="s">
        <v>1559</v>
      </c>
      <c r="M1971" s="886"/>
      <c r="N1971" s="512"/>
      <c r="O1971" s="325"/>
      <c r="P1971" s="325"/>
      <c r="Q1971" s="325"/>
      <c r="R1971" s="325"/>
      <c r="S1971" s="325"/>
      <c r="T1971" s="325"/>
      <c r="U1971" s="325"/>
      <c r="V1971" s="325"/>
      <c r="W1971" s="325"/>
    </row>
    <row r="1972" s="975" customFormat="1" spans="1:23">
      <c r="A1972" s="1280" t="s">
        <v>910</v>
      </c>
      <c r="B1972" s="1303" t="s">
        <v>1705</v>
      </c>
      <c r="C1972" s="1304" t="s">
        <v>651</v>
      </c>
      <c r="D1972" s="1305">
        <v>45</v>
      </c>
      <c r="E1972" s="1244" t="s">
        <v>1706</v>
      </c>
      <c r="F1972" s="830">
        <v>45884</v>
      </c>
      <c r="G1972" s="835">
        <f>VLOOKUP(CLEAN(SUBSTITUTE(TRIM(MID(E:E,FIND("/",E:E)+1,LEN(E:E)))," ","")),'Customs Decl. &amp; Local Delivery'!D:I,6,0)</f>
        <v>45891</v>
      </c>
      <c r="H1972" s="836">
        <f>VLOOKUP(CLEAN(SUBSTITUTE(TRIM(MID(E:E,FIND("/",E:E)+1,LEN(E:E)))," ","")),'Customs Decl. &amp; Local Delivery'!D:J,7,0)</f>
        <v>45918</v>
      </c>
      <c r="I1972" s="877" t="s">
        <v>1707</v>
      </c>
      <c r="J1972" s="1326" t="s">
        <v>18</v>
      </c>
      <c r="K1972" s="1280" t="s">
        <v>147</v>
      </c>
      <c r="L1972" s="874" t="s">
        <v>1559</v>
      </c>
      <c r="M1972" s="877" t="s">
        <v>1540</v>
      </c>
      <c r="N1972" s="1176"/>
      <c r="O1972" s="1327"/>
      <c r="P1972" s="1327"/>
      <c r="Q1972" s="1327"/>
      <c r="R1972" s="1327"/>
      <c r="S1972" s="1327"/>
      <c r="T1972" s="1327"/>
      <c r="U1972" s="1327"/>
      <c r="V1972" s="1327"/>
      <c r="W1972" s="1327"/>
    </row>
    <row r="1973" s="975" customFormat="1" spans="1:23">
      <c r="A1973" s="1272" t="s">
        <v>910</v>
      </c>
      <c r="B1973" s="1303" t="s">
        <v>1701</v>
      </c>
      <c r="C1973" s="1304" t="s">
        <v>651</v>
      </c>
      <c r="D1973" s="1305">
        <v>2</v>
      </c>
      <c r="E1973" s="281"/>
      <c r="F1973" s="830">
        <v>45884</v>
      </c>
      <c r="G1973" s="830">
        <f>G1972</f>
        <v>45891</v>
      </c>
      <c r="H1973" s="1306">
        <f>H1972</f>
        <v>45918</v>
      </c>
      <c r="I1973" s="877" t="s">
        <v>1707</v>
      </c>
      <c r="J1973" s="1326" t="s">
        <v>18</v>
      </c>
      <c r="K1973" s="1280" t="s">
        <v>147</v>
      </c>
      <c r="L1973" s="874" t="s">
        <v>1559</v>
      </c>
      <c r="M1973" s="877"/>
      <c r="N1973" s="1176"/>
      <c r="O1973" s="1328"/>
      <c r="P1973" s="1328"/>
      <c r="Q1973" s="1328"/>
      <c r="R1973" s="1328"/>
      <c r="S1973" s="1328"/>
      <c r="T1973" s="1328"/>
      <c r="U1973" s="1328"/>
      <c r="V1973" s="1328"/>
      <c r="W1973" s="1328"/>
    </row>
    <row r="1974" ht="15.4" customHeight="1" spans="1:23">
      <c r="A1974" s="1269" t="s">
        <v>910</v>
      </c>
      <c r="B1974" s="845" t="s">
        <v>1708</v>
      </c>
      <c r="C1974" s="1248" t="s">
        <v>15</v>
      </c>
      <c r="D1974" s="1249">
        <v>140</v>
      </c>
      <c r="E1974" s="1244" t="s">
        <v>1709</v>
      </c>
      <c r="F1974" s="830">
        <v>45823</v>
      </c>
      <c r="G1974" s="835">
        <f>VLOOKUP(CLEAN(SUBSTITUTE(TRIM(MID(E:E,FIND("/",E:E)+1,LEN(E:E)))," ","")),'Customs Decl. &amp; Local Delivery'!D:I,6,0)</f>
        <v>45891</v>
      </c>
      <c r="H1974" s="836">
        <f>VLOOKUP(CLEAN(SUBSTITUTE(TRIM(MID(E:E,FIND("/",E:E)+1,LEN(E:E)))," ","")),'Customs Decl. &amp; Local Delivery'!D:J,7,0)</f>
        <v>45911</v>
      </c>
      <c r="I1974" s="886" t="s">
        <v>1710</v>
      </c>
      <c r="J1974" s="1317" t="s">
        <v>18</v>
      </c>
      <c r="K1974" s="1286" t="s">
        <v>147</v>
      </c>
      <c r="L1974" s="874" t="s">
        <v>1559</v>
      </c>
      <c r="M1974" s="1262" t="s">
        <v>1315</v>
      </c>
      <c r="N1974" s="512"/>
      <c r="O1974" s="1154"/>
      <c r="P1974" s="1154"/>
      <c r="Q1974" s="1154"/>
      <c r="R1974" s="1154"/>
      <c r="S1974" s="1154"/>
      <c r="T1974" s="1154"/>
      <c r="U1974" s="1154"/>
      <c r="V1974" s="1154"/>
      <c r="W1974" s="1154"/>
    </row>
    <row r="1975" ht="15.4" customHeight="1" spans="1:23">
      <c r="A1975" s="1269" t="s">
        <v>910</v>
      </c>
      <c r="B1975" s="845" t="s">
        <v>1708</v>
      </c>
      <c r="C1975" s="1248" t="s">
        <v>59</v>
      </c>
      <c r="D1975" s="1249">
        <v>34</v>
      </c>
      <c r="E1975" s="281"/>
      <c r="F1975" s="830">
        <v>45823</v>
      </c>
      <c r="G1975" s="830">
        <f>G1974</f>
        <v>45891</v>
      </c>
      <c r="H1975" s="836">
        <f>H1974</f>
        <v>45911</v>
      </c>
      <c r="I1975" s="886" t="s">
        <v>1710</v>
      </c>
      <c r="J1975" s="1317" t="s">
        <v>18</v>
      </c>
      <c r="K1975" s="1286" t="s">
        <v>147</v>
      </c>
      <c r="L1975" s="874" t="s">
        <v>1559</v>
      </c>
      <c r="M1975" s="1262"/>
      <c r="N1975" s="512"/>
      <c r="O1975" s="1154"/>
      <c r="P1975" s="1154"/>
      <c r="Q1975" s="1154"/>
      <c r="R1975" s="1154"/>
      <c r="S1975" s="1154"/>
      <c r="T1975" s="1154"/>
      <c r="U1975" s="1154"/>
      <c r="V1975" s="1154"/>
      <c r="W1975" s="1154"/>
    </row>
    <row r="1976" ht="15.4" customHeight="1" spans="1:23">
      <c r="A1976" s="1269" t="s">
        <v>910</v>
      </c>
      <c r="B1976" s="845" t="s">
        <v>1708</v>
      </c>
      <c r="C1976" s="1248" t="s">
        <v>60</v>
      </c>
      <c r="D1976" s="1249">
        <v>34</v>
      </c>
      <c r="E1976" s="281"/>
      <c r="F1976" s="830">
        <v>45823</v>
      </c>
      <c r="G1976" s="830">
        <f>G1975</f>
        <v>45891</v>
      </c>
      <c r="H1976" s="836">
        <f>H1975</f>
        <v>45911</v>
      </c>
      <c r="I1976" s="886" t="s">
        <v>1710</v>
      </c>
      <c r="J1976" s="1317" t="s">
        <v>18</v>
      </c>
      <c r="K1976" s="1286" t="s">
        <v>147</v>
      </c>
      <c r="L1976" s="874" t="s">
        <v>1559</v>
      </c>
      <c r="M1976" s="1262"/>
      <c r="N1976" s="512"/>
      <c r="O1976" s="1154"/>
      <c r="P1976" s="1154"/>
      <c r="Q1976" s="1154"/>
      <c r="R1976" s="1154"/>
      <c r="S1976" s="1154"/>
      <c r="T1976" s="1154"/>
      <c r="U1976" s="1154"/>
      <c r="V1976" s="1154"/>
      <c r="W1976" s="1154"/>
    </row>
    <row r="1977" ht="15.4" customHeight="1" spans="1:23">
      <c r="A1977" s="877" t="s">
        <v>910</v>
      </c>
      <c r="B1977" s="845" t="s">
        <v>1711</v>
      </c>
      <c r="C1977" s="866" t="s">
        <v>15</v>
      </c>
      <c r="D1977" s="1249">
        <v>140</v>
      </c>
      <c r="E1977" s="1244" t="s">
        <v>1712</v>
      </c>
      <c r="F1977" s="830"/>
      <c r="G1977" s="835">
        <f>VLOOKUP(CLEAN(SUBSTITUTE(TRIM(MID(E:E,FIND("/",E:E)+1,LEN(E:E)))," ","")),'Customs Decl. &amp; Local Delivery'!D:I,6,0)</f>
        <v>45891</v>
      </c>
      <c r="H1977" s="836">
        <f>VLOOKUP(CLEAN(SUBSTITUTE(TRIM(MID(E:E,FIND("/",E:E)+1,LEN(E:E)))," ","")),'Customs Decl. &amp; Local Delivery'!D:J,7,0)</f>
        <v>45911</v>
      </c>
      <c r="I1977" s="886" t="s">
        <v>1713</v>
      </c>
      <c r="J1977" s="1329" t="s">
        <v>18</v>
      </c>
      <c r="K1977" s="1330" t="s">
        <v>147</v>
      </c>
      <c r="L1977" s="874" t="s">
        <v>1559</v>
      </c>
      <c r="M1977" s="886" t="s">
        <v>1315</v>
      </c>
      <c r="N1977" s="512"/>
      <c r="O1977" s="1154"/>
      <c r="P1977" s="1154"/>
      <c r="Q1977" s="1154"/>
      <c r="R1977" s="1154"/>
      <c r="S1977" s="1154"/>
      <c r="T1977" s="1154"/>
      <c r="U1977" s="1154"/>
      <c r="V1977" s="1154"/>
      <c r="W1977" s="1154"/>
    </row>
    <row r="1978" ht="15.4" customHeight="1" spans="1:23">
      <c r="A1978" s="877" t="s">
        <v>910</v>
      </c>
      <c r="B1978" s="845" t="s">
        <v>1711</v>
      </c>
      <c r="C1978" s="866" t="s">
        <v>59</v>
      </c>
      <c r="D1978" s="1249">
        <v>34</v>
      </c>
      <c r="E1978" s="69"/>
      <c r="F1978" s="830"/>
      <c r="G1978" s="830">
        <f>G1977</f>
        <v>45891</v>
      </c>
      <c r="H1978" s="836">
        <f>H1977</f>
        <v>45911</v>
      </c>
      <c r="I1978" s="886" t="s">
        <v>1713</v>
      </c>
      <c r="J1978" s="1329" t="s">
        <v>18</v>
      </c>
      <c r="K1978" s="1330" t="s">
        <v>147</v>
      </c>
      <c r="L1978" s="874" t="s">
        <v>1559</v>
      </c>
      <c r="M1978" s="886"/>
      <c r="N1978" s="512"/>
      <c r="O1978" s="1154"/>
      <c r="P1978" s="1154"/>
      <c r="Q1978" s="1154"/>
      <c r="R1978" s="1154"/>
      <c r="S1978" s="1154"/>
      <c r="T1978" s="1154"/>
      <c r="U1978" s="1154"/>
      <c r="V1978" s="1154"/>
      <c r="W1978" s="1154"/>
    </row>
    <row r="1979" ht="15.4" customHeight="1" spans="1:23">
      <c r="A1979" s="877" t="s">
        <v>910</v>
      </c>
      <c r="B1979" s="845" t="s">
        <v>1711</v>
      </c>
      <c r="C1979" s="866" t="s">
        <v>60</v>
      </c>
      <c r="D1979" s="1296">
        <v>34</v>
      </c>
      <c r="E1979" s="69"/>
      <c r="F1979" s="830"/>
      <c r="G1979" s="830">
        <f>G1978</f>
        <v>45891</v>
      </c>
      <c r="H1979" s="836">
        <f>H1978</f>
        <v>45911</v>
      </c>
      <c r="I1979" s="886" t="s">
        <v>1713</v>
      </c>
      <c r="J1979" s="1331" t="s">
        <v>18</v>
      </c>
      <c r="K1979" s="1332" t="s">
        <v>147</v>
      </c>
      <c r="L1979" s="1333" t="s">
        <v>1559</v>
      </c>
      <c r="M1979" s="900"/>
      <c r="N1979" s="512"/>
      <c r="O1979" s="1154"/>
      <c r="P1979" s="1154"/>
      <c r="Q1979" s="1154"/>
      <c r="R1979" s="1154"/>
      <c r="S1979" s="1154"/>
      <c r="T1979" s="1154"/>
      <c r="U1979" s="1154"/>
      <c r="V1979" s="1154"/>
      <c r="W1979" s="1154"/>
    </row>
    <row r="1980" ht="15.4" customHeight="1" spans="1:23">
      <c r="A1980" s="877" t="s">
        <v>910</v>
      </c>
      <c r="B1980" s="845" t="s">
        <v>1714</v>
      </c>
      <c r="C1980" s="1307" t="s">
        <v>15</v>
      </c>
      <c r="D1980" s="1249">
        <v>140</v>
      </c>
      <c r="E1980" s="1244" t="s">
        <v>1715</v>
      </c>
      <c r="F1980" s="830"/>
      <c r="G1980" s="835">
        <f>VLOOKUP(CLEAN(SUBSTITUTE(TRIM(MID(E:E,FIND("/",E:E)+1,LEN(E:E)))," ","")),'Customs Decl. &amp; Local Delivery'!D:I,6,0)</f>
        <v>45891</v>
      </c>
      <c r="H1980" s="836">
        <f>VLOOKUP(CLEAN(SUBSTITUTE(TRIM(MID(E:E,FIND("/",E:E)+1,LEN(E:E)))," ","")),'Customs Decl. &amp; Local Delivery'!D:J,7,0)</f>
        <v>45911</v>
      </c>
      <c r="I1980" s="886" t="s">
        <v>1716</v>
      </c>
      <c r="J1980" s="844" t="s">
        <v>18</v>
      </c>
      <c r="K1980" s="853" t="s">
        <v>147</v>
      </c>
      <c r="L1980" s="874" t="s">
        <v>1559</v>
      </c>
      <c r="M1980" s="886" t="s">
        <v>1315</v>
      </c>
      <c r="N1980" s="512"/>
      <c r="O1980" s="1154"/>
      <c r="P1980" s="1154"/>
      <c r="Q1980" s="1154"/>
      <c r="R1980" s="1154"/>
      <c r="S1980" s="1154"/>
      <c r="T1980" s="1154"/>
      <c r="U1980" s="1154"/>
      <c r="V1980" s="1154"/>
      <c r="W1980" s="1154"/>
    </row>
    <row r="1981" ht="15.4" customHeight="1" spans="1:23">
      <c r="A1981" s="877" t="s">
        <v>910</v>
      </c>
      <c r="B1981" s="845" t="s">
        <v>1714</v>
      </c>
      <c r="C1981" s="1307" t="s">
        <v>59</v>
      </c>
      <c r="D1981" s="1249">
        <v>34</v>
      </c>
      <c r="E1981" s="289"/>
      <c r="F1981" s="830"/>
      <c r="G1981" s="830">
        <f>G1980</f>
        <v>45891</v>
      </c>
      <c r="H1981" s="836">
        <f>H1980</f>
        <v>45911</v>
      </c>
      <c r="I1981" s="886" t="s">
        <v>1716</v>
      </c>
      <c r="J1981" s="844" t="s">
        <v>18</v>
      </c>
      <c r="K1981" s="853" t="s">
        <v>147</v>
      </c>
      <c r="L1981" s="874" t="s">
        <v>1559</v>
      </c>
      <c r="M1981" s="886"/>
      <c r="N1981" s="512"/>
      <c r="O1981" s="1154"/>
      <c r="P1981" s="1154"/>
      <c r="Q1981" s="1154"/>
      <c r="R1981" s="1154"/>
      <c r="S1981" s="1154"/>
      <c r="T1981" s="1154"/>
      <c r="U1981" s="1154"/>
      <c r="V1981" s="1154"/>
      <c r="W1981" s="1154"/>
    </row>
    <row r="1982" ht="15.4" customHeight="1" spans="1:23">
      <c r="A1982" s="877" t="s">
        <v>910</v>
      </c>
      <c r="B1982" s="845" t="s">
        <v>1714</v>
      </c>
      <c r="C1982" s="1307" t="s">
        <v>60</v>
      </c>
      <c r="D1982" s="1249">
        <v>34</v>
      </c>
      <c r="E1982" s="289"/>
      <c r="F1982" s="830"/>
      <c r="G1982" s="830">
        <f>G1981</f>
        <v>45891</v>
      </c>
      <c r="H1982" s="836">
        <f>H1981</f>
        <v>45911</v>
      </c>
      <c r="I1982" s="886" t="s">
        <v>1716</v>
      </c>
      <c r="J1982" s="844" t="s">
        <v>18</v>
      </c>
      <c r="K1982" s="853" t="s">
        <v>147</v>
      </c>
      <c r="L1982" s="874" t="s">
        <v>1559</v>
      </c>
      <c r="M1982" s="886"/>
      <c r="N1982" s="512"/>
      <c r="O1982" s="1154"/>
      <c r="P1982" s="1154"/>
      <c r="Q1982" s="1154"/>
      <c r="R1982" s="1154"/>
      <c r="S1982" s="1154"/>
      <c r="T1982" s="1154"/>
      <c r="U1982" s="1154"/>
      <c r="V1982" s="1154"/>
      <c r="W1982" s="1154"/>
    </row>
    <row r="1983" ht="16.5" customHeight="1" spans="1:23">
      <c r="A1983" s="1308" t="s">
        <v>1717</v>
      </c>
      <c r="B1983" s="1309" t="s">
        <v>1718</v>
      </c>
      <c r="C1983" s="1310" t="s">
        <v>24</v>
      </c>
      <c r="D1983" s="1311">
        <v>62</v>
      </c>
      <c r="E1983" s="1312" t="s">
        <v>1426</v>
      </c>
      <c r="F1983" s="1313"/>
      <c r="G1983" s="1313" t="s">
        <v>1719</v>
      </c>
      <c r="H1983" s="1313" t="s">
        <v>1719</v>
      </c>
      <c r="I1983" s="1334"/>
      <c r="J1983" s="1335" t="s">
        <v>521</v>
      </c>
      <c r="K1983" s="1334" t="s">
        <v>1373</v>
      </c>
      <c r="L1983" s="1336"/>
      <c r="M1983" s="1334"/>
      <c r="N1983" s="512" t="s">
        <v>1720</v>
      </c>
      <c r="O1983" s="1154"/>
      <c r="P1983" s="1154"/>
      <c r="Q1983" s="1154"/>
      <c r="R1983" s="1154"/>
      <c r="S1983" s="1154"/>
      <c r="T1983" s="1154"/>
      <c r="U1983" s="1154"/>
      <c r="V1983" s="1154"/>
      <c r="W1983" s="1154"/>
    </row>
    <row r="1984" ht="16.5" customHeight="1" spans="1:23">
      <c r="A1984" s="1314" t="s">
        <v>1717</v>
      </c>
      <c r="B1984" s="1309" t="s">
        <v>1718</v>
      </c>
      <c r="C1984" s="1315" t="s">
        <v>761</v>
      </c>
      <c r="D1984" s="1311">
        <v>31</v>
      </c>
      <c r="E1984" s="1316"/>
      <c r="F1984" s="1313"/>
      <c r="G1984" s="1313" t="s">
        <v>1719</v>
      </c>
      <c r="H1984" s="1313" t="s">
        <v>1719</v>
      </c>
      <c r="I1984" s="1334"/>
      <c r="J1984" s="1335" t="s">
        <v>521</v>
      </c>
      <c r="K1984" s="1334" t="s">
        <v>1373</v>
      </c>
      <c r="L1984" s="1336"/>
      <c r="M1984" s="1334"/>
      <c r="N1984" s="512" t="s">
        <v>1720</v>
      </c>
      <c r="O1984" s="1154"/>
      <c r="P1984" s="1154"/>
      <c r="Q1984" s="1154"/>
      <c r="R1984" s="1154"/>
      <c r="S1984" s="1154"/>
      <c r="T1984" s="1154"/>
      <c r="U1984" s="1154"/>
      <c r="V1984" s="1154"/>
      <c r="W1984" s="1154"/>
    </row>
    <row r="1985" ht="16.5" customHeight="1" spans="1:23">
      <c r="A1985" s="1337" t="s">
        <v>1721</v>
      </c>
      <c r="B1985" s="1309" t="s">
        <v>1722</v>
      </c>
      <c r="C1985" s="1310" t="s">
        <v>1723</v>
      </c>
      <c r="D1985" s="1338">
        <v>2</v>
      </c>
      <c r="E1985" s="1316"/>
      <c r="F1985" s="1313"/>
      <c r="G1985" s="1313" t="s">
        <v>1719</v>
      </c>
      <c r="H1985" s="1313" t="s">
        <v>1719</v>
      </c>
      <c r="I1985" s="1362"/>
      <c r="J1985" s="1335" t="s">
        <v>521</v>
      </c>
      <c r="K1985" s="1334" t="s">
        <v>1373</v>
      </c>
      <c r="L1985" s="1363"/>
      <c r="M1985" s="1364" t="s">
        <v>1506</v>
      </c>
      <c r="N1985" s="512" t="s">
        <v>1724</v>
      </c>
      <c r="O1985" s="326"/>
      <c r="P1985" s="326"/>
      <c r="Q1985" s="326"/>
      <c r="R1985" s="326"/>
      <c r="S1985" s="326"/>
      <c r="T1985" s="326"/>
      <c r="U1985" s="326"/>
      <c r="V1985" s="326"/>
      <c r="W1985" s="326"/>
    </row>
    <row r="1986" ht="16.5" customHeight="1" spans="1:23">
      <c r="A1986" s="1337" t="s">
        <v>1721</v>
      </c>
      <c r="B1986" s="1309" t="s">
        <v>1722</v>
      </c>
      <c r="C1986" s="1310" t="s">
        <v>1725</v>
      </c>
      <c r="D1986" s="1338">
        <v>2</v>
      </c>
      <c r="E1986" s="1339"/>
      <c r="F1986" s="1313"/>
      <c r="G1986" s="1313" t="s">
        <v>1719</v>
      </c>
      <c r="H1986" s="1313" t="s">
        <v>1719</v>
      </c>
      <c r="I1986" s="1362"/>
      <c r="J1986" s="1335" t="s">
        <v>521</v>
      </c>
      <c r="K1986" s="1334" t="s">
        <v>1373</v>
      </c>
      <c r="L1986" s="1363"/>
      <c r="M1986" s="1365"/>
      <c r="N1986" s="512" t="s">
        <v>1724</v>
      </c>
      <c r="O1986" s="326"/>
      <c r="P1986" s="326"/>
      <c r="Q1986" s="326"/>
      <c r="R1986" s="326"/>
      <c r="S1986" s="326"/>
      <c r="T1986" s="326"/>
      <c r="U1986" s="326"/>
      <c r="V1986" s="326"/>
      <c r="W1986" s="326"/>
    </row>
    <row r="1987" s="179" customFormat="1" ht="16.5" customHeight="1" spans="1:23">
      <c r="A1987" s="1340" t="s">
        <v>910</v>
      </c>
      <c r="B1987" s="1067" t="s">
        <v>1718</v>
      </c>
      <c r="C1987" s="1341" t="s">
        <v>651</v>
      </c>
      <c r="D1987" s="1342">
        <v>31</v>
      </c>
      <c r="E1987" s="1343" t="s">
        <v>1426</v>
      </c>
      <c r="F1987" s="1313"/>
      <c r="G1987" s="1313" t="s">
        <v>1719</v>
      </c>
      <c r="H1987" s="1344" t="s">
        <v>1726</v>
      </c>
      <c r="I1987" s="1366"/>
      <c r="J1987" s="1367" t="s">
        <v>521</v>
      </c>
      <c r="K1987" s="1368" t="s">
        <v>1373</v>
      </c>
      <c r="L1987" s="1369"/>
      <c r="M1987" s="1370" t="s">
        <v>1727</v>
      </c>
      <c r="N1987" s="325" t="s">
        <v>1720</v>
      </c>
      <c r="O1987" s="883"/>
      <c r="P1987" s="883"/>
      <c r="Q1987" s="883"/>
      <c r="R1987" s="883"/>
      <c r="S1987" s="883"/>
      <c r="T1987" s="883"/>
      <c r="U1987" s="883"/>
      <c r="V1987" s="883"/>
      <c r="W1987" s="883"/>
    </row>
    <row r="1988" ht="16.5" customHeight="1" spans="1:23">
      <c r="A1988" s="1345" t="s">
        <v>1721</v>
      </c>
      <c r="B1988" s="1346" t="s">
        <v>1722</v>
      </c>
      <c r="C1988" s="1347" t="s">
        <v>631</v>
      </c>
      <c r="D1988" s="1348">
        <v>1</v>
      </c>
      <c r="E1988" s="1349"/>
      <c r="F1988" s="1313"/>
      <c r="G1988" s="1313" t="s">
        <v>1719</v>
      </c>
      <c r="H1988" s="1344" t="s">
        <v>1726</v>
      </c>
      <c r="I1988" s="1362"/>
      <c r="J1988" s="1371" t="s">
        <v>521</v>
      </c>
      <c r="K1988" s="1372" t="s">
        <v>1373</v>
      </c>
      <c r="L1988" s="1373"/>
      <c r="M1988" s="1374" t="s">
        <v>1506</v>
      </c>
      <c r="N1988" s="512" t="s">
        <v>1724</v>
      </c>
      <c r="O1988" s="326"/>
      <c r="P1988" s="326"/>
      <c r="Q1988" s="326"/>
      <c r="R1988" s="326"/>
      <c r="S1988" s="326"/>
      <c r="T1988" s="326"/>
      <c r="U1988" s="326"/>
      <c r="V1988" s="326"/>
      <c r="W1988" s="326"/>
    </row>
    <row r="1989" s="178" customFormat="1" ht="16.5" customHeight="1" spans="1:23">
      <c r="A1989" s="1237" t="s">
        <v>1280</v>
      </c>
      <c r="B1989" s="1275" t="s">
        <v>1728</v>
      </c>
      <c r="C1989" s="1276" t="s">
        <v>111</v>
      </c>
      <c r="D1989" s="1350">
        <v>73</v>
      </c>
      <c r="E1989" s="1351" t="s">
        <v>1729</v>
      </c>
      <c r="F1989" s="830">
        <v>45936</v>
      </c>
      <c r="G1989" s="830" t="s">
        <v>1730</v>
      </c>
      <c r="H1989" s="836" t="s">
        <v>1731</v>
      </c>
      <c r="I1989" s="868"/>
      <c r="J1989" s="1375" t="s">
        <v>39</v>
      </c>
      <c r="K1989" s="1376" t="s">
        <v>107</v>
      </c>
      <c r="L1989" s="1232" t="s">
        <v>1559</v>
      </c>
      <c r="M1989" s="1376" t="s">
        <v>1732</v>
      </c>
      <c r="N1989" s="512" t="s">
        <v>1733</v>
      </c>
      <c r="O1989" s="512"/>
      <c r="P1989" s="512"/>
      <c r="Q1989" s="512"/>
      <c r="R1989" s="512"/>
      <c r="S1989" s="512"/>
      <c r="T1989" s="512"/>
      <c r="U1989" s="512"/>
      <c r="V1989" s="512"/>
      <c r="W1989" s="512"/>
    </row>
    <row r="1990" s="178" customFormat="1" ht="16.5" customHeight="1" spans="1:23">
      <c r="A1990" s="1237" t="s">
        <v>1280</v>
      </c>
      <c r="B1990" s="1275" t="s">
        <v>1728</v>
      </c>
      <c r="C1990" s="1276" t="s">
        <v>112</v>
      </c>
      <c r="D1990" s="1277">
        <v>73</v>
      </c>
      <c r="E1990" s="1113"/>
      <c r="F1990" s="830">
        <v>45936</v>
      </c>
      <c r="G1990" s="830" t="s">
        <v>1730</v>
      </c>
      <c r="H1990" s="836" t="s">
        <v>1731</v>
      </c>
      <c r="I1990" s="868"/>
      <c r="J1990" s="1287" t="s">
        <v>39</v>
      </c>
      <c r="K1990" s="1288" t="s">
        <v>107</v>
      </c>
      <c r="L1990" s="874" t="s">
        <v>1559</v>
      </c>
      <c r="M1990" s="1288" t="s">
        <v>1493</v>
      </c>
      <c r="N1990" s="512" t="s">
        <v>1733</v>
      </c>
      <c r="O1990" s="512"/>
      <c r="P1990" s="512"/>
      <c r="Q1990" s="512"/>
      <c r="R1990" s="512"/>
      <c r="S1990" s="512"/>
      <c r="T1990" s="512"/>
      <c r="U1990" s="512"/>
      <c r="V1990" s="512"/>
      <c r="W1990" s="512"/>
    </row>
    <row r="1991" s="178" customFormat="1" ht="16.5" customHeight="1" spans="1:23">
      <c r="A1991" s="1237" t="s">
        <v>1280</v>
      </c>
      <c r="B1991" s="1275" t="s">
        <v>1728</v>
      </c>
      <c r="C1991" s="1276" t="s">
        <v>114</v>
      </c>
      <c r="D1991" s="1277">
        <v>23</v>
      </c>
      <c r="E1991" s="1113"/>
      <c r="F1991" s="830">
        <v>45936</v>
      </c>
      <c r="G1991" s="830" t="s">
        <v>1730</v>
      </c>
      <c r="H1991" s="836" t="s">
        <v>1731</v>
      </c>
      <c r="I1991" s="868"/>
      <c r="J1991" s="1287" t="s">
        <v>39</v>
      </c>
      <c r="K1991" s="1288" t="s">
        <v>107</v>
      </c>
      <c r="L1991" s="874" t="s">
        <v>1559</v>
      </c>
      <c r="M1991" s="1288" t="s">
        <v>1734</v>
      </c>
      <c r="N1991" s="512" t="s">
        <v>1733</v>
      </c>
      <c r="O1991" s="512"/>
      <c r="P1991" s="512"/>
      <c r="Q1991" s="512"/>
      <c r="R1991" s="512"/>
      <c r="S1991" s="512"/>
      <c r="T1991" s="512"/>
      <c r="U1991" s="512"/>
      <c r="V1991" s="512"/>
      <c r="W1991" s="512"/>
    </row>
    <row r="1992" s="178" customFormat="1" ht="16.5" customHeight="1" spans="1:23">
      <c r="A1992" s="1237" t="s">
        <v>1280</v>
      </c>
      <c r="B1992" s="1275" t="s">
        <v>1728</v>
      </c>
      <c r="C1992" s="1276" t="s">
        <v>115</v>
      </c>
      <c r="D1992" s="1277">
        <v>23</v>
      </c>
      <c r="E1992" s="1113"/>
      <c r="F1992" s="830">
        <v>45936</v>
      </c>
      <c r="G1992" s="830" t="s">
        <v>1730</v>
      </c>
      <c r="H1992" s="836" t="s">
        <v>1731</v>
      </c>
      <c r="I1992" s="868"/>
      <c r="J1992" s="1287" t="s">
        <v>39</v>
      </c>
      <c r="K1992" s="1288" t="s">
        <v>107</v>
      </c>
      <c r="L1992" s="874" t="s">
        <v>1559</v>
      </c>
      <c r="M1992" s="1288"/>
      <c r="N1992" s="512" t="s">
        <v>1733</v>
      </c>
      <c r="O1992" s="512"/>
      <c r="P1992" s="512"/>
      <c r="Q1992" s="512"/>
      <c r="R1992" s="512"/>
      <c r="S1992" s="512"/>
      <c r="T1992" s="512"/>
      <c r="U1992" s="512"/>
      <c r="V1992" s="512"/>
      <c r="W1992" s="512"/>
    </row>
    <row r="1993" s="178" customFormat="1" ht="16.5" customHeight="1" spans="1:23">
      <c r="A1993" s="1237" t="s">
        <v>1280</v>
      </c>
      <c r="B1993" s="1275" t="s">
        <v>1728</v>
      </c>
      <c r="C1993" s="1276" t="s">
        <v>116</v>
      </c>
      <c r="D1993" s="1277">
        <v>38</v>
      </c>
      <c r="E1993" s="1113"/>
      <c r="F1993" s="830">
        <v>45936</v>
      </c>
      <c r="G1993" s="830" t="s">
        <v>1730</v>
      </c>
      <c r="H1993" s="836" t="s">
        <v>1731</v>
      </c>
      <c r="I1993" s="868"/>
      <c r="J1993" s="1287" t="s">
        <v>39</v>
      </c>
      <c r="K1993" s="1288" t="s">
        <v>107</v>
      </c>
      <c r="L1993" s="874" t="s">
        <v>1559</v>
      </c>
      <c r="M1993" s="1288"/>
      <c r="N1993" s="512" t="s">
        <v>1733</v>
      </c>
      <c r="O1993" s="512"/>
      <c r="P1993" s="512"/>
      <c r="Q1993" s="512"/>
      <c r="R1993" s="512"/>
      <c r="S1993" s="512"/>
      <c r="T1993" s="512"/>
      <c r="U1993" s="512"/>
      <c r="V1993" s="512"/>
      <c r="W1993" s="512"/>
    </row>
    <row r="1994" s="178" customFormat="1" ht="16.5" customHeight="1" spans="1:23">
      <c r="A1994" s="1237" t="s">
        <v>1280</v>
      </c>
      <c r="B1994" s="1275" t="s">
        <v>1728</v>
      </c>
      <c r="C1994" s="1276" t="s">
        <v>117</v>
      </c>
      <c r="D1994" s="1277">
        <v>38</v>
      </c>
      <c r="E1994" s="1113"/>
      <c r="F1994" s="830">
        <v>45936</v>
      </c>
      <c r="G1994" s="830" t="s">
        <v>1730</v>
      </c>
      <c r="H1994" s="836" t="s">
        <v>1731</v>
      </c>
      <c r="I1994" s="868"/>
      <c r="J1994" s="1287" t="s">
        <v>39</v>
      </c>
      <c r="K1994" s="1288" t="s">
        <v>107</v>
      </c>
      <c r="L1994" s="874" t="s">
        <v>1559</v>
      </c>
      <c r="M1994" s="1288"/>
      <c r="N1994" s="512" t="s">
        <v>1733</v>
      </c>
      <c r="O1994" s="512"/>
      <c r="P1994" s="512"/>
      <c r="Q1994" s="512"/>
      <c r="R1994" s="512"/>
      <c r="S1994" s="512"/>
      <c r="T1994" s="512"/>
      <c r="U1994" s="512"/>
      <c r="V1994" s="512"/>
      <c r="W1994" s="512"/>
    </row>
    <row r="1995" s="178" customFormat="1" ht="16.5" customHeight="1" spans="1:23">
      <c r="A1995" s="1237" t="s">
        <v>1280</v>
      </c>
      <c r="B1995" s="1275" t="s">
        <v>1728</v>
      </c>
      <c r="C1995" s="1276" t="s">
        <v>118</v>
      </c>
      <c r="D1995" s="1277">
        <v>29</v>
      </c>
      <c r="E1995" s="1113"/>
      <c r="F1995" s="830">
        <v>45936</v>
      </c>
      <c r="G1995" s="830" t="s">
        <v>1730</v>
      </c>
      <c r="H1995" s="836" t="s">
        <v>1731</v>
      </c>
      <c r="I1995" s="868"/>
      <c r="J1995" s="1287" t="s">
        <v>39</v>
      </c>
      <c r="K1995" s="1288" t="s">
        <v>107</v>
      </c>
      <c r="L1995" s="874" t="s">
        <v>1559</v>
      </c>
      <c r="M1995" s="1288"/>
      <c r="N1995" s="512" t="s">
        <v>1733</v>
      </c>
      <c r="O1995" s="512"/>
      <c r="P1995" s="512"/>
      <c r="Q1995" s="512"/>
      <c r="R1995" s="512"/>
      <c r="S1995" s="512"/>
      <c r="T1995" s="512"/>
      <c r="U1995" s="512"/>
      <c r="V1995" s="512"/>
      <c r="W1995" s="512"/>
    </row>
    <row r="1996" s="178" customFormat="1" ht="16.5" customHeight="1" spans="1:23">
      <c r="A1996" s="1237" t="s">
        <v>1280</v>
      </c>
      <c r="B1996" s="1275" t="s">
        <v>1728</v>
      </c>
      <c r="C1996" s="1276" t="s">
        <v>119</v>
      </c>
      <c r="D1996" s="1277">
        <v>29</v>
      </c>
      <c r="E1996" s="1113"/>
      <c r="F1996" s="830">
        <v>45936</v>
      </c>
      <c r="G1996" s="830" t="s">
        <v>1730</v>
      </c>
      <c r="H1996" s="836" t="s">
        <v>1731</v>
      </c>
      <c r="I1996" s="868"/>
      <c r="J1996" s="1287" t="s">
        <v>39</v>
      </c>
      <c r="K1996" s="1288" t="s">
        <v>107</v>
      </c>
      <c r="L1996" s="874" t="s">
        <v>1559</v>
      </c>
      <c r="M1996" s="1288"/>
      <c r="N1996" s="512" t="s">
        <v>1733</v>
      </c>
      <c r="O1996" s="512"/>
      <c r="P1996" s="512"/>
      <c r="Q1996" s="512"/>
      <c r="R1996" s="512"/>
      <c r="S1996" s="512"/>
      <c r="T1996" s="512"/>
      <c r="U1996" s="512"/>
      <c r="V1996" s="512"/>
      <c r="W1996" s="512"/>
    </row>
    <row r="1997" s="178" customFormat="1" ht="16.5" customHeight="1" spans="1:23">
      <c r="A1997" s="1237" t="s">
        <v>1280</v>
      </c>
      <c r="B1997" s="1275" t="s">
        <v>1728</v>
      </c>
      <c r="C1997" s="1276" t="s">
        <v>120</v>
      </c>
      <c r="D1997" s="1277">
        <v>9</v>
      </c>
      <c r="E1997" s="1113"/>
      <c r="F1997" s="830">
        <v>45936</v>
      </c>
      <c r="G1997" s="830" t="s">
        <v>1730</v>
      </c>
      <c r="H1997" s="836" t="s">
        <v>1731</v>
      </c>
      <c r="I1997" s="868"/>
      <c r="J1997" s="1287" t="s">
        <v>39</v>
      </c>
      <c r="K1997" s="1288" t="s">
        <v>107</v>
      </c>
      <c r="L1997" s="874" t="s">
        <v>1559</v>
      </c>
      <c r="M1997" s="1288"/>
      <c r="N1997" s="512" t="s">
        <v>1733</v>
      </c>
      <c r="O1997" s="512"/>
      <c r="P1997" s="512"/>
      <c r="Q1997" s="512"/>
      <c r="R1997" s="512"/>
      <c r="S1997" s="512"/>
      <c r="T1997" s="512"/>
      <c r="U1997" s="512"/>
      <c r="V1997" s="512"/>
      <c r="W1997" s="512"/>
    </row>
    <row r="1998" s="178" customFormat="1" ht="16.5" customHeight="1" spans="1:23">
      <c r="A1998" s="1237" t="s">
        <v>1280</v>
      </c>
      <c r="B1998" s="1275" t="s">
        <v>1728</v>
      </c>
      <c r="C1998" s="1276" t="s">
        <v>121</v>
      </c>
      <c r="D1998" s="1277">
        <v>9</v>
      </c>
      <c r="E1998" s="1113"/>
      <c r="F1998" s="830">
        <v>45936</v>
      </c>
      <c r="G1998" s="830" t="s">
        <v>1730</v>
      </c>
      <c r="H1998" s="836" t="s">
        <v>1731</v>
      </c>
      <c r="I1998" s="868"/>
      <c r="J1998" s="1287" t="s">
        <v>39</v>
      </c>
      <c r="K1998" s="1288" t="s">
        <v>107</v>
      </c>
      <c r="L1998" s="874" t="s">
        <v>1559</v>
      </c>
      <c r="M1998" s="1288"/>
      <c r="N1998" s="512" t="s">
        <v>1733</v>
      </c>
      <c r="O1998" s="512"/>
      <c r="P1998" s="512"/>
      <c r="Q1998" s="512"/>
      <c r="R1998" s="512"/>
      <c r="S1998" s="512"/>
      <c r="T1998" s="512"/>
      <c r="U1998" s="512"/>
      <c r="V1998" s="512"/>
      <c r="W1998" s="512"/>
    </row>
    <row r="1999" s="800" customFormat="1" ht="16.5" customHeight="1" spans="1:23">
      <c r="A1999" s="877" t="s">
        <v>1735</v>
      </c>
      <c r="B1999" s="845" t="s">
        <v>1736</v>
      </c>
      <c r="C1999" s="1352" t="s">
        <v>1737</v>
      </c>
      <c r="D1999" s="392">
        <v>100</v>
      </c>
      <c r="E1999" s="1353" t="s">
        <v>1738</v>
      </c>
      <c r="F1999" s="830"/>
      <c r="G1999" s="830" t="s">
        <v>1730</v>
      </c>
      <c r="H1999" s="836" t="s">
        <v>1731</v>
      </c>
      <c r="I1999" s="886"/>
      <c r="J1999" s="1292" t="s">
        <v>39</v>
      </c>
      <c r="K1999" s="877" t="s">
        <v>147</v>
      </c>
      <c r="L1999" s="874" t="s">
        <v>1559</v>
      </c>
      <c r="M1999" s="1238" t="s">
        <v>1739</v>
      </c>
      <c r="N1999" s="512" t="s">
        <v>1733</v>
      </c>
      <c r="O1999" s="512"/>
      <c r="P1999" s="512"/>
      <c r="Q1999" s="512"/>
      <c r="R1999" s="512"/>
      <c r="S1999" s="512"/>
      <c r="T1999" s="512"/>
      <c r="U1999" s="512"/>
      <c r="V1999" s="512"/>
      <c r="W1999" s="512"/>
    </row>
    <row r="2000" s="800" customFormat="1" ht="16.5" customHeight="1" spans="1:23">
      <c r="A2000" s="877" t="s">
        <v>1735</v>
      </c>
      <c r="B2000" s="845" t="s">
        <v>1736</v>
      </c>
      <c r="C2000" s="1352" t="s">
        <v>1740</v>
      </c>
      <c r="D2000" s="392">
        <v>100</v>
      </c>
      <c r="E2000" s="69"/>
      <c r="F2000" s="830"/>
      <c r="G2000" s="830" t="s">
        <v>1730</v>
      </c>
      <c r="H2000" s="836" t="s">
        <v>1731</v>
      </c>
      <c r="I2000" s="886"/>
      <c r="J2000" s="1292" t="s">
        <v>39</v>
      </c>
      <c r="K2000" s="877" t="s">
        <v>147</v>
      </c>
      <c r="L2000" s="874" t="s">
        <v>1559</v>
      </c>
      <c r="M2000" s="1238" t="s">
        <v>1493</v>
      </c>
      <c r="N2000" s="512" t="s">
        <v>1733</v>
      </c>
      <c r="O2000" s="512"/>
      <c r="P2000" s="512"/>
      <c r="Q2000" s="512"/>
      <c r="R2000" s="512"/>
      <c r="S2000" s="512"/>
      <c r="T2000" s="512"/>
      <c r="U2000" s="512"/>
      <c r="V2000" s="512"/>
      <c r="W2000" s="512"/>
    </row>
    <row r="2001" s="800" customFormat="1" ht="16.5" customHeight="1" spans="1:23">
      <c r="A2001" s="877" t="s">
        <v>1735</v>
      </c>
      <c r="B2001" s="845" t="s">
        <v>1736</v>
      </c>
      <c r="C2001" s="1352" t="s">
        <v>1741</v>
      </c>
      <c r="D2001" s="392">
        <v>115</v>
      </c>
      <c r="E2001" s="281"/>
      <c r="F2001" s="830"/>
      <c r="G2001" s="830" t="s">
        <v>1730</v>
      </c>
      <c r="H2001" s="836" t="s">
        <v>1731</v>
      </c>
      <c r="I2001" s="886"/>
      <c r="J2001" s="1292" t="s">
        <v>39</v>
      </c>
      <c r="K2001" s="877" t="s">
        <v>147</v>
      </c>
      <c r="L2001" s="874" t="s">
        <v>1559</v>
      </c>
      <c r="M2001" s="1239"/>
      <c r="N2001" s="512" t="s">
        <v>1733</v>
      </c>
      <c r="O2001" s="512"/>
      <c r="P2001" s="512"/>
      <c r="Q2001" s="512"/>
      <c r="R2001" s="512"/>
      <c r="S2001" s="512"/>
      <c r="T2001" s="512"/>
      <c r="U2001" s="512"/>
      <c r="V2001" s="512"/>
      <c r="W2001" s="512"/>
    </row>
    <row r="2002" s="800" customFormat="1" ht="16.5" customHeight="1" spans="1:23">
      <c r="A2002" s="877" t="s">
        <v>1735</v>
      </c>
      <c r="B2002" s="845" t="s">
        <v>1736</v>
      </c>
      <c r="C2002" s="1352" t="s">
        <v>1742</v>
      </c>
      <c r="D2002" s="392">
        <v>115</v>
      </c>
      <c r="E2002" s="69"/>
      <c r="F2002" s="830"/>
      <c r="G2002" s="830" t="s">
        <v>1730</v>
      </c>
      <c r="H2002" s="836" t="s">
        <v>1731</v>
      </c>
      <c r="I2002" s="886"/>
      <c r="J2002" s="1292" t="s">
        <v>39</v>
      </c>
      <c r="K2002" s="877" t="s">
        <v>147</v>
      </c>
      <c r="L2002" s="874" t="s">
        <v>1559</v>
      </c>
      <c r="M2002" s="1239"/>
      <c r="N2002" s="512" t="s">
        <v>1733</v>
      </c>
      <c r="O2002" s="512"/>
      <c r="P2002" s="512"/>
      <c r="Q2002" s="512"/>
      <c r="R2002" s="512"/>
      <c r="S2002" s="512"/>
      <c r="T2002" s="512"/>
      <c r="U2002" s="512"/>
      <c r="V2002" s="512"/>
      <c r="W2002" s="512"/>
    </row>
    <row r="2003" s="800" customFormat="1" ht="16.5" customHeight="1" spans="1:23">
      <c r="A2003" s="877" t="s">
        <v>1735</v>
      </c>
      <c r="B2003" s="845" t="s">
        <v>1736</v>
      </c>
      <c r="C2003" s="1352" t="s">
        <v>1723</v>
      </c>
      <c r="D2003" s="392">
        <v>3</v>
      </c>
      <c r="E2003" s="281"/>
      <c r="F2003" s="830"/>
      <c r="G2003" s="830" t="s">
        <v>1730</v>
      </c>
      <c r="H2003" s="836" t="s">
        <v>1731</v>
      </c>
      <c r="I2003" s="886"/>
      <c r="J2003" s="1292" t="s">
        <v>39</v>
      </c>
      <c r="K2003" s="877" t="s">
        <v>147</v>
      </c>
      <c r="L2003" s="874" t="s">
        <v>1559</v>
      </c>
      <c r="M2003" s="886"/>
      <c r="N2003" s="512" t="s">
        <v>1733</v>
      </c>
      <c r="O2003" s="512"/>
      <c r="P2003" s="512"/>
      <c r="Q2003" s="512"/>
      <c r="R2003" s="512"/>
      <c r="S2003" s="512"/>
      <c r="T2003" s="512"/>
      <c r="U2003" s="512"/>
      <c r="V2003" s="512"/>
      <c r="W2003" s="512"/>
    </row>
    <row r="2004" s="800" customFormat="1" ht="16.5" customHeight="1" spans="1:23">
      <c r="A2004" s="877" t="s">
        <v>1735</v>
      </c>
      <c r="B2004" s="845" t="s">
        <v>1736</v>
      </c>
      <c r="C2004" s="1352" t="s">
        <v>1725</v>
      </c>
      <c r="D2004" s="392">
        <v>3</v>
      </c>
      <c r="E2004" s="281"/>
      <c r="F2004" s="830"/>
      <c r="G2004" s="830" t="s">
        <v>1730</v>
      </c>
      <c r="H2004" s="836" t="s">
        <v>1731</v>
      </c>
      <c r="I2004" s="886"/>
      <c r="J2004" s="1292" t="s">
        <v>39</v>
      </c>
      <c r="K2004" s="877" t="s">
        <v>147</v>
      </c>
      <c r="L2004" s="874" t="s">
        <v>1559</v>
      </c>
      <c r="M2004" s="886"/>
      <c r="N2004" s="512" t="s">
        <v>1733</v>
      </c>
      <c r="O2004" s="512"/>
      <c r="P2004" s="512"/>
      <c r="Q2004" s="512"/>
      <c r="R2004" s="512"/>
      <c r="S2004" s="512"/>
      <c r="T2004" s="512"/>
      <c r="U2004" s="512"/>
      <c r="V2004" s="512"/>
      <c r="W2004" s="512"/>
    </row>
    <row r="2005" s="800" customFormat="1" ht="16.5" customHeight="1" spans="1:23">
      <c r="A2005" s="877" t="s">
        <v>1735</v>
      </c>
      <c r="B2005" s="1352" t="s">
        <v>1743</v>
      </c>
      <c r="C2005" s="1352" t="s">
        <v>1723</v>
      </c>
      <c r="D2005" s="392">
        <v>157</v>
      </c>
      <c r="E2005" s="845" t="s">
        <v>1744</v>
      </c>
      <c r="F2005" s="830"/>
      <c r="G2005" s="830" t="s">
        <v>1730</v>
      </c>
      <c r="H2005" s="836" t="s">
        <v>1731</v>
      </c>
      <c r="I2005" s="886"/>
      <c r="J2005" s="1292" t="s">
        <v>39</v>
      </c>
      <c r="K2005" s="877" t="s">
        <v>147</v>
      </c>
      <c r="L2005" s="874" t="s">
        <v>1559</v>
      </c>
      <c r="M2005" s="886" t="s">
        <v>1745</v>
      </c>
      <c r="N2005" s="512" t="s">
        <v>1746</v>
      </c>
      <c r="O2005" s="512"/>
      <c r="P2005" s="512"/>
      <c r="Q2005" s="512"/>
      <c r="R2005" s="512"/>
      <c r="S2005" s="512"/>
      <c r="T2005" s="512"/>
      <c r="U2005" s="512"/>
      <c r="V2005" s="512"/>
      <c r="W2005" s="512"/>
    </row>
    <row r="2006" s="800" customFormat="1" ht="16.5" customHeight="1" spans="1:23">
      <c r="A2006" s="877" t="s">
        <v>1735</v>
      </c>
      <c r="B2006" s="1352" t="s">
        <v>1743</v>
      </c>
      <c r="C2006" s="1352" t="s">
        <v>1725</v>
      </c>
      <c r="D2006" s="392">
        <v>157</v>
      </c>
      <c r="E2006" s="69"/>
      <c r="F2006" s="830"/>
      <c r="G2006" s="830" t="s">
        <v>1730</v>
      </c>
      <c r="H2006" s="836" t="s">
        <v>1731</v>
      </c>
      <c r="I2006" s="886"/>
      <c r="J2006" s="1292" t="s">
        <v>39</v>
      </c>
      <c r="K2006" s="877" t="s">
        <v>147</v>
      </c>
      <c r="L2006" s="874" t="s">
        <v>1559</v>
      </c>
      <c r="M2006" s="886" t="s">
        <v>1493</v>
      </c>
      <c r="N2006" s="512" t="s">
        <v>1746</v>
      </c>
      <c r="O2006" s="512"/>
      <c r="P2006" s="512"/>
      <c r="Q2006" s="512"/>
      <c r="R2006" s="512"/>
      <c r="S2006" s="512"/>
      <c r="T2006" s="512"/>
      <c r="U2006" s="512"/>
      <c r="V2006" s="512"/>
      <c r="W2006" s="512"/>
    </row>
    <row r="2007" s="800" customFormat="1" ht="16.5" customHeight="1" spans="1:23">
      <c r="A2007" s="877" t="s">
        <v>1735</v>
      </c>
      <c r="B2007" s="1352" t="s">
        <v>1743</v>
      </c>
      <c r="C2007" s="1352" t="s">
        <v>1747</v>
      </c>
      <c r="D2007" s="392">
        <v>45</v>
      </c>
      <c r="E2007" s="281"/>
      <c r="F2007" s="830"/>
      <c r="G2007" s="830" t="s">
        <v>1730</v>
      </c>
      <c r="H2007" s="836" t="s">
        <v>1731</v>
      </c>
      <c r="I2007" s="886"/>
      <c r="J2007" s="1292" t="s">
        <v>39</v>
      </c>
      <c r="K2007" s="877" t="s">
        <v>147</v>
      </c>
      <c r="L2007" s="874" t="s">
        <v>1559</v>
      </c>
      <c r="M2007" s="886"/>
      <c r="N2007" s="512" t="s">
        <v>1746</v>
      </c>
      <c r="O2007" s="512"/>
      <c r="P2007" s="512"/>
      <c r="Q2007" s="512"/>
      <c r="R2007" s="512"/>
      <c r="S2007" s="512"/>
      <c r="T2007" s="512"/>
      <c r="U2007" s="512"/>
      <c r="V2007" s="512"/>
      <c r="W2007" s="512"/>
    </row>
    <row r="2008" s="800" customFormat="1" ht="16.5" customHeight="1" spans="1:23">
      <c r="A2008" s="877" t="s">
        <v>1735</v>
      </c>
      <c r="B2008" s="1352" t="s">
        <v>1743</v>
      </c>
      <c r="C2008" s="1352" t="s">
        <v>1748</v>
      </c>
      <c r="D2008" s="392">
        <v>45</v>
      </c>
      <c r="E2008" s="281"/>
      <c r="F2008" s="830"/>
      <c r="G2008" s="830" t="s">
        <v>1730</v>
      </c>
      <c r="H2008" s="836" t="s">
        <v>1731</v>
      </c>
      <c r="I2008" s="886"/>
      <c r="J2008" s="1292" t="s">
        <v>39</v>
      </c>
      <c r="K2008" s="877" t="s">
        <v>147</v>
      </c>
      <c r="L2008" s="874" t="s">
        <v>1559</v>
      </c>
      <c r="M2008" s="886"/>
      <c r="N2008" s="512" t="s">
        <v>1746</v>
      </c>
      <c r="O2008" s="512"/>
      <c r="P2008" s="512"/>
      <c r="Q2008" s="512"/>
      <c r="R2008" s="512"/>
      <c r="S2008" s="512"/>
      <c r="T2008" s="512"/>
      <c r="U2008" s="512"/>
      <c r="V2008" s="512"/>
      <c r="W2008" s="512"/>
    </row>
    <row r="2009" s="800" customFormat="1" ht="16.5" customHeight="1" spans="1:23">
      <c r="A2009" s="877" t="s">
        <v>1735</v>
      </c>
      <c r="B2009" s="1352" t="s">
        <v>1743</v>
      </c>
      <c r="C2009" s="1352" t="s">
        <v>903</v>
      </c>
      <c r="D2009" s="392">
        <v>2</v>
      </c>
      <c r="E2009" s="281"/>
      <c r="F2009" s="830"/>
      <c r="G2009" s="830" t="s">
        <v>1730</v>
      </c>
      <c r="H2009" s="836" t="s">
        <v>1731</v>
      </c>
      <c r="I2009" s="886"/>
      <c r="J2009" s="1292" t="s">
        <v>39</v>
      </c>
      <c r="K2009" s="877" t="s">
        <v>147</v>
      </c>
      <c r="L2009" s="874" t="s">
        <v>1559</v>
      </c>
      <c r="M2009" s="886"/>
      <c r="N2009" s="512" t="s">
        <v>1746</v>
      </c>
      <c r="O2009" s="512"/>
      <c r="P2009" s="512"/>
      <c r="Q2009" s="512"/>
      <c r="R2009" s="512"/>
      <c r="S2009" s="512"/>
      <c r="T2009" s="512"/>
      <c r="U2009" s="512"/>
      <c r="V2009" s="512"/>
      <c r="W2009" s="512"/>
    </row>
    <row r="2010" s="800" customFormat="1" ht="16.5" customHeight="1" spans="1:23">
      <c r="A2010" s="877" t="s">
        <v>1735</v>
      </c>
      <c r="B2010" s="1352" t="s">
        <v>1743</v>
      </c>
      <c r="C2010" s="1352" t="s">
        <v>901</v>
      </c>
      <c r="D2010" s="392">
        <v>2</v>
      </c>
      <c r="E2010" s="281"/>
      <c r="F2010" s="1230"/>
      <c r="G2010" s="830" t="s">
        <v>1730</v>
      </c>
      <c r="H2010" s="836" t="s">
        <v>1731</v>
      </c>
      <c r="I2010" s="886"/>
      <c r="J2010" s="1292" t="s">
        <v>39</v>
      </c>
      <c r="K2010" s="877" t="s">
        <v>147</v>
      </c>
      <c r="L2010" s="874" t="s">
        <v>1559</v>
      </c>
      <c r="M2010" s="886"/>
      <c r="N2010" s="512" t="s">
        <v>1746</v>
      </c>
      <c r="O2010" s="512"/>
      <c r="P2010" s="512"/>
      <c r="Q2010" s="512"/>
      <c r="R2010" s="512"/>
      <c r="S2010" s="512"/>
      <c r="T2010" s="512"/>
      <c r="U2010" s="512"/>
      <c r="V2010" s="512"/>
      <c r="W2010" s="512"/>
    </row>
    <row r="2011" s="180" customFormat="1" ht="16.5" customHeight="1" spans="1:23">
      <c r="A2011" s="1219" t="s">
        <v>910</v>
      </c>
      <c r="B2011" s="1253" t="s">
        <v>1662</v>
      </c>
      <c r="C2011" s="1354" t="s">
        <v>24</v>
      </c>
      <c r="D2011" s="1249">
        <v>59</v>
      </c>
      <c r="E2011" s="866" t="s">
        <v>1749</v>
      </c>
      <c r="F2011" s="839"/>
      <c r="G2011" s="839" t="s">
        <v>1730</v>
      </c>
      <c r="H2011" s="836" t="s">
        <v>1750</v>
      </c>
      <c r="I2011" s="886"/>
      <c r="J2011" s="1290" t="s">
        <v>18</v>
      </c>
      <c r="K2011" s="1262" t="s">
        <v>147</v>
      </c>
      <c r="L2011" s="874" t="s">
        <v>1559</v>
      </c>
      <c r="M2011" s="828" t="s">
        <v>1751</v>
      </c>
      <c r="N2011" s="203" t="s">
        <v>1752</v>
      </c>
      <c r="O2011" s="325"/>
      <c r="P2011" s="325"/>
      <c r="Q2011" s="325"/>
      <c r="R2011" s="325"/>
      <c r="S2011" s="325"/>
      <c r="T2011" s="325"/>
      <c r="U2011" s="325"/>
      <c r="V2011" s="325"/>
      <c r="W2011" s="325"/>
    </row>
    <row r="2012" ht="16.5" customHeight="1" spans="1:23">
      <c r="A2012" s="877" t="s">
        <v>910</v>
      </c>
      <c r="B2012" s="845" t="s">
        <v>1753</v>
      </c>
      <c r="C2012" s="1355" t="s">
        <v>651</v>
      </c>
      <c r="D2012" s="1249">
        <f>45-31</f>
        <v>14</v>
      </c>
      <c r="E2012" s="69"/>
      <c r="F2012" s="839"/>
      <c r="G2012" s="839" t="s">
        <v>1730</v>
      </c>
      <c r="H2012" s="836" t="s">
        <v>1750</v>
      </c>
      <c r="I2012" s="886"/>
      <c r="J2012" s="844" t="s">
        <v>18</v>
      </c>
      <c r="K2012" s="853" t="s">
        <v>147</v>
      </c>
      <c r="L2012" s="874" t="s">
        <v>1559</v>
      </c>
      <c r="M2012" s="1263" t="s">
        <v>1754</v>
      </c>
      <c r="N2012" s="1154" t="s">
        <v>1720</v>
      </c>
      <c r="O2012" s="1154"/>
      <c r="P2012" s="1154"/>
      <c r="Q2012" s="1154"/>
      <c r="R2012" s="1154"/>
      <c r="S2012" s="1154"/>
      <c r="T2012" s="1154"/>
      <c r="U2012" s="1154"/>
      <c r="V2012" s="1154"/>
      <c r="W2012" s="1154"/>
    </row>
    <row r="2013" s="800" customFormat="1" ht="16.5" customHeight="1" spans="1:23">
      <c r="A2013" s="877" t="s">
        <v>1735</v>
      </c>
      <c r="B2013" s="1352" t="s">
        <v>1755</v>
      </c>
      <c r="C2013" s="1352" t="s">
        <v>1741</v>
      </c>
      <c r="D2013" s="392">
        <v>185</v>
      </c>
      <c r="E2013" s="809" t="s">
        <v>1756</v>
      </c>
      <c r="F2013" s="830"/>
      <c r="G2013" s="830" t="s">
        <v>1757</v>
      </c>
      <c r="H2013" s="836" t="s">
        <v>1758</v>
      </c>
      <c r="I2013" s="886"/>
      <c r="J2013" s="1292" t="s">
        <v>39</v>
      </c>
      <c r="K2013" s="877" t="s">
        <v>147</v>
      </c>
      <c r="L2013" s="874" t="s">
        <v>1559</v>
      </c>
      <c r="M2013" s="886" t="s">
        <v>1759</v>
      </c>
      <c r="N2013" s="512" t="s">
        <v>1733</v>
      </c>
      <c r="O2013" s="512"/>
      <c r="P2013" s="512"/>
      <c r="Q2013" s="512"/>
      <c r="R2013" s="512"/>
      <c r="S2013" s="512"/>
      <c r="T2013" s="512"/>
      <c r="U2013" s="512"/>
      <c r="V2013" s="512"/>
      <c r="W2013" s="512"/>
    </row>
    <row r="2014" s="800" customFormat="1" ht="16.5" customHeight="1" spans="1:23">
      <c r="A2014" s="877" t="s">
        <v>1735</v>
      </c>
      <c r="B2014" s="1352" t="s">
        <v>1755</v>
      </c>
      <c r="C2014" s="1352" t="s">
        <v>1742</v>
      </c>
      <c r="D2014" s="392">
        <v>185</v>
      </c>
      <c r="E2014" s="281"/>
      <c r="F2014" s="830"/>
      <c r="G2014" s="830" t="s">
        <v>1757</v>
      </c>
      <c r="H2014" s="836" t="s">
        <v>1758</v>
      </c>
      <c r="I2014" s="886"/>
      <c r="J2014" s="1292" t="s">
        <v>39</v>
      </c>
      <c r="K2014" s="877" t="s">
        <v>147</v>
      </c>
      <c r="L2014" s="874" t="s">
        <v>1559</v>
      </c>
      <c r="M2014" s="1377" t="s">
        <v>1760</v>
      </c>
      <c r="N2014" s="512" t="s">
        <v>1733</v>
      </c>
      <c r="O2014" s="512"/>
      <c r="P2014" s="512"/>
      <c r="Q2014" s="512"/>
      <c r="R2014" s="512"/>
      <c r="S2014" s="512"/>
      <c r="T2014" s="512"/>
      <c r="U2014" s="512"/>
      <c r="V2014" s="512"/>
      <c r="W2014" s="512"/>
    </row>
    <row r="2015" s="800" customFormat="1" ht="16.5" customHeight="1" spans="1:23">
      <c r="A2015" s="877" t="s">
        <v>1735</v>
      </c>
      <c r="B2015" s="1352" t="s">
        <v>1755</v>
      </c>
      <c r="C2015" s="1352" t="s">
        <v>1723</v>
      </c>
      <c r="D2015" s="392">
        <v>40</v>
      </c>
      <c r="E2015" s="281"/>
      <c r="F2015" s="830"/>
      <c r="G2015" s="830" t="s">
        <v>1757</v>
      </c>
      <c r="H2015" s="836" t="s">
        <v>1758</v>
      </c>
      <c r="I2015" s="886"/>
      <c r="J2015" s="1292" t="s">
        <v>39</v>
      </c>
      <c r="K2015" s="877" t="s">
        <v>147</v>
      </c>
      <c r="L2015" s="874" t="s">
        <v>1559</v>
      </c>
      <c r="M2015" s="1263" t="s">
        <v>1761</v>
      </c>
      <c r="N2015" s="512" t="s">
        <v>1733</v>
      </c>
      <c r="O2015" s="512"/>
      <c r="P2015" s="512"/>
      <c r="Q2015" s="512"/>
      <c r="R2015" s="512"/>
      <c r="S2015" s="512"/>
      <c r="T2015" s="512"/>
      <c r="U2015" s="512"/>
      <c r="V2015" s="512"/>
      <c r="W2015" s="512"/>
    </row>
    <row r="2016" s="800" customFormat="1" ht="16.5" customHeight="1" spans="1:23">
      <c r="A2016" s="877" t="s">
        <v>1735</v>
      </c>
      <c r="B2016" s="1352" t="s">
        <v>1755</v>
      </c>
      <c r="C2016" s="1352" t="s">
        <v>1725</v>
      </c>
      <c r="D2016" s="392">
        <v>40</v>
      </c>
      <c r="E2016" s="281"/>
      <c r="F2016" s="830"/>
      <c r="G2016" s="830" t="s">
        <v>1757</v>
      </c>
      <c r="H2016" s="836" t="s">
        <v>1758</v>
      </c>
      <c r="I2016" s="886"/>
      <c r="J2016" s="1292" t="s">
        <v>39</v>
      </c>
      <c r="K2016" s="877" t="s">
        <v>147</v>
      </c>
      <c r="L2016" s="874" t="s">
        <v>1559</v>
      </c>
      <c r="M2016" s="886"/>
      <c r="N2016" s="512" t="s">
        <v>1733</v>
      </c>
      <c r="O2016" s="512"/>
      <c r="P2016" s="512"/>
      <c r="Q2016" s="512"/>
      <c r="R2016" s="512"/>
      <c r="S2016" s="512"/>
      <c r="T2016" s="512"/>
      <c r="U2016" s="512"/>
      <c r="V2016" s="512"/>
      <c r="W2016" s="512"/>
    </row>
    <row r="2017" s="800" customFormat="1" ht="16.5" customHeight="1" spans="1:23">
      <c r="A2017" s="877" t="s">
        <v>1735</v>
      </c>
      <c r="B2017" s="1352" t="s">
        <v>1755</v>
      </c>
      <c r="C2017" s="1352" t="s">
        <v>903</v>
      </c>
      <c r="D2017" s="392">
        <v>8</v>
      </c>
      <c r="E2017" s="281"/>
      <c r="F2017" s="830"/>
      <c r="G2017" s="830" t="s">
        <v>1757</v>
      </c>
      <c r="H2017" s="836" t="s">
        <v>1758</v>
      </c>
      <c r="I2017" s="886"/>
      <c r="J2017" s="1292" t="s">
        <v>39</v>
      </c>
      <c r="K2017" s="877" t="s">
        <v>147</v>
      </c>
      <c r="L2017" s="874" t="s">
        <v>1559</v>
      </c>
      <c r="M2017" s="886"/>
      <c r="N2017" s="512" t="s">
        <v>1733</v>
      </c>
      <c r="O2017" s="512"/>
      <c r="P2017" s="512"/>
      <c r="Q2017" s="512"/>
      <c r="R2017" s="512"/>
      <c r="S2017" s="512"/>
      <c r="T2017" s="512"/>
      <c r="U2017" s="512"/>
      <c r="V2017" s="512"/>
      <c r="W2017" s="512"/>
    </row>
    <row r="2018" s="800" customFormat="1" ht="16.5" customHeight="1" spans="1:23">
      <c r="A2018" s="877" t="s">
        <v>1735</v>
      </c>
      <c r="B2018" s="1352" t="s">
        <v>1762</v>
      </c>
      <c r="C2018" s="1352" t="s">
        <v>1747</v>
      </c>
      <c r="D2018" s="392">
        <v>55</v>
      </c>
      <c r="E2018" s="845" t="s">
        <v>1763</v>
      </c>
      <c r="F2018" s="830"/>
      <c r="G2018" s="830" t="s">
        <v>1764</v>
      </c>
      <c r="H2018" s="836" t="s">
        <v>1765</v>
      </c>
      <c r="I2018" s="886"/>
      <c r="J2018" s="1292" t="s">
        <v>39</v>
      </c>
      <c r="K2018" s="877" t="s">
        <v>147</v>
      </c>
      <c r="L2018" s="395" t="s">
        <v>1559</v>
      </c>
      <c r="M2018" s="886" t="s">
        <v>1766</v>
      </c>
      <c r="N2018" s="512" t="s">
        <v>1767</v>
      </c>
      <c r="O2018" s="512"/>
      <c r="P2018" s="512"/>
      <c r="Q2018" s="512"/>
      <c r="R2018" s="512"/>
      <c r="S2018" s="512"/>
      <c r="T2018" s="512"/>
      <c r="U2018" s="512"/>
      <c r="V2018" s="512"/>
      <c r="W2018" s="512"/>
    </row>
    <row r="2019" s="800" customFormat="1" ht="16.5" customHeight="1" spans="1:23">
      <c r="A2019" s="877" t="s">
        <v>1735</v>
      </c>
      <c r="B2019" s="1352" t="s">
        <v>1762</v>
      </c>
      <c r="C2019" s="1352" t="s">
        <v>1748</v>
      </c>
      <c r="D2019" s="392">
        <v>55</v>
      </c>
      <c r="E2019" s="69"/>
      <c r="F2019" s="830"/>
      <c r="G2019" s="830" t="s">
        <v>1764</v>
      </c>
      <c r="H2019" s="836" t="s">
        <v>1765</v>
      </c>
      <c r="I2019" s="886"/>
      <c r="J2019" s="1292" t="s">
        <v>39</v>
      </c>
      <c r="K2019" s="877" t="s">
        <v>147</v>
      </c>
      <c r="L2019" s="395" t="s">
        <v>1559</v>
      </c>
      <c r="M2019" s="886" t="s">
        <v>1768</v>
      </c>
      <c r="N2019" s="512" t="s">
        <v>1767</v>
      </c>
      <c r="O2019" s="512"/>
      <c r="P2019" s="512"/>
      <c r="Q2019" s="512"/>
      <c r="R2019" s="512"/>
      <c r="S2019" s="512"/>
      <c r="T2019" s="512"/>
      <c r="U2019" s="512"/>
      <c r="V2019" s="512"/>
      <c r="W2019" s="512"/>
    </row>
    <row r="2020" s="800" customFormat="1" ht="16.5" customHeight="1" spans="1:23">
      <c r="A2020" s="877" t="s">
        <v>1735</v>
      </c>
      <c r="B2020" s="1352" t="s">
        <v>1762</v>
      </c>
      <c r="C2020" s="1352" t="s">
        <v>1769</v>
      </c>
      <c r="D2020" s="392">
        <v>80</v>
      </c>
      <c r="E2020" s="281"/>
      <c r="F2020" s="830"/>
      <c r="G2020" s="830" t="s">
        <v>1764</v>
      </c>
      <c r="H2020" s="836" t="s">
        <v>1765</v>
      </c>
      <c r="I2020" s="886"/>
      <c r="J2020" s="1292" t="s">
        <v>39</v>
      </c>
      <c r="K2020" s="877" t="s">
        <v>147</v>
      </c>
      <c r="L2020" s="395" t="s">
        <v>1559</v>
      </c>
      <c r="M2020" s="886"/>
      <c r="N2020" s="512" t="s">
        <v>1767</v>
      </c>
      <c r="O2020" s="512"/>
      <c r="P2020" s="512"/>
      <c r="Q2020" s="512"/>
      <c r="R2020" s="512"/>
      <c r="S2020" s="512"/>
      <c r="T2020" s="512"/>
      <c r="U2020" s="512"/>
      <c r="V2020" s="512"/>
      <c r="W2020" s="512"/>
    </row>
    <row r="2021" s="800" customFormat="1" ht="16.5" customHeight="1" spans="1:23">
      <c r="A2021" s="877" t="s">
        <v>1735</v>
      </c>
      <c r="B2021" s="1352" t="s">
        <v>1762</v>
      </c>
      <c r="C2021" s="1352" t="s">
        <v>1770</v>
      </c>
      <c r="D2021" s="392">
        <v>80</v>
      </c>
      <c r="E2021" s="69"/>
      <c r="F2021" s="830"/>
      <c r="G2021" s="830" t="s">
        <v>1764</v>
      </c>
      <c r="H2021" s="836" t="s">
        <v>1765</v>
      </c>
      <c r="I2021" s="886"/>
      <c r="J2021" s="1292" t="s">
        <v>39</v>
      </c>
      <c r="K2021" s="877" t="s">
        <v>147</v>
      </c>
      <c r="L2021" s="395" t="s">
        <v>1559</v>
      </c>
      <c r="M2021" s="886"/>
      <c r="N2021" s="512" t="s">
        <v>1767</v>
      </c>
      <c r="O2021" s="512"/>
      <c r="P2021" s="512"/>
      <c r="Q2021" s="512"/>
      <c r="R2021" s="512"/>
      <c r="S2021" s="512"/>
      <c r="T2021" s="512"/>
      <c r="U2021" s="512"/>
      <c r="V2021" s="512"/>
      <c r="W2021" s="512"/>
    </row>
    <row r="2022" s="800" customFormat="1" ht="16.5" customHeight="1" spans="1:23">
      <c r="A2022" s="877" t="s">
        <v>1735</v>
      </c>
      <c r="B2022" s="1352" t="s">
        <v>1762</v>
      </c>
      <c r="C2022" s="1352" t="s">
        <v>901</v>
      </c>
      <c r="D2022" s="392">
        <v>3</v>
      </c>
      <c r="E2022" s="281"/>
      <c r="F2022" s="830"/>
      <c r="G2022" s="830" t="s">
        <v>1764</v>
      </c>
      <c r="H2022" s="836" t="s">
        <v>1765</v>
      </c>
      <c r="I2022" s="886"/>
      <c r="J2022" s="1292" t="s">
        <v>39</v>
      </c>
      <c r="K2022" s="877" t="s">
        <v>147</v>
      </c>
      <c r="L2022" s="395" t="s">
        <v>1559</v>
      </c>
      <c r="M2022" s="886"/>
      <c r="N2022" s="512" t="s">
        <v>1767</v>
      </c>
      <c r="O2022" s="512"/>
      <c r="P2022" s="512"/>
      <c r="Q2022" s="512"/>
      <c r="R2022" s="512"/>
      <c r="S2022" s="512"/>
      <c r="T2022" s="512"/>
      <c r="U2022" s="512"/>
      <c r="V2022" s="512"/>
      <c r="W2022" s="512"/>
    </row>
    <row r="2023" s="800" customFormat="1" ht="16.5" customHeight="1" spans="1:23">
      <c r="A2023" s="877" t="s">
        <v>1735</v>
      </c>
      <c r="B2023" s="1352" t="s">
        <v>1762</v>
      </c>
      <c r="C2023" s="1352" t="s">
        <v>1771</v>
      </c>
      <c r="D2023" s="392">
        <v>1</v>
      </c>
      <c r="E2023" s="281"/>
      <c r="F2023" s="830"/>
      <c r="G2023" s="830" t="s">
        <v>1764</v>
      </c>
      <c r="H2023" s="836" t="s">
        <v>1765</v>
      </c>
      <c r="I2023" s="886"/>
      <c r="J2023" s="1292" t="s">
        <v>39</v>
      </c>
      <c r="K2023" s="877" t="s">
        <v>147</v>
      </c>
      <c r="L2023" s="395" t="s">
        <v>1559</v>
      </c>
      <c r="M2023" s="886"/>
      <c r="N2023" s="512" t="s">
        <v>1767</v>
      </c>
      <c r="O2023" s="512"/>
      <c r="P2023" s="512"/>
      <c r="Q2023" s="512"/>
      <c r="R2023" s="512"/>
      <c r="S2023" s="512"/>
      <c r="T2023" s="512"/>
      <c r="U2023" s="512"/>
      <c r="V2023" s="512"/>
      <c r="W2023" s="512"/>
    </row>
    <row r="2024" s="800" customFormat="1" ht="16.5" customHeight="1" spans="1:23">
      <c r="A2024" s="877" t="s">
        <v>1735</v>
      </c>
      <c r="B2024" s="1352" t="s">
        <v>1772</v>
      </c>
      <c r="C2024" s="1352" t="s">
        <v>1769</v>
      </c>
      <c r="D2024" s="392">
        <v>70</v>
      </c>
      <c r="E2024" s="845" t="s">
        <v>1773</v>
      </c>
      <c r="F2024" s="830"/>
      <c r="G2024" s="830" t="s">
        <v>1764</v>
      </c>
      <c r="H2024" s="836" t="s">
        <v>1765</v>
      </c>
      <c r="I2024" s="886"/>
      <c r="J2024" s="1292" t="s">
        <v>39</v>
      </c>
      <c r="K2024" s="877" t="s">
        <v>147</v>
      </c>
      <c r="L2024" s="395" t="s">
        <v>1559</v>
      </c>
      <c r="M2024" s="886" t="s">
        <v>1766</v>
      </c>
      <c r="N2024" s="512" t="s">
        <v>1767</v>
      </c>
      <c r="O2024" s="512"/>
      <c r="P2024" s="512"/>
      <c r="Q2024" s="512"/>
      <c r="R2024" s="512"/>
      <c r="S2024" s="512"/>
      <c r="T2024" s="512"/>
      <c r="U2024" s="512"/>
      <c r="V2024" s="512"/>
      <c r="W2024" s="512"/>
    </row>
    <row r="2025" s="800" customFormat="1" ht="16.5" customHeight="1" spans="1:23">
      <c r="A2025" s="877" t="s">
        <v>1735</v>
      </c>
      <c r="B2025" s="1352" t="s">
        <v>1772</v>
      </c>
      <c r="C2025" s="1352" t="s">
        <v>1770</v>
      </c>
      <c r="D2025" s="392">
        <v>70</v>
      </c>
      <c r="E2025" s="281"/>
      <c r="F2025" s="830"/>
      <c r="G2025" s="830" t="s">
        <v>1764</v>
      </c>
      <c r="H2025" s="836" t="s">
        <v>1765</v>
      </c>
      <c r="I2025" s="886"/>
      <c r="J2025" s="1292" t="s">
        <v>39</v>
      </c>
      <c r="K2025" s="877" t="s">
        <v>147</v>
      </c>
      <c r="L2025" s="395" t="s">
        <v>1559</v>
      </c>
      <c r="M2025" s="886" t="s">
        <v>1774</v>
      </c>
      <c r="N2025" s="512" t="s">
        <v>1767</v>
      </c>
      <c r="O2025" s="512"/>
      <c r="P2025" s="512"/>
      <c r="Q2025" s="512"/>
      <c r="R2025" s="512"/>
      <c r="S2025" s="512"/>
      <c r="T2025" s="512"/>
      <c r="U2025" s="512"/>
      <c r="V2025" s="512"/>
      <c r="W2025" s="512"/>
    </row>
    <row r="2026" s="800" customFormat="1" ht="16.5" customHeight="1" spans="1:23">
      <c r="A2026" s="877" t="s">
        <v>1735</v>
      </c>
      <c r="B2026" s="1352" t="s">
        <v>1772</v>
      </c>
      <c r="C2026" s="1352" t="s">
        <v>1775</v>
      </c>
      <c r="D2026" s="392">
        <v>40</v>
      </c>
      <c r="E2026" s="281"/>
      <c r="F2026" s="830"/>
      <c r="G2026" s="830" t="s">
        <v>1764</v>
      </c>
      <c r="H2026" s="836" t="s">
        <v>1765</v>
      </c>
      <c r="I2026" s="886"/>
      <c r="J2026" s="1292" t="s">
        <v>39</v>
      </c>
      <c r="K2026" s="877" t="s">
        <v>147</v>
      </c>
      <c r="L2026" s="395" t="s">
        <v>1559</v>
      </c>
      <c r="M2026" s="886"/>
      <c r="N2026" s="512" t="s">
        <v>1767</v>
      </c>
      <c r="O2026" s="512"/>
      <c r="P2026" s="512"/>
      <c r="Q2026" s="512"/>
      <c r="R2026" s="512"/>
      <c r="S2026" s="512"/>
      <c r="T2026" s="512"/>
      <c r="U2026" s="512"/>
      <c r="V2026" s="512"/>
      <c r="W2026" s="512"/>
    </row>
    <row r="2027" s="800" customFormat="1" ht="16.5" customHeight="1" spans="1:23">
      <c r="A2027" s="877" t="s">
        <v>1735</v>
      </c>
      <c r="B2027" s="1352" t="s">
        <v>1772</v>
      </c>
      <c r="C2027" s="1352" t="s">
        <v>1776</v>
      </c>
      <c r="D2027" s="392">
        <v>40</v>
      </c>
      <c r="E2027" s="281"/>
      <c r="F2027" s="830"/>
      <c r="G2027" s="830" t="s">
        <v>1764</v>
      </c>
      <c r="H2027" s="836" t="s">
        <v>1765</v>
      </c>
      <c r="I2027" s="886"/>
      <c r="J2027" s="1292" t="s">
        <v>39</v>
      </c>
      <c r="K2027" s="877" t="s">
        <v>147</v>
      </c>
      <c r="L2027" s="395" t="s">
        <v>1559</v>
      </c>
      <c r="M2027" s="886"/>
      <c r="N2027" s="512" t="s">
        <v>1767</v>
      </c>
      <c r="O2027" s="512"/>
      <c r="P2027" s="512"/>
      <c r="Q2027" s="512"/>
      <c r="R2027" s="512"/>
      <c r="S2027" s="512"/>
      <c r="T2027" s="512"/>
      <c r="U2027" s="512"/>
      <c r="V2027" s="512"/>
      <c r="W2027" s="512"/>
    </row>
    <row r="2028" s="800" customFormat="1" ht="16.5" customHeight="1" spans="1:23">
      <c r="A2028" s="877" t="s">
        <v>1735</v>
      </c>
      <c r="B2028" s="1352" t="s">
        <v>1772</v>
      </c>
      <c r="C2028" s="1352" t="s">
        <v>1771</v>
      </c>
      <c r="D2028" s="392">
        <v>2</v>
      </c>
      <c r="E2028" s="281"/>
      <c r="F2028" s="830"/>
      <c r="G2028" s="830" t="s">
        <v>1764</v>
      </c>
      <c r="H2028" s="836" t="s">
        <v>1765</v>
      </c>
      <c r="I2028" s="886"/>
      <c r="J2028" s="1292" t="s">
        <v>39</v>
      </c>
      <c r="K2028" s="877" t="s">
        <v>147</v>
      </c>
      <c r="L2028" s="395" t="s">
        <v>1559</v>
      </c>
      <c r="M2028" s="886"/>
      <c r="N2028" s="512" t="s">
        <v>1767</v>
      </c>
      <c r="O2028" s="512"/>
      <c r="P2028" s="512"/>
      <c r="Q2028" s="512"/>
      <c r="R2028" s="512"/>
      <c r="S2028" s="512"/>
      <c r="T2028" s="512"/>
      <c r="U2028" s="512"/>
      <c r="V2028" s="512"/>
      <c r="W2028" s="512"/>
    </row>
    <row r="2029" s="800" customFormat="1" ht="16.5" customHeight="1" spans="1:23">
      <c r="A2029" s="877" t="s">
        <v>1735</v>
      </c>
      <c r="B2029" s="1352" t="s">
        <v>1777</v>
      </c>
      <c r="C2029" s="1352" t="s">
        <v>1775</v>
      </c>
      <c r="D2029" s="392">
        <v>10</v>
      </c>
      <c r="E2029" s="845" t="s">
        <v>1778</v>
      </c>
      <c r="F2029" s="830"/>
      <c r="G2029" s="830" t="s">
        <v>1764</v>
      </c>
      <c r="H2029" s="836" t="s">
        <v>1765</v>
      </c>
      <c r="I2029" s="886"/>
      <c r="J2029" s="1292" t="s">
        <v>39</v>
      </c>
      <c r="K2029" s="877" t="s">
        <v>147</v>
      </c>
      <c r="L2029" s="395" t="s">
        <v>1559</v>
      </c>
      <c r="M2029" s="886" t="s">
        <v>1766</v>
      </c>
      <c r="N2029" s="512" t="s">
        <v>1767</v>
      </c>
      <c r="O2029" s="512"/>
      <c r="P2029" s="512"/>
      <c r="Q2029" s="512"/>
      <c r="R2029" s="512"/>
      <c r="S2029" s="512"/>
      <c r="T2029" s="512"/>
      <c r="U2029" s="512"/>
      <c r="V2029" s="512"/>
      <c r="W2029" s="512"/>
    </row>
    <row r="2030" s="800" customFormat="1" ht="16.5" customHeight="1" spans="1:23">
      <c r="A2030" s="877" t="s">
        <v>1735</v>
      </c>
      <c r="B2030" s="1352" t="s">
        <v>1777</v>
      </c>
      <c r="C2030" s="1352" t="s">
        <v>1776</v>
      </c>
      <c r="D2030" s="392">
        <v>10</v>
      </c>
      <c r="E2030" s="281"/>
      <c r="F2030" s="830"/>
      <c r="G2030" s="830" t="s">
        <v>1764</v>
      </c>
      <c r="H2030" s="836" t="s">
        <v>1765</v>
      </c>
      <c r="I2030" s="886"/>
      <c r="J2030" s="1292" t="s">
        <v>39</v>
      </c>
      <c r="K2030" s="877" t="s">
        <v>147</v>
      </c>
      <c r="L2030" s="395" t="s">
        <v>1559</v>
      </c>
      <c r="M2030" s="886" t="s">
        <v>1779</v>
      </c>
      <c r="N2030" s="512" t="s">
        <v>1767</v>
      </c>
      <c r="O2030" s="512"/>
      <c r="P2030" s="512"/>
      <c r="Q2030" s="512"/>
      <c r="R2030" s="512"/>
      <c r="S2030" s="512"/>
      <c r="T2030" s="512"/>
      <c r="U2030" s="512"/>
      <c r="V2030" s="512"/>
      <c r="W2030" s="512"/>
    </row>
    <row r="2031" s="800" customFormat="1" ht="16.5" customHeight="1" spans="1:23">
      <c r="A2031" s="877" t="s">
        <v>1735</v>
      </c>
      <c r="B2031" s="1352" t="s">
        <v>1777</v>
      </c>
      <c r="C2031" s="1352" t="s">
        <v>1780</v>
      </c>
      <c r="D2031" s="392">
        <v>10</v>
      </c>
      <c r="E2031" s="281"/>
      <c r="F2031" s="830"/>
      <c r="G2031" s="830" t="s">
        <v>1764</v>
      </c>
      <c r="H2031" s="836" t="s">
        <v>1765</v>
      </c>
      <c r="I2031" s="886"/>
      <c r="J2031" s="1292" t="s">
        <v>39</v>
      </c>
      <c r="K2031" s="877" t="s">
        <v>147</v>
      </c>
      <c r="L2031" s="395" t="s">
        <v>1559</v>
      </c>
      <c r="M2031" s="886"/>
      <c r="N2031" s="512" t="s">
        <v>1767</v>
      </c>
      <c r="O2031" s="512"/>
      <c r="P2031" s="512"/>
      <c r="Q2031" s="512"/>
      <c r="R2031" s="512"/>
      <c r="S2031" s="512"/>
      <c r="T2031" s="512"/>
      <c r="U2031" s="512"/>
      <c r="V2031" s="512"/>
      <c r="W2031" s="512"/>
    </row>
    <row r="2032" s="800" customFormat="1" ht="16.5" customHeight="1" spans="1:23">
      <c r="A2032" s="877" t="s">
        <v>1735</v>
      </c>
      <c r="B2032" s="1352" t="s">
        <v>1777</v>
      </c>
      <c r="C2032" s="1352" t="s">
        <v>1781</v>
      </c>
      <c r="D2032" s="392">
        <v>10</v>
      </c>
      <c r="E2032" s="281"/>
      <c r="F2032" s="830"/>
      <c r="G2032" s="830" t="s">
        <v>1764</v>
      </c>
      <c r="H2032" s="836" t="s">
        <v>1765</v>
      </c>
      <c r="I2032" s="886"/>
      <c r="J2032" s="1292" t="s">
        <v>39</v>
      </c>
      <c r="K2032" s="877" t="s">
        <v>147</v>
      </c>
      <c r="L2032" s="395" t="s">
        <v>1559</v>
      </c>
      <c r="M2032" s="886"/>
      <c r="N2032" s="512" t="s">
        <v>1767</v>
      </c>
      <c r="O2032" s="512"/>
      <c r="P2032" s="512"/>
      <c r="Q2032" s="512"/>
      <c r="R2032" s="512"/>
      <c r="S2032" s="512"/>
      <c r="T2032" s="512"/>
      <c r="U2032" s="512"/>
      <c r="V2032" s="512"/>
      <c r="W2032" s="512"/>
    </row>
    <row r="2033" s="800" customFormat="1" ht="16.5" customHeight="1" spans="1:23">
      <c r="A2033" s="877" t="s">
        <v>1735</v>
      </c>
      <c r="B2033" s="1352" t="s">
        <v>1777</v>
      </c>
      <c r="C2033" s="1352" t="s">
        <v>1782</v>
      </c>
      <c r="D2033" s="392">
        <v>10</v>
      </c>
      <c r="E2033" s="281"/>
      <c r="F2033" s="830"/>
      <c r="G2033" s="830" t="s">
        <v>1764</v>
      </c>
      <c r="H2033" s="836" t="s">
        <v>1765</v>
      </c>
      <c r="I2033" s="886"/>
      <c r="J2033" s="1292" t="s">
        <v>39</v>
      </c>
      <c r="K2033" s="877" t="s">
        <v>147</v>
      </c>
      <c r="L2033" s="395" t="s">
        <v>1559</v>
      </c>
      <c r="M2033" s="886"/>
      <c r="N2033" s="512" t="s">
        <v>1767</v>
      </c>
      <c r="O2033" s="512"/>
      <c r="P2033" s="512"/>
      <c r="Q2033" s="512"/>
      <c r="R2033" s="512"/>
      <c r="S2033" s="512"/>
      <c r="T2033" s="512"/>
      <c r="U2033" s="512"/>
      <c r="V2033" s="512"/>
      <c r="W2033" s="512"/>
    </row>
    <row r="2034" s="800" customFormat="1" ht="16.5" customHeight="1" spans="1:23">
      <c r="A2034" s="877" t="s">
        <v>1735</v>
      </c>
      <c r="B2034" s="1352" t="s">
        <v>1777</v>
      </c>
      <c r="C2034" s="1352" t="s">
        <v>1783</v>
      </c>
      <c r="D2034" s="392">
        <v>10</v>
      </c>
      <c r="E2034" s="281"/>
      <c r="F2034" s="830"/>
      <c r="G2034" s="830" t="s">
        <v>1764</v>
      </c>
      <c r="H2034" s="836" t="s">
        <v>1765</v>
      </c>
      <c r="I2034" s="886"/>
      <c r="J2034" s="1292" t="s">
        <v>39</v>
      </c>
      <c r="K2034" s="877" t="s">
        <v>147</v>
      </c>
      <c r="L2034" s="395" t="s">
        <v>1559</v>
      </c>
      <c r="M2034" s="886"/>
      <c r="N2034" s="512" t="s">
        <v>1767</v>
      </c>
      <c r="O2034" s="512"/>
      <c r="P2034" s="512"/>
      <c r="Q2034" s="512"/>
      <c r="R2034" s="512"/>
      <c r="S2034" s="512"/>
      <c r="T2034" s="512"/>
      <c r="U2034" s="512"/>
      <c r="V2034" s="512"/>
      <c r="W2034" s="512"/>
    </row>
    <row r="2035" s="800" customFormat="1" ht="16.5" customHeight="1" spans="1:23">
      <c r="A2035" s="877" t="s">
        <v>1735</v>
      </c>
      <c r="B2035" s="1352" t="s">
        <v>1777</v>
      </c>
      <c r="C2035" s="1352" t="s">
        <v>1784</v>
      </c>
      <c r="D2035" s="392">
        <v>10</v>
      </c>
      <c r="E2035" s="281"/>
      <c r="F2035" s="830"/>
      <c r="G2035" s="830" t="s">
        <v>1764</v>
      </c>
      <c r="H2035" s="836" t="s">
        <v>1765</v>
      </c>
      <c r="I2035" s="886"/>
      <c r="J2035" s="1292" t="s">
        <v>39</v>
      </c>
      <c r="K2035" s="877" t="s">
        <v>147</v>
      </c>
      <c r="L2035" s="395" t="s">
        <v>1559</v>
      </c>
      <c r="M2035" s="886"/>
      <c r="N2035" s="512" t="s">
        <v>1767</v>
      </c>
      <c r="O2035" s="512"/>
      <c r="P2035" s="512"/>
      <c r="Q2035" s="512"/>
      <c r="R2035" s="512"/>
      <c r="S2035" s="512"/>
      <c r="T2035" s="512"/>
      <c r="U2035" s="512"/>
      <c r="V2035" s="512"/>
      <c r="W2035" s="512"/>
    </row>
    <row r="2036" s="800" customFormat="1" ht="16.5" customHeight="1" spans="1:23">
      <c r="A2036" s="877" t="s">
        <v>1735</v>
      </c>
      <c r="B2036" s="1352" t="s">
        <v>1777</v>
      </c>
      <c r="C2036" s="1352" t="s">
        <v>1785</v>
      </c>
      <c r="D2036" s="392">
        <v>10</v>
      </c>
      <c r="E2036" s="69"/>
      <c r="F2036" s="830"/>
      <c r="G2036" s="830" t="s">
        <v>1764</v>
      </c>
      <c r="H2036" s="836" t="s">
        <v>1765</v>
      </c>
      <c r="I2036" s="886"/>
      <c r="J2036" s="1292" t="s">
        <v>39</v>
      </c>
      <c r="K2036" s="877" t="s">
        <v>147</v>
      </c>
      <c r="L2036" s="395" t="s">
        <v>1559</v>
      </c>
      <c r="M2036" s="886"/>
      <c r="N2036" s="512" t="s">
        <v>1767</v>
      </c>
      <c r="O2036" s="512"/>
      <c r="P2036" s="512"/>
      <c r="Q2036" s="512"/>
      <c r="R2036" s="512"/>
      <c r="S2036" s="512"/>
      <c r="T2036" s="512"/>
      <c r="U2036" s="512"/>
      <c r="V2036" s="512"/>
      <c r="W2036" s="512"/>
    </row>
    <row r="2037" s="800" customFormat="1" ht="16.5" customHeight="1" spans="1:23">
      <c r="A2037" s="877" t="s">
        <v>1735</v>
      </c>
      <c r="B2037" s="1352" t="s">
        <v>1777</v>
      </c>
      <c r="C2037" s="1352" t="s">
        <v>1786</v>
      </c>
      <c r="D2037" s="392">
        <v>10</v>
      </c>
      <c r="E2037" s="281"/>
      <c r="F2037" s="830"/>
      <c r="G2037" s="830" t="s">
        <v>1764</v>
      </c>
      <c r="H2037" s="836" t="s">
        <v>1765</v>
      </c>
      <c r="I2037" s="886"/>
      <c r="J2037" s="1292" t="s">
        <v>39</v>
      </c>
      <c r="K2037" s="877" t="s">
        <v>147</v>
      </c>
      <c r="L2037" s="395" t="s">
        <v>1559</v>
      </c>
      <c r="M2037" s="886"/>
      <c r="N2037" s="512" t="s">
        <v>1767</v>
      </c>
      <c r="O2037" s="512"/>
      <c r="P2037" s="512"/>
      <c r="Q2037" s="512"/>
      <c r="R2037" s="512"/>
      <c r="S2037" s="512"/>
      <c r="T2037" s="512"/>
      <c r="U2037" s="512"/>
      <c r="V2037" s="512"/>
      <c r="W2037" s="512"/>
    </row>
    <row r="2038" s="800" customFormat="1" ht="16.5" customHeight="1" spans="1:23">
      <c r="A2038" s="877" t="s">
        <v>1735</v>
      </c>
      <c r="B2038" s="1352" t="s">
        <v>1777</v>
      </c>
      <c r="C2038" s="1352" t="s">
        <v>1787</v>
      </c>
      <c r="D2038" s="392">
        <v>10</v>
      </c>
      <c r="E2038" s="281"/>
      <c r="F2038" s="830"/>
      <c r="G2038" s="830" t="s">
        <v>1764</v>
      </c>
      <c r="H2038" s="836" t="s">
        <v>1765</v>
      </c>
      <c r="I2038" s="886"/>
      <c r="J2038" s="1292" t="s">
        <v>39</v>
      </c>
      <c r="K2038" s="886" t="s">
        <v>147</v>
      </c>
      <c r="L2038" s="395" t="s">
        <v>1559</v>
      </c>
      <c r="M2038" s="886"/>
      <c r="N2038" s="512" t="s">
        <v>1767</v>
      </c>
      <c r="O2038" s="512"/>
      <c r="P2038" s="512"/>
      <c r="Q2038" s="512"/>
      <c r="R2038" s="512"/>
      <c r="S2038" s="512"/>
      <c r="T2038" s="512"/>
      <c r="U2038" s="512"/>
      <c r="V2038" s="512"/>
      <c r="W2038" s="512"/>
    </row>
    <row r="2039" s="800" customFormat="1" ht="16.5" customHeight="1" spans="1:23">
      <c r="A2039" s="877" t="s">
        <v>1735</v>
      </c>
      <c r="B2039" s="1352" t="s">
        <v>1777</v>
      </c>
      <c r="C2039" s="1352" t="s">
        <v>757</v>
      </c>
      <c r="D2039" s="392">
        <v>10</v>
      </c>
      <c r="E2039" s="281"/>
      <c r="F2039" s="830"/>
      <c r="G2039" s="830" t="s">
        <v>1764</v>
      </c>
      <c r="H2039" s="836" t="s">
        <v>1765</v>
      </c>
      <c r="I2039" s="886"/>
      <c r="J2039" s="1292" t="s">
        <v>39</v>
      </c>
      <c r="K2039" s="886" t="s">
        <v>147</v>
      </c>
      <c r="L2039" s="395" t="s">
        <v>1559</v>
      </c>
      <c r="M2039" s="886"/>
      <c r="N2039" s="512" t="s">
        <v>1767</v>
      </c>
      <c r="O2039" s="512"/>
      <c r="P2039" s="512"/>
      <c r="Q2039" s="512"/>
      <c r="R2039" s="512"/>
      <c r="S2039" s="512"/>
      <c r="T2039" s="512"/>
      <c r="U2039" s="512"/>
      <c r="V2039" s="512"/>
      <c r="W2039" s="512"/>
    </row>
    <row r="2040" s="800" customFormat="1" ht="16.5" customHeight="1" spans="1:23">
      <c r="A2040" s="877" t="s">
        <v>1735</v>
      </c>
      <c r="B2040" s="1352" t="s">
        <v>1777</v>
      </c>
      <c r="C2040" s="1352" t="s">
        <v>1561</v>
      </c>
      <c r="D2040" s="392">
        <v>20</v>
      </c>
      <c r="E2040" s="281"/>
      <c r="F2040" s="830"/>
      <c r="G2040" s="830" t="s">
        <v>1764</v>
      </c>
      <c r="H2040" s="836" t="s">
        <v>1765</v>
      </c>
      <c r="I2040" s="886"/>
      <c r="J2040" s="1292" t="s">
        <v>39</v>
      </c>
      <c r="K2040" s="886" t="s">
        <v>147</v>
      </c>
      <c r="L2040" s="395" t="s">
        <v>1559</v>
      </c>
      <c r="M2040" s="886"/>
      <c r="N2040" s="512" t="s">
        <v>1767</v>
      </c>
      <c r="O2040" s="512"/>
      <c r="P2040" s="512"/>
      <c r="Q2040" s="512"/>
      <c r="R2040" s="512"/>
      <c r="S2040" s="512"/>
      <c r="T2040" s="512"/>
      <c r="U2040" s="512"/>
      <c r="V2040" s="512"/>
      <c r="W2040" s="512"/>
    </row>
    <row r="2041" s="800" customFormat="1" ht="16.5" customHeight="1" spans="1:23">
      <c r="A2041" s="877" t="s">
        <v>1735</v>
      </c>
      <c r="B2041" s="1352" t="s">
        <v>1777</v>
      </c>
      <c r="C2041" s="1352" t="s">
        <v>1771</v>
      </c>
      <c r="D2041" s="392">
        <v>2</v>
      </c>
      <c r="E2041" s="281"/>
      <c r="F2041" s="830"/>
      <c r="G2041" s="830" t="s">
        <v>1764</v>
      </c>
      <c r="H2041" s="836" t="s">
        <v>1765</v>
      </c>
      <c r="I2041" s="886"/>
      <c r="J2041" s="1292" t="s">
        <v>39</v>
      </c>
      <c r="K2041" s="886" t="s">
        <v>147</v>
      </c>
      <c r="L2041" s="395" t="s">
        <v>1559</v>
      </c>
      <c r="M2041" s="886"/>
      <c r="N2041" s="512" t="s">
        <v>1767</v>
      </c>
      <c r="O2041" s="512"/>
      <c r="P2041" s="512"/>
      <c r="Q2041" s="512"/>
      <c r="R2041" s="512"/>
      <c r="S2041" s="512"/>
      <c r="T2041" s="512"/>
      <c r="U2041" s="512"/>
      <c r="V2041" s="512"/>
      <c r="W2041" s="512"/>
    </row>
    <row r="2042" ht="15.4" customHeight="1" spans="1:23">
      <c r="A2042" s="1272" t="s">
        <v>910</v>
      </c>
      <c r="B2042" s="1299" t="s">
        <v>1701</v>
      </c>
      <c r="C2042" s="1295" t="s">
        <v>651</v>
      </c>
      <c r="D2042" s="1296">
        <v>37</v>
      </c>
      <c r="E2042" s="1356" t="s">
        <v>1788</v>
      </c>
      <c r="F2042" s="839">
        <v>45884</v>
      </c>
      <c r="G2042" s="839" t="s">
        <v>1789</v>
      </c>
      <c r="H2042" s="836" t="s">
        <v>1790</v>
      </c>
      <c r="I2042" s="886"/>
      <c r="J2042" s="1324" t="s">
        <v>18</v>
      </c>
      <c r="K2042" s="1325" t="s">
        <v>147</v>
      </c>
      <c r="L2042" s="874" t="s">
        <v>1559</v>
      </c>
      <c r="M2042" s="886" t="s">
        <v>1791</v>
      </c>
      <c r="N2042" s="512" t="s">
        <v>1720</v>
      </c>
      <c r="O2042" s="325"/>
      <c r="P2042" s="325"/>
      <c r="Q2042" s="325"/>
      <c r="R2042" s="325"/>
      <c r="S2042" s="325"/>
      <c r="T2042" s="325"/>
      <c r="U2042" s="325"/>
      <c r="V2042" s="325"/>
      <c r="W2042" s="325"/>
    </row>
    <row r="2043" ht="16.5" customHeight="1" spans="1:23">
      <c r="A2043" s="818" t="s">
        <v>1446</v>
      </c>
      <c r="B2043" s="1357" t="s">
        <v>309</v>
      </c>
      <c r="C2043" s="946" t="s">
        <v>129</v>
      </c>
      <c r="D2043" s="450">
        <v>0</v>
      </c>
      <c r="E2043" s="1358" t="s">
        <v>1426</v>
      </c>
      <c r="F2043" s="1359">
        <v>45897</v>
      </c>
      <c r="G2043" s="1360" t="s">
        <v>1792</v>
      </c>
      <c r="H2043" s="1361"/>
      <c r="I2043" s="1378"/>
      <c r="J2043" s="1379" t="s">
        <v>39</v>
      </c>
      <c r="K2043" s="1380" t="s">
        <v>19</v>
      </c>
      <c r="L2043" s="1381"/>
      <c r="M2043" s="1382" t="s">
        <v>1793</v>
      </c>
      <c r="N2043" s="512"/>
      <c r="O2043" s="326"/>
      <c r="P2043" s="326"/>
      <c r="Q2043" s="326"/>
      <c r="R2043" s="326"/>
      <c r="S2043" s="326"/>
      <c r="T2043" s="326"/>
      <c r="U2043" s="326"/>
      <c r="V2043" s="326"/>
      <c r="W2043" s="326"/>
    </row>
    <row r="2044" ht="16.5" customHeight="1" spans="1:23">
      <c r="A2044" s="818" t="s">
        <v>1446</v>
      </c>
      <c r="B2044" s="1357" t="s">
        <v>309</v>
      </c>
      <c r="C2044" s="946" t="s">
        <v>133</v>
      </c>
      <c r="D2044" s="450">
        <v>0</v>
      </c>
      <c r="E2044" s="69"/>
      <c r="F2044" s="1359">
        <v>45897</v>
      </c>
      <c r="G2044" s="1360" t="s">
        <v>1792</v>
      </c>
      <c r="H2044" s="1361"/>
      <c r="I2044" s="1378"/>
      <c r="J2044" s="1379" t="s">
        <v>39</v>
      </c>
      <c r="K2044" s="1380" t="s">
        <v>19</v>
      </c>
      <c r="L2044" s="1381"/>
      <c r="M2044" s="1383"/>
      <c r="N2044" s="512"/>
      <c r="O2044" s="326"/>
      <c r="P2044" s="326"/>
      <c r="Q2044" s="326"/>
      <c r="R2044" s="326"/>
      <c r="S2044" s="326"/>
      <c r="T2044" s="326"/>
      <c r="U2044" s="326"/>
      <c r="V2044" s="326"/>
      <c r="W2044" s="326"/>
    </row>
    <row r="2045" ht="16.5" customHeight="1" spans="1:23">
      <c r="A2045" s="818" t="s">
        <v>1446</v>
      </c>
      <c r="B2045" s="1357" t="s">
        <v>309</v>
      </c>
      <c r="C2045" s="946" t="s">
        <v>15</v>
      </c>
      <c r="D2045" s="450">
        <v>0</v>
      </c>
      <c r="E2045" s="69"/>
      <c r="F2045" s="1359">
        <v>45897</v>
      </c>
      <c r="G2045" s="1360" t="s">
        <v>1792</v>
      </c>
      <c r="H2045" s="1361"/>
      <c r="I2045" s="1378"/>
      <c r="J2045" s="1379" t="s">
        <v>39</v>
      </c>
      <c r="K2045" s="1380" t="s">
        <v>19</v>
      </c>
      <c r="L2045" s="1381"/>
      <c r="M2045" s="1383"/>
      <c r="N2045" s="512"/>
      <c r="O2045" s="326"/>
      <c r="P2045" s="326"/>
      <c r="Q2045" s="326"/>
      <c r="R2045" s="326"/>
      <c r="S2045" s="326"/>
      <c r="T2045" s="326"/>
      <c r="U2045" s="326"/>
      <c r="V2045" s="326"/>
      <c r="W2045" s="326"/>
    </row>
    <row r="2046" ht="16.5" customHeight="1" spans="1:23">
      <c r="A2046" s="818" t="s">
        <v>1446</v>
      </c>
      <c r="B2046" s="1357" t="s">
        <v>309</v>
      </c>
      <c r="C2046" s="946" t="s">
        <v>22</v>
      </c>
      <c r="D2046" s="450">
        <v>0</v>
      </c>
      <c r="E2046" s="69"/>
      <c r="F2046" s="1359">
        <v>45897</v>
      </c>
      <c r="G2046" s="1360" t="s">
        <v>1792</v>
      </c>
      <c r="H2046" s="1361"/>
      <c r="I2046" s="1378"/>
      <c r="J2046" s="1379" t="s">
        <v>39</v>
      </c>
      <c r="K2046" s="1380" t="s">
        <v>19</v>
      </c>
      <c r="L2046" s="1381"/>
      <c r="M2046" s="1383"/>
      <c r="N2046" s="512"/>
      <c r="O2046" s="326"/>
      <c r="P2046" s="326"/>
      <c r="Q2046" s="326"/>
      <c r="R2046" s="326"/>
      <c r="S2046" s="326"/>
      <c r="T2046" s="326"/>
      <c r="U2046" s="326"/>
      <c r="V2046" s="326"/>
      <c r="W2046" s="326"/>
    </row>
    <row r="2047" ht="16.5" customHeight="1" spans="1:23">
      <c r="A2047" s="818" t="s">
        <v>1446</v>
      </c>
      <c r="B2047" s="1357" t="s">
        <v>309</v>
      </c>
      <c r="C2047" s="946" t="s">
        <v>24</v>
      </c>
      <c r="D2047" s="450">
        <v>0</v>
      </c>
      <c r="E2047" s="69"/>
      <c r="F2047" s="1359">
        <v>45897</v>
      </c>
      <c r="G2047" s="1360" t="s">
        <v>1792</v>
      </c>
      <c r="H2047" s="1361"/>
      <c r="I2047" s="1378"/>
      <c r="J2047" s="1379" t="s">
        <v>39</v>
      </c>
      <c r="K2047" s="1380" t="s">
        <v>19</v>
      </c>
      <c r="L2047" s="1381"/>
      <c r="M2047" s="1383"/>
      <c r="N2047" s="512"/>
      <c r="O2047" s="326"/>
      <c r="P2047" s="326"/>
      <c r="Q2047" s="326"/>
      <c r="R2047" s="326"/>
      <c r="S2047" s="326"/>
      <c r="T2047" s="326"/>
      <c r="U2047" s="326"/>
      <c r="V2047" s="326"/>
      <c r="W2047" s="326"/>
    </row>
    <row r="2048" ht="16.5" customHeight="1" spans="1:23">
      <c r="A2048" s="818" t="s">
        <v>1446</v>
      </c>
      <c r="B2048" s="1357" t="s">
        <v>309</v>
      </c>
      <c r="C2048" s="946" t="s">
        <v>25</v>
      </c>
      <c r="D2048" s="450">
        <v>0</v>
      </c>
      <c r="E2048" s="69"/>
      <c r="F2048" s="1359">
        <v>45897</v>
      </c>
      <c r="G2048" s="1360" t="s">
        <v>1792</v>
      </c>
      <c r="H2048" s="1361"/>
      <c r="I2048" s="1378"/>
      <c r="J2048" s="1379" t="s">
        <v>39</v>
      </c>
      <c r="K2048" s="1380" t="s">
        <v>19</v>
      </c>
      <c r="L2048" s="1381"/>
      <c r="M2048" s="1383"/>
      <c r="N2048" s="512"/>
      <c r="O2048" s="326"/>
      <c r="P2048" s="326"/>
      <c r="Q2048" s="326"/>
      <c r="R2048" s="326"/>
      <c r="S2048" s="326"/>
      <c r="T2048" s="326"/>
      <c r="U2048" s="326"/>
      <c r="V2048" s="326"/>
      <c r="W2048" s="326"/>
    </row>
    <row r="2049" ht="16.5" customHeight="1" spans="1:23">
      <c r="A2049" s="818" t="s">
        <v>1446</v>
      </c>
      <c r="B2049" s="1357" t="s">
        <v>309</v>
      </c>
      <c r="C2049" s="946" t="s">
        <v>27</v>
      </c>
      <c r="D2049" s="450">
        <v>0</v>
      </c>
      <c r="E2049" s="69"/>
      <c r="F2049" s="1359">
        <v>45897</v>
      </c>
      <c r="G2049" s="1360" t="s">
        <v>1792</v>
      </c>
      <c r="H2049" s="1361"/>
      <c r="I2049" s="1378"/>
      <c r="J2049" s="1379" t="s">
        <v>39</v>
      </c>
      <c r="K2049" s="1380" t="s">
        <v>19</v>
      </c>
      <c r="L2049" s="1381"/>
      <c r="M2049" s="1383"/>
      <c r="N2049" s="512"/>
      <c r="O2049" s="326"/>
      <c r="P2049" s="326"/>
      <c r="Q2049" s="326"/>
      <c r="R2049" s="326"/>
      <c r="S2049" s="326"/>
      <c r="T2049" s="326"/>
      <c r="U2049" s="326"/>
      <c r="V2049" s="326"/>
      <c r="W2049" s="326"/>
    </row>
    <row r="2050" ht="16.5" customHeight="1" spans="1:23">
      <c r="A2050" s="818" t="s">
        <v>1446</v>
      </c>
      <c r="B2050" s="1357" t="s">
        <v>309</v>
      </c>
      <c r="C2050" s="946" t="s">
        <v>28</v>
      </c>
      <c r="D2050" s="450">
        <v>0</v>
      </c>
      <c r="E2050" s="69"/>
      <c r="F2050" s="1359">
        <v>45897</v>
      </c>
      <c r="G2050" s="1360" t="s">
        <v>1792</v>
      </c>
      <c r="H2050" s="1361"/>
      <c r="I2050" s="1378"/>
      <c r="J2050" s="1379" t="s">
        <v>39</v>
      </c>
      <c r="K2050" s="1380" t="s">
        <v>19</v>
      </c>
      <c r="L2050" s="1381"/>
      <c r="M2050" s="1383"/>
      <c r="N2050" s="512"/>
      <c r="O2050" s="326"/>
      <c r="P2050" s="326"/>
      <c r="Q2050" s="326"/>
      <c r="R2050" s="326"/>
      <c r="S2050" s="326"/>
      <c r="T2050" s="326"/>
      <c r="U2050" s="326"/>
      <c r="V2050" s="326"/>
      <c r="W2050" s="326"/>
    </row>
    <row r="2051" ht="16.5" customHeight="1" spans="1:23">
      <c r="A2051" s="1384" t="s">
        <v>1446</v>
      </c>
      <c r="B2051" s="1357" t="s">
        <v>309</v>
      </c>
      <c r="C2051" s="946" t="s">
        <v>67</v>
      </c>
      <c r="D2051" s="450">
        <v>0</v>
      </c>
      <c r="E2051" s="69"/>
      <c r="F2051" s="1359">
        <v>45897</v>
      </c>
      <c r="G2051" s="1360" t="s">
        <v>1792</v>
      </c>
      <c r="H2051" s="937"/>
      <c r="I2051" s="913"/>
      <c r="J2051" s="1379" t="s">
        <v>39</v>
      </c>
      <c r="K2051" s="1380" t="s">
        <v>19</v>
      </c>
      <c r="L2051" s="182"/>
      <c r="M2051" s="1383"/>
      <c r="N2051" s="326"/>
      <c r="O2051" s="326"/>
      <c r="P2051" s="326"/>
      <c r="Q2051" s="326"/>
      <c r="R2051" s="326"/>
      <c r="S2051" s="326"/>
      <c r="T2051" s="326"/>
      <c r="U2051" s="326"/>
      <c r="V2051" s="326"/>
      <c r="W2051" s="326"/>
    </row>
    <row r="2052" ht="16.5" customHeight="1" spans="1:23">
      <c r="A2052" s="1384" t="s">
        <v>1446</v>
      </c>
      <c r="B2052" s="1357" t="s">
        <v>309</v>
      </c>
      <c r="C2052" s="946" t="s">
        <v>69</v>
      </c>
      <c r="D2052" s="450">
        <v>0</v>
      </c>
      <c r="E2052" s="69"/>
      <c r="F2052" s="1359">
        <v>45897</v>
      </c>
      <c r="G2052" s="1360" t="s">
        <v>1792</v>
      </c>
      <c r="H2052" s="937"/>
      <c r="I2052" s="913"/>
      <c r="J2052" s="1379" t="s">
        <v>39</v>
      </c>
      <c r="K2052" s="1380" t="s">
        <v>19</v>
      </c>
      <c r="L2052" s="182"/>
      <c r="M2052" s="1383"/>
      <c r="N2052" s="326"/>
      <c r="O2052" s="326"/>
      <c r="P2052" s="326"/>
      <c r="Q2052" s="326"/>
      <c r="R2052" s="326"/>
      <c r="S2052" s="326"/>
      <c r="T2052" s="326"/>
      <c r="U2052" s="326"/>
      <c r="V2052" s="326"/>
      <c r="W2052" s="326"/>
    </row>
    <row r="2053" ht="16.5" customHeight="1" spans="1:23">
      <c r="A2053" s="1384" t="s">
        <v>1446</v>
      </c>
      <c r="B2053" s="1357" t="s">
        <v>309</v>
      </c>
      <c r="C2053" s="946" t="s">
        <v>70</v>
      </c>
      <c r="D2053" s="450">
        <v>0</v>
      </c>
      <c r="E2053" s="69"/>
      <c r="F2053" s="1359">
        <v>45897</v>
      </c>
      <c r="G2053" s="1360" t="s">
        <v>1792</v>
      </c>
      <c r="H2053" s="937"/>
      <c r="I2053" s="913"/>
      <c r="J2053" s="1379" t="s">
        <v>39</v>
      </c>
      <c r="K2053" s="1380" t="s">
        <v>19</v>
      </c>
      <c r="L2053" s="182"/>
      <c r="M2053" s="1383"/>
      <c r="N2053" s="326"/>
      <c r="O2053" s="326"/>
      <c r="P2053" s="326"/>
      <c r="Q2053" s="326"/>
      <c r="R2053" s="326"/>
      <c r="S2053" s="326"/>
      <c r="T2053" s="326"/>
      <c r="U2053" s="326"/>
      <c r="V2053" s="326"/>
      <c r="W2053" s="326"/>
    </row>
    <row r="2054" ht="16.5" customHeight="1" spans="1:23">
      <c r="A2054" s="1385" t="s">
        <v>1446</v>
      </c>
      <c r="B2054" s="1386" t="s">
        <v>309</v>
      </c>
      <c r="C2054" s="966" t="s">
        <v>71</v>
      </c>
      <c r="D2054" s="447">
        <v>0</v>
      </c>
      <c r="E2054" s="281"/>
      <c r="F2054" s="1359">
        <v>45897</v>
      </c>
      <c r="G2054" s="1360" t="s">
        <v>1792</v>
      </c>
      <c r="H2054" s="937"/>
      <c r="I2054" s="913"/>
      <c r="J2054" s="1394" t="s">
        <v>39</v>
      </c>
      <c r="K2054" s="1395" t="s">
        <v>19</v>
      </c>
      <c r="L2054" s="445"/>
      <c r="M2054" s="1383"/>
      <c r="N2054" s="326"/>
      <c r="O2054" s="326"/>
      <c r="P2054" s="326"/>
      <c r="Q2054" s="326"/>
      <c r="R2054" s="326"/>
      <c r="S2054" s="326"/>
      <c r="T2054" s="326"/>
      <c r="U2054" s="326"/>
      <c r="V2054" s="326"/>
      <c r="W2054" s="326"/>
    </row>
    <row r="2055" s="800" customFormat="1" ht="16.5" customHeight="1" spans="1:23">
      <c r="A2055" s="819" t="s">
        <v>1735</v>
      </c>
      <c r="B2055" s="942" t="s">
        <v>1794</v>
      </c>
      <c r="C2055" s="1387" t="s">
        <v>1737</v>
      </c>
      <c r="D2055" s="896">
        <v>50</v>
      </c>
      <c r="E2055" s="817" t="s">
        <v>1795</v>
      </c>
      <c r="F2055" s="915"/>
      <c r="G2055" s="915" t="s">
        <v>1796</v>
      </c>
      <c r="H2055" s="937"/>
      <c r="I2055" s="913"/>
      <c r="J2055" s="1396" t="s">
        <v>18</v>
      </c>
      <c r="K2055" s="913" t="s">
        <v>147</v>
      </c>
      <c r="L2055" s="182"/>
      <c r="M2055" s="961" t="s">
        <v>1797</v>
      </c>
      <c r="N2055" s="512"/>
      <c r="O2055" s="512"/>
      <c r="P2055" s="512"/>
      <c r="Q2055" s="512"/>
      <c r="R2055" s="512"/>
      <c r="S2055" s="512"/>
      <c r="T2055" s="512"/>
      <c r="U2055" s="512"/>
      <c r="V2055" s="512"/>
      <c r="W2055" s="512"/>
    </row>
    <row r="2056" s="800" customFormat="1" ht="16.5" customHeight="1" spans="1:23">
      <c r="A2056" s="819" t="s">
        <v>1735</v>
      </c>
      <c r="B2056" s="942" t="s">
        <v>1794</v>
      </c>
      <c r="C2056" s="1387" t="s">
        <v>1740</v>
      </c>
      <c r="D2056" s="896">
        <v>50</v>
      </c>
      <c r="E2056" s="281"/>
      <c r="F2056" s="915"/>
      <c r="G2056" s="915" t="s">
        <v>1796</v>
      </c>
      <c r="H2056" s="937"/>
      <c r="I2056" s="913"/>
      <c r="J2056" s="1396" t="s">
        <v>18</v>
      </c>
      <c r="K2056" s="913" t="s">
        <v>147</v>
      </c>
      <c r="L2056" s="182"/>
      <c r="M2056" s="190"/>
      <c r="N2056" s="512"/>
      <c r="O2056" s="512"/>
      <c r="P2056" s="512"/>
      <c r="Q2056" s="512"/>
      <c r="R2056" s="512"/>
      <c r="S2056" s="512"/>
      <c r="T2056" s="512"/>
      <c r="U2056" s="512"/>
      <c r="V2056" s="512"/>
      <c r="W2056" s="512"/>
    </row>
    <row r="2057" s="800" customFormat="1" ht="16.5" customHeight="1" spans="1:23">
      <c r="A2057" s="819" t="s">
        <v>1735</v>
      </c>
      <c r="B2057" s="942" t="s">
        <v>1794</v>
      </c>
      <c r="C2057" s="1388" t="s">
        <v>1741</v>
      </c>
      <c r="D2057" s="439">
        <v>18</v>
      </c>
      <c r="E2057" s="281"/>
      <c r="F2057" s="915"/>
      <c r="G2057" s="915" t="s">
        <v>1796</v>
      </c>
      <c r="H2057" s="937"/>
      <c r="I2057" s="913"/>
      <c r="J2057" s="1396" t="s">
        <v>18</v>
      </c>
      <c r="K2057" s="913" t="s">
        <v>147</v>
      </c>
      <c r="L2057" s="182"/>
      <c r="M2057" s="190"/>
      <c r="N2057" s="512"/>
      <c r="O2057" s="512"/>
      <c r="P2057" s="512"/>
      <c r="Q2057" s="512"/>
      <c r="R2057" s="512"/>
      <c r="S2057" s="512"/>
      <c r="T2057" s="512"/>
      <c r="U2057" s="512"/>
      <c r="V2057" s="512"/>
      <c r="W2057" s="512"/>
    </row>
    <row r="2058" s="800" customFormat="1" ht="16.5" customHeight="1" spans="1:23">
      <c r="A2058" s="819" t="s">
        <v>1735</v>
      </c>
      <c r="B2058" s="942" t="s">
        <v>1794</v>
      </c>
      <c r="C2058" s="1388" t="s">
        <v>1742</v>
      </c>
      <c r="D2058" s="439">
        <v>18</v>
      </c>
      <c r="E2058" s="281"/>
      <c r="F2058" s="915"/>
      <c r="G2058" s="915" t="s">
        <v>1796</v>
      </c>
      <c r="H2058" s="937"/>
      <c r="I2058" s="913"/>
      <c r="J2058" s="1396" t="s">
        <v>18</v>
      </c>
      <c r="K2058" s="913" t="s">
        <v>147</v>
      </c>
      <c r="L2058" s="182"/>
      <c r="M2058" s="192"/>
      <c r="N2058" s="512"/>
      <c r="O2058" s="512"/>
      <c r="P2058" s="512"/>
      <c r="Q2058" s="512"/>
      <c r="R2058" s="512"/>
      <c r="S2058" s="512"/>
      <c r="T2058" s="512"/>
      <c r="U2058" s="512"/>
      <c r="V2058" s="512"/>
      <c r="W2058" s="512"/>
    </row>
    <row r="2059" s="800" customFormat="1" ht="16.5" customHeight="1" spans="1:23">
      <c r="A2059" s="819" t="s">
        <v>1735</v>
      </c>
      <c r="B2059" s="942" t="s">
        <v>1798</v>
      </c>
      <c r="C2059" s="1388" t="s">
        <v>1741</v>
      </c>
      <c r="D2059" s="439">
        <v>65</v>
      </c>
      <c r="E2059" s="281"/>
      <c r="F2059" s="915"/>
      <c r="G2059" s="915" t="s">
        <v>1796</v>
      </c>
      <c r="H2059" s="937"/>
      <c r="I2059" s="913"/>
      <c r="J2059" s="1396" t="s">
        <v>18</v>
      </c>
      <c r="K2059" s="913" t="s">
        <v>147</v>
      </c>
      <c r="L2059" s="182"/>
      <c r="M2059" s="961" t="s">
        <v>1799</v>
      </c>
      <c r="N2059" s="512"/>
      <c r="O2059" s="512"/>
      <c r="P2059" s="512"/>
      <c r="Q2059" s="512"/>
      <c r="R2059" s="512"/>
      <c r="S2059" s="512"/>
      <c r="T2059" s="512"/>
      <c r="U2059" s="512"/>
      <c r="V2059" s="512"/>
      <c r="W2059" s="512"/>
    </row>
    <row r="2060" s="800" customFormat="1" ht="16.5" customHeight="1" spans="1:23">
      <c r="A2060" s="819" t="s">
        <v>1735</v>
      </c>
      <c r="B2060" s="942" t="s">
        <v>1798</v>
      </c>
      <c r="C2060" s="1388" t="s">
        <v>1742</v>
      </c>
      <c r="D2060" s="439">
        <v>65</v>
      </c>
      <c r="E2060" s="281"/>
      <c r="F2060" s="915"/>
      <c r="G2060" s="915" t="s">
        <v>1796</v>
      </c>
      <c r="H2060" s="937"/>
      <c r="I2060" s="913"/>
      <c r="J2060" s="1396" t="s">
        <v>18</v>
      </c>
      <c r="K2060" s="913" t="s">
        <v>147</v>
      </c>
      <c r="L2060" s="182"/>
      <c r="M2060" s="192"/>
      <c r="N2060" s="512"/>
      <c r="O2060" s="512"/>
      <c r="P2060" s="512"/>
      <c r="Q2060" s="512"/>
      <c r="R2060" s="512"/>
      <c r="S2060" s="512"/>
      <c r="T2060" s="512"/>
      <c r="U2060" s="512"/>
      <c r="V2060" s="512"/>
      <c r="W2060" s="512"/>
    </row>
    <row r="2061" s="800" customFormat="1" ht="16.5" customHeight="1" spans="1:23">
      <c r="A2061" s="819" t="s">
        <v>1735</v>
      </c>
      <c r="B2061" s="942" t="s">
        <v>1800</v>
      </c>
      <c r="C2061" s="1388" t="s">
        <v>1741</v>
      </c>
      <c r="D2061" s="439">
        <v>65</v>
      </c>
      <c r="E2061" s="281"/>
      <c r="F2061" s="915"/>
      <c r="G2061" s="915" t="s">
        <v>1796</v>
      </c>
      <c r="H2061" s="937"/>
      <c r="I2061" s="913"/>
      <c r="J2061" s="1396" t="s">
        <v>18</v>
      </c>
      <c r="K2061" s="913" t="s">
        <v>147</v>
      </c>
      <c r="L2061" s="182"/>
      <c r="M2061" s="961" t="s">
        <v>1801</v>
      </c>
      <c r="N2061" s="512"/>
      <c r="O2061" s="512"/>
      <c r="P2061" s="512"/>
      <c r="Q2061" s="512"/>
      <c r="R2061" s="512"/>
      <c r="S2061" s="512"/>
      <c r="T2061" s="512"/>
      <c r="U2061" s="512"/>
      <c r="V2061" s="512"/>
      <c r="W2061" s="512"/>
    </row>
    <row r="2062" s="800" customFormat="1" ht="16.5" customHeight="1" spans="1:23">
      <c r="A2062" s="819" t="s">
        <v>1735</v>
      </c>
      <c r="B2062" s="942" t="s">
        <v>1800</v>
      </c>
      <c r="C2062" s="1388" t="s">
        <v>1742</v>
      </c>
      <c r="D2062" s="439">
        <v>65</v>
      </c>
      <c r="E2062" s="281"/>
      <c r="F2062" s="915"/>
      <c r="G2062" s="915" t="s">
        <v>1796</v>
      </c>
      <c r="H2062" s="937"/>
      <c r="I2062" s="913"/>
      <c r="J2062" s="1396" t="s">
        <v>18</v>
      </c>
      <c r="K2062" s="913" t="s">
        <v>147</v>
      </c>
      <c r="L2062" s="182"/>
      <c r="M2062" s="192"/>
      <c r="N2062" s="512"/>
      <c r="O2062" s="512"/>
      <c r="P2062" s="512"/>
      <c r="Q2062" s="512"/>
      <c r="R2062" s="512"/>
      <c r="S2062" s="512"/>
      <c r="T2062" s="512"/>
      <c r="U2062" s="512"/>
      <c r="V2062" s="512"/>
      <c r="W2062" s="512"/>
    </row>
    <row r="2063" s="800" customFormat="1" ht="16.5" customHeight="1" spans="1:23">
      <c r="A2063" s="819" t="s">
        <v>1735</v>
      </c>
      <c r="B2063" s="942" t="s">
        <v>1802</v>
      </c>
      <c r="C2063" s="1388" t="s">
        <v>1741</v>
      </c>
      <c r="D2063" s="439">
        <v>32</v>
      </c>
      <c r="E2063" s="281"/>
      <c r="F2063" s="915"/>
      <c r="G2063" s="915" t="s">
        <v>1796</v>
      </c>
      <c r="H2063" s="937"/>
      <c r="I2063" s="913"/>
      <c r="J2063" s="1396" t="s">
        <v>18</v>
      </c>
      <c r="K2063" s="913" t="s">
        <v>147</v>
      </c>
      <c r="L2063" s="182"/>
      <c r="M2063" s="961" t="s">
        <v>1803</v>
      </c>
      <c r="N2063" s="512"/>
      <c r="O2063" s="512"/>
      <c r="P2063" s="512"/>
      <c r="Q2063" s="512"/>
      <c r="R2063" s="512"/>
      <c r="S2063" s="512"/>
      <c r="T2063" s="512"/>
      <c r="U2063" s="512"/>
      <c r="V2063" s="512"/>
      <c r="W2063" s="512"/>
    </row>
    <row r="2064" s="800" customFormat="1" ht="16.5" customHeight="1" spans="1:23">
      <c r="A2064" s="819" t="s">
        <v>1735</v>
      </c>
      <c r="B2064" s="942" t="s">
        <v>1802</v>
      </c>
      <c r="C2064" s="1388" t="s">
        <v>1742</v>
      </c>
      <c r="D2064" s="439">
        <v>32</v>
      </c>
      <c r="E2064" s="281"/>
      <c r="F2064" s="1389"/>
      <c r="G2064" s="1389" t="s">
        <v>1796</v>
      </c>
      <c r="H2064" s="963"/>
      <c r="I2064" s="961"/>
      <c r="J2064" s="1397" t="s">
        <v>18</v>
      </c>
      <c r="K2064" s="961" t="s">
        <v>147</v>
      </c>
      <c r="L2064" s="445"/>
      <c r="M2064" s="190"/>
      <c r="N2064" s="512"/>
      <c r="O2064" s="512"/>
      <c r="P2064" s="512"/>
      <c r="Q2064" s="512"/>
      <c r="R2064" s="512"/>
      <c r="S2064" s="512"/>
      <c r="T2064" s="512"/>
      <c r="U2064" s="512"/>
      <c r="V2064" s="512"/>
      <c r="W2064" s="512"/>
    </row>
    <row r="2065" s="800" customFormat="1" ht="16.5" customHeight="1" spans="1:23">
      <c r="A2065" s="819" t="s">
        <v>1735</v>
      </c>
      <c r="B2065" s="942" t="s">
        <v>1802</v>
      </c>
      <c r="C2065" s="1388" t="s">
        <v>1741</v>
      </c>
      <c r="D2065" s="439">
        <v>20</v>
      </c>
      <c r="E2065" s="1390" t="s">
        <v>1804</v>
      </c>
      <c r="F2065" s="915"/>
      <c r="G2065" s="1391" t="s">
        <v>1796</v>
      </c>
      <c r="H2065" s="937"/>
      <c r="I2065" s="913"/>
      <c r="J2065" s="913" t="s">
        <v>18</v>
      </c>
      <c r="K2065" s="913" t="s">
        <v>147</v>
      </c>
      <c r="L2065" s="182"/>
      <c r="M2065" s="913" t="s">
        <v>1803</v>
      </c>
      <c r="N2065" s="512"/>
      <c r="O2065" s="512"/>
      <c r="P2065" s="512"/>
      <c r="Q2065" s="512"/>
      <c r="R2065" s="512"/>
      <c r="S2065" s="512"/>
      <c r="T2065" s="512"/>
      <c r="U2065" s="512"/>
      <c r="V2065" s="512"/>
      <c r="W2065" s="512"/>
    </row>
    <row r="2066" s="800" customFormat="1" ht="16.5" customHeight="1" spans="1:23">
      <c r="A2066" s="819" t="s">
        <v>1735</v>
      </c>
      <c r="B2066" s="942" t="s">
        <v>1802</v>
      </c>
      <c r="C2066" s="1388" t="s">
        <v>1742</v>
      </c>
      <c r="D2066" s="439">
        <v>20</v>
      </c>
      <c r="E2066" s="281"/>
      <c r="F2066" s="915"/>
      <c r="G2066" s="1391" t="s">
        <v>1796</v>
      </c>
      <c r="H2066" s="937"/>
      <c r="I2066" s="913"/>
      <c r="J2066" s="913" t="s">
        <v>18</v>
      </c>
      <c r="K2066" s="913" t="s">
        <v>147</v>
      </c>
      <c r="L2066" s="182"/>
      <c r="M2066" s="281"/>
      <c r="N2066" s="512"/>
      <c r="O2066" s="512"/>
      <c r="P2066" s="512"/>
      <c r="Q2066" s="512"/>
      <c r="R2066" s="512"/>
      <c r="S2066" s="512"/>
      <c r="T2066" s="512"/>
      <c r="U2066" s="512"/>
      <c r="V2066" s="512"/>
      <c r="W2066" s="512"/>
    </row>
    <row r="2067" s="800" customFormat="1" ht="16.5" customHeight="1" spans="1:23">
      <c r="A2067" s="819" t="s">
        <v>1735</v>
      </c>
      <c r="B2067" s="942" t="s">
        <v>1802</v>
      </c>
      <c r="C2067" s="1388" t="s">
        <v>1723</v>
      </c>
      <c r="D2067" s="439">
        <v>13</v>
      </c>
      <c r="E2067" s="281"/>
      <c r="F2067" s="915"/>
      <c r="G2067" s="1391" t="s">
        <v>1796</v>
      </c>
      <c r="H2067" s="937"/>
      <c r="I2067" s="913"/>
      <c r="J2067" s="913" t="s">
        <v>18</v>
      </c>
      <c r="K2067" s="913" t="s">
        <v>147</v>
      </c>
      <c r="L2067" s="182"/>
      <c r="M2067" s="281"/>
      <c r="N2067" s="512"/>
      <c r="O2067" s="512"/>
      <c r="P2067" s="512"/>
      <c r="Q2067" s="512"/>
      <c r="R2067" s="512"/>
      <c r="S2067" s="512"/>
      <c r="T2067" s="512"/>
      <c r="U2067" s="512"/>
      <c r="V2067" s="512"/>
      <c r="W2067" s="512"/>
    </row>
    <row r="2068" s="800" customFormat="1" ht="16.5" customHeight="1" spans="1:23">
      <c r="A2068" s="819" t="s">
        <v>1735</v>
      </c>
      <c r="B2068" s="942" t="s">
        <v>1802</v>
      </c>
      <c r="C2068" s="1388" t="s">
        <v>1725</v>
      </c>
      <c r="D2068" s="439">
        <v>13</v>
      </c>
      <c r="E2068" s="281"/>
      <c r="F2068" s="915"/>
      <c r="G2068" s="1391" t="s">
        <v>1796</v>
      </c>
      <c r="H2068" s="937"/>
      <c r="I2068" s="913"/>
      <c r="J2068" s="913" t="s">
        <v>18</v>
      </c>
      <c r="K2068" s="913" t="s">
        <v>147</v>
      </c>
      <c r="L2068" s="182"/>
      <c r="M2068" s="281"/>
      <c r="N2068" s="512"/>
      <c r="O2068" s="512"/>
      <c r="P2068" s="512"/>
      <c r="Q2068" s="512"/>
      <c r="R2068" s="512"/>
      <c r="S2068" s="512"/>
      <c r="T2068" s="512"/>
      <c r="U2068" s="512"/>
      <c r="V2068" s="512"/>
      <c r="W2068" s="512"/>
    </row>
    <row r="2069" s="800" customFormat="1" ht="16.5" customHeight="1" spans="1:23">
      <c r="A2069" s="819" t="s">
        <v>1735</v>
      </c>
      <c r="B2069" s="942" t="s">
        <v>1805</v>
      </c>
      <c r="C2069" s="1388" t="s">
        <v>1723</v>
      </c>
      <c r="D2069" s="439">
        <v>65</v>
      </c>
      <c r="E2069" s="281"/>
      <c r="F2069" s="915"/>
      <c r="G2069" s="1391" t="s">
        <v>1796</v>
      </c>
      <c r="H2069" s="937"/>
      <c r="I2069" s="913"/>
      <c r="J2069" s="913" t="s">
        <v>18</v>
      </c>
      <c r="K2069" s="913" t="s">
        <v>147</v>
      </c>
      <c r="L2069" s="182"/>
      <c r="M2069" s="913" t="s">
        <v>1806</v>
      </c>
      <c r="N2069" s="512"/>
      <c r="O2069" s="512"/>
      <c r="P2069" s="512"/>
      <c r="Q2069" s="512"/>
      <c r="R2069" s="512"/>
      <c r="S2069" s="512"/>
      <c r="T2069" s="512"/>
      <c r="U2069" s="512"/>
      <c r="V2069" s="512"/>
      <c r="W2069" s="512"/>
    </row>
    <row r="2070" s="800" customFormat="1" ht="16.5" customHeight="1" spans="1:23">
      <c r="A2070" s="819" t="s">
        <v>1735</v>
      </c>
      <c r="B2070" s="942" t="s">
        <v>1805</v>
      </c>
      <c r="C2070" s="1388" t="s">
        <v>1725</v>
      </c>
      <c r="D2070" s="439">
        <v>65</v>
      </c>
      <c r="E2070" s="281"/>
      <c r="F2070" s="915"/>
      <c r="G2070" s="1391" t="s">
        <v>1796</v>
      </c>
      <c r="H2070" s="937"/>
      <c r="I2070" s="913"/>
      <c r="J2070" s="913" t="s">
        <v>18</v>
      </c>
      <c r="K2070" s="913" t="s">
        <v>147</v>
      </c>
      <c r="L2070" s="182"/>
      <c r="M2070" s="281"/>
      <c r="N2070" s="512"/>
      <c r="O2070" s="512"/>
      <c r="P2070" s="512"/>
      <c r="Q2070" s="512"/>
      <c r="R2070" s="512"/>
      <c r="S2070" s="512"/>
      <c r="T2070" s="512"/>
      <c r="U2070" s="512"/>
      <c r="V2070" s="512"/>
      <c r="W2070" s="512"/>
    </row>
    <row r="2071" s="800" customFormat="1" ht="16.5" customHeight="1" spans="1:23">
      <c r="A2071" s="819" t="s">
        <v>1735</v>
      </c>
      <c r="B2071" s="942" t="s">
        <v>1807</v>
      </c>
      <c r="C2071" s="1388" t="s">
        <v>1723</v>
      </c>
      <c r="D2071" s="439">
        <v>22</v>
      </c>
      <c r="E2071" s="281"/>
      <c r="F2071" s="915"/>
      <c r="G2071" s="1391" t="s">
        <v>1796</v>
      </c>
      <c r="H2071" s="937"/>
      <c r="I2071" s="913"/>
      <c r="J2071" s="913" t="s">
        <v>18</v>
      </c>
      <c r="K2071" s="913" t="s">
        <v>147</v>
      </c>
      <c r="L2071" s="182"/>
      <c r="M2071" s="913" t="s">
        <v>1808</v>
      </c>
      <c r="N2071" s="512"/>
      <c r="O2071" s="512"/>
      <c r="P2071" s="512"/>
      <c r="Q2071" s="512"/>
      <c r="R2071" s="512"/>
      <c r="S2071" s="512"/>
      <c r="T2071" s="512"/>
      <c r="U2071" s="512"/>
      <c r="V2071" s="512"/>
      <c r="W2071" s="512"/>
    </row>
    <row r="2072" s="800" customFormat="1" ht="16.5" customHeight="1" spans="1:23">
      <c r="A2072" s="819" t="s">
        <v>1735</v>
      </c>
      <c r="B2072" s="942" t="s">
        <v>1807</v>
      </c>
      <c r="C2072" s="1388" t="s">
        <v>1725</v>
      </c>
      <c r="D2072" s="439">
        <v>22</v>
      </c>
      <c r="E2072" s="281"/>
      <c r="F2072" s="915"/>
      <c r="G2072" s="1391" t="s">
        <v>1796</v>
      </c>
      <c r="H2072" s="937"/>
      <c r="I2072" s="913"/>
      <c r="J2072" s="913" t="s">
        <v>18</v>
      </c>
      <c r="K2072" s="913" t="s">
        <v>147</v>
      </c>
      <c r="L2072" s="182"/>
      <c r="M2072" s="281"/>
      <c r="N2072" s="512"/>
      <c r="O2072" s="512"/>
      <c r="P2072" s="512"/>
      <c r="Q2072" s="512"/>
      <c r="R2072" s="512"/>
      <c r="S2072" s="512"/>
      <c r="T2072" s="512"/>
      <c r="U2072" s="512"/>
      <c r="V2072" s="512"/>
      <c r="W2072" s="512"/>
    </row>
    <row r="2073" s="800" customFormat="1" ht="16.5" customHeight="1" spans="1:23">
      <c r="A2073" s="819" t="s">
        <v>1735</v>
      </c>
      <c r="B2073" s="942" t="s">
        <v>1807</v>
      </c>
      <c r="C2073" s="1388" t="s">
        <v>1747</v>
      </c>
      <c r="D2073" s="439">
        <v>28</v>
      </c>
      <c r="E2073" s="281"/>
      <c r="F2073" s="915"/>
      <c r="G2073" s="1391" t="s">
        <v>1796</v>
      </c>
      <c r="H2073" s="937"/>
      <c r="I2073" s="913"/>
      <c r="J2073" s="913" t="s">
        <v>18</v>
      </c>
      <c r="K2073" s="913" t="s">
        <v>147</v>
      </c>
      <c r="L2073" s="182"/>
      <c r="M2073" s="281"/>
      <c r="N2073" s="512"/>
      <c r="O2073" s="512"/>
      <c r="P2073" s="512"/>
      <c r="Q2073" s="512"/>
      <c r="R2073" s="512"/>
      <c r="S2073" s="512"/>
      <c r="T2073" s="512"/>
      <c r="U2073" s="512"/>
      <c r="V2073" s="512"/>
      <c r="W2073" s="512"/>
    </row>
    <row r="2074" s="800" customFormat="1" ht="16.5" customHeight="1" spans="1:23">
      <c r="A2074" s="819" t="s">
        <v>1735</v>
      </c>
      <c r="B2074" s="942" t="s">
        <v>1807</v>
      </c>
      <c r="C2074" s="1388" t="s">
        <v>1748</v>
      </c>
      <c r="D2074" s="439">
        <v>28</v>
      </c>
      <c r="E2074" s="281"/>
      <c r="F2074" s="915"/>
      <c r="G2074" s="1391" t="s">
        <v>1796</v>
      </c>
      <c r="H2074" s="937"/>
      <c r="I2074" s="913"/>
      <c r="J2074" s="913" t="s">
        <v>18</v>
      </c>
      <c r="K2074" s="913" t="s">
        <v>147</v>
      </c>
      <c r="L2074" s="182"/>
      <c r="M2074" s="281"/>
      <c r="N2074" s="512"/>
      <c r="O2074" s="512"/>
      <c r="P2074" s="512"/>
      <c r="Q2074" s="512"/>
      <c r="R2074" s="512"/>
      <c r="S2074" s="512"/>
      <c r="T2074" s="512"/>
      <c r="U2074" s="512"/>
      <c r="V2074" s="512"/>
      <c r="W2074" s="512"/>
    </row>
    <row r="2075" s="800" customFormat="1" ht="16.5" customHeight="1" spans="1:23">
      <c r="A2075" s="819" t="s">
        <v>1735</v>
      </c>
      <c r="B2075" s="942" t="s">
        <v>1809</v>
      </c>
      <c r="C2075" s="1388" t="s">
        <v>1747</v>
      </c>
      <c r="D2075" s="439">
        <v>42</v>
      </c>
      <c r="E2075" s="281"/>
      <c r="F2075" s="915"/>
      <c r="G2075" s="1391" t="s">
        <v>1796</v>
      </c>
      <c r="H2075" s="937"/>
      <c r="I2075" s="913"/>
      <c r="J2075" s="913" t="s">
        <v>18</v>
      </c>
      <c r="K2075" s="913" t="s">
        <v>147</v>
      </c>
      <c r="L2075" s="182"/>
      <c r="M2075" s="913" t="s">
        <v>1810</v>
      </c>
      <c r="N2075" s="512"/>
      <c r="O2075" s="512"/>
      <c r="P2075" s="512"/>
      <c r="Q2075" s="512"/>
      <c r="R2075" s="512"/>
      <c r="S2075" s="512"/>
      <c r="T2075" s="512"/>
      <c r="U2075" s="512"/>
      <c r="V2075" s="512"/>
      <c r="W2075" s="512"/>
    </row>
    <row r="2076" s="800" customFormat="1" ht="16.5" customHeight="1" spans="1:23">
      <c r="A2076" s="819" t="s">
        <v>1735</v>
      </c>
      <c r="B2076" s="942" t="s">
        <v>1809</v>
      </c>
      <c r="C2076" s="1388" t="s">
        <v>1748</v>
      </c>
      <c r="D2076" s="439">
        <v>42</v>
      </c>
      <c r="E2076" s="281"/>
      <c r="F2076" s="915"/>
      <c r="G2076" s="1391" t="s">
        <v>1796</v>
      </c>
      <c r="H2076" s="937"/>
      <c r="I2076" s="913"/>
      <c r="J2076" s="913" t="s">
        <v>18</v>
      </c>
      <c r="K2076" s="913" t="s">
        <v>147</v>
      </c>
      <c r="L2076" s="182"/>
      <c r="M2076" s="281"/>
      <c r="N2076" s="512"/>
      <c r="O2076" s="512"/>
      <c r="P2076" s="512"/>
      <c r="Q2076" s="512"/>
      <c r="R2076" s="512"/>
      <c r="S2076" s="512"/>
      <c r="T2076" s="512"/>
      <c r="U2076" s="512"/>
      <c r="V2076" s="512"/>
      <c r="W2076" s="512"/>
    </row>
    <row r="2077" ht="16.5" customHeight="1" spans="1:23">
      <c r="A2077" s="818" t="s">
        <v>1811</v>
      </c>
      <c r="B2077" s="942" t="s">
        <v>1812</v>
      </c>
      <c r="C2077" s="914" t="s">
        <v>1813</v>
      </c>
      <c r="D2077" s="439">
        <v>10</v>
      </c>
      <c r="E2077" s="1392" t="s">
        <v>1814</v>
      </c>
      <c r="F2077" s="1359">
        <v>45949</v>
      </c>
      <c r="G2077" s="1359" t="s">
        <v>1815</v>
      </c>
      <c r="H2077" s="945"/>
      <c r="I2077" s="940"/>
      <c r="J2077" s="1398" t="s">
        <v>161</v>
      </c>
      <c r="K2077" s="1399" t="s">
        <v>19</v>
      </c>
      <c r="L2077" s="1400"/>
      <c r="M2077" s="1401" t="s">
        <v>1816</v>
      </c>
      <c r="N2077" s="1154"/>
      <c r="O2077" s="1154"/>
      <c r="P2077" s="1154"/>
      <c r="Q2077" s="1154"/>
      <c r="R2077" s="1154"/>
      <c r="S2077" s="1154"/>
      <c r="T2077" s="1154"/>
      <c r="U2077" s="1154"/>
      <c r="V2077" s="1154"/>
      <c r="W2077" s="1154"/>
    </row>
    <row r="2078" ht="16.5" customHeight="1" spans="1:23">
      <c r="A2078" s="818" t="s">
        <v>1811</v>
      </c>
      <c r="B2078" s="942" t="s">
        <v>1812</v>
      </c>
      <c r="C2078" s="649" t="s">
        <v>1817</v>
      </c>
      <c r="D2078" s="439">
        <v>10</v>
      </c>
      <c r="E2078" s="281"/>
      <c r="F2078" s="1360">
        <v>45949</v>
      </c>
      <c r="G2078" s="1360" t="s">
        <v>1815</v>
      </c>
      <c r="H2078" s="937"/>
      <c r="I2078" s="913"/>
      <c r="J2078" s="1402" t="s">
        <v>161</v>
      </c>
      <c r="K2078" s="818" t="s">
        <v>19</v>
      </c>
      <c r="L2078" s="182"/>
      <c r="M2078" s="1382" t="s">
        <v>1818</v>
      </c>
      <c r="N2078" s="1154"/>
      <c r="O2078" s="1154"/>
      <c r="P2078" s="1154"/>
      <c r="Q2078" s="1154"/>
      <c r="R2078" s="1154"/>
      <c r="S2078" s="1154"/>
      <c r="T2078" s="1154"/>
      <c r="U2078" s="1154"/>
      <c r="V2078" s="1154"/>
      <c r="W2078" s="1154"/>
    </row>
    <row r="2079" ht="16.5" customHeight="1" spans="1:23">
      <c r="A2079" s="818" t="s">
        <v>1811</v>
      </c>
      <c r="B2079" s="942" t="s">
        <v>1812</v>
      </c>
      <c r="C2079" s="946" t="s">
        <v>1819</v>
      </c>
      <c r="D2079" s="439">
        <v>110</v>
      </c>
      <c r="E2079" s="281"/>
      <c r="F2079" s="1360">
        <v>45949</v>
      </c>
      <c r="G2079" s="1360" t="s">
        <v>1815</v>
      </c>
      <c r="H2079" s="937"/>
      <c r="I2079" s="913"/>
      <c r="J2079" s="1402" t="s">
        <v>161</v>
      </c>
      <c r="K2079" s="818" t="s">
        <v>19</v>
      </c>
      <c r="L2079" s="182"/>
      <c r="M2079" s="1382"/>
      <c r="N2079" s="1154"/>
      <c r="O2079" s="1154"/>
      <c r="P2079" s="1154"/>
      <c r="Q2079" s="1154"/>
      <c r="R2079" s="1154"/>
      <c r="S2079" s="1154"/>
      <c r="T2079" s="1154"/>
      <c r="U2079" s="1154"/>
      <c r="V2079" s="1154"/>
      <c r="W2079" s="1154"/>
    </row>
    <row r="2080" ht="16.5" customHeight="1" spans="1:23">
      <c r="A2080" s="818" t="s">
        <v>1811</v>
      </c>
      <c r="B2080" s="942" t="s">
        <v>1812</v>
      </c>
      <c r="C2080" s="946" t="s">
        <v>1820</v>
      </c>
      <c r="D2080" s="439">
        <v>110</v>
      </c>
      <c r="E2080" s="281"/>
      <c r="F2080" s="1360">
        <v>45949</v>
      </c>
      <c r="G2080" s="1360" t="s">
        <v>1815</v>
      </c>
      <c r="H2080" s="937"/>
      <c r="I2080" s="913"/>
      <c r="J2080" s="1402" t="s">
        <v>161</v>
      </c>
      <c r="K2080" s="818" t="s">
        <v>19</v>
      </c>
      <c r="L2080" s="182"/>
      <c r="M2080" s="1382"/>
      <c r="N2080" s="1154"/>
      <c r="O2080" s="1154"/>
      <c r="P2080" s="1154"/>
      <c r="Q2080" s="1154"/>
      <c r="R2080" s="1154"/>
      <c r="S2080" s="1154"/>
      <c r="T2080" s="1154"/>
      <c r="U2080" s="1154"/>
      <c r="V2080" s="1154"/>
      <c r="W2080" s="1154"/>
    </row>
    <row r="2081" ht="16.5" customHeight="1" spans="1:23">
      <c r="A2081" s="818" t="s">
        <v>1811</v>
      </c>
      <c r="B2081" s="942" t="s">
        <v>1812</v>
      </c>
      <c r="C2081" s="946" t="s">
        <v>1821</v>
      </c>
      <c r="D2081" s="439">
        <v>26</v>
      </c>
      <c r="E2081" s="281"/>
      <c r="F2081" s="1360">
        <v>45949</v>
      </c>
      <c r="G2081" s="1360" t="s">
        <v>1815</v>
      </c>
      <c r="H2081" s="937"/>
      <c r="I2081" s="913"/>
      <c r="J2081" s="1402" t="s">
        <v>161</v>
      </c>
      <c r="K2081" s="818" t="s">
        <v>19</v>
      </c>
      <c r="L2081" s="182"/>
      <c r="M2081" s="1382"/>
      <c r="N2081" s="1154"/>
      <c r="O2081" s="1154"/>
      <c r="P2081" s="1154"/>
      <c r="Q2081" s="1154"/>
      <c r="R2081" s="1154"/>
      <c r="S2081" s="1154"/>
      <c r="T2081" s="1154"/>
      <c r="U2081" s="1154"/>
      <c r="V2081" s="1154"/>
      <c r="W2081" s="1154"/>
    </row>
    <row r="2082" ht="16.5" customHeight="1" spans="1:23">
      <c r="A2082" s="818" t="s">
        <v>1811</v>
      </c>
      <c r="B2082" s="942" t="s">
        <v>1812</v>
      </c>
      <c r="C2082" s="946" t="s">
        <v>1822</v>
      </c>
      <c r="D2082" s="439">
        <v>26</v>
      </c>
      <c r="E2082" s="281"/>
      <c r="F2082" s="1360">
        <v>45949</v>
      </c>
      <c r="G2082" s="1360" t="s">
        <v>1815</v>
      </c>
      <c r="H2082" s="937"/>
      <c r="I2082" s="913"/>
      <c r="J2082" s="1402" t="s">
        <v>161</v>
      </c>
      <c r="K2082" s="818" t="s">
        <v>19</v>
      </c>
      <c r="L2082" s="182"/>
      <c r="M2082" s="1382"/>
      <c r="N2082" s="1154"/>
      <c r="O2082" s="1154"/>
      <c r="P2082" s="1154"/>
      <c r="Q2082" s="1154"/>
      <c r="R2082" s="1154"/>
      <c r="S2082" s="1154"/>
      <c r="T2082" s="1154"/>
      <c r="U2082" s="1154"/>
      <c r="V2082" s="1154"/>
      <c r="W2082" s="1154"/>
    </row>
    <row r="2083" ht="16.5" customHeight="1" spans="1:23">
      <c r="A2083" s="818" t="s">
        <v>1811</v>
      </c>
      <c r="B2083" s="942" t="s">
        <v>1812</v>
      </c>
      <c r="C2083" s="946" t="s">
        <v>1823</v>
      </c>
      <c r="D2083" s="439">
        <v>42</v>
      </c>
      <c r="E2083" s="281"/>
      <c r="F2083" s="1360">
        <v>45949</v>
      </c>
      <c r="G2083" s="1360" t="s">
        <v>1815</v>
      </c>
      <c r="H2083" s="937"/>
      <c r="I2083" s="913"/>
      <c r="J2083" s="1402" t="s">
        <v>161</v>
      </c>
      <c r="K2083" s="818" t="s">
        <v>19</v>
      </c>
      <c r="L2083" s="182"/>
      <c r="M2083" s="1382"/>
      <c r="N2083" s="1154"/>
      <c r="O2083" s="1154"/>
      <c r="P2083" s="1154"/>
      <c r="Q2083" s="1154"/>
      <c r="R2083" s="1154"/>
      <c r="S2083" s="1154"/>
      <c r="T2083" s="1154"/>
      <c r="U2083" s="1154"/>
      <c r="V2083" s="1154"/>
      <c r="W2083" s="1154"/>
    </row>
    <row r="2084" ht="16.5" customHeight="1" spans="1:23">
      <c r="A2084" s="818" t="s">
        <v>1811</v>
      </c>
      <c r="B2084" s="942" t="s">
        <v>1812</v>
      </c>
      <c r="C2084" s="946" t="s">
        <v>1824</v>
      </c>
      <c r="D2084" s="439">
        <v>42</v>
      </c>
      <c r="E2084" s="281"/>
      <c r="F2084" s="1360">
        <v>45949</v>
      </c>
      <c r="G2084" s="1360" t="s">
        <v>1815</v>
      </c>
      <c r="H2084" s="937"/>
      <c r="I2084" s="913"/>
      <c r="J2084" s="1402" t="s">
        <v>161</v>
      </c>
      <c r="K2084" s="818" t="s">
        <v>19</v>
      </c>
      <c r="L2084" s="182"/>
      <c r="M2084" s="1382"/>
      <c r="N2084" s="1154"/>
      <c r="O2084" s="1154"/>
      <c r="P2084" s="1154"/>
      <c r="Q2084" s="1154"/>
      <c r="R2084" s="1154"/>
      <c r="S2084" s="1154"/>
      <c r="T2084" s="1154"/>
      <c r="U2084" s="1154"/>
      <c r="V2084" s="1154"/>
      <c r="W2084" s="1154"/>
    </row>
    <row r="2085" ht="16.5" customHeight="1" spans="1:23">
      <c r="A2085" s="818" t="s">
        <v>1811</v>
      </c>
      <c r="B2085" s="942" t="s">
        <v>1812</v>
      </c>
      <c r="C2085" s="946" t="s">
        <v>1825</v>
      </c>
      <c r="D2085" s="439">
        <v>2</v>
      </c>
      <c r="E2085" s="281"/>
      <c r="F2085" s="1360">
        <v>45949</v>
      </c>
      <c r="G2085" s="1360" t="s">
        <v>1815</v>
      </c>
      <c r="H2085" s="937"/>
      <c r="I2085" s="913"/>
      <c r="J2085" s="1402" t="s">
        <v>161</v>
      </c>
      <c r="K2085" s="818" t="s">
        <v>19</v>
      </c>
      <c r="L2085" s="182"/>
      <c r="M2085" s="1382"/>
      <c r="N2085" s="1154"/>
      <c r="O2085" s="1154"/>
      <c r="P2085" s="1154"/>
      <c r="Q2085" s="1154"/>
      <c r="R2085" s="1154"/>
      <c r="S2085" s="1154"/>
      <c r="T2085" s="1154"/>
      <c r="U2085" s="1154"/>
      <c r="V2085" s="1154"/>
      <c r="W2085" s="1154"/>
    </row>
    <row r="2086" ht="16.5" customHeight="1" spans="1:23">
      <c r="A2086" s="818" t="s">
        <v>1811</v>
      </c>
      <c r="B2086" s="942" t="s">
        <v>1812</v>
      </c>
      <c r="C2086" s="946" t="s">
        <v>1826</v>
      </c>
      <c r="D2086" s="439">
        <v>2</v>
      </c>
      <c r="E2086" s="281"/>
      <c r="F2086" s="1360">
        <v>45949</v>
      </c>
      <c r="G2086" s="1360" t="s">
        <v>1815</v>
      </c>
      <c r="H2086" s="937"/>
      <c r="I2086" s="913"/>
      <c r="J2086" s="1402" t="s">
        <v>161</v>
      </c>
      <c r="K2086" s="818" t="s">
        <v>19</v>
      </c>
      <c r="L2086" s="182"/>
      <c r="M2086" s="1382"/>
      <c r="N2086" s="1154"/>
      <c r="O2086" s="1154"/>
      <c r="P2086" s="1154"/>
      <c r="Q2086" s="1154"/>
      <c r="R2086" s="1154"/>
      <c r="S2086" s="1154"/>
      <c r="T2086" s="1154"/>
      <c r="U2086" s="1154"/>
      <c r="V2086" s="1154"/>
      <c r="W2086" s="1154"/>
    </row>
    <row r="2087" ht="16.5" customHeight="1" spans="1:23">
      <c r="A2087" s="1393" t="s">
        <v>1811</v>
      </c>
      <c r="B2087" s="942" t="s">
        <v>1812</v>
      </c>
      <c r="C2087" s="966" t="s">
        <v>1827</v>
      </c>
      <c r="D2087" s="443">
        <v>10</v>
      </c>
      <c r="E2087" s="281"/>
      <c r="F2087" s="1360">
        <v>45949</v>
      </c>
      <c r="G2087" s="1360" t="s">
        <v>1815</v>
      </c>
      <c r="H2087" s="963"/>
      <c r="I2087" s="961"/>
      <c r="J2087" s="1402" t="s">
        <v>161</v>
      </c>
      <c r="K2087" s="818" t="s">
        <v>19</v>
      </c>
      <c r="L2087" s="182"/>
      <c r="M2087" s="1382"/>
      <c r="N2087" s="1154"/>
      <c r="O2087" s="1154"/>
      <c r="P2087" s="1154"/>
      <c r="Q2087" s="1154"/>
      <c r="R2087" s="1154"/>
      <c r="S2087" s="1154"/>
      <c r="T2087" s="1154"/>
      <c r="U2087" s="1154"/>
      <c r="V2087" s="1154"/>
      <c r="W2087" s="1154"/>
    </row>
    <row r="2088" ht="16.5" customHeight="1" spans="1:23">
      <c r="A2088" s="1393" t="s">
        <v>1811</v>
      </c>
      <c r="B2088" s="942" t="s">
        <v>1812</v>
      </c>
      <c r="C2088" s="966" t="s">
        <v>1828</v>
      </c>
      <c r="D2088" s="443">
        <v>10</v>
      </c>
      <c r="E2088" s="281"/>
      <c r="F2088" s="1360">
        <v>45949</v>
      </c>
      <c r="G2088" s="1360" t="s">
        <v>1815</v>
      </c>
      <c r="H2088" s="963"/>
      <c r="I2088" s="961"/>
      <c r="J2088" s="1402" t="s">
        <v>161</v>
      </c>
      <c r="K2088" s="818" t="s">
        <v>19</v>
      </c>
      <c r="L2088" s="182"/>
      <c r="M2088" s="1382"/>
      <c r="N2088" s="1154"/>
      <c r="O2088" s="1154"/>
      <c r="P2088" s="1154"/>
      <c r="Q2088" s="1154"/>
      <c r="R2088" s="1154"/>
      <c r="S2088" s="1154"/>
      <c r="T2088" s="1154"/>
      <c r="U2088" s="1154"/>
      <c r="V2088" s="1154"/>
      <c r="W2088" s="1154"/>
    </row>
    <row r="2089" ht="16.5" customHeight="1" spans="1:23">
      <c r="A2089" s="818" t="s">
        <v>1811</v>
      </c>
      <c r="B2089" s="942" t="s">
        <v>1829</v>
      </c>
      <c r="C2089" s="914" t="s">
        <v>1813</v>
      </c>
      <c r="D2089" s="439">
        <v>21</v>
      </c>
      <c r="E2089" s="1392" t="s">
        <v>1830</v>
      </c>
      <c r="F2089" s="1360">
        <v>45949</v>
      </c>
      <c r="G2089" s="1360" t="s">
        <v>1815</v>
      </c>
      <c r="H2089" s="937"/>
      <c r="I2089" s="913"/>
      <c r="J2089" s="1403" t="s">
        <v>39</v>
      </c>
      <c r="K2089" s="818" t="s">
        <v>19</v>
      </c>
      <c r="L2089" s="182"/>
      <c r="M2089" s="1382" t="s">
        <v>1831</v>
      </c>
      <c r="N2089" s="1154"/>
      <c r="O2089" s="1154"/>
      <c r="P2089" s="1154"/>
      <c r="Q2089" s="1154"/>
      <c r="R2089" s="1154"/>
      <c r="S2089" s="1154"/>
      <c r="T2089" s="1154"/>
      <c r="U2089" s="1154"/>
      <c r="V2089" s="1154"/>
      <c r="W2089" s="1154"/>
    </row>
    <row r="2090" ht="16.5" customHeight="1" spans="1:23">
      <c r="A2090" s="818" t="s">
        <v>1811</v>
      </c>
      <c r="B2090" s="942" t="s">
        <v>1829</v>
      </c>
      <c r="C2090" s="914" t="s">
        <v>1817</v>
      </c>
      <c r="D2090" s="439">
        <v>21</v>
      </c>
      <c r="E2090" s="281"/>
      <c r="F2090" s="1360">
        <v>45949</v>
      </c>
      <c r="G2090" s="1360" t="s">
        <v>1815</v>
      </c>
      <c r="H2090" s="937"/>
      <c r="I2090" s="913"/>
      <c r="J2090" s="1403" t="s">
        <v>39</v>
      </c>
      <c r="K2090" s="818" t="s">
        <v>19</v>
      </c>
      <c r="L2090" s="182"/>
      <c r="M2090" s="1382" t="s">
        <v>1832</v>
      </c>
      <c r="N2090" s="1154"/>
      <c r="O2090" s="1154"/>
      <c r="P2090" s="1154"/>
      <c r="Q2090" s="1154"/>
      <c r="R2090" s="1154"/>
      <c r="S2090" s="1154"/>
      <c r="T2090" s="1154"/>
      <c r="U2090" s="1154"/>
      <c r="V2090" s="1154"/>
      <c r="W2090" s="1154"/>
    </row>
    <row r="2091" ht="16.5" customHeight="1" spans="1:23">
      <c r="A2091" s="818" t="s">
        <v>1811</v>
      </c>
      <c r="B2091" s="942" t="s">
        <v>1829</v>
      </c>
      <c r="C2091" s="946" t="s">
        <v>1819</v>
      </c>
      <c r="D2091" s="439">
        <v>49</v>
      </c>
      <c r="E2091" s="281"/>
      <c r="F2091" s="1360">
        <v>45949</v>
      </c>
      <c r="G2091" s="1360" t="s">
        <v>1815</v>
      </c>
      <c r="H2091" s="937"/>
      <c r="I2091" s="913"/>
      <c r="J2091" s="1403" t="s">
        <v>39</v>
      </c>
      <c r="K2091" s="818" t="s">
        <v>19</v>
      </c>
      <c r="L2091" s="182"/>
      <c r="M2091" s="1382"/>
      <c r="N2091" s="1154"/>
      <c r="O2091" s="1154"/>
      <c r="P2091" s="1154"/>
      <c r="Q2091" s="1154"/>
      <c r="R2091" s="1154"/>
      <c r="S2091" s="1154"/>
      <c r="T2091" s="1154"/>
      <c r="U2091" s="1154"/>
      <c r="V2091" s="1154"/>
      <c r="W2091" s="1154"/>
    </row>
    <row r="2092" ht="16.5" customHeight="1" spans="1:23">
      <c r="A2092" s="818" t="s">
        <v>1811</v>
      </c>
      <c r="B2092" s="942" t="s">
        <v>1829</v>
      </c>
      <c r="C2092" s="946" t="s">
        <v>1820</v>
      </c>
      <c r="D2092" s="439">
        <v>49</v>
      </c>
      <c r="E2092" s="281"/>
      <c r="F2092" s="1360">
        <v>45949</v>
      </c>
      <c r="G2092" s="1360" t="s">
        <v>1815</v>
      </c>
      <c r="H2092" s="937"/>
      <c r="I2092" s="913"/>
      <c r="J2092" s="1403" t="s">
        <v>39</v>
      </c>
      <c r="K2092" s="818" t="s">
        <v>19</v>
      </c>
      <c r="L2092" s="182"/>
      <c r="M2092" s="1382"/>
      <c r="N2092" s="1154"/>
      <c r="O2092" s="1154"/>
      <c r="P2092" s="1154"/>
      <c r="Q2092" s="1154"/>
      <c r="R2092" s="1154"/>
      <c r="S2092" s="1154"/>
      <c r="T2092" s="1154"/>
      <c r="U2092" s="1154"/>
      <c r="V2092" s="1154"/>
      <c r="W2092" s="1154"/>
    </row>
    <row r="2093" ht="16.5" customHeight="1" spans="1:23">
      <c r="A2093" s="818" t="s">
        <v>1811</v>
      </c>
      <c r="B2093" s="942" t="s">
        <v>1829</v>
      </c>
      <c r="C2093" s="946" t="s">
        <v>1821</v>
      </c>
      <c r="D2093" s="439">
        <v>18</v>
      </c>
      <c r="E2093" s="281"/>
      <c r="F2093" s="1360">
        <v>45949</v>
      </c>
      <c r="G2093" s="1360" t="s">
        <v>1815</v>
      </c>
      <c r="H2093" s="937"/>
      <c r="I2093" s="913"/>
      <c r="J2093" s="1403" t="s">
        <v>39</v>
      </c>
      <c r="K2093" s="818" t="s">
        <v>19</v>
      </c>
      <c r="L2093" s="182"/>
      <c r="M2093" s="1382"/>
      <c r="N2093" s="1154"/>
      <c r="O2093" s="1154"/>
      <c r="P2093" s="1154"/>
      <c r="Q2093" s="1154"/>
      <c r="R2093" s="1154"/>
      <c r="S2093" s="1154"/>
      <c r="T2093" s="1154"/>
      <c r="U2093" s="1154"/>
      <c r="V2093" s="1154"/>
      <c r="W2093" s="1154"/>
    </row>
    <row r="2094" ht="16.5" customHeight="1" spans="1:23">
      <c r="A2094" s="818" t="s">
        <v>1811</v>
      </c>
      <c r="B2094" s="942" t="s">
        <v>1829</v>
      </c>
      <c r="C2094" s="946" t="s">
        <v>1822</v>
      </c>
      <c r="D2094" s="439">
        <v>18</v>
      </c>
      <c r="E2094" s="281"/>
      <c r="F2094" s="1360">
        <v>45949</v>
      </c>
      <c r="G2094" s="1360" t="s">
        <v>1815</v>
      </c>
      <c r="H2094" s="937"/>
      <c r="I2094" s="913"/>
      <c r="J2094" s="1403" t="s">
        <v>39</v>
      </c>
      <c r="K2094" s="818" t="s">
        <v>19</v>
      </c>
      <c r="L2094" s="182"/>
      <c r="M2094" s="1382"/>
      <c r="N2094" s="1154"/>
      <c r="O2094" s="1154"/>
      <c r="P2094" s="1154"/>
      <c r="Q2094" s="1154"/>
      <c r="R2094" s="1154"/>
      <c r="S2094" s="1154"/>
      <c r="T2094" s="1154"/>
      <c r="U2094" s="1154"/>
      <c r="V2094" s="1154"/>
      <c r="W2094" s="1154"/>
    </row>
    <row r="2095" ht="16.5" customHeight="1" spans="1:23">
      <c r="A2095" s="818" t="s">
        <v>1811</v>
      </c>
      <c r="B2095" s="942" t="s">
        <v>1829</v>
      </c>
      <c r="C2095" s="946" t="s">
        <v>1823</v>
      </c>
      <c r="D2095" s="439">
        <v>25</v>
      </c>
      <c r="E2095" s="281"/>
      <c r="F2095" s="1360">
        <v>45949</v>
      </c>
      <c r="G2095" s="1360" t="s">
        <v>1815</v>
      </c>
      <c r="H2095" s="937"/>
      <c r="I2095" s="913"/>
      <c r="J2095" s="1403" t="s">
        <v>39</v>
      </c>
      <c r="K2095" s="818" t="s">
        <v>19</v>
      </c>
      <c r="L2095" s="182"/>
      <c r="M2095" s="1382"/>
      <c r="N2095" s="1154"/>
      <c r="O2095" s="1154"/>
      <c r="P2095" s="1154"/>
      <c r="Q2095" s="1154"/>
      <c r="R2095" s="1154"/>
      <c r="S2095" s="1154"/>
      <c r="T2095" s="1154"/>
      <c r="U2095" s="1154"/>
      <c r="V2095" s="1154"/>
      <c r="W2095" s="1154"/>
    </row>
    <row r="2096" ht="16.5" customHeight="1" spans="1:23">
      <c r="A2096" s="818" t="s">
        <v>1811</v>
      </c>
      <c r="B2096" s="942" t="s">
        <v>1829</v>
      </c>
      <c r="C2096" s="946" t="s">
        <v>1824</v>
      </c>
      <c r="D2096" s="439">
        <v>25</v>
      </c>
      <c r="E2096" s="281"/>
      <c r="F2096" s="1360">
        <v>45949</v>
      </c>
      <c r="G2096" s="1360" t="s">
        <v>1815</v>
      </c>
      <c r="H2096" s="937"/>
      <c r="I2096" s="913"/>
      <c r="J2096" s="1403" t="s">
        <v>39</v>
      </c>
      <c r="K2096" s="818" t="s">
        <v>19</v>
      </c>
      <c r="L2096" s="182"/>
      <c r="M2096" s="1382"/>
      <c r="N2096" s="1154"/>
      <c r="O2096" s="1154"/>
      <c r="P2096" s="1154"/>
      <c r="Q2096" s="1154"/>
      <c r="R2096" s="1154"/>
      <c r="S2096" s="1154"/>
      <c r="T2096" s="1154"/>
      <c r="U2096" s="1154"/>
      <c r="V2096" s="1154"/>
      <c r="W2096" s="1154"/>
    </row>
    <row r="2097" ht="16.5" customHeight="1" spans="1:23">
      <c r="A2097" s="818" t="s">
        <v>1811</v>
      </c>
      <c r="B2097" s="942" t="s">
        <v>1829</v>
      </c>
      <c r="C2097" s="946" t="s">
        <v>1825</v>
      </c>
      <c r="D2097" s="439">
        <v>1</v>
      </c>
      <c r="E2097" s="281"/>
      <c r="F2097" s="1360">
        <v>45949</v>
      </c>
      <c r="G2097" s="1360" t="s">
        <v>1815</v>
      </c>
      <c r="H2097" s="937"/>
      <c r="I2097" s="913"/>
      <c r="J2097" s="1403" t="s">
        <v>39</v>
      </c>
      <c r="K2097" s="818" t="s">
        <v>19</v>
      </c>
      <c r="L2097" s="182"/>
      <c r="M2097" s="1382"/>
      <c r="N2097" s="1154"/>
      <c r="O2097" s="1154"/>
      <c r="P2097" s="1154"/>
      <c r="Q2097" s="1154"/>
      <c r="R2097" s="1154"/>
      <c r="S2097" s="1154"/>
      <c r="T2097" s="1154"/>
      <c r="U2097" s="1154"/>
      <c r="V2097" s="1154"/>
      <c r="W2097" s="1154"/>
    </row>
    <row r="2098" ht="16.5" customHeight="1" spans="1:23">
      <c r="A2098" s="818" t="s">
        <v>1811</v>
      </c>
      <c r="B2098" s="942" t="s">
        <v>1829</v>
      </c>
      <c r="C2098" s="946" t="s">
        <v>1826</v>
      </c>
      <c r="D2098" s="439">
        <v>1</v>
      </c>
      <c r="E2098" s="281"/>
      <c r="F2098" s="1360">
        <v>45949</v>
      </c>
      <c r="G2098" s="1360" t="s">
        <v>1815</v>
      </c>
      <c r="H2098" s="937"/>
      <c r="I2098" s="913"/>
      <c r="J2098" s="1403" t="s">
        <v>39</v>
      </c>
      <c r="K2098" s="818" t="s">
        <v>19</v>
      </c>
      <c r="L2098" s="182"/>
      <c r="M2098" s="1382"/>
      <c r="N2098" s="1154"/>
      <c r="O2098" s="1154"/>
      <c r="P2098" s="1154"/>
      <c r="Q2098" s="1154"/>
      <c r="R2098" s="1154"/>
      <c r="S2098" s="1154"/>
      <c r="T2098" s="1154"/>
      <c r="U2098" s="1154"/>
      <c r="V2098" s="1154"/>
      <c r="W2098" s="1154"/>
    </row>
    <row r="2099" ht="16.5" customHeight="1" spans="1:23">
      <c r="A2099" s="818" t="s">
        <v>1811</v>
      </c>
      <c r="B2099" s="942" t="s">
        <v>1829</v>
      </c>
      <c r="C2099" s="946" t="s">
        <v>1827</v>
      </c>
      <c r="D2099" s="439">
        <v>25</v>
      </c>
      <c r="E2099" s="281"/>
      <c r="F2099" s="1360">
        <v>45949</v>
      </c>
      <c r="G2099" s="1360" t="s">
        <v>1815</v>
      </c>
      <c r="H2099" s="937"/>
      <c r="I2099" s="913"/>
      <c r="J2099" s="1403" t="s">
        <v>39</v>
      </c>
      <c r="K2099" s="818" t="s">
        <v>19</v>
      </c>
      <c r="L2099" s="182"/>
      <c r="M2099" s="1382"/>
      <c r="N2099" s="1154"/>
      <c r="O2099" s="1154"/>
      <c r="P2099" s="1154"/>
      <c r="Q2099" s="1154"/>
      <c r="R2099" s="1154"/>
      <c r="S2099" s="1154"/>
      <c r="T2099" s="1154"/>
      <c r="U2099" s="1154"/>
      <c r="V2099" s="1154"/>
      <c r="W2099" s="1154"/>
    </row>
    <row r="2100" ht="16.5" customHeight="1" spans="1:23">
      <c r="A2100" s="818" t="s">
        <v>1811</v>
      </c>
      <c r="B2100" s="942" t="s">
        <v>1829</v>
      </c>
      <c r="C2100" s="946" t="s">
        <v>1828</v>
      </c>
      <c r="D2100" s="439">
        <v>25</v>
      </c>
      <c r="E2100" s="281"/>
      <c r="F2100" s="1360">
        <v>45949</v>
      </c>
      <c r="G2100" s="1360" t="s">
        <v>1815</v>
      </c>
      <c r="H2100" s="937"/>
      <c r="I2100" s="913"/>
      <c r="J2100" s="1403" t="s">
        <v>39</v>
      </c>
      <c r="K2100" s="818" t="s">
        <v>19</v>
      </c>
      <c r="L2100" s="182"/>
      <c r="M2100" s="1382"/>
      <c r="N2100" s="1154"/>
      <c r="O2100" s="1154"/>
      <c r="P2100" s="1154"/>
      <c r="Q2100" s="1154"/>
      <c r="R2100" s="1154"/>
      <c r="S2100" s="1154"/>
      <c r="T2100" s="1154"/>
      <c r="U2100" s="1154"/>
      <c r="V2100" s="1154"/>
      <c r="W2100" s="1154"/>
    </row>
    <row r="2101" ht="16.5" customHeight="1" spans="1:23">
      <c r="A2101" s="818" t="s">
        <v>1811</v>
      </c>
      <c r="B2101" s="942" t="s">
        <v>1829</v>
      </c>
      <c r="C2101" s="946" t="s">
        <v>1833</v>
      </c>
      <c r="D2101" s="439">
        <v>1</v>
      </c>
      <c r="E2101" s="281"/>
      <c r="F2101" s="1360">
        <v>45949</v>
      </c>
      <c r="G2101" s="1360" t="s">
        <v>1815</v>
      </c>
      <c r="H2101" s="937"/>
      <c r="I2101" s="913"/>
      <c r="J2101" s="1403" t="s">
        <v>39</v>
      </c>
      <c r="K2101" s="818" t="s">
        <v>19</v>
      </c>
      <c r="L2101" s="182"/>
      <c r="M2101" s="1382"/>
      <c r="N2101" s="1154"/>
      <c r="O2101" s="1154"/>
      <c r="P2101" s="1154"/>
      <c r="Q2101" s="1154"/>
      <c r="R2101" s="1154"/>
      <c r="S2101" s="1154"/>
      <c r="T2101" s="1154"/>
      <c r="U2101" s="1154"/>
      <c r="V2101" s="1154"/>
      <c r="W2101" s="1154"/>
    </row>
    <row r="2102" ht="16.5" customHeight="1" spans="1:23">
      <c r="A2102" s="818" t="s">
        <v>1811</v>
      </c>
      <c r="B2102" s="942" t="s">
        <v>1829</v>
      </c>
      <c r="C2102" s="946" t="s">
        <v>1834</v>
      </c>
      <c r="D2102" s="439">
        <v>1</v>
      </c>
      <c r="E2102" s="281"/>
      <c r="F2102" s="1360">
        <v>45949</v>
      </c>
      <c r="G2102" s="1360" t="s">
        <v>1815</v>
      </c>
      <c r="H2102" s="937"/>
      <c r="I2102" s="913"/>
      <c r="J2102" s="1403" t="s">
        <v>39</v>
      </c>
      <c r="K2102" s="818" t="s">
        <v>19</v>
      </c>
      <c r="L2102" s="182"/>
      <c r="M2102" s="1382"/>
      <c r="N2102" s="1154"/>
      <c r="O2102" s="1154"/>
      <c r="P2102" s="1154"/>
      <c r="Q2102" s="1154"/>
      <c r="R2102" s="1154"/>
      <c r="S2102" s="1154"/>
      <c r="T2102" s="1154"/>
      <c r="U2102" s="1154"/>
      <c r="V2102" s="1154"/>
      <c r="W2102" s="1154"/>
    </row>
    <row r="2103" ht="16.5" customHeight="1" spans="1:23">
      <c r="A2103" s="818" t="s">
        <v>1811</v>
      </c>
      <c r="B2103" s="942" t="s">
        <v>1829</v>
      </c>
      <c r="C2103" s="946" t="s">
        <v>1771</v>
      </c>
      <c r="D2103" s="439">
        <v>1</v>
      </c>
      <c r="E2103" s="281"/>
      <c r="F2103" s="1360">
        <v>45949</v>
      </c>
      <c r="G2103" s="1360" t="s">
        <v>1815</v>
      </c>
      <c r="H2103" s="937"/>
      <c r="I2103" s="913"/>
      <c r="J2103" s="1403" t="s">
        <v>39</v>
      </c>
      <c r="K2103" s="818" t="s">
        <v>19</v>
      </c>
      <c r="L2103" s="182"/>
      <c r="M2103" s="1382"/>
      <c r="N2103" s="1154"/>
      <c r="O2103" s="1154"/>
      <c r="P2103" s="1154"/>
      <c r="Q2103" s="1154"/>
      <c r="R2103" s="1154"/>
      <c r="S2103" s="1154"/>
      <c r="T2103" s="1154"/>
      <c r="U2103" s="1154"/>
      <c r="V2103" s="1154"/>
      <c r="W2103" s="1154"/>
    </row>
    <row r="2104" ht="16.5" customHeight="1" spans="1:23">
      <c r="A2104" s="818" t="s">
        <v>1811</v>
      </c>
      <c r="B2104" s="942" t="s">
        <v>1829</v>
      </c>
      <c r="C2104" s="946" t="s">
        <v>1835</v>
      </c>
      <c r="D2104" s="439">
        <v>1</v>
      </c>
      <c r="E2104" s="281"/>
      <c r="F2104" s="1360">
        <v>45949</v>
      </c>
      <c r="G2104" s="1360" t="s">
        <v>1815</v>
      </c>
      <c r="H2104" s="937"/>
      <c r="I2104" s="913"/>
      <c r="J2104" s="1403" t="s">
        <v>39</v>
      </c>
      <c r="K2104" s="818" t="s">
        <v>19</v>
      </c>
      <c r="L2104" s="182"/>
      <c r="M2104" s="1382"/>
      <c r="N2104" s="1154"/>
      <c r="O2104" s="1154"/>
      <c r="P2104" s="1154"/>
      <c r="Q2104" s="1154"/>
      <c r="R2104" s="1154"/>
      <c r="S2104" s="1154"/>
      <c r="T2104" s="1154"/>
      <c r="U2104" s="1154"/>
      <c r="V2104" s="1154"/>
      <c r="W2104" s="1154"/>
    </row>
    <row r="2105" ht="16.5" customHeight="1" spans="1:23">
      <c r="A2105" s="818" t="s">
        <v>1811</v>
      </c>
      <c r="B2105" s="942" t="s">
        <v>1829</v>
      </c>
      <c r="C2105" s="946" t="s">
        <v>1836</v>
      </c>
      <c r="D2105" s="439">
        <v>1</v>
      </c>
      <c r="E2105" s="281"/>
      <c r="F2105" s="1360">
        <v>45949</v>
      </c>
      <c r="G2105" s="1360" t="s">
        <v>1815</v>
      </c>
      <c r="H2105" s="937"/>
      <c r="I2105" s="913"/>
      <c r="J2105" s="1403" t="s">
        <v>39</v>
      </c>
      <c r="K2105" s="818" t="s">
        <v>19</v>
      </c>
      <c r="L2105" s="182"/>
      <c r="M2105" s="1382"/>
      <c r="N2105" s="1154"/>
      <c r="O2105" s="1154"/>
      <c r="P2105" s="1154"/>
      <c r="Q2105" s="1154"/>
      <c r="R2105" s="1154"/>
      <c r="S2105" s="1154"/>
      <c r="T2105" s="1154"/>
      <c r="U2105" s="1154"/>
      <c r="V2105" s="1154"/>
      <c r="W2105" s="1154"/>
    </row>
    <row r="2106" ht="16.5" customHeight="1" spans="1:23">
      <c r="A2106" s="818" t="s">
        <v>1811</v>
      </c>
      <c r="B2106" s="942" t="s">
        <v>1829</v>
      </c>
      <c r="C2106" s="946" t="s">
        <v>1837</v>
      </c>
      <c r="D2106" s="439">
        <v>1</v>
      </c>
      <c r="E2106" s="281"/>
      <c r="F2106" s="1360">
        <v>45949</v>
      </c>
      <c r="G2106" s="1360" t="s">
        <v>1815</v>
      </c>
      <c r="H2106" s="937"/>
      <c r="I2106" s="913"/>
      <c r="J2106" s="1403" t="s">
        <v>39</v>
      </c>
      <c r="K2106" s="818" t="s">
        <v>19</v>
      </c>
      <c r="L2106" s="182"/>
      <c r="M2106" s="1382"/>
      <c r="N2106" s="1154"/>
      <c r="O2106" s="1154"/>
      <c r="P2106" s="1154"/>
      <c r="Q2106" s="1154"/>
      <c r="R2106" s="1154"/>
      <c r="S2106" s="1154"/>
      <c r="T2106" s="1154"/>
      <c r="U2106" s="1154"/>
      <c r="V2106" s="1154"/>
      <c r="W2106" s="1154"/>
    </row>
    <row r="2107" ht="16.5" customHeight="1" spans="1:23">
      <c r="A2107" s="818" t="s">
        <v>1811</v>
      </c>
      <c r="B2107" s="942" t="s">
        <v>1829</v>
      </c>
      <c r="C2107" s="946" t="s">
        <v>1780</v>
      </c>
      <c r="D2107" s="439">
        <v>7</v>
      </c>
      <c r="E2107" s="281"/>
      <c r="F2107" s="1360">
        <v>45949</v>
      </c>
      <c r="G2107" s="1360" t="s">
        <v>1815</v>
      </c>
      <c r="H2107" s="937"/>
      <c r="I2107" s="913"/>
      <c r="J2107" s="1403" t="s">
        <v>39</v>
      </c>
      <c r="K2107" s="818" t="s">
        <v>19</v>
      </c>
      <c r="L2107" s="182"/>
      <c r="M2107" s="1382"/>
      <c r="N2107" s="1154"/>
      <c r="O2107" s="1154"/>
      <c r="P2107" s="1154"/>
      <c r="Q2107" s="1154"/>
      <c r="R2107" s="1154"/>
      <c r="S2107" s="1154"/>
      <c r="T2107" s="1154"/>
      <c r="U2107" s="1154"/>
      <c r="V2107" s="1154"/>
      <c r="W2107" s="1154"/>
    </row>
    <row r="2108" ht="16.5" customHeight="1" spans="1:23">
      <c r="A2108" s="818" t="s">
        <v>1811</v>
      </c>
      <c r="B2108" s="942" t="s">
        <v>1829</v>
      </c>
      <c r="C2108" s="946" t="s">
        <v>1781</v>
      </c>
      <c r="D2108" s="439">
        <v>7</v>
      </c>
      <c r="E2108" s="281"/>
      <c r="F2108" s="1360">
        <v>45949</v>
      </c>
      <c r="G2108" s="1360" t="s">
        <v>1815</v>
      </c>
      <c r="H2108" s="937"/>
      <c r="I2108" s="913"/>
      <c r="J2108" s="1403" t="s">
        <v>39</v>
      </c>
      <c r="K2108" s="818" t="s">
        <v>19</v>
      </c>
      <c r="L2108" s="182"/>
      <c r="M2108" s="1382"/>
      <c r="N2108" s="1154"/>
      <c r="O2108" s="1154"/>
      <c r="P2108" s="1154"/>
      <c r="Q2108" s="1154"/>
      <c r="R2108" s="1154"/>
      <c r="S2108" s="1154"/>
      <c r="T2108" s="1154"/>
      <c r="U2108" s="1154"/>
      <c r="V2108" s="1154"/>
      <c r="W2108" s="1154"/>
    </row>
    <row r="2109" ht="16.5" customHeight="1" spans="1:23">
      <c r="A2109" s="818" t="s">
        <v>1811</v>
      </c>
      <c r="B2109" s="942" t="s">
        <v>1829</v>
      </c>
      <c r="C2109" s="946" t="s">
        <v>1782</v>
      </c>
      <c r="D2109" s="439">
        <v>3</v>
      </c>
      <c r="E2109" s="281"/>
      <c r="F2109" s="1360">
        <v>45949</v>
      </c>
      <c r="G2109" s="1360" t="s">
        <v>1815</v>
      </c>
      <c r="H2109" s="937"/>
      <c r="I2109" s="913"/>
      <c r="J2109" s="1403" t="s">
        <v>39</v>
      </c>
      <c r="K2109" s="818" t="s">
        <v>19</v>
      </c>
      <c r="L2109" s="182"/>
      <c r="M2109" s="1382"/>
      <c r="N2109" s="1154"/>
      <c r="O2109" s="1154"/>
      <c r="P2109" s="1154"/>
      <c r="Q2109" s="1154"/>
      <c r="R2109" s="1154"/>
      <c r="S2109" s="1154"/>
      <c r="T2109" s="1154"/>
      <c r="U2109" s="1154"/>
      <c r="V2109" s="1154"/>
      <c r="W2109" s="1154"/>
    </row>
    <row r="2110" ht="16.5" customHeight="1" spans="1:23">
      <c r="A2110" s="818" t="s">
        <v>1811</v>
      </c>
      <c r="B2110" s="942" t="s">
        <v>1829</v>
      </c>
      <c r="C2110" s="946" t="s">
        <v>1783</v>
      </c>
      <c r="D2110" s="439">
        <v>3</v>
      </c>
      <c r="E2110" s="281"/>
      <c r="F2110" s="1360">
        <v>45949</v>
      </c>
      <c r="G2110" s="1360" t="s">
        <v>1815</v>
      </c>
      <c r="H2110" s="937"/>
      <c r="I2110" s="913"/>
      <c r="J2110" s="1403" t="s">
        <v>39</v>
      </c>
      <c r="K2110" s="818" t="s">
        <v>19</v>
      </c>
      <c r="L2110" s="182"/>
      <c r="M2110" s="1382"/>
      <c r="N2110" s="1154"/>
      <c r="O2110" s="1154"/>
      <c r="P2110" s="1154"/>
      <c r="Q2110" s="1154"/>
      <c r="R2110" s="1154"/>
      <c r="S2110" s="1154"/>
      <c r="T2110" s="1154"/>
      <c r="U2110" s="1154"/>
      <c r="V2110" s="1154"/>
      <c r="W2110" s="1154"/>
    </row>
    <row r="2111" ht="16.5" customHeight="1" spans="1:23">
      <c r="A2111" s="818" t="s">
        <v>1811</v>
      </c>
      <c r="B2111" s="942" t="s">
        <v>1829</v>
      </c>
      <c r="C2111" s="946" t="s">
        <v>1784</v>
      </c>
      <c r="D2111" s="439">
        <v>2</v>
      </c>
      <c r="E2111" s="281"/>
      <c r="F2111" s="1360">
        <v>45949</v>
      </c>
      <c r="G2111" s="1360" t="s">
        <v>1815</v>
      </c>
      <c r="H2111" s="937"/>
      <c r="I2111" s="913"/>
      <c r="J2111" s="1403" t="s">
        <v>39</v>
      </c>
      <c r="K2111" s="818" t="s">
        <v>19</v>
      </c>
      <c r="L2111" s="182"/>
      <c r="M2111" s="1382"/>
      <c r="N2111" s="1154"/>
      <c r="O2111" s="1154"/>
      <c r="P2111" s="1154"/>
      <c r="Q2111" s="1154"/>
      <c r="R2111" s="1154"/>
      <c r="S2111" s="1154"/>
      <c r="T2111" s="1154"/>
      <c r="U2111" s="1154"/>
      <c r="V2111" s="1154"/>
      <c r="W2111" s="1154"/>
    </row>
    <row r="2112" ht="16.5" customHeight="1" spans="1:23">
      <c r="A2112" s="818" t="s">
        <v>1811</v>
      </c>
      <c r="B2112" s="942" t="s">
        <v>1829</v>
      </c>
      <c r="C2112" s="946" t="s">
        <v>1785</v>
      </c>
      <c r="D2112" s="439">
        <v>2</v>
      </c>
      <c r="E2112" s="281"/>
      <c r="F2112" s="1360">
        <v>45949</v>
      </c>
      <c r="G2112" s="1360" t="s">
        <v>1815</v>
      </c>
      <c r="H2112" s="937"/>
      <c r="I2112" s="913"/>
      <c r="J2112" s="1403" t="s">
        <v>39</v>
      </c>
      <c r="K2112" s="818" t="s">
        <v>19</v>
      </c>
      <c r="L2112" s="182"/>
      <c r="M2112" s="1382"/>
      <c r="N2112" s="1154"/>
      <c r="O2112" s="1154"/>
      <c r="P2112" s="1154"/>
      <c r="Q2112" s="1154"/>
      <c r="R2112" s="1154"/>
      <c r="S2112" s="1154"/>
      <c r="T2112" s="1154"/>
      <c r="U2112" s="1154"/>
      <c r="V2112" s="1154"/>
      <c r="W2112" s="1154"/>
    </row>
    <row r="2113" ht="16.5" customHeight="1" spans="1:23">
      <c r="A2113" s="818" t="s">
        <v>1811</v>
      </c>
      <c r="B2113" s="942" t="s">
        <v>1829</v>
      </c>
      <c r="C2113" s="946" t="s">
        <v>1786</v>
      </c>
      <c r="D2113" s="439">
        <v>1</v>
      </c>
      <c r="E2113" s="281"/>
      <c r="F2113" s="1360">
        <v>45949</v>
      </c>
      <c r="G2113" s="1360" t="s">
        <v>1815</v>
      </c>
      <c r="H2113" s="937"/>
      <c r="I2113" s="913"/>
      <c r="J2113" s="1403" t="s">
        <v>39</v>
      </c>
      <c r="K2113" s="818" t="s">
        <v>19</v>
      </c>
      <c r="L2113" s="182"/>
      <c r="M2113" s="1382"/>
      <c r="N2113" s="1154"/>
      <c r="O2113" s="1154"/>
      <c r="P2113" s="1154"/>
      <c r="Q2113" s="1154"/>
      <c r="R2113" s="1154"/>
      <c r="S2113" s="1154"/>
      <c r="T2113" s="1154"/>
      <c r="U2113" s="1154"/>
      <c r="V2113" s="1154"/>
      <c r="W2113" s="1154"/>
    </row>
    <row r="2114" ht="16.5" customHeight="1" spans="1:23">
      <c r="A2114" s="1393" t="s">
        <v>1811</v>
      </c>
      <c r="B2114" s="942" t="s">
        <v>1829</v>
      </c>
      <c r="C2114" s="966" t="s">
        <v>1787</v>
      </c>
      <c r="D2114" s="443">
        <v>1</v>
      </c>
      <c r="E2114" s="281"/>
      <c r="F2114" s="1360">
        <v>45949</v>
      </c>
      <c r="G2114" s="1360" t="s">
        <v>1815</v>
      </c>
      <c r="H2114" s="963"/>
      <c r="I2114" s="961"/>
      <c r="J2114" s="1403" t="s">
        <v>39</v>
      </c>
      <c r="K2114" s="1393" t="s">
        <v>19</v>
      </c>
      <c r="L2114" s="445"/>
      <c r="M2114" s="1382"/>
      <c r="N2114" s="1154"/>
      <c r="O2114" s="1154"/>
      <c r="P2114" s="1154"/>
      <c r="Q2114" s="1154"/>
      <c r="R2114" s="1154"/>
      <c r="S2114" s="1154"/>
      <c r="T2114" s="1154"/>
      <c r="U2114" s="1154"/>
      <c r="V2114" s="1154"/>
      <c r="W2114" s="1154"/>
    </row>
    <row r="2115" ht="16.5" customHeight="1" spans="1:23">
      <c r="A2115" s="818" t="s">
        <v>1811</v>
      </c>
      <c r="B2115" s="942" t="s">
        <v>1838</v>
      </c>
      <c r="C2115" s="914" t="s">
        <v>1813</v>
      </c>
      <c r="D2115" s="439">
        <v>20</v>
      </c>
      <c r="E2115" s="1392" t="s">
        <v>1839</v>
      </c>
      <c r="F2115" s="1360">
        <v>45949</v>
      </c>
      <c r="G2115" s="1360" t="s">
        <v>1815</v>
      </c>
      <c r="H2115" s="937"/>
      <c r="I2115" s="913"/>
      <c r="J2115" s="1403" t="s">
        <v>39</v>
      </c>
      <c r="K2115" s="818" t="s">
        <v>19</v>
      </c>
      <c r="L2115" s="182"/>
      <c r="M2115" s="1382" t="s">
        <v>1840</v>
      </c>
      <c r="N2115" s="1154"/>
      <c r="O2115" s="1154"/>
      <c r="P2115" s="1154"/>
      <c r="Q2115" s="1154"/>
      <c r="R2115" s="1154"/>
      <c r="S2115" s="1154"/>
      <c r="T2115" s="1154"/>
      <c r="U2115" s="1154"/>
      <c r="V2115" s="1154"/>
      <c r="W2115" s="1154"/>
    </row>
    <row r="2116" ht="16.5" customHeight="1" spans="1:23">
      <c r="A2116" s="818" t="s">
        <v>1811</v>
      </c>
      <c r="B2116" s="942" t="s">
        <v>1838</v>
      </c>
      <c r="C2116" s="914" t="s">
        <v>1817</v>
      </c>
      <c r="D2116" s="439">
        <v>20</v>
      </c>
      <c r="E2116" s="281"/>
      <c r="F2116" s="1360">
        <v>45949</v>
      </c>
      <c r="G2116" s="1360" t="s">
        <v>1815</v>
      </c>
      <c r="H2116" s="937"/>
      <c r="I2116" s="913"/>
      <c r="J2116" s="1403" t="s">
        <v>39</v>
      </c>
      <c r="K2116" s="1393" t="s">
        <v>19</v>
      </c>
      <c r="L2116" s="182"/>
      <c r="M2116" s="1382" t="s">
        <v>1841</v>
      </c>
      <c r="N2116" s="1154"/>
      <c r="O2116" s="1154"/>
      <c r="P2116" s="1154"/>
      <c r="Q2116" s="1154"/>
      <c r="R2116" s="1154"/>
      <c r="S2116" s="1154"/>
      <c r="T2116" s="1154"/>
      <c r="U2116" s="1154"/>
      <c r="V2116" s="1154"/>
      <c r="W2116" s="1154"/>
    </row>
    <row r="2117" ht="16.5" customHeight="1" spans="1:23">
      <c r="A2117" s="818" t="s">
        <v>1811</v>
      </c>
      <c r="B2117" s="942" t="s">
        <v>1838</v>
      </c>
      <c r="C2117" s="946" t="s">
        <v>1819</v>
      </c>
      <c r="D2117" s="439">
        <v>160</v>
      </c>
      <c r="E2117" s="281"/>
      <c r="F2117" s="1360">
        <v>45949</v>
      </c>
      <c r="G2117" s="1360" t="s">
        <v>1815</v>
      </c>
      <c r="H2117" s="937"/>
      <c r="I2117" s="913"/>
      <c r="J2117" s="1403" t="s">
        <v>39</v>
      </c>
      <c r="K2117" s="818" t="s">
        <v>19</v>
      </c>
      <c r="L2117" s="182"/>
      <c r="M2117" s="1382"/>
      <c r="N2117" s="1154"/>
      <c r="O2117" s="1154"/>
      <c r="P2117" s="1154"/>
      <c r="Q2117" s="1154"/>
      <c r="R2117" s="1154"/>
      <c r="S2117" s="1154"/>
      <c r="T2117" s="1154"/>
      <c r="U2117" s="1154"/>
      <c r="V2117" s="1154"/>
      <c r="W2117" s="1154"/>
    </row>
    <row r="2118" ht="16.5" customHeight="1" spans="1:23">
      <c r="A2118" s="818" t="s">
        <v>1811</v>
      </c>
      <c r="B2118" s="942" t="s">
        <v>1838</v>
      </c>
      <c r="C2118" s="946" t="s">
        <v>1820</v>
      </c>
      <c r="D2118" s="439">
        <v>160</v>
      </c>
      <c r="E2118" s="281"/>
      <c r="F2118" s="1360">
        <v>45949</v>
      </c>
      <c r="G2118" s="1360" t="s">
        <v>1815</v>
      </c>
      <c r="H2118" s="937"/>
      <c r="I2118" s="913"/>
      <c r="J2118" s="1403" t="s">
        <v>39</v>
      </c>
      <c r="K2118" s="1393" t="s">
        <v>19</v>
      </c>
      <c r="L2118" s="182"/>
      <c r="M2118" s="1382"/>
      <c r="N2118" s="1154"/>
      <c r="O2118" s="1154"/>
      <c r="P2118" s="1154"/>
      <c r="Q2118" s="1154"/>
      <c r="R2118" s="1154"/>
      <c r="S2118" s="1154"/>
      <c r="T2118" s="1154"/>
      <c r="U2118" s="1154"/>
      <c r="V2118" s="1154"/>
      <c r="W2118" s="1154"/>
    </row>
    <row r="2119" ht="16.5" customHeight="1" spans="1:23">
      <c r="A2119" s="818" t="s">
        <v>1811</v>
      </c>
      <c r="B2119" s="942" t="s">
        <v>1838</v>
      </c>
      <c r="C2119" s="946" t="s">
        <v>1821</v>
      </c>
      <c r="D2119" s="439">
        <v>36</v>
      </c>
      <c r="E2119" s="281"/>
      <c r="F2119" s="1360">
        <v>45949</v>
      </c>
      <c r="G2119" s="1360" t="s">
        <v>1815</v>
      </c>
      <c r="H2119" s="937"/>
      <c r="I2119" s="913"/>
      <c r="J2119" s="1403" t="s">
        <v>39</v>
      </c>
      <c r="K2119" s="818" t="s">
        <v>19</v>
      </c>
      <c r="L2119" s="182"/>
      <c r="M2119" s="1382"/>
      <c r="N2119" s="1154"/>
      <c r="O2119" s="1154"/>
      <c r="P2119" s="1154"/>
      <c r="Q2119" s="1154"/>
      <c r="R2119" s="1154"/>
      <c r="S2119" s="1154"/>
      <c r="T2119" s="1154"/>
      <c r="U2119" s="1154"/>
      <c r="V2119" s="1154"/>
      <c r="W2119" s="1154"/>
    </row>
    <row r="2120" ht="16.5" customHeight="1" spans="1:23">
      <c r="A2120" s="818" t="s">
        <v>1811</v>
      </c>
      <c r="B2120" s="942" t="s">
        <v>1838</v>
      </c>
      <c r="C2120" s="946" t="s">
        <v>1822</v>
      </c>
      <c r="D2120" s="439">
        <v>36</v>
      </c>
      <c r="E2120" s="281"/>
      <c r="F2120" s="1360">
        <v>45949</v>
      </c>
      <c r="G2120" s="1360" t="s">
        <v>1815</v>
      </c>
      <c r="H2120" s="937"/>
      <c r="I2120" s="913"/>
      <c r="J2120" s="1403" t="s">
        <v>39</v>
      </c>
      <c r="K2120" s="1393" t="s">
        <v>19</v>
      </c>
      <c r="L2120" s="182"/>
      <c r="M2120" s="1382"/>
      <c r="N2120" s="1154"/>
      <c r="O2120" s="1154"/>
      <c r="P2120" s="1154"/>
      <c r="Q2120" s="1154"/>
      <c r="R2120" s="1154"/>
      <c r="S2120" s="1154"/>
      <c r="T2120" s="1154"/>
      <c r="U2120" s="1154"/>
      <c r="V2120" s="1154"/>
      <c r="W2120" s="1154"/>
    </row>
    <row r="2121" ht="16.5" customHeight="1" spans="1:23">
      <c r="A2121" s="818" t="s">
        <v>1811</v>
      </c>
      <c r="B2121" s="942" t="s">
        <v>1838</v>
      </c>
      <c r="C2121" s="946" t="s">
        <v>1825</v>
      </c>
      <c r="D2121" s="439">
        <v>5</v>
      </c>
      <c r="E2121" s="281"/>
      <c r="F2121" s="1360">
        <v>45949</v>
      </c>
      <c r="G2121" s="1360" t="s">
        <v>1815</v>
      </c>
      <c r="H2121" s="937"/>
      <c r="I2121" s="913"/>
      <c r="J2121" s="1403" t="s">
        <v>39</v>
      </c>
      <c r="K2121" s="818" t="s">
        <v>19</v>
      </c>
      <c r="L2121" s="182"/>
      <c r="M2121" s="1382"/>
      <c r="N2121" s="1154"/>
      <c r="O2121" s="1154"/>
      <c r="P2121" s="1154"/>
      <c r="Q2121" s="1154"/>
      <c r="R2121" s="1154"/>
      <c r="S2121" s="1154"/>
      <c r="T2121" s="1154"/>
      <c r="U2121" s="1154"/>
      <c r="V2121" s="1154"/>
      <c r="W2121" s="1154"/>
    </row>
    <row r="2122" ht="16.5" customHeight="1" spans="1:23">
      <c r="A2122" s="818" t="s">
        <v>1811</v>
      </c>
      <c r="B2122" s="942" t="s">
        <v>1838</v>
      </c>
      <c r="C2122" s="946" t="s">
        <v>1826</v>
      </c>
      <c r="D2122" s="439">
        <v>5</v>
      </c>
      <c r="E2122" s="281"/>
      <c r="F2122" s="1360">
        <v>45949</v>
      </c>
      <c r="G2122" s="1360" t="s">
        <v>1815</v>
      </c>
      <c r="H2122" s="937"/>
      <c r="I2122" s="913"/>
      <c r="J2122" s="1403" t="s">
        <v>39</v>
      </c>
      <c r="K2122" s="1393" t="s">
        <v>19</v>
      </c>
      <c r="L2122" s="182"/>
      <c r="M2122" s="1382"/>
      <c r="N2122" s="1154"/>
      <c r="O2122" s="1154"/>
      <c r="P2122" s="1154"/>
      <c r="Q2122" s="1154"/>
      <c r="R2122" s="1154"/>
      <c r="S2122" s="1154"/>
      <c r="T2122" s="1154"/>
      <c r="U2122" s="1154"/>
      <c r="V2122" s="1154"/>
      <c r="W2122" s="1154"/>
    </row>
    <row r="2123" ht="16.5" customHeight="1" spans="1:23">
      <c r="A2123" s="818" t="s">
        <v>1811</v>
      </c>
      <c r="B2123" s="942" t="s">
        <v>1838</v>
      </c>
      <c r="C2123" s="946" t="s">
        <v>1771</v>
      </c>
      <c r="D2123" s="439">
        <v>1</v>
      </c>
      <c r="E2123" s="281"/>
      <c r="F2123" s="1360">
        <v>45949</v>
      </c>
      <c r="G2123" s="1360" t="s">
        <v>1815</v>
      </c>
      <c r="H2123" s="937"/>
      <c r="I2123" s="913"/>
      <c r="J2123" s="1403" t="s">
        <v>39</v>
      </c>
      <c r="K2123" s="818" t="s">
        <v>19</v>
      </c>
      <c r="L2123" s="182"/>
      <c r="M2123" s="1382"/>
      <c r="N2123" s="1154"/>
      <c r="O2123" s="1154"/>
      <c r="P2123" s="1154"/>
      <c r="Q2123" s="1154"/>
      <c r="R2123" s="1154"/>
      <c r="S2123" s="1154"/>
      <c r="T2123" s="1154"/>
      <c r="U2123" s="1154"/>
      <c r="V2123" s="1154"/>
      <c r="W2123" s="1154"/>
    </row>
    <row r="2124" ht="16.5" customHeight="1" spans="1:23">
      <c r="A2124" s="818" t="s">
        <v>1811</v>
      </c>
      <c r="B2124" s="942" t="s">
        <v>1838</v>
      </c>
      <c r="C2124" s="946" t="s">
        <v>1835</v>
      </c>
      <c r="D2124" s="439">
        <v>1</v>
      </c>
      <c r="E2124" s="281"/>
      <c r="F2124" s="1360">
        <v>45949</v>
      </c>
      <c r="G2124" s="1360" t="s">
        <v>1815</v>
      </c>
      <c r="H2124" s="937"/>
      <c r="I2124" s="913"/>
      <c r="J2124" s="1403" t="s">
        <v>39</v>
      </c>
      <c r="K2124" s="1393" t="s">
        <v>19</v>
      </c>
      <c r="L2124" s="182"/>
      <c r="M2124" s="1382"/>
      <c r="N2124" s="1154"/>
      <c r="O2124" s="1154"/>
      <c r="P2124" s="1154"/>
      <c r="Q2124" s="1154"/>
      <c r="R2124" s="1154"/>
      <c r="S2124" s="1154"/>
      <c r="T2124" s="1154"/>
      <c r="U2124" s="1154"/>
      <c r="V2124" s="1154"/>
      <c r="W2124" s="1154"/>
    </row>
    <row r="2125" ht="16.5" customHeight="1" spans="1:23">
      <c r="A2125" s="818" t="s">
        <v>1811</v>
      </c>
      <c r="B2125" s="942" t="s">
        <v>1838</v>
      </c>
      <c r="C2125" s="946" t="s">
        <v>1836</v>
      </c>
      <c r="D2125" s="439">
        <v>1</v>
      </c>
      <c r="E2125" s="281"/>
      <c r="F2125" s="1360">
        <v>45949</v>
      </c>
      <c r="G2125" s="1360" t="s">
        <v>1815</v>
      </c>
      <c r="H2125" s="937"/>
      <c r="I2125" s="913"/>
      <c r="J2125" s="1403" t="s">
        <v>39</v>
      </c>
      <c r="K2125" s="818" t="s">
        <v>19</v>
      </c>
      <c r="L2125" s="182"/>
      <c r="M2125" s="1382"/>
      <c r="N2125" s="1154"/>
      <c r="O2125" s="1154"/>
      <c r="P2125" s="1154"/>
      <c r="Q2125" s="1154"/>
      <c r="R2125" s="1154"/>
      <c r="S2125" s="1154"/>
      <c r="T2125" s="1154"/>
      <c r="U2125" s="1154"/>
      <c r="V2125" s="1154"/>
      <c r="W2125" s="1154"/>
    </row>
    <row r="2126" ht="16.5" customHeight="1" spans="1:23">
      <c r="A2126" s="818" t="s">
        <v>1811</v>
      </c>
      <c r="B2126" s="942" t="s">
        <v>1838</v>
      </c>
      <c r="C2126" s="946" t="s">
        <v>1837</v>
      </c>
      <c r="D2126" s="439">
        <v>1</v>
      </c>
      <c r="E2126" s="281"/>
      <c r="F2126" s="1360">
        <v>45949</v>
      </c>
      <c r="G2126" s="1360" t="s">
        <v>1815</v>
      </c>
      <c r="H2126" s="937"/>
      <c r="I2126" s="913"/>
      <c r="J2126" s="1403" t="s">
        <v>39</v>
      </c>
      <c r="K2126" s="1393" t="s">
        <v>19</v>
      </c>
      <c r="L2126" s="182"/>
      <c r="M2126" s="1382"/>
      <c r="N2126" s="1154"/>
      <c r="O2126" s="1154"/>
      <c r="P2126" s="1154"/>
      <c r="Q2126" s="1154"/>
      <c r="R2126" s="1154"/>
      <c r="S2126" s="1154"/>
      <c r="T2126" s="1154"/>
      <c r="U2126" s="1154"/>
      <c r="V2126" s="1154"/>
      <c r="W2126" s="1154"/>
    </row>
    <row r="2127" ht="16.5" customHeight="1" spans="1:23">
      <c r="A2127" s="818" t="s">
        <v>1811</v>
      </c>
      <c r="B2127" s="942" t="s">
        <v>1842</v>
      </c>
      <c r="C2127" s="914" t="s">
        <v>1813</v>
      </c>
      <c r="D2127" s="439">
        <v>20</v>
      </c>
      <c r="E2127" s="1392" t="s">
        <v>1843</v>
      </c>
      <c r="F2127" s="1360">
        <v>45949</v>
      </c>
      <c r="G2127" s="1360" t="s">
        <v>1815</v>
      </c>
      <c r="H2127" s="937"/>
      <c r="I2127" s="913"/>
      <c r="J2127" s="1403" t="s">
        <v>39</v>
      </c>
      <c r="K2127" s="818" t="s">
        <v>19</v>
      </c>
      <c r="L2127" s="182"/>
      <c r="M2127" s="1382" t="s">
        <v>1844</v>
      </c>
      <c r="N2127" s="1154"/>
      <c r="O2127" s="1154"/>
      <c r="P2127" s="1154"/>
      <c r="Q2127" s="1154"/>
      <c r="R2127" s="1154"/>
      <c r="S2127" s="1154"/>
      <c r="T2127" s="1154"/>
      <c r="U2127" s="1154"/>
      <c r="V2127" s="1154"/>
      <c r="W2127" s="1154"/>
    </row>
    <row r="2128" ht="16.5" customHeight="1" spans="1:23">
      <c r="A2128" s="818" t="s">
        <v>1811</v>
      </c>
      <c r="B2128" s="942" t="s">
        <v>1842</v>
      </c>
      <c r="C2128" s="649" t="s">
        <v>1817</v>
      </c>
      <c r="D2128" s="439">
        <v>20</v>
      </c>
      <c r="E2128" s="281"/>
      <c r="F2128" s="1360">
        <v>45949</v>
      </c>
      <c r="G2128" s="1360" t="s">
        <v>1815</v>
      </c>
      <c r="H2128" s="937"/>
      <c r="I2128" s="913"/>
      <c r="J2128" s="1403" t="s">
        <v>39</v>
      </c>
      <c r="K2128" s="1393" t="s">
        <v>19</v>
      </c>
      <c r="L2128" s="182"/>
      <c r="M2128" s="1382" t="s">
        <v>1845</v>
      </c>
      <c r="N2128" s="1154"/>
      <c r="O2128" s="1154"/>
      <c r="P2128" s="1154"/>
      <c r="Q2128" s="1154"/>
      <c r="R2128" s="1154"/>
      <c r="S2128" s="1154"/>
      <c r="T2128" s="1154"/>
      <c r="U2128" s="1154"/>
      <c r="V2128" s="1154"/>
      <c r="W2128" s="1154"/>
    </row>
    <row r="2129" ht="16.5" customHeight="1" spans="1:23">
      <c r="A2129" s="818" t="s">
        <v>1811</v>
      </c>
      <c r="B2129" s="942" t="s">
        <v>1842</v>
      </c>
      <c r="C2129" s="946" t="s">
        <v>1819</v>
      </c>
      <c r="D2129" s="439">
        <v>160</v>
      </c>
      <c r="E2129" s="281"/>
      <c r="F2129" s="1360">
        <v>45949</v>
      </c>
      <c r="G2129" s="1360" t="s">
        <v>1815</v>
      </c>
      <c r="H2129" s="937"/>
      <c r="I2129" s="913"/>
      <c r="J2129" s="1403" t="s">
        <v>39</v>
      </c>
      <c r="K2129" s="818" t="s">
        <v>19</v>
      </c>
      <c r="L2129" s="182"/>
      <c r="M2129" s="1382"/>
      <c r="N2129" s="1154"/>
      <c r="O2129" s="1154"/>
      <c r="P2129" s="1154"/>
      <c r="Q2129" s="1154"/>
      <c r="R2129" s="1154"/>
      <c r="S2129" s="1154"/>
      <c r="T2129" s="1154"/>
      <c r="U2129" s="1154"/>
      <c r="V2129" s="1154"/>
      <c r="W2129" s="1154"/>
    </row>
    <row r="2130" ht="16.5" customHeight="1" spans="1:23">
      <c r="A2130" s="818" t="s">
        <v>1811</v>
      </c>
      <c r="B2130" s="942" t="s">
        <v>1842</v>
      </c>
      <c r="C2130" s="946" t="s">
        <v>1820</v>
      </c>
      <c r="D2130" s="439">
        <v>160</v>
      </c>
      <c r="E2130" s="281"/>
      <c r="F2130" s="1360">
        <v>45949</v>
      </c>
      <c r="G2130" s="1360" t="s">
        <v>1815</v>
      </c>
      <c r="H2130" s="937"/>
      <c r="I2130" s="913"/>
      <c r="J2130" s="1403" t="s">
        <v>39</v>
      </c>
      <c r="K2130" s="1393" t="s">
        <v>19</v>
      </c>
      <c r="L2130" s="182"/>
      <c r="M2130" s="1382"/>
      <c r="N2130" s="1154"/>
      <c r="O2130" s="1154"/>
      <c r="P2130" s="1154"/>
      <c r="Q2130" s="1154"/>
      <c r="R2130" s="1154"/>
      <c r="S2130" s="1154"/>
      <c r="T2130" s="1154"/>
      <c r="U2130" s="1154"/>
      <c r="V2130" s="1154"/>
      <c r="W2130" s="1154"/>
    </row>
    <row r="2131" ht="16.5" customHeight="1" spans="1:23">
      <c r="A2131" s="818" t="s">
        <v>1811</v>
      </c>
      <c r="B2131" s="942" t="s">
        <v>1842</v>
      </c>
      <c r="C2131" s="946" t="s">
        <v>1821</v>
      </c>
      <c r="D2131" s="439">
        <v>45</v>
      </c>
      <c r="E2131" s="281"/>
      <c r="F2131" s="1360">
        <v>45949</v>
      </c>
      <c r="G2131" s="1360" t="s">
        <v>1815</v>
      </c>
      <c r="H2131" s="937"/>
      <c r="I2131" s="913"/>
      <c r="J2131" s="1403" t="s">
        <v>39</v>
      </c>
      <c r="K2131" s="818" t="s">
        <v>19</v>
      </c>
      <c r="L2131" s="182"/>
      <c r="M2131" s="1382"/>
      <c r="N2131" s="1154"/>
      <c r="O2131" s="1154"/>
      <c r="P2131" s="1154"/>
      <c r="Q2131" s="1154"/>
      <c r="R2131" s="1154"/>
      <c r="S2131" s="1154"/>
      <c r="T2131" s="1154"/>
      <c r="U2131" s="1154"/>
      <c r="V2131" s="1154"/>
      <c r="W2131" s="1154"/>
    </row>
    <row r="2132" ht="16.5" customHeight="1" spans="1:23">
      <c r="A2132" s="818" t="s">
        <v>1811</v>
      </c>
      <c r="B2132" s="942" t="s">
        <v>1842</v>
      </c>
      <c r="C2132" s="946" t="s">
        <v>1822</v>
      </c>
      <c r="D2132" s="439">
        <v>45</v>
      </c>
      <c r="E2132" s="281"/>
      <c r="F2132" s="1360">
        <v>45949</v>
      </c>
      <c r="G2132" s="1360" t="s">
        <v>1815</v>
      </c>
      <c r="H2132" s="937"/>
      <c r="I2132" s="913"/>
      <c r="J2132" s="1403" t="s">
        <v>39</v>
      </c>
      <c r="K2132" s="1393" t="s">
        <v>19</v>
      </c>
      <c r="L2132" s="182"/>
      <c r="M2132" s="1382"/>
      <c r="N2132" s="1154"/>
      <c r="O2132" s="1154"/>
      <c r="P2132" s="1154"/>
      <c r="Q2132" s="1154"/>
      <c r="R2132" s="1154"/>
      <c r="S2132" s="1154"/>
      <c r="T2132" s="1154"/>
      <c r="U2132" s="1154"/>
      <c r="V2132" s="1154"/>
      <c r="W2132" s="1154"/>
    </row>
    <row r="2133" ht="16.5" customHeight="1" spans="1:23">
      <c r="A2133" s="818" t="s">
        <v>1811</v>
      </c>
      <c r="B2133" s="942" t="s">
        <v>1842</v>
      </c>
      <c r="C2133" s="946" t="s">
        <v>1833</v>
      </c>
      <c r="D2133" s="439">
        <v>3</v>
      </c>
      <c r="E2133" s="281"/>
      <c r="F2133" s="1360">
        <v>45949</v>
      </c>
      <c r="G2133" s="1360" t="s">
        <v>1815</v>
      </c>
      <c r="H2133" s="937"/>
      <c r="I2133" s="913"/>
      <c r="J2133" s="1403" t="s">
        <v>39</v>
      </c>
      <c r="K2133" s="1393" t="s">
        <v>19</v>
      </c>
      <c r="L2133" s="182"/>
      <c r="M2133" s="1382"/>
      <c r="N2133" s="1154"/>
      <c r="O2133" s="1154"/>
      <c r="P2133" s="1154"/>
      <c r="Q2133" s="1154"/>
      <c r="R2133" s="1154"/>
      <c r="S2133" s="1154"/>
      <c r="T2133" s="1154"/>
      <c r="U2133" s="1154"/>
      <c r="V2133" s="1154"/>
      <c r="W2133" s="1154"/>
    </row>
    <row r="2134" ht="16.5" customHeight="1" spans="1:23">
      <c r="A2134" s="818" t="s">
        <v>1811</v>
      </c>
      <c r="B2134" s="942" t="s">
        <v>1842</v>
      </c>
      <c r="C2134" s="946" t="s">
        <v>1834</v>
      </c>
      <c r="D2134" s="439">
        <v>3</v>
      </c>
      <c r="E2134" s="281"/>
      <c r="F2134" s="1360">
        <v>45949</v>
      </c>
      <c r="G2134" s="1360" t="s">
        <v>1815</v>
      </c>
      <c r="H2134" s="937"/>
      <c r="I2134" s="913"/>
      <c r="J2134" s="1403" t="s">
        <v>39</v>
      </c>
      <c r="K2134" s="818" t="s">
        <v>19</v>
      </c>
      <c r="L2134" s="182"/>
      <c r="M2134" s="1382"/>
      <c r="N2134" s="1154"/>
      <c r="O2134" s="1154"/>
      <c r="P2134" s="1154"/>
      <c r="Q2134" s="1154"/>
      <c r="R2134" s="1154"/>
      <c r="S2134" s="1154"/>
      <c r="T2134" s="1154"/>
      <c r="U2134" s="1154"/>
      <c r="V2134" s="1154"/>
      <c r="W2134" s="1154"/>
    </row>
    <row r="2135" s="800" customFormat="1" ht="16.5" customHeight="1" spans="1:23">
      <c r="A2135" s="819" t="s">
        <v>1735</v>
      </c>
      <c r="B2135" s="942" t="s">
        <v>1809</v>
      </c>
      <c r="C2135" s="1388" t="s">
        <v>1747</v>
      </c>
      <c r="D2135" s="439">
        <v>1</v>
      </c>
      <c r="E2135" s="1392" t="s">
        <v>1846</v>
      </c>
      <c r="F2135" s="1404"/>
      <c r="G2135" s="1404" t="s">
        <v>1847</v>
      </c>
      <c r="H2135" s="937"/>
      <c r="I2135" s="913"/>
      <c r="J2135" s="1396" t="s">
        <v>18</v>
      </c>
      <c r="K2135" s="913" t="s">
        <v>147</v>
      </c>
      <c r="L2135" s="182"/>
      <c r="M2135" s="961" t="s">
        <v>1810</v>
      </c>
      <c r="N2135" s="512"/>
      <c r="O2135" s="512"/>
      <c r="P2135" s="512"/>
      <c r="Q2135" s="512"/>
      <c r="R2135" s="512"/>
      <c r="S2135" s="512"/>
      <c r="T2135" s="512"/>
      <c r="U2135" s="512"/>
      <c r="V2135" s="512"/>
      <c r="W2135" s="512"/>
    </row>
    <row r="2136" s="800" customFormat="1" ht="16.5" customHeight="1" spans="1:23">
      <c r="A2136" s="819" t="s">
        <v>1735</v>
      </c>
      <c r="B2136" s="942" t="s">
        <v>1809</v>
      </c>
      <c r="C2136" s="1388" t="s">
        <v>1748</v>
      </c>
      <c r="D2136" s="439">
        <v>1</v>
      </c>
      <c r="E2136" s="281"/>
      <c r="F2136" s="1404"/>
      <c r="G2136" s="1404" t="s">
        <v>1847</v>
      </c>
      <c r="H2136" s="937"/>
      <c r="I2136" s="913"/>
      <c r="J2136" s="1396" t="s">
        <v>18</v>
      </c>
      <c r="K2136" s="913" t="s">
        <v>147</v>
      </c>
      <c r="L2136" s="182"/>
      <c r="M2136" s="192"/>
      <c r="N2136" s="512"/>
      <c r="O2136" s="512"/>
      <c r="P2136" s="512"/>
      <c r="Q2136" s="512"/>
      <c r="R2136" s="512"/>
      <c r="S2136" s="512"/>
      <c r="T2136" s="512"/>
      <c r="U2136" s="512"/>
      <c r="V2136" s="512"/>
      <c r="W2136" s="512"/>
    </row>
    <row r="2137" s="800" customFormat="1" ht="16.5" customHeight="1" spans="1:23">
      <c r="A2137" s="819" t="s">
        <v>1735</v>
      </c>
      <c r="B2137" s="942" t="s">
        <v>1848</v>
      </c>
      <c r="C2137" s="1388" t="s">
        <v>1747</v>
      </c>
      <c r="D2137" s="439">
        <v>29</v>
      </c>
      <c r="E2137" s="281"/>
      <c r="F2137" s="1404"/>
      <c r="G2137" s="1404" t="s">
        <v>1847</v>
      </c>
      <c r="H2137" s="937"/>
      <c r="I2137" s="913"/>
      <c r="J2137" s="1396" t="s">
        <v>18</v>
      </c>
      <c r="K2137" s="913" t="s">
        <v>147</v>
      </c>
      <c r="L2137" s="182"/>
      <c r="M2137" s="961" t="s">
        <v>1849</v>
      </c>
      <c r="N2137" s="512"/>
      <c r="O2137" s="512"/>
      <c r="P2137" s="512"/>
      <c r="Q2137" s="512"/>
      <c r="R2137" s="512"/>
      <c r="S2137" s="512"/>
      <c r="T2137" s="512"/>
      <c r="U2137" s="512"/>
      <c r="V2137" s="512"/>
      <c r="W2137" s="512"/>
    </row>
    <row r="2138" s="800" customFormat="1" ht="16.5" customHeight="1" spans="1:23">
      <c r="A2138" s="819" t="s">
        <v>1735</v>
      </c>
      <c r="B2138" s="942" t="s">
        <v>1848</v>
      </c>
      <c r="C2138" s="1388" t="s">
        <v>1748</v>
      </c>
      <c r="D2138" s="439">
        <v>29</v>
      </c>
      <c r="E2138" s="281"/>
      <c r="F2138" s="1404"/>
      <c r="G2138" s="1404" t="s">
        <v>1847</v>
      </c>
      <c r="H2138" s="937"/>
      <c r="I2138" s="913"/>
      <c r="J2138" s="1396" t="s">
        <v>18</v>
      </c>
      <c r="K2138" s="913" t="s">
        <v>147</v>
      </c>
      <c r="L2138" s="182"/>
      <c r="M2138" s="190"/>
      <c r="N2138" s="512"/>
      <c r="O2138" s="512"/>
      <c r="P2138" s="512"/>
      <c r="Q2138" s="512"/>
      <c r="R2138" s="512"/>
      <c r="S2138" s="512"/>
      <c r="T2138" s="512"/>
      <c r="U2138" s="512"/>
      <c r="V2138" s="512"/>
      <c r="W2138" s="512"/>
    </row>
    <row r="2139" s="800" customFormat="1" ht="16.5" customHeight="1" spans="1:23">
      <c r="A2139" s="819" t="s">
        <v>1735</v>
      </c>
      <c r="B2139" s="942" t="s">
        <v>1848</v>
      </c>
      <c r="C2139" s="1388" t="s">
        <v>1769</v>
      </c>
      <c r="D2139" s="439">
        <v>13</v>
      </c>
      <c r="E2139" s="281"/>
      <c r="F2139" s="1404"/>
      <c r="G2139" s="1404" t="s">
        <v>1847</v>
      </c>
      <c r="H2139" s="937"/>
      <c r="I2139" s="913"/>
      <c r="J2139" s="1396" t="s">
        <v>18</v>
      </c>
      <c r="K2139" s="913" t="s">
        <v>147</v>
      </c>
      <c r="L2139" s="182"/>
      <c r="M2139" s="26"/>
      <c r="N2139" s="512"/>
      <c r="O2139" s="512"/>
      <c r="P2139" s="512"/>
      <c r="Q2139" s="512"/>
      <c r="R2139" s="512"/>
      <c r="S2139" s="512"/>
      <c r="T2139" s="512"/>
      <c r="U2139" s="512"/>
      <c r="V2139" s="512"/>
      <c r="W2139" s="512"/>
    </row>
    <row r="2140" s="800" customFormat="1" ht="16.5" customHeight="1" spans="1:23">
      <c r="A2140" s="819" t="s">
        <v>1735</v>
      </c>
      <c r="B2140" s="942" t="s">
        <v>1848</v>
      </c>
      <c r="C2140" s="1388" t="s">
        <v>1770</v>
      </c>
      <c r="D2140" s="439">
        <v>13</v>
      </c>
      <c r="E2140" s="281"/>
      <c r="F2140" s="1404"/>
      <c r="G2140" s="1404" t="s">
        <v>1847</v>
      </c>
      <c r="H2140" s="937"/>
      <c r="I2140" s="913"/>
      <c r="J2140" s="1396" t="s">
        <v>18</v>
      </c>
      <c r="K2140" s="913" t="s">
        <v>147</v>
      </c>
      <c r="L2140" s="182"/>
      <c r="M2140" s="192"/>
      <c r="N2140" s="512"/>
      <c r="O2140" s="512"/>
      <c r="P2140" s="512"/>
      <c r="Q2140" s="512"/>
      <c r="R2140" s="512"/>
      <c r="S2140" s="512"/>
      <c r="T2140" s="512"/>
      <c r="U2140" s="512"/>
      <c r="V2140" s="512"/>
      <c r="W2140" s="512"/>
    </row>
    <row r="2141" s="800" customFormat="1" ht="16.5" customHeight="1" spans="1:23">
      <c r="A2141" s="819" t="s">
        <v>1735</v>
      </c>
      <c r="B2141" s="942" t="s">
        <v>1850</v>
      </c>
      <c r="C2141" s="1388" t="s">
        <v>1769</v>
      </c>
      <c r="D2141" s="439">
        <v>37</v>
      </c>
      <c r="E2141" s="281"/>
      <c r="F2141" s="1404"/>
      <c r="G2141" s="1404" t="s">
        <v>1847</v>
      </c>
      <c r="H2141" s="937"/>
      <c r="I2141" s="913"/>
      <c r="J2141" s="1396" t="s">
        <v>18</v>
      </c>
      <c r="K2141" s="913" t="s">
        <v>147</v>
      </c>
      <c r="L2141" s="182"/>
      <c r="M2141" s="961" t="s">
        <v>1851</v>
      </c>
      <c r="N2141" s="512"/>
      <c r="O2141" s="512"/>
      <c r="P2141" s="512"/>
      <c r="Q2141" s="512"/>
      <c r="R2141" s="512"/>
      <c r="S2141" s="512"/>
      <c r="T2141" s="512"/>
      <c r="U2141" s="512"/>
      <c r="V2141" s="512"/>
      <c r="W2141" s="512"/>
    </row>
    <row r="2142" s="800" customFormat="1" ht="16.5" customHeight="1" spans="1:23">
      <c r="A2142" s="819" t="s">
        <v>1735</v>
      </c>
      <c r="B2142" s="942" t="s">
        <v>1850</v>
      </c>
      <c r="C2142" s="1388" t="s">
        <v>1770</v>
      </c>
      <c r="D2142" s="439">
        <v>37</v>
      </c>
      <c r="E2142" s="281"/>
      <c r="F2142" s="1404"/>
      <c r="G2142" s="1404" t="s">
        <v>1847</v>
      </c>
      <c r="H2142" s="937"/>
      <c r="I2142" s="913"/>
      <c r="J2142" s="1396" t="s">
        <v>18</v>
      </c>
      <c r="K2142" s="913" t="s">
        <v>147</v>
      </c>
      <c r="L2142" s="182"/>
      <c r="M2142" s="192"/>
      <c r="N2142" s="512"/>
      <c r="O2142" s="512"/>
      <c r="P2142" s="512"/>
      <c r="Q2142" s="512"/>
      <c r="R2142" s="512"/>
      <c r="S2142" s="512"/>
      <c r="T2142" s="512"/>
      <c r="U2142" s="512"/>
      <c r="V2142" s="512"/>
      <c r="W2142" s="512"/>
    </row>
    <row r="2143" s="800" customFormat="1" ht="16.5" customHeight="1" spans="1:23">
      <c r="A2143" s="819" t="s">
        <v>1735</v>
      </c>
      <c r="B2143" s="942" t="s">
        <v>1852</v>
      </c>
      <c r="C2143" s="1388" t="s">
        <v>1775</v>
      </c>
      <c r="D2143" s="439">
        <v>25</v>
      </c>
      <c r="E2143" s="69"/>
      <c r="F2143" s="1404"/>
      <c r="G2143" s="1404" t="s">
        <v>1847</v>
      </c>
      <c r="H2143" s="937"/>
      <c r="I2143" s="913"/>
      <c r="J2143" s="1396" t="s">
        <v>18</v>
      </c>
      <c r="K2143" s="913" t="s">
        <v>147</v>
      </c>
      <c r="L2143" s="182"/>
      <c r="M2143" s="961" t="s">
        <v>1853</v>
      </c>
      <c r="N2143" s="512"/>
      <c r="O2143" s="512"/>
      <c r="P2143" s="512"/>
      <c r="Q2143" s="512"/>
      <c r="R2143" s="512"/>
      <c r="S2143" s="512"/>
      <c r="T2143" s="512"/>
      <c r="U2143" s="512"/>
      <c r="V2143" s="512"/>
      <c r="W2143" s="512"/>
    </row>
    <row r="2144" s="800" customFormat="1" ht="16.5" customHeight="1" spans="1:23">
      <c r="A2144" s="819" t="s">
        <v>1735</v>
      </c>
      <c r="B2144" s="942" t="s">
        <v>1852</v>
      </c>
      <c r="C2144" s="1388" t="s">
        <v>1776</v>
      </c>
      <c r="D2144" s="439">
        <v>25</v>
      </c>
      <c r="E2144" s="281"/>
      <c r="F2144" s="1404"/>
      <c r="G2144" s="1404" t="s">
        <v>1847</v>
      </c>
      <c r="H2144" s="937"/>
      <c r="I2144" s="913"/>
      <c r="J2144" s="1396" t="s">
        <v>18</v>
      </c>
      <c r="K2144" s="913" t="s">
        <v>147</v>
      </c>
      <c r="L2144" s="182"/>
      <c r="M2144" s="192"/>
      <c r="N2144" s="512"/>
      <c r="O2144" s="512"/>
      <c r="P2144" s="512"/>
      <c r="Q2144" s="512"/>
      <c r="R2144" s="512"/>
      <c r="S2144" s="512"/>
      <c r="T2144" s="512"/>
      <c r="U2144" s="512"/>
      <c r="V2144" s="512"/>
      <c r="W2144" s="512"/>
    </row>
    <row r="2145" s="800" customFormat="1" ht="16.5" customHeight="1" spans="1:23">
      <c r="A2145" s="819" t="s">
        <v>1735</v>
      </c>
      <c r="B2145" s="942" t="s">
        <v>1854</v>
      </c>
      <c r="C2145" s="1388" t="s">
        <v>1775</v>
      </c>
      <c r="D2145" s="439">
        <v>10</v>
      </c>
      <c r="E2145" s="281"/>
      <c r="F2145" s="1404"/>
      <c r="G2145" s="1404" t="s">
        <v>1847</v>
      </c>
      <c r="H2145" s="937"/>
      <c r="I2145" s="913"/>
      <c r="J2145" s="1396" t="s">
        <v>18</v>
      </c>
      <c r="K2145" s="913" t="s">
        <v>147</v>
      </c>
      <c r="L2145" s="182"/>
      <c r="M2145" s="961" t="s">
        <v>1855</v>
      </c>
      <c r="N2145" s="512"/>
      <c r="O2145" s="512"/>
      <c r="P2145" s="512"/>
      <c r="Q2145" s="512"/>
      <c r="R2145" s="512"/>
      <c r="S2145" s="512"/>
      <c r="T2145" s="512"/>
      <c r="U2145" s="512"/>
      <c r="V2145" s="512"/>
      <c r="W2145" s="512"/>
    </row>
    <row r="2146" s="800" customFormat="1" ht="16.5" customHeight="1" spans="1:23">
      <c r="A2146" s="819" t="s">
        <v>1735</v>
      </c>
      <c r="B2146" s="942" t="s">
        <v>1854</v>
      </c>
      <c r="C2146" s="1388" t="s">
        <v>1776</v>
      </c>
      <c r="D2146" s="439">
        <v>10</v>
      </c>
      <c r="E2146" s="281"/>
      <c r="F2146" s="1404"/>
      <c r="G2146" s="1404" t="s">
        <v>1847</v>
      </c>
      <c r="H2146" s="937"/>
      <c r="I2146" s="913"/>
      <c r="J2146" s="1396" t="s">
        <v>18</v>
      </c>
      <c r="K2146" s="913" t="s">
        <v>147</v>
      </c>
      <c r="L2146" s="182"/>
      <c r="M2146" s="192"/>
      <c r="N2146" s="512"/>
      <c r="O2146" s="512"/>
      <c r="P2146" s="512"/>
      <c r="Q2146" s="512"/>
      <c r="R2146" s="512"/>
      <c r="S2146" s="512"/>
      <c r="T2146" s="512"/>
      <c r="U2146" s="512"/>
      <c r="V2146" s="512"/>
      <c r="W2146" s="512"/>
    </row>
    <row r="2147" s="800" customFormat="1" ht="16.5" customHeight="1" spans="1:23">
      <c r="A2147" s="819" t="s">
        <v>1735</v>
      </c>
      <c r="B2147" s="942" t="s">
        <v>1854</v>
      </c>
      <c r="C2147" s="1388" t="s">
        <v>1775</v>
      </c>
      <c r="D2147" s="439">
        <v>15</v>
      </c>
      <c r="E2147" s="817" t="s">
        <v>1856</v>
      </c>
      <c r="F2147" s="915"/>
      <c r="G2147" s="915" t="s">
        <v>1847</v>
      </c>
      <c r="H2147" s="937"/>
      <c r="I2147" s="913"/>
      <c r="J2147" s="913" t="s">
        <v>18</v>
      </c>
      <c r="K2147" s="913" t="s">
        <v>147</v>
      </c>
      <c r="L2147" s="182"/>
      <c r="M2147" s="961" t="s">
        <v>1855</v>
      </c>
      <c r="N2147" s="512"/>
      <c r="O2147" s="512"/>
      <c r="P2147" s="512"/>
      <c r="Q2147" s="512"/>
      <c r="R2147" s="512"/>
      <c r="S2147" s="512"/>
      <c r="T2147" s="512"/>
      <c r="U2147" s="512"/>
      <c r="V2147" s="512"/>
      <c r="W2147" s="512"/>
    </row>
    <row r="2148" s="800" customFormat="1" ht="16.5" customHeight="1" spans="1:23">
      <c r="A2148" s="819" t="s">
        <v>1735</v>
      </c>
      <c r="B2148" s="942" t="s">
        <v>1854</v>
      </c>
      <c r="C2148" s="1388" t="s">
        <v>1776</v>
      </c>
      <c r="D2148" s="439">
        <v>15</v>
      </c>
      <c r="E2148" s="281"/>
      <c r="F2148" s="915"/>
      <c r="G2148" s="915" t="s">
        <v>1847</v>
      </c>
      <c r="H2148" s="937"/>
      <c r="I2148" s="913"/>
      <c r="J2148" s="913" t="s">
        <v>18</v>
      </c>
      <c r="K2148" s="913" t="s">
        <v>147</v>
      </c>
      <c r="L2148" s="182"/>
      <c r="M2148" s="192"/>
      <c r="N2148" s="512"/>
      <c r="O2148" s="512"/>
      <c r="P2148" s="512"/>
      <c r="Q2148" s="512"/>
      <c r="R2148" s="512"/>
      <c r="S2148" s="512"/>
      <c r="T2148" s="512"/>
      <c r="U2148" s="512"/>
      <c r="V2148" s="512"/>
      <c r="W2148" s="512"/>
    </row>
    <row r="2149" s="800" customFormat="1" ht="16.5" customHeight="1" spans="1:23">
      <c r="A2149" s="819" t="s">
        <v>1735</v>
      </c>
      <c r="B2149" s="942" t="s">
        <v>1857</v>
      </c>
      <c r="C2149" s="1388" t="s">
        <v>1780</v>
      </c>
      <c r="D2149" s="439">
        <v>20</v>
      </c>
      <c r="E2149" s="281"/>
      <c r="F2149" s="915"/>
      <c r="G2149" s="915" t="s">
        <v>1847</v>
      </c>
      <c r="H2149" s="937"/>
      <c r="I2149" s="913"/>
      <c r="J2149" s="913" t="s">
        <v>18</v>
      </c>
      <c r="K2149" s="913" t="s">
        <v>147</v>
      </c>
      <c r="L2149" s="182"/>
      <c r="M2149" s="961" t="s">
        <v>1858</v>
      </c>
      <c r="N2149" s="512"/>
      <c r="O2149" s="512"/>
      <c r="P2149" s="512"/>
      <c r="Q2149" s="512"/>
      <c r="R2149" s="512"/>
      <c r="S2149" s="512"/>
      <c r="T2149" s="512"/>
      <c r="U2149" s="512"/>
      <c r="V2149" s="512"/>
      <c r="W2149" s="512"/>
    </row>
    <row r="2150" s="800" customFormat="1" ht="16.5" customHeight="1" spans="1:23">
      <c r="A2150" s="819" t="s">
        <v>1735</v>
      </c>
      <c r="B2150" s="942" t="s">
        <v>1857</v>
      </c>
      <c r="C2150" s="1388" t="s">
        <v>1781</v>
      </c>
      <c r="D2150" s="439">
        <v>20</v>
      </c>
      <c r="E2150" s="281"/>
      <c r="F2150" s="915"/>
      <c r="G2150" s="915" t="s">
        <v>1847</v>
      </c>
      <c r="H2150" s="937"/>
      <c r="I2150" s="913"/>
      <c r="J2150" s="913" t="s">
        <v>18</v>
      </c>
      <c r="K2150" s="913" t="s">
        <v>147</v>
      </c>
      <c r="L2150" s="182"/>
      <c r="M2150" s="192"/>
      <c r="N2150" s="512"/>
      <c r="O2150" s="512"/>
      <c r="P2150" s="512"/>
      <c r="Q2150" s="512"/>
      <c r="R2150" s="512"/>
      <c r="S2150" s="512"/>
      <c r="T2150" s="512"/>
      <c r="U2150" s="512"/>
      <c r="V2150" s="512"/>
      <c r="W2150" s="512"/>
    </row>
    <row r="2151" s="800" customFormat="1" ht="16.5" customHeight="1" spans="1:23">
      <c r="A2151" s="819" t="s">
        <v>1735</v>
      </c>
      <c r="B2151" s="942" t="s">
        <v>1859</v>
      </c>
      <c r="C2151" s="1388" t="s">
        <v>1784</v>
      </c>
      <c r="D2151" s="439">
        <v>12</v>
      </c>
      <c r="E2151" s="281"/>
      <c r="F2151" s="915"/>
      <c r="G2151" s="915" t="s">
        <v>1847</v>
      </c>
      <c r="H2151" s="937"/>
      <c r="I2151" s="913"/>
      <c r="J2151" s="913" t="s">
        <v>18</v>
      </c>
      <c r="K2151" s="913" t="s">
        <v>147</v>
      </c>
      <c r="L2151" s="182"/>
      <c r="M2151" s="961" t="s">
        <v>1860</v>
      </c>
      <c r="N2151" s="512"/>
      <c r="O2151" s="512"/>
      <c r="P2151" s="512"/>
      <c r="Q2151" s="512"/>
      <c r="R2151" s="512"/>
      <c r="S2151" s="512"/>
      <c r="T2151" s="512"/>
      <c r="U2151" s="512"/>
      <c r="V2151" s="512"/>
      <c r="W2151" s="512"/>
    </row>
    <row r="2152" s="800" customFormat="1" ht="16.5" customHeight="1" spans="1:23">
      <c r="A2152" s="819" t="s">
        <v>1735</v>
      </c>
      <c r="B2152" s="942" t="s">
        <v>1859</v>
      </c>
      <c r="C2152" s="1388" t="s">
        <v>1785</v>
      </c>
      <c r="D2152" s="439">
        <v>12</v>
      </c>
      <c r="E2152" s="281"/>
      <c r="F2152" s="915"/>
      <c r="G2152" s="915" t="s">
        <v>1847</v>
      </c>
      <c r="H2152" s="937"/>
      <c r="I2152" s="913"/>
      <c r="J2152" s="913" t="s">
        <v>18</v>
      </c>
      <c r="K2152" s="913" t="s">
        <v>147</v>
      </c>
      <c r="L2152" s="182"/>
      <c r="M2152" s="192"/>
      <c r="N2152" s="512"/>
      <c r="O2152" s="512"/>
      <c r="P2152" s="512"/>
      <c r="Q2152" s="512"/>
      <c r="R2152" s="512"/>
      <c r="S2152" s="512"/>
      <c r="T2152" s="512"/>
      <c r="U2152" s="512"/>
      <c r="V2152" s="512"/>
      <c r="W2152" s="512"/>
    </row>
    <row r="2153" s="800" customFormat="1" ht="16.5" customHeight="1" spans="1:23">
      <c r="A2153" s="819" t="s">
        <v>1735</v>
      </c>
      <c r="B2153" s="942" t="s">
        <v>1861</v>
      </c>
      <c r="C2153" s="1388" t="s">
        <v>1784</v>
      </c>
      <c r="D2153" s="439">
        <v>10</v>
      </c>
      <c r="E2153" s="281"/>
      <c r="F2153" s="915"/>
      <c r="G2153" s="915" t="s">
        <v>1847</v>
      </c>
      <c r="H2153" s="937"/>
      <c r="I2153" s="913"/>
      <c r="J2153" s="913" t="s">
        <v>18</v>
      </c>
      <c r="K2153" s="913" t="s">
        <v>147</v>
      </c>
      <c r="L2153" s="182"/>
      <c r="M2153" s="961" t="s">
        <v>1862</v>
      </c>
      <c r="N2153" s="512"/>
      <c r="O2153" s="512"/>
      <c r="P2153" s="512"/>
      <c r="Q2153" s="512"/>
      <c r="R2153" s="512"/>
      <c r="S2153" s="512"/>
      <c r="T2153" s="512"/>
      <c r="U2153" s="512"/>
      <c r="V2153" s="512"/>
      <c r="W2153" s="512"/>
    </row>
    <row r="2154" s="800" customFormat="1" ht="16.5" customHeight="1" spans="1:23">
      <c r="A2154" s="819" t="s">
        <v>1735</v>
      </c>
      <c r="B2154" s="942" t="s">
        <v>1861</v>
      </c>
      <c r="C2154" s="1388" t="s">
        <v>1785</v>
      </c>
      <c r="D2154" s="439">
        <v>10</v>
      </c>
      <c r="E2154" s="281"/>
      <c r="F2154" s="915"/>
      <c r="G2154" s="915" t="s">
        <v>1847</v>
      </c>
      <c r="H2154" s="937"/>
      <c r="I2154" s="913"/>
      <c r="J2154" s="913" t="s">
        <v>18</v>
      </c>
      <c r="K2154" s="913" t="s">
        <v>147</v>
      </c>
      <c r="L2154" s="182"/>
      <c r="M2154" s="192"/>
      <c r="N2154" s="512"/>
      <c r="O2154" s="512"/>
      <c r="P2154" s="512"/>
      <c r="Q2154" s="512"/>
      <c r="R2154" s="512"/>
      <c r="S2154" s="512"/>
      <c r="T2154" s="512"/>
      <c r="U2154" s="512"/>
      <c r="V2154" s="512"/>
      <c r="W2154" s="512"/>
    </row>
    <row r="2155" s="800" customFormat="1" ht="16.5" customHeight="1" spans="1:23">
      <c r="A2155" s="819" t="s">
        <v>1735</v>
      </c>
      <c r="B2155" s="942" t="s">
        <v>1861</v>
      </c>
      <c r="C2155" s="1388" t="s">
        <v>1784</v>
      </c>
      <c r="D2155" s="439">
        <v>2</v>
      </c>
      <c r="E2155" s="817" t="s">
        <v>1863</v>
      </c>
      <c r="F2155" s="915"/>
      <c r="G2155" s="915" t="s">
        <v>1847</v>
      </c>
      <c r="H2155" s="937"/>
      <c r="I2155" s="913"/>
      <c r="J2155" s="913" t="s">
        <v>18</v>
      </c>
      <c r="K2155" s="913" t="s">
        <v>147</v>
      </c>
      <c r="L2155" s="182"/>
      <c r="M2155" s="961" t="s">
        <v>1862</v>
      </c>
      <c r="N2155" s="512"/>
      <c r="O2155" s="512"/>
      <c r="P2155" s="512"/>
      <c r="Q2155" s="512"/>
      <c r="R2155" s="512"/>
      <c r="S2155" s="512"/>
      <c r="T2155" s="512"/>
      <c r="U2155" s="512"/>
      <c r="V2155" s="512"/>
      <c r="W2155" s="512"/>
    </row>
    <row r="2156" s="800" customFormat="1" ht="16.5" customHeight="1" spans="1:23">
      <c r="A2156" s="819" t="s">
        <v>1735</v>
      </c>
      <c r="B2156" s="942" t="s">
        <v>1861</v>
      </c>
      <c r="C2156" s="1388" t="s">
        <v>1785</v>
      </c>
      <c r="D2156" s="439">
        <v>2</v>
      </c>
      <c r="E2156" s="281"/>
      <c r="F2156" s="915"/>
      <c r="G2156" s="915" t="s">
        <v>1847</v>
      </c>
      <c r="H2156" s="937"/>
      <c r="I2156" s="913"/>
      <c r="J2156" s="913" t="s">
        <v>18</v>
      </c>
      <c r="K2156" s="913" t="s">
        <v>147</v>
      </c>
      <c r="L2156" s="182"/>
      <c r="M2156" s="192"/>
      <c r="N2156" s="512"/>
      <c r="O2156" s="512"/>
      <c r="P2156" s="512"/>
      <c r="Q2156" s="512"/>
      <c r="R2156" s="512"/>
      <c r="S2156" s="512"/>
      <c r="T2156" s="512"/>
      <c r="U2156" s="512"/>
      <c r="V2156" s="512"/>
      <c r="W2156" s="512"/>
    </row>
    <row r="2157" ht="16.5" customHeight="1" spans="1:23">
      <c r="A2157" s="1405" t="s">
        <v>1864</v>
      </c>
      <c r="B2157" s="942" t="s">
        <v>1865</v>
      </c>
      <c r="C2157" s="1406" t="s">
        <v>1723</v>
      </c>
      <c r="D2157" s="439">
        <v>66</v>
      </c>
      <c r="E2157" s="281"/>
      <c r="F2157" s="915"/>
      <c r="G2157" s="915" t="s">
        <v>1847</v>
      </c>
      <c r="H2157" s="937"/>
      <c r="I2157" s="913"/>
      <c r="J2157" s="913" t="s">
        <v>18</v>
      </c>
      <c r="K2157" s="913" t="s">
        <v>147</v>
      </c>
      <c r="L2157" s="182"/>
      <c r="M2157" s="1395" t="s">
        <v>1866</v>
      </c>
      <c r="N2157" s="1154"/>
      <c r="O2157" s="1154"/>
      <c r="P2157" s="1154"/>
      <c r="Q2157" s="1154"/>
      <c r="R2157" s="1154"/>
      <c r="S2157" s="1154"/>
      <c r="T2157" s="1154"/>
      <c r="U2157" s="1154"/>
      <c r="V2157" s="1154"/>
      <c r="W2157" s="1154"/>
    </row>
    <row r="2158" ht="16.5" customHeight="1" spans="1:23">
      <c r="A2158" s="1405" t="s">
        <v>1864</v>
      </c>
      <c r="B2158" s="942" t="s">
        <v>1865</v>
      </c>
      <c r="C2158" s="1406" t="s">
        <v>1725</v>
      </c>
      <c r="D2158" s="439">
        <v>66</v>
      </c>
      <c r="E2158" s="281"/>
      <c r="F2158" s="915"/>
      <c r="G2158" s="915" t="s">
        <v>1847</v>
      </c>
      <c r="H2158" s="937"/>
      <c r="I2158" s="913"/>
      <c r="J2158" s="913" t="s">
        <v>18</v>
      </c>
      <c r="K2158" s="913" t="s">
        <v>147</v>
      </c>
      <c r="L2158" s="182"/>
      <c r="M2158" s="192"/>
      <c r="N2158" s="1154"/>
      <c r="O2158" s="1154"/>
      <c r="P2158" s="1154"/>
      <c r="Q2158" s="1154"/>
      <c r="R2158" s="1154"/>
      <c r="S2158" s="1154"/>
      <c r="T2158" s="1154"/>
      <c r="U2158" s="1154"/>
      <c r="V2158" s="1154"/>
      <c r="W2158" s="1154"/>
    </row>
    <row r="2159" ht="16.5" customHeight="1" spans="1:23">
      <c r="A2159" s="1405" t="s">
        <v>1864</v>
      </c>
      <c r="B2159" s="914" t="s">
        <v>1867</v>
      </c>
      <c r="C2159" s="1406" t="s">
        <v>1723</v>
      </c>
      <c r="D2159" s="439">
        <v>66</v>
      </c>
      <c r="E2159" s="281"/>
      <c r="F2159" s="915"/>
      <c r="G2159" s="915" t="s">
        <v>1847</v>
      </c>
      <c r="H2159" s="937"/>
      <c r="I2159" s="913"/>
      <c r="J2159" s="913" t="s">
        <v>18</v>
      </c>
      <c r="K2159" s="913" t="s">
        <v>147</v>
      </c>
      <c r="L2159" s="182"/>
      <c r="M2159" s="1395" t="s">
        <v>1868</v>
      </c>
      <c r="N2159" s="1154"/>
      <c r="O2159" s="1154"/>
      <c r="P2159" s="1154"/>
      <c r="Q2159" s="1154"/>
      <c r="R2159" s="1154"/>
      <c r="S2159" s="1154"/>
      <c r="T2159" s="1154"/>
      <c r="U2159" s="1154"/>
      <c r="V2159" s="1154"/>
      <c r="W2159" s="1154"/>
    </row>
    <row r="2160" ht="16.5" customHeight="1" spans="1:23">
      <c r="A2160" s="1405" t="s">
        <v>1864</v>
      </c>
      <c r="B2160" s="914" t="s">
        <v>1867</v>
      </c>
      <c r="C2160" s="1406" t="s">
        <v>1725</v>
      </c>
      <c r="D2160" s="439">
        <v>66</v>
      </c>
      <c r="E2160" s="281"/>
      <c r="F2160" s="915"/>
      <c r="G2160" s="915" t="s">
        <v>1847</v>
      </c>
      <c r="H2160" s="937"/>
      <c r="I2160" s="913"/>
      <c r="J2160" s="913" t="s">
        <v>18</v>
      </c>
      <c r="K2160" s="913" t="s">
        <v>147</v>
      </c>
      <c r="L2160" s="182"/>
      <c r="M2160" s="192"/>
      <c r="N2160" s="1154"/>
      <c r="O2160" s="1154"/>
      <c r="P2160" s="1154"/>
      <c r="Q2160" s="1154"/>
      <c r="R2160" s="1154"/>
      <c r="S2160" s="1154"/>
      <c r="T2160" s="1154"/>
      <c r="U2160" s="1154"/>
      <c r="V2160" s="1154"/>
      <c r="W2160" s="1154"/>
    </row>
    <row r="2161" ht="16.5" customHeight="1" spans="1:23">
      <c r="A2161" s="818" t="s">
        <v>1864</v>
      </c>
      <c r="B2161" s="942" t="s">
        <v>1869</v>
      </c>
      <c r="C2161" s="1388" t="s">
        <v>1723</v>
      </c>
      <c r="D2161" s="439">
        <v>66</v>
      </c>
      <c r="E2161" s="281"/>
      <c r="F2161" s="915"/>
      <c r="G2161" s="915" t="s">
        <v>1847</v>
      </c>
      <c r="H2161" s="937"/>
      <c r="I2161" s="913"/>
      <c r="J2161" s="913" t="s">
        <v>18</v>
      </c>
      <c r="K2161" s="913" t="s">
        <v>147</v>
      </c>
      <c r="L2161" s="182"/>
      <c r="M2161" s="1395" t="s">
        <v>1870</v>
      </c>
      <c r="N2161" s="1154"/>
      <c r="O2161" s="1154"/>
      <c r="P2161" s="1154"/>
      <c r="Q2161" s="1154"/>
      <c r="R2161" s="1154"/>
      <c r="S2161" s="1154"/>
      <c r="T2161" s="1154"/>
      <c r="U2161" s="1154"/>
      <c r="V2161" s="1154"/>
      <c r="W2161" s="1154"/>
    </row>
    <row r="2162" ht="16.5" customHeight="1" spans="1:23">
      <c r="A2162" s="818" t="s">
        <v>1864</v>
      </c>
      <c r="B2162" s="942" t="s">
        <v>1869</v>
      </c>
      <c r="C2162" s="1388" t="s">
        <v>1725</v>
      </c>
      <c r="D2162" s="439">
        <v>66</v>
      </c>
      <c r="E2162" s="281"/>
      <c r="F2162" s="915"/>
      <c r="G2162" s="915" t="s">
        <v>1847</v>
      </c>
      <c r="H2162" s="937"/>
      <c r="I2162" s="913"/>
      <c r="J2162" s="913" t="s">
        <v>18</v>
      </c>
      <c r="K2162" s="913" t="s">
        <v>147</v>
      </c>
      <c r="L2162" s="182"/>
      <c r="M2162" s="192"/>
      <c r="N2162" s="1154"/>
      <c r="O2162" s="1154"/>
      <c r="P2162" s="1154"/>
      <c r="Q2162" s="1154"/>
      <c r="R2162" s="1154"/>
      <c r="S2162" s="1154"/>
      <c r="T2162" s="1154"/>
      <c r="U2162" s="1154"/>
      <c r="V2162" s="1154"/>
      <c r="W2162" s="1154"/>
    </row>
    <row r="2163" ht="16.5" customHeight="1" spans="1:13">
      <c r="A2163" s="1407" t="s">
        <v>1871</v>
      </c>
      <c r="B2163" s="1408" t="s">
        <v>1872</v>
      </c>
      <c r="C2163" s="1409" t="s">
        <v>1784</v>
      </c>
      <c r="D2163" s="439">
        <v>1</v>
      </c>
      <c r="E2163" s="281"/>
      <c r="F2163" s="915"/>
      <c r="G2163" s="915" t="s">
        <v>1847</v>
      </c>
      <c r="H2163" s="937"/>
      <c r="I2163" s="913"/>
      <c r="J2163" s="913" t="s">
        <v>18</v>
      </c>
      <c r="K2163" s="913" t="s">
        <v>147</v>
      </c>
      <c r="L2163" s="1410"/>
      <c r="M2163" s="959" t="s">
        <v>1873</v>
      </c>
    </row>
    <row r="2164" ht="16.5" customHeight="1" spans="1:13">
      <c r="A2164" s="460" t="s">
        <v>1871</v>
      </c>
      <c r="B2164" s="1408" t="s">
        <v>1872</v>
      </c>
      <c r="C2164" s="1409" t="s">
        <v>1785</v>
      </c>
      <c r="D2164" s="439">
        <v>1</v>
      </c>
      <c r="E2164" s="281"/>
      <c r="F2164" s="915"/>
      <c r="G2164" s="915" t="s">
        <v>1847</v>
      </c>
      <c r="H2164" s="937"/>
      <c r="I2164" s="913"/>
      <c r="J2164" s="913" t="s">
        <v>18</v>
      </c>
      <c r="K2164" s="913" t="s">
        <v>147</v>
      </c>
      <c r="L2164" s="1410"/>
      <c r="M2164" s="190"/>
    </row>
    <row r="2165" ht="16.5" customHeight="1" spans="1:13">
      <c r="A2165" s="460" t="s">
        <v>1871</v>
      </c>
      <c r="B2165" s="1408" t="s">
        <v>1872</v>
      </c>
      <c r="C2165" s="1388" t="s">
        <v>1741</v>
      </c>
      <c r="D2165" s="439">
        <v>12</v>
      </c>
      <c r="E2165" s="281"/>
      <c r="F2165" s="915"/>
      <c r="G2165" s="915" t="s">
        <v>1847</v>
      </c>
      <c r="H2165" s="937"/>
      <c r="I2165" s="913"/>
      <c r="J2165" s="913" t="s">
        <v>18</v>
      </c>
      <c r="K2165" s="913" t="s">
        <v>147</v>
      </c>
      <c r="L2165" s="1410"/>
      <c r="M2165" s="190"/>
    </row>
    <row r="2166" ht="16.5" customHeight="1" spans="1:13">
      <c r="A2166" s="460" t="s">
        <v>1871</v>
      </c>
      <c r="B2166" s="1408" t="s">
        <v>1872</v>
      </c>
      <c r="C2166" s="1388" t="s">
        <v>1742</v>
      </c>
      <c r="D2166" s="439">
        <v>12</v>
      </c>
      <c r="E2166" s="281"/>
      <c r="F2166" s="915"/>
      <c r="G2166" s="915" t="s">
        <v>1847</v>
      </c>
      <c r="H2166" s="937"/>
      <c r="I2166" s="913"/>
      <c r="J2166" s="913" t="s">
        <v>18</v>
      </c>
      <c r="K2166" s="913" t="s">
        <v>147</v>
      </c>
      <c r="L2166" s="1410"/>
      <c r="M2166" s="192"/>
    </row>
    <row r="2167" ht="16.5" customHeight="1" spans="1:13">
      <c r="A2167" s="1407" t="s">
        <v>1874</v>
      </c>
      <c r="B2167" s="1408" t="s">
        <v>1875</v>
      </c>
      <c r="C2167" s="1388" t="s">
        <v>1741</v>
      </c>
      <c r="D2167" s="439">
        <v>20</v>
      </c>
      <c r="E2167" s="988" t="s">
        <v>1876</v>
      </c>
      <c r="F2167" s="898"/>
      <c r="G2167" s="898" t="s">
        <v>1847</v>
      </c>
      <c r="H2167" s="899"/>
      <c r="I2167" s="933"/>
      <c r="J2167" s="1407" t="s">
        <v>18</v>
      </c>
      <c r="K2167" s="1407" t="s">
        <v>147</v>
      </c>
      <c r="L2167" s="1410"/>
      <c r="M2167" s="933" t="s">
        <v>1877</v>
      </c>
    </row>
    <row r="2168" ht="16.5" customHeight="1" spans="1:13">
      <c r="A2168" s="460" t="s">
        <v>1874</v>
      </c>
      <c r="B2168" s="942" t="s">
        <v>1875</v>
      </c>
      <c r="C2168" s="1388" t="s">
        <v>1742</v>
      </c>
      <c r="D2168" s="439">
        <v>20</v>
      </c>
      <c r="E2168" s="281"/>
      <c r="F2168" s="915"/>
      <c r="G2168" s="915" t="s">
        <v>1847</v>
      </c>
      <c r="H2168" s="899"/>
      <c r="I2168" s="933"/>
      <c r="J2168" s="1407" t="s">
        <v>18</v>
      </c>
      <c r="K2168" s="1407" t="s">
        <v>147</v>
      </c>
      <c r="L2168" s="1410"/>
      <c r="M2168" s="933"/>
    </row>
    <row r="2169" ht="16.5" customHeight="1" spans="1:13">
      <c r="A2169" s="460" t="s">
        <v>1874</v>
      </c>
      <c r="B2169" s="942" t="s">
        <v>1875</v>
      </c>
      <c r="C2169" s="1388" t="s">
        <v>1723</v>
      </c>
      <c r="D2169" s="439">
        <v>30</v>
      </c>
      <c r="E2169" s="281"/>
      <c r="F2169" s="915"/>
      <c r="G2169" s="915" t="s">
        <v>1847</v>
      </c>
      <c r="H2169" s="899"/>
      <c r="I2169" s="933"/>
      <c r="J2169" s="1407" t="s">
        <v>18</v>
      </c>
      <c r="K2169" s="1407" t="s">
        <v>147</v>
      </c>
      <c r="L2169" s="1410"/>
      <c r="M2169" s="933"/>
    </row>
    <row r="2170" ht="16.5" customHeight="1" spans="1:13">
      <c r="A2170" s="460" t="s">
        <v>1874</v>
      </c>
      <c r="B2170" s="942" t="s">
        <v>1875</v>
      </c>
      <c r="C2170" s="1388" t="s">
        <v>1725</v>
      </c>
      <c r="D2170" s="439">
        <v>30</v>
      </c>
      <c r="E2170" s="281"/>
      <c r="F2170" s="915"/>
      <c r="G2170" s="915" t="s">
        <v>1847</v>
      </c>
      <c r="H2170" s="899"/>
      <c r="I2170" s="933"/>
      <c r="J2170" s="1407" t="s">
        <v>18</v>
      </c>
      <c r="K2170" s="1407" t="s">
        <v>147</v>
      </c>
      <c r="L2170" s="1410"/>
      <c r="M2170" s="933"/>
    </row>
    <row r="2171" ht="16.5" customHeight="1" spans="1:13">
      <c r="A2171" s="460" t="s">
        <v>1874</v>
      </c>
      <c r="B2171" s="942" t="s">
        <v>1875</v>
      </c>
      <c r="C2171" s="1388" t="s">
        <v>1747</v>
      </c>
      <c r="D2171" s="439">
        <v>25</v>
      </c>
      <c r="E2171" s="281"/>
      <c r="F2171" s="915"/>
      <c r="G2171" s="915" t="s">
        <v>1847</v>
      </c>
      <c r="H2171" s="899"/>
      <c r="I2171" s="933"/>
      <c r="J2171" s="1407" t="s">
        <v>18</v>
      </c>
      <c r="K2171" s="1407" t="s">
        <v>147</v>
      </c>
      <c r="L2171" s="1410"/>
      <c r="M2171" s="933"/>
    </row>
    <row r="2172" ht="16.5" customHeight="1" spans="1:13">
      <c r="A2172" s="460" t="s">
        <v>1874</v>
      </c>
      <c r="B2172" s="942" t="s">
        <v>1875</v>
      </c>
      <c r="C2172" s="1388" t="s">
        <v>1748</v>
      </c>
      <c r="D2172" s="439">
        <v>25</v>
      </c>
      <c r="E2172" s="281"/>
      <c r="F2172" s="915"/>
      <c r="G2172" s="915" t="s">
        <v>1847</v>
      </c>
      <c r="H2172" s="899"/>
      <c r="I2172" s="933"/>
      <c r="J2172" s="1407" t="s">
        <v>18</v>
      </c>
      <c r="K2172" s="1407" t="s">
        <v>147</v>
      </c>
      <c r="L2172" s="1410"/>
      <c r="M2172" s="933"/>
    </row>
    <row r="2173" ht="16.5" customHeight="1" spans="1:13">
      <c r="A2173" s="460" t="s">
        <v>1874</v>
      </c>
      <c r="B2173" s="942" t="s">
        <v>1875</v>
      </c>
      <c r="C2173" s="1388" t="s">
        <v>1878</v>
      </c>
      <c r="D2173" s="439">
        <v>48</v>
      </c>
      <c r="E2173" s="281"/>
      <c r="F2173" s="915"/>
      <c r="G2173" s="915" t="s">
        <v>1847</v>
      </c>
      <c r="H2173" s="899"/>
      <c r="I2173" s="933"/>
      <c r="J2173" s="1407" t="s">
        <v>18</v>
      </c>
      <c r="K2173" s="1407" t="s">
        <v>147</v>
      </c>
      <c r="L2173" s="1410"/>
      <c r="M2173" s="933"/>
    </row>
    <row r="2174" ht="16.5" customHeight="1" spans="1:13">
      <c r="A2174" s="460" t="s">
        <v>1874</v>
      </c>
      <c r="B2174" s="1408" t="s">
        <v>1879</v>
      </c>
      <c r="C2174" s="1388" t="s">
        <v>1741</v>
      </c>
      <c r="D2174" s="439">
        <v>20</v>
      </c>
      <c r="E2174" s="914" t="s">
        <v>1880</v>
      </c>
      <c r="F2174" s="915"/>
      <c r="G2174" s="915" t="s">
        <v>1847</v>
      </c>
      <c r="H2174" s="899"/>
      <c r="I2174" s="933"/>
      <c r="J2174" s="1407" t="s">
        <v>18</v>
      </c>
      <c r="K2174" s="1407" t="s">
        <v>147</v>
      </c>
      <c r="L2174" s="1410"/>
      <c r="M2174" s="933" t="s">
        <v>1881</v>
      </c>
    </row>
    <row r="2175" ht="16.5" customHeight="1" spans="1:13">
      <c r="A2175" s="460" t="s">
        <v>1874</v>
      </c>
      <c r="B2175" s="942" t="s">
        <v>1879</v>
      </c>
      <c r="C2175" s="1388" t="s">
        <v>1742</v>
      </c>
      <c r="D2175" s="439">
        <v>20</v>
      </c>
      <c r="E2175" s="420"/>
      <c r="F2175" s="915"/>
      <c r="G2175" s="915" t="s">
        <v>1847</v>
      </c>
      <c r="H2175" s="899"/>
      <c r="I2175" s="933"/>
      <c r="J2175" s="1407" t="s">
        <v>18</v>
      </c>
      <c r="K2175" s="1407" t="s">
        <v>147</v>
      </c>
      <c r="L2175" s="1410"/>
      <c r="M2175" s="933"/>
    </row>
    <row r="2176" ht="16.5" customHeight="1" spans="1:13">
      <c r="A2176" s="460" t="s">
        <v>1874</v>
      </c>
      <c r="B2176" s="942" t="s">
        <v>1879</v>
      </c>
      <c r="C2176" s="1388" t="s">
        <v>1723</v>
      </c>
      <c r="D2176" s="439">
        <v>30</v>
      </c>
      <c r="E2176" s="420"/>
      <c r="F2176" s="915"/>
      <c r="G2176" s="915" t="s">
        <v>1847</v>
      </c>
      <c r="H2176" s="899"/>
      <c r="I2176" s="933"/>
      <c r="J2176" s="1407" t="s">
        <v>18</v>
      </c>
      <c r="K2176" s="1407" t="s">
        <v>147</v>
      </c>
      <c r="L2176" s="1410"/>
      <c r="M2176" s="933"/>
    </row>
    <row r="2177" ht="16.5" customHeight="1" spans="1:13">
      <c r="A2177" s="460" t="s">
        <v>1874</v>
      </c>
      <c r="B2177" s="942" t="s">
        <v>1879</v>
      </c>
      <c r="C2177" s="1388" t="s">
        <v>1725</v>
      </c>
      <c r="D2177" s="439">
        <v>30</v>
      </c>
      <c r="E2177" s="420"/>
      <c r="F2177" s="915"/>
      <c r="G2177" s="915" t="s">
        <v>1847</v>
      </c>
      <c r="H2177" s="899"/>
      <c r="I2177" s="933"/>
      <c r="J2177" s="1407" t="s">
        <v>18</v>
      </c>
      <c r="K2177" s="1407" t="s">
        <v>147</v>
      </c>
      <c r="L2177" s="1410"/>
      <c r="M2177" s="933"/>
    </row>
    <row r="2178" ht="16.5" customHeight="1" spans="1:13">
      <c r="A2178" s="460" t="s">
        <v>1874</v>
      </c>
      <c r="B2178" s="942" t="s">
        <v>1879</v>
      </c>
      <c r="C2178" s="1388" t="s">
        <v>1747</v>
      </c>
      <c r="D2178" s="439">
        <v>25</v>
      </c>
      <c r="E2178" s="420"/>
      <c r="F2178" s="915"/>
      <c r="G2178" s="915" t="s">
        <v>1847</v>
      </c>
      <c r="H2178" s="899"/>
      <c r="I2178" s="933"/>
      <c r="J2178" s="1407" t="s">
        <v>18</v>
      </c>
      <c r="K2178" s="1407" t="s">
        <v>147</v>
      </c>
      <c r="L2178" s="1410"/>
      <c r="M2178" s="933"/>
    </row>
    <row r="2179" ht="16.5" customHeight="1" spans="1:13">
      <c r="A2179" s="460" t="s">
        <v>1874</v>
      </c>
      <c r="B2179" s="942" t="s">
        <v>1879</v>
      </c>
      <c r="C2179" s="1388" t="s">
        <v>1748</v>
      </c>
      <c r="D2179" s="439">
        <v>25</v>
      </c>
      <c r="E2179" s="420"/>
      <c r="F2179" s="915"/>
      <c r="G2179" s="915" t="s">
        <v>1847</v>
      </c>
      <c r="H2179" s="899"/>
      <c r="I2179" s="933"/>
      <c r="J2179" s="1407" t="s">
        <v>18</v>
      </c>
      <c r="K2179" s="1407" t="s">
        <v>147</v>
      </c>
      <c r="L2179" s="1410"/>
      <c r="M2179" s="933"/>
    </row>
    <row r="2180" ht="16.5" customHeight="1" spans="1:13">
      <c r="A2180" s="460" t="s">
        <v>1874</v>
      </c>
      <c r="B2180" s="942" t="s">
        <v>1879</v>
      </c>
      <c r="C2180" s="1388" t="s">
        <v>1878</v>
      </c>
      <c r="D2180" s="439">
        <v>48</v>
      </c>
      <c r="E2180" s="420"/>
      <c r="F2180" s="915"/>
      <c r="G2180" s="915" t="s">
        <v>1847</v>
      </c>
      <c r="H2180" s="899"/>
      <c r="I2180" s="933"/>
      <c r="J2180" s="1407" t="s">
        <v>18</v>
      </c>
      <c r="K2180" s="1407" t="s">
        <v>147</v>
      </c>
      <c r="L2180" s="1410"/>
      <c r="M2180" s="933"/>
    </row>
    <row r="2181" ht="16.5" customHeight="1" spans="1:13">
      <c r="A2181" s="460" t="s">
        <v>1874</v>
      </c>
      <c r="B2181" s="1408" t="s">
        <v>1882</v>
      </c>
      <c r="C2181" s="1388" t="s">
        <v>1741</v>
      </c>
      <c r="D2181" s="439">
        <v>20</v>
      </c>
      <c r="E2181" s="1124" t="s">
        <v>1883</v>
      </c>
      <c r="F2181" s="915"/>
      <c r="G2181" s="915" t="s">
        <v>1847</v>
      </c>
      <c r="H2181" s="899"/>
      <c r="I2181" s="933"/>
      <c r="J2181" s="1407" t="s">
        <v>18</v>
      </c>
      <c r="K2181" s="1407" t="s">
        <v>147</v>
      </c>
      <c r="L2181" s="1410"/>
      <c r="M2181" s="933" t="s">
        <v>1884</v>
      </c>
    </row>
    <row r="2182" ht="16.5" customHeight="1" spans="1:13">
      <c r="A2182" s="460" t="s">
        <v>1874</v>
      </c>
      <c r="B2182" s="942" t="s">
        <v>1882</v>
      </c>
      <c r="C2182" s="1388" t="s">
        <v>1742</v>
      </c>
      <c r="D2182" s="439">
        <v>20</v>
      </c>
      <c r="E2182" s="281"/>
      <c r="F2182" s="915"/>
      <c r="G2182" s="915" t="s">
        <v>1847</v>
      </c>
      <c r="H2182" s="899"/>
      <c r="I2182" s="933"/>
      <c r="J2182" s="1407" t="s">
        <v>18</v>
      </c>
      <c r="K2182" s="1407" t="s">
        <v>147</v>
      </c>
      <c r="L2182" s="1410"/>
      <c r="M2182" s="933"/>
    </row>
    <row r="2183" ht="16.5" customHeight="1" spans="1:13">
      <c r="A2183" s="460" t="s">
        <v>1874</v>
      </c>
      <c r="B2183" s="942" t="s">
        <v>1882</v>
      </c>
      <c r="C2183" s="1388" t="s">
        <v>1723</v>
      </c>
      <c r="D2183" s="439">
        <v>30</v>
      </c>
      <c r="E2183" s="281"/>
      <c r="F2183" s="915"/>
      <c r="G2183" s="915" t="s">
        <v>1847</v>
      </c>
      <c r="H2183" s="899"/>
      <c r="I2183" s="933"/>
      <c r="J2183" s="1407" t="s">
        <v>18</v>
      </c>
      <c r="K2183" s="1407" t="s">
        <v>147</v>
      </c>
      <c r="L2183" s="1410"/>
      <c r="M2183" s="933"/>
    </row>
    <row r="2184" ht="16.5" customHeight="1" spans="1:13">
      <c r="A2184" s="460" t="s">
        <v>1874</v>
      </c>
      <c r="B2184" s="942" t="s">
        <v>1882</v>
      </c>
      <c r="C2184" s="1388" t="s">
        <v>1725</v>
      </c>
      <c r="D2184" s="439">
        <v>30</v>
      </c>
      <c r="E2184" s="281"/>
      <c r="F2184" s="915"/>
      <c r="G2184" s="915" t="s">
        <v>1847</v>
      </c>
      <c r="H2184" s="899"/>
      <c r="I2184" s="933"/>
      <c r="J2184" s="1407" t="s">
        <v>18</v>
      </c>
      <c r="K2184" s="1407" t="s">
        <v>147</v>
      </c>
      <c r="L2184" s="1410"/>
      <c r="M2184" s="933"/>
    </row>
    <row r="2185" ht="16.5" customHeight="1" spans="1:13">
      <c r="A2185" s="460" t="s">
        <v>1874</v>
      </c>
      <c r="B2185" s="942" t="s">
        <v>1882</v>
      </c>
      <c r="C2185" s="1388" t="s">
        <v>1747</v>
      </c>
      <c r="D2185" s="439">
        <v>25</v>
      </c>
      <c r="E2185" s="281"/>
      <c r="F2185" s="915"/>
      <c r="G2185" s="915" t="s">
        <v>1847</v>
      </c>
      <c r="H2185" s="899"/>
      <c r="I2185" s="933"/>
      <c r="J2185" s="1407" t="s">
        <v>18</v>
      </c>
      <c r="K2185" s="1407" t="s">
        <v>147</v>
      </c>
      <c r="L2185" s="1410"/>
      <c r="M2185" s="933"/>
    </row>
    <row r="2186" ht="16.5" customHeight="1" spans="1:13">
      <c r="A2186" s="460" t="s">
        <v>1874</v>
      </c>
      <c r="B2186" s="942" t="s">
        <v>1882</v>
      </c>
      <c r="C2186" s="1388" t="s">
        <v>1748</v>
      </c>
      <c r="D2186" s="439">
        <v>25</v>
      </c>
      <c r="E2186" s="281"/>
      <c r="F2186" s="915"/>
      <c r="G2186" s="915" t="s">
        <v>1847</v>
      </c>
      <c r="H2186" s="899"/>
      <c r="I2186" s="933"/>
      <c r="J2186" s="1407" t="s">
        <v>18</v>
      </c>
      <c r="K2186" s="1407" t="s">
        <v>147</v>
      </c>
      <c r="L2186" s="1410"/>
      <c r="M2186" s="933"/>
    </row>
    <row r="2187" ht="16.5" customHeight="1" spans="1:13">
      <c r="A2187" s="460" t="s">
        <v>1874</v>
      </c>
      <c r="B2187" s="942" t="s">
        <v>1882</v>
      </c>
      <c r="C2187" s="1388" t="s">
        <v>1878</v>
      </c>
      <c r="D2187" s="439">
        <v>48</v>
      </c>
      <c r="E2187" s="281"/>
      <c r="F2187" s="915"/>
      <c r="G2187" s="915" t="s">
        <v>1847</v>
      </c>
      <c r="H2187" s="899"/>
      <c r="I2187" s="933"/>
      <c r="J2187" s="1407" t="s">
        <v>18</v>
      </c>
      <c r="K2187" s="1407" t="s">
        <v>147</v>
      </c>
      <c r="L2187" s="1410"/>
      <c r="M2187" s="933"/>
    </row>
    <row r="2188" ht="16.5" customHeight="1" spans="1:13">
      <c r="A2188" s="460" t="s">
        <v>1874</v>
      </c>
      <c r="B2188" s="1408" t="s">
        <v>1885</v>
      </c>
      <c r="C2188" s="1388" t="s">
        <v>1741</v>
      </c>
      <c r="D2188" s="439">
        <v>20</v>
      </c>
      <c r="E2188" s="942" t="s">
        <v>1886</v>
      </c>
      <c r="F2188" s="915"/>
      <c r="G2188" s="915" t="s">
        <v>1847</v>
      </c>
      <c r="H2188" s="899"/>
      <c r="I2188" s="933"/>
      <c r="J2188" s="1407" t="s">
        <v>18</v>
      </c>
      <c r="K2188" s="1407" t="s">
        <v>147</v>
      </c>
      <c r="L2188" s="1410"/>
      <c r="M2188" s="933" t="s">
        <v>1887</v>
      </c>
    </row>
    <row r="2189" ht="16.5" customHeight="1" spans="1:13">
      <c r="A2189" s="460" t="s">
        <v>1874</v>
      </c>
      <c r="B2189" s="942" t="s">
        <v>1885</v>
      </c>
      <c r="C2189" s="1388" t="s">
        <v>1742</v>
      </c>
      <c r="D2189" s="439">
        <v>20</v>
      </c>
      <c r="E2189" s="420"/>
      <c r="F2189" s="915"/>
      <c r="G2189" s="915" t="s">
        <v>1847</v>
      </c>
      <c r="H2189" s="899"/>
      <c r="I2189" s="933"/>
      <c r="J2189" s="1407" t="s">
        <v>18</v>
      </c>
      <c r="K2189" s="1407" t="s">
        <v>147</v>
      </c>
      <c r="L2189" s="1410"/>
      <c r="M2189" s="933"/>
    </row>
    <row r="2190" ht="16.5" customHeight="1" spans="1:13">
      <c r="A2190" s="460" t="s">
        <v>1874</v>
      </c>
      <c r="B2190" s="942" t="s">
        <v>1885</v>
      </c>
      <c r="C2190" s="1388" t="s">
        <v>1723</v>
      </c>
      <c r="D2190" s="439">
        <v>30</v>
      </c>
      <c r="E2190" s="420"/>
      <c r="F2190" s="915"/>
      <c r="G2190" s="915" t="s">
        <v>1847</v>
      </c>
      <c r="H2190" s="899"/>
      <c r="I2190" s="933"/>
      <c r="J2190" s="1407" t="s">
        <v>18</v>
      </c>
      <c r="K2190" s="1407" t="s">
        <v>147</v>
      </c>
      <c r="L2190" s="1410"/>
      <c r="M2190" s="933"/>
    </row>
    <row r="2191" ht="16.5" customHeight="1" spans="1:13">
      <c r="A2191" s="460" t="s">
        <v>1874</v>
      </c>
      <c r="B2191" s="942" t="s">
        <v>1885</v>
      </c>
      <c r="C2191" s="1388" t="s">
        <v>1725</v>
      </c>
      <c r="D2191" s="439">
        <v>30</v>
      </c>
      <c r="E2191" s="420"/>
      <c r="F2191" s="915"/>
      <c r="G2191" s="915" t="s">
        <v>1847</v>
      </c>
      <c r="H2191" s="899"/>
      <c r="I2191" s="933"/>
      <c r="J2191" s="1407" t="s">
        <v>18</v>
      </c>
      <c r="K2191" s="1407" t="s">
        <v>147</v>
      </c>
      <c r="L2191" s="1410"/>
      <c r="M2191" s="933"/>
    </row>
    <row r="2192" ht="16.5" customHeight="1" spans="1:13">
      <c r="A2192" s="460" t="s">
        <v>1874</v>
      </c>
      <c r="B2192" s="942" t="s">
        <v>1885</v>
      </c>
      <c r="C2192" s="1388" t="s">
        <v>1747</v>
      </c>
      <c r="D2192" s="439">
        <v>25</v>
      </c>
      <c r="E2192" s="420"/>
      <c r="F2192" s="915"/>
      <c r="G2192" s="915" t="s">
        <v>1847</v>
      </c>
      <c r="H2192" s="899"/>
      <c r="I2192" s="933"/>
      <c r="J2192" s="1407" t="s">
        <v>18</v>
      </c>
      <c r="K2192" s="1407" t="s">
        <v>147</v>
      </c>
      <c r="L2192" s="1410"/>
      <c r="M2192" s="933"/>
    </row>
    <row r="2193" ht="16.5" customHeight="1" spans="1:13">
      <c r="A2193" s="460" t="s">
        <v>1874</v>
      </c>
      <c r="B2193" s="942" t="s">
        <v>1885</v>
      </c>
      <c r="C2193" s="1388" t="s">
        <v>1748</v>
      </c>
      <c r="D2193" s="439">
        <v>25</v>
      </c>
      <c r="E2193" s="420"/>
      <c r="F2193" s="915"/>
      <c r="G2193" s="915" t="s">
        <v>1847</v>
      </c>
      <c r="H2193" s="899"/>
      <c r="I2193" s="933"/>
      <c r="J2193" s="1407" t="s">
        <v>18</v>
      </c>
      <c r="K2193" s="1407" t="s">
        <v>147</v>
      </c>
      <c r="L2193" s="1410"/>
      <c r="M2193" s="933"/>
    </row>
    <row r="2194" ht="16.5" customHeight="1" spans="1:13">
      <c r="A2194" s="460" t="s">
        <v>1874</v>
      </c>
      <c r="B2194" s="942" t="s">
        <v>1885</v>
      </c>
      <c r="C2194" s="1388" t="s">
        <v>1878</v>
      </c>
      <c r="D2194" s="439">
        <v>48</v>
      </c>
      <c r="E2194" s="420"/>
      <c r="F2194" s="915"/>
      <c r="G2194" s="915" t="s">
        <v>1847</v>
      </c>
      <c r="H2194" s="899"/>
      <c r="I2194" s="933"/>
      <c r="J2194" s="1407" t="s">
        <v>18</v>
      </c>
      <c r="K2194" s="1407" t="s">
        <v>147</v>
      </c>
      <c r="L2194" s="1410"/>
      <c r="M2194" s="933"/>
    </row>
    <row r="2195" ht="16.5" customHeight="1" spans="1:13">
      <c r="A2195" s="460" t="s">
        <v>1874</v>
      </c>
      <c r="B2195" s="1408" t="s">
        <v>1888</v>
      </c>
      <c r="C2195" s="1388" t="s">
        <v>1741</v>
      </c>
      <c r="D2195" s="439">
        <v>20</v>
      </c>
      <c r="E2195" s="942" t="s">
        <v>1889</v>
      </c>
      <c r="F2195" s="915"/>
      <c r="G2195" s="915" t="s">
        <v>1847</v>
      </c>
      <c r="H2195" s="899"/>
      <c r="I2195" s="933"/>
      <c r="J2195" s="1407" t="s">
        <v>18</v>
      </c>
      <c r="K2195" s="1407" t="s">
        <v>147</v>
      </c>
      <c r="L2195" s="1410"/>
      <c r="M2195" s="933" t="s">
        <v>1890</v>
      </c>
    </row>
    <row r="2196" ht="16.5" customHeight="1" spans="1:13">
      <c r="A2196" s="460" t="s">
        <v>1874</v>
      </c>
      <c r="B2196" s="942" t="s">
        <v>1888</v>
      </c>
      <c r="C2196" s="1388" t="s">
        <v>1742</v>
      </c>
      <c r="D2196" s="439">
        <v>20</v>
      </c>
      <c r="E2196" s="420"/>
      <c r="F2196" s="915"/>
      <c r="G2196" s="915" t="s">
        <v>1847</v>
      </c>
      <c r="H2196" s="899"/>
      <c r="I2196" s="933"/>
      <c r="J2196" s="1407" t="s">
        <v>18</v>
      </c>
      <c r="K2196" s="1407" t="s">
        <v>147</v>
      </c>
      <c r="L2196" s="1410"/>
      <c r="M2196" s="933"/>
    </row>
    <row r="2197" ht="16.5" customHeight="1" spans="1:13">
      <c r="A2197" s="460" t="s">
        <v>1874</v>
      </c>
      <c r="B2197" s="942" t="s">
        <v>1888</v>
      </c>
      <c r="C2197" s="1388" t="s">
        <v>1723</v>
      </c>
      <c r="D2197" s="439">
        <v>30</v>
      </c>
      <c r="E2197" s="420"/>
      <c r="F2197" s="915"/>
      <c r="G2197" s="915" t="s">
        <v>1847</v>
      </c>
      <c r="H2197" s="899"/>
      <c r="I2197" s="933"/>
      <c r="J2197" s="1407" t="s">
        <v>18</v>
      </c>
      <c r="K2197" s="1407" t="s">
        <v>147</v>
      </c>
      <c r="L2197" s="1410"/>
      <c r="M2197" s="933"/>
    </row>
    <row r="2198" ht="16.5" customHeight="1" spans="1:13">
      <c r="A2198" s="460" t="s">
        <v>1874</v>
      </c>
      <c r="B2198" s="942" t="s">
        <v>1888</v>
      </c>
      <c r="C2198" s="1388" t="s">
        <v>1725</v>
      </c>
      <c r="D2198" s="439">
        <v>30</v>
      </c>
      <c r="E2198" s="420"/>
      <c r="F2198" s="915"/>
      <c r="G2198" s="915" t="s">
        <v>1847</v>
      </c>
      <c r="H2198" s="899"/>
      <c r="I2198" s="933"/>
      <c r="J2198" s="1407" t="s">
        <v>18</v>
      </c>
      <c r="K2198" s="1407" t="s">
        <v>147</v>
      </c>
      <c r="L2198" s="1410"/>
      <c r="M2198" s="933"/>
    </row>
    <row r="2199" ht="16.5" customHeight="1" spans="1:13">
      <c r="A2199" s="460" t="s">
        <v>1874</v>
      </c>
      <c r="B2199" s="942" t="s">
        <v>1888</v>
      </c>
      <c r="C2199" s="1388" t="s">
        <v>1747</v>
      </c>
      <c r="D2199" s="439">
        <v>25</v>
      </c>
      <c r="E2199" s="420"/>
      <c r="F2199" s="915"/>
      <c r="G2199" s="915" t="s">
        <v>1847</v>
      </c>
      <c r="H2199" s="899"/>
      <c r="I2199" s="933"/>
      <c r="J2199" s="1407" t="s">
        <v>18</v>
      </c>
      <c r="K2199" s="1407" t="s">
        <v>147</v>
      </c>
      <c r="L2199" s="1410"/>
      <c r="M2199" s="933"/>
    </row>
    <row r="2200" ht="16.5" customHeight="1" spans="1:13">
      <c r="A2200" s="460" t="s">
        <v>1874</v>
      </c>
      <c r="B2200" s="942" t="s">
        <v>1888</v>
      </c>
      <c r="C2200" s="1388" t="s">
        <v>1748</v>
      </c>
      <c r="D2200" s="439">
        <v>25</v>
      </c>
      <c r="E2200" s="420"/>
      <c r="F2200" s="915"/>
      <c r="G2200" s="915" t="s">
        <v>1847</v>
      </c>
      <c r="H2200" s="899"/>
      <c r="I2200" s="933"/>
      <c r="J2200" s="1407" t="s">
        <v>18</v>
      </c>
      <c r="K2200" s="1407" t="s">
        <v>147</v>
      </c>
      <c r="L2200" s="1410"/>
      <c r="M2200" s="933"/>
    </row>
    <row r="2201" ht="16.5" customHeight="1" spans="1:13">
      <c r="A2201" s="460" t="s">
        <v>1874</v>
      </c>
      <c r="B2201" s="942" t="s">
        <v>1888</v>
      </c>
      <c r="C2201" s="1388" t="s">
        <v>1878</v>
      </c>
      <c r="D2201" s="439">
        <v>48</v>
      </c>
      <c r="E2201" s="420"/>
      <c r="F2201" s="915"/>
      <c r="G2201" s="915" t="s">
        <v>1847</v>
      </c>
      <c r="H2201" s="899"/>
      <c r="I2201" s="933"/>
      <c r="J2201" s="1407" t="s">
        <v>18</v>
      </c>
      <c r="K2201" s="1407" t="s">
        <v>147</v>
      </c>
      <c r="L2201" s="1410"/>
      <c r="M2201" s="933"/>
    </row>
    <row r="2202" ht="16.5" customHeight="1" spans="1:13">
      <c r="A2202" s="460" t="s">
        <v>1874</v>
      </c>
      <c r="B2202" s="1408" t="s">
        <v>1891</v>
      </c>
      <c r="C2202" s="1388" t="s">
        <v>1741</v>
      </c>
      <c r="D2202" s="439">
        <v>20</v>
      </c>
      <c r="E2202" s="942" t="s">
        <v>1892</v>
      </c>
      <c r="F2202" s="915"/>
      <c r="G2202" s="915" t="s">
        <v>1847</v>
      </c>
      <c r="H2202" s="899"/>
      <c r="I2202" s="933"/>
      <c r="J2202" s="1407" t="s">
        <v>18</v>
      </c>
      <c r="K2202" s="1407" t="s">
        <v>147</v>
      </c>
      <c r="L2202" s="1410"/>
      <c r="M2202" s="933" t="s">
        <v>1893</v>
      </c>
    </row>
    <row r="2203" ht="16.5" customHeight="1" spans="1:13">
      <c r="A2203" s="460" t="s">
        <v>1874</v>
      </c>
      <c r="B2203" s="942" t="s">
        <v>1891</v>
      </c>
      <c r="C2203" s="1388" t="s">
        <v>1742</v>
      </c>
      <c r="D2203" s="439">
        <v>20</v>
      </c>
      <c r="E2203" s="420"/>
      <c r="F2203" s="915"/>
      <c r="G2203" s="915" t="s">
        <v>1847</v>
      </c>
      <c r="H2203" s="899"/>
      <c r="I2203" s="933"/>
      <c r="J2203" s="1407" t="s">
        <v>18</v>
      </c>
      <c r="K2203" s="1407" t="s">
        <v>147</v>
      </c>
      <c r="L2203" s="1410"/>
      <c r="M2203" s="933"/>
    </row>
    <row r="2204" ht="16.5" customHeight="1" spans="1:13">
      <c r="A2204" s="460" t="s">
        <v>1874</v>
      </c>
      <c r="B2204" s="942" t="s">
        <v>1891</v>
      </c>
      <c r="C2204" s="1388" t="s">
        <v>1723</v>
      </c>
      <c r="D2204" s="439">
        <v>30</v>
      </c>
      <c r="E2204" s="420"/>
      <c r="F2204" s="915"/>
      <c r="G2204" s="915" t="s">
        <v>1847</v>
      </c>
      <c r="H2204" s="899"/>
      <c r="I2204" s="933"/>
      <c r="J2204" s="1407" t="s">
        <v>18</v>
      </c>
      <c r="K2204" s="1407" t="s">
        <v>147</v>
      </c>
      <c r="L2204" s="1410"/>
      <c r="M2204" s="933"/>
    </row>
    <row r="2205" ht="16.5" customHeight="1" spans="1:13">
      <c r="A2205" s="460" t="s">
        <v>1874</v>
      </c>
      <c r="B2205" s="942" t="s">
        <v>1891</v>
      </c>
      <c r="C2205" s="1388" t="s">
        <v>1725</v>
      </c>
      <c r="D2205" s="439">
        <v>30</v>
      </c>
      <c r="E2205" s="420"/>
      <c r="F2205" s="915"/>
      <c r="G2205" s="915" t="s">
        <v>1847</v>
      </c>
      <c r="H2205" s="899"/>
      <c r="I2205" s="933"/>
      <c r="J2205" s="1407" t="s">
        <v>18</v>
      </c>
      <c r="K2205" s="1407" t="s">
        <v>147</v>
      </c>
      <c r="L2205" s="1410"/>
      <c r="M2205" s="933"/>
    </row>
    <row r="2206" ht="16.5" customHeight="1" spans="1:13">
      <c r="A2206" s="460" t="s">
        <v>1874</v>
      </c>
      <c r="B2206" s="942" t="s">
        <v>1891</v>
      </c>
      <c r="C2206" s="1388" t="s">
        <v>1747</v>
      </c>
      <c r="D2206" s="439">
        <v>25</v>
      </c>
      <c r="E2206" s="420"/>
      <c r="F2206" s="915"/>
      <c r="G2206" s="915" t="s">
        <v>1847</v>
      </c>
      <c r="H2206" s="899"/>
      <c r="I2206" s="933"/>
      <c r="J2206" s="1407" t="s">
        <v>18</v>
      </c>
      <c r="K2206" s="1407" t="s">
        <v>147</v>
      </c>
      <c r="L2206" s="1410"/>
      <c r="M2206" s="933"/>
    </row>
    <row r="2207" ht="16.5" customHeight="1" spans="1:13">
      <c r="A2207" s="460" t="s">
        <v>1874</v>
      </c>
      <c r="B2207" s="942" t="s">
        <v>1891</v>
      </c>
      <c r="C2207" s="1388" t="s">
        <v>1748</v>
      </c>
      <c r="D2207" s="439">
        <v>25</v>
      </c>
      <c r="E2207" s="420"/>
      <c r="F2207" s="915"/>
      <c r="G2207" s="915" t="s">
        <v>1847</v>
      </c>
      <c r="H2207" s="899"/>
      <c r="I2207" s="933"/>
      <c r="J2207" s="1407" t="s">
        <v>18</v>
      </c>
      <c r="K2207" s="1407" t="s">
        <v>147</v>
      </c>
      <c r="L2207" s="1410"/>
      <c r="M2207" s="933"/>
    </row>
    <row r="2208" ht="16.5" customHeight="1" spans="1:13">
      <c r="A2208" s="460" t="s">
        <v>1874</v>
      </c>
      <c r="B2208" s="942" t="s">
        <v>1891</v>
      </c>
      <c r="C2208" s="1388" t="s">
        <v>1878</v>
      </c>
      <c r="D2208" s="439">
        <v>48</v>
      </c>
      <c r="E2208" s="420"/>
      <c r="F2208" s="915"/>
      <c r="G2208" s="915" t="s">
        <v>1847</v>
      </c>
      <c r="H2208" s="899"/>
      <c r="I2208" s="933"/>
      <c r="J2208" s="1407" t="s">
        <v>18</v>
      </c>
      <c r="K2208" s="1407" t="s">
        <v>147</v>
      </c>
      <c r="L2208" s="1410"/>
      <c r="M2208" s="933"/>
    </row>
    <row r="2209" ht="16.5" customHeight="1" spans="1:23">
      <c r="A2209" s="818" t="s">
        <v>1811</v>
      </c>
      <c r="B2209" s="942" t="s">
        <v>1894</v>
      </c>
      <c r="C2209" s="946" t="s">
        <v>1821</v>
      </c>
      <c r="D2209" s="439">
        <v>50</v>
      </c>
      <c r="E2209" s="1411" t="s">
        <v>1895</v>
      </c>
      <c r="F2209" s="1360">
        <v>45949</v>
      </c>
      <c r="G2209" s="1360" t="s">
        <v>1750</v>
      </c>
      <c r="H2209" s="937"/>
      <c r="I2209" s="913"/>
      <c r="J2209" s="1412" t="s">
        <v>161</v>
      </c>
      <c r="K2209" s="818" t="s">
        <v>19</v>
      </c>
      <c r="L2209" s="182"/>
      <c r="M2209" s="1382" t="s">
        <v>1816</v>
      </c>
      <c r="N2209" s="1154"/>
      <c r="O2209" s="1154"/>
      <c r="P2209" s="1154"/>
      <c r="Q2209" s="1154"/>
      <c r="R2209" s="1154"/>
      <c r="S2209" s="1154"/>
      <c r="T2209" s="1154"/>
      <c r="U2209" s="1154"/>
      <c r="V2209" s="1154"/>
      <c r="W2209" s="1154"/>
    </row>
    <row r="2210" ht="16.5" customHeight="1" spans="1:23">
      <c r="A2210" s="818" t="s">
        <v>1811</v>
      </c>
      <c r="B2210" s="942" t="s">
        <v>1894</v>
      </c>
      <c r="C2210" s="946" t="s">
        <v>1822</v>
      </c>
      <c r="D2210" s="439">
        <v>50</v>
      </c>
      <c r="E2210" s="69"/>
      <c r="F2210" s="1360">
        <v>45949</v>
      </c>
      <c r="G2210" s="1360" t="s">
        <v>1750</v>
      </c>
      <c r="H2210" s="937"/>
      <c r="I2210" s="913"/>
      <c r="J2210" s="1412" t="s">
        <v>161</v>
      </c>
      <c r="K2210" s="818" t="s">
        <v>19</v>
      </c>
      <c r="L2210" s="182"/>
      <c r="M2210" s="1382" t="s">
        <v>1896</v>
      </c>
      <c r="N2210" s="1154"/>
      <c r="O2210" s="1154"/>
      <c r="P2210" s="1154"/>
      <c r="Q2210" s="1154"/>
      <c r="R2210" s="1154"/>
      <c r="S2210" s="1154"/>
      <c r="T2210" s="1154"/>
      <c r="U2210" s="1154"/>
      <c r="V2210" s="1154"/>
      <c r="W2210" s="1154"/>
    </row>
    <row r="2211" ht="16.5" customHeight="1" spans="1:23">
      <c r="A2211" s="818" t="s">
        <v>1811</v>
      </c>
      <c r="B2211" s="942" t="s">
        <v>1894</v>
      </c>
      <c r="C2211" s="946" t="s">
        <v>1827</v>
      </c>
      <c r="D2211" s="439">
        <v>30</v>
      </c>
      <c r="E2211" s="69"/>
      <c r="F2211" s="1360">
        <v>45949</v>
      </c>
      <c r="G2211" s="1360" t="s">
        <v>1750</v>
      </c>
      <c r="H2211" s="937"/>
      <c r="I2211" s="913"/>
      <c r="J2211" s="1412" t="s">
        <v>161</v>
      </c>
      <c r="K2211" s="818" t="s">
        <v>19</v>
      </c>
      <c r="L2211" s="182"/>
      <c r="M2211" s="1382"/>
      <c r="N2211" s="1154"/>
      <c r="O2211" s="1154"/>
      <c r="P2211" s="1154"/>
      <c r="Q2211" s="1154"/>
      <c r="R2211" s="1154"/>
      <c r="S2211" s="1154"/>
      <c r="T2211" s="1154"/>
      <c r="U2211" s="1154"/>
      <c r="V2211" s="1154"/>
      <c r="W2211" s="1154"/>
    </row>
    <row r="2212" ht="16.5" customHeight="1" spans="1:23">
      <c r="A2212" s="818" t="s">
        <v>1811</v>
      </c>
      <c r="B2212" s="942" t="s">
        <v>1894</v>
      </c>
      <c r="C2212" s="946" t="s">
        <v>1828</v>
      </c>
      <c r="D2212" s="439">
        <v>30</v>
      </c>
      <c r="E2212" s="69"/>
      <c r="F2212" s="1360">
        <v>45949</v>
      </c>
      <c r="G2212" s="1360" t="s">
        <v>1750</v>
      </c>
      <c r="H2212" s="937"/>
      <c r="I2212" s="913"/>
      <c r="J2212" s="1412" t="s">
        <v>161</v>
      </c>
      <c r="K2212" s="818" t="s">
        <v>19</v>
      </c>
      <c r="L2212" s="182"/>
      <c r="M2212" s="1382"/>
      <c r="N2212" s="1154"/>
      <c r="O2212" s="1154"/>
      <c r="P2212" s="1154"/>
      <c r="Q2212" s="1154"/>
      <c r="R2212" s="1154"/>
      <c r="S2212" s="1154"/>
      <c r="T2212" s="1154"/>
      <c r="U2212" s="1154"/>
      <c r="V2212" s="1154"/>
      <c r="W2212" s="1154"/>
    </row>
    <row r="2213" ht="16.5" customHeight="1" spans="1:23">
      <c r="A2213" s="818" t="s">
        <v>1811</v>
      </c>
      <c r="B2213" s="942" t="s">
        <v>1894</v>
      </c>
      <c r="C2213" s="946" t="s">
        <v>1833</v>
      </c>
      <c r="D2213" s="439">
        <v>3</v>
      </c>
      <c r="E2213" s="69"/>
      <c r="F2213" s="1360">
        <v>45949</v>
      </c>
      <c r="G2213" s="1360" t="s">
        <v>1750</v>
      </c>
      <c r="H2213" s="937"/>
      <c r="I2213" s="913"/>
      <c r="J2213" s="1412" t="s">
        <v>161</v>
      </c>
      <c r="K2213" s="818" t="s">
        <v>19</v>
      </c>
      <c r="L2213" s="182"/>
      <c r="M2213" s="1382"/>
      <c r="N2213" s="1154"/>
      <c r="O2213" s="1154"/>
      <c r="P2213" s="1154"/>
      <c r="Q2213" s="1154"/>
      <c r="R2213" s="1154"/>
      <c r="S2213" s="1154"/>
      <c r="T2213" s="1154"/>
      <c r="U2213" s="1154"/>
      <c r="V2213" s="1154"/>
      <c r="W2213" s="1154"/>
    </row>
    <row r="2214" ht="16.5" customHeight="1" spans="1:23">
      <c r="A2214" s="818" t="s">
        <v>1811</v>
      </c>
      <c r="B2214" s="942" t="s">
        <v>1894</v>
      </c>
      <c r="C2214" s="946" t="s">
        <v>1834</v>
      </c>
      <c r="D2214" s="439">
        <v>3</v>
      </c>
      <c r="E2214" s="69"/>
      <c r="F2214" s="1360">
        <v>45949</v>
      </c>
      <c r="G2214" s="1360" t="s">
        <v>1750</v>
      </c>
      <c r="H2214" s="937"/>
      <c r="I2214" s="913"/>
      <c r="J2214" s="1412" t="s">
        <v>161</v>
      </c>
      <c r="K2214" s="818" t="s">
        <v>19</v>
      </c>
      <c r="L2214" s="182"/>
      <c r="M2214" s="1382"/>
      <c r="N2214" s="1154"/>
      <c r="O2214" s="1154"/>
      <c r="P2214" s="1154"/>
      <c r="Q2214" s="1154"/>
      <c r="R2214" s="1154"/>
      <c r="S2214" s="1154"/>
      <c r="T2214" s="1154"/>
      <c r="U2214" s="1154"/>
      <c r="V2214" s="1154"/>
      <c r="W2214" s="1154"/>
    </row>
    <row r="2215" ht="16.5" customHeight="1" spans="1:23">
      <c r="A2215" s="818" t="s">
        <v>1811</v>
      </c>
      <c r="B2215" s="942" t="s">
        <v>1894</v>
      </c>
      <c r="C2215" s="946" t="s">
        <v>1771</v>
      </c>
      <c r="D2215" s="439">
        <v>7</v>
      </c>
      <c r="E2215" s="69"/>
      <c r="F2215" s="1360">
        <v>45949</v>
      </c>
      <c r="G2215" s="1360" t="s">
        <v>1750</v>
      </c>
      <c r="H2215" s="937"/>
      <c r="I2215" s="913"/>
      <c r="J2215" s="1412" t="s">
        <v>161</v>
      </c>
      <c r="K2215" s="818" t="s">
        <v>19</v>
      </c>
      <c r="L2215" s="182"/>
      <c r="M2215" s="1382"/>
      <c r="N2215" s="1154"/>
      <c r="O2215" s="1154"/>
      <c r="P2215" s="1154"/>
      <c r="Q2215" s="1154"/>
      <c r="R2215" s="1154"/>
      <c r="S2215" s="1154"/>
      <c r="T2215" s="1154"/>
      <c r="U2215" s="1154"/>
      <c r="V2215" s="1154"/>
      <c r="W2215" s="1154"/>
    </row>
    <row r="2216" ht="16.5" customHeight="1" spans="1:23">
      <c r="A2216" s="818" t="s">
        <v>1811</v>
      </c>
      <c r="B2216" s="942" t="s">
        <v>1894</v>
      </c>
      <c r="C2216" s="946" t="s">
        <v>1835</v>
      </c>
      <c r="D2216" s="439">
        <v>7</v>
      </c>
      <c r="E2216" s="69"/>
      <c r="F2216" s="1360">
        <v>45949</v>
      </c>
      <c r="G2216" s="1360" t="s">
        <v>1750</v>
      </c>
      <c r="H2216" s="937"/>
      <c r="I2216" s="913"/>
      <c r="J2216" s="1412" t="s">
        <v>161</v>
      </c>
      <c r="K2216" s="818" t="s">
        <v>19</v>
      </c>
      <c r="L2216" s="182"/>
      <c r="M2216" s="1382"/>
      <c r="N2216" s="1154"/>
      <c r="O2216" s="1154"/>
      <c r="P2216" s="1154"/>
      <c r="Q2216" s="1154"/>
      <c r="R2216" s="1154"/>
      <c r="S2216" s="1154"/>
      <c r="T2216" s="1154"/>
      <c r="U2216" s="1154"/>
      <c r="V2216" s="1154"/>
      <c r="W2216" s="1154"/>
    </row>
    <row r="2217" ht="16.5" customHeight="1" spans="1:23">
      <c r="A2217" s="818" t="s">
        <v>1811</v>
      </c>
      <c r="B2217" s="942" t="s">
        <v>1894</v>
      </c>
      <c r="C2217" s="946" t="s">
        <v>1836</v>
      </c>
      <c r="D2217" s="439">
        <v>2</v>
      </c>
      <c r="E2217" s="69"/>
      <c r="F2217" s="1360">
        <v>45949</v>
      </c>
      <c r="G2217" s="1360" t="s">
        <v>1750</v>
      </c>
      <c r="H2217" s="937"/>
      <c r="I2217" s="913"/>
      <c r="J2217" s="1412" t="s">
        <v>161</v>
      </c>
      <c r="K2217" s="818" t="s">
        <v>19</v>
      </c>
      <c r="L2217" s="182"/>
      <c r="M2217" s="1382"/>
      <c r="N2217" s="1154"/>
      <c r="O2217" s="1154"/>
      <c r="P2217" s="1154"/>
      <c r="Q2217" s="1154"/>
      <c r="R2217" s="1154"/>
      <c r="S2217" s="1154"/>
      <c r="T2217" s="1154"/>
      <c r="U2217" s="1154"/>
      <c r="V2217" s="1154"/>
      <c r="W2217" s="1154"/>
    </row>
    <row r="2218" ht="16.5" customHeight="1" spans="1:23">
      <c r="A2218" s="818" t="s">
        <v>1811</v>
      </c>
      <c r="B2218" s="942" t="s">
        <v>1894</v>
      </c>
      <c r="C2218" s="946" t="s">
        <v>1837</v>
      </c>
      <c r="D2218" s="439">
        <v>2</v>
      </c>
      <c r="E2218" s="69"/>
      <c r="F2218" s="1360">
        <v>45949</v>
      </c>
      <c r="G2218" s="1360" t="s">
        <v>1750</v>
      </c>
      <c r="H2218" s="937"/>
      <c r="I2218" s="913"/>
      <c r="J2218" s="1412" t="s">
        <v>161</v>
      </c>
      <c r="K2218" s="818" t="s">
        <v>19</v>
      </c>
      <c r="L2218" s="182"/>
      <c r="M2218" s="1382"/>
      <c r="N2218" s="1154"/>
      <c r="O2218" s="1154"/>
      <c r="P2218" s="1154"/>
      <c r="Q2218" s="1154"/>
      <c r="R2218" s="1154"/>
      <c r="S2218" s="1154"/>
      <c r="T2218" s="1154"/>
      <c r="U2218" s="1154"/>
      <c r="V2218" s="1154"/>
      <c r="W2218" s="1154"/>
    </row>
    <row r="2219" ht="16.5" customHeight="1" spans="1:23">
      <c r="A2219" s="818" t="s">
        <v>1811</v>
      </c>
      <c r="B2219" s="942" t="s">
        <v>1894</v>
      </c>
      <c r="C2219" s="946" t="s">
        <v>1780</v>
      </c>
      <c r="D2219" s="439">
        <v>8</v>
      </c>
      <c r="E2219" s="69"/>
      <c r="F2219" s="1360">
        <v>45949</v>
      </c>
      <c r="G2219" s="1360" t="s">
        <v>1750</v>
      </c>
      <c r="H2219" s="937"/>
      <c r="I2219" s="913"/>
      <c r="J2219" s="1412" t="s">
        <v>161</v>
      </c>
      <c r="K2219" s="818" t="s">
        <v>19</v>
      </c>
      <c r="L2219" s="182"/>
      <c r="M2219" s="1382"/>
      <c r="N2219" s="1154"/>
      <c r="O2219" s="1154"/>
      <c r="P2219" s="1154"/>
      <c r="Q2219" s="1154"/>
      <c r="R2219" s="1154"/>
      <c r="S2219" s="1154"/>
      <c r="T2219" s="1154"/>
      <c r="U2219" s="1154"/>
      <c r="V2219" s="1154"/>
      <c r="W2219" s="1154"/>
    </row>
    <row r="2220" ht="16.5" customHeight="1" spans="1:23">
      <c r="A2220" s="818" t="s">
        <v>1811</v>
      </c>
      <c r="B2220" s="942" t="s">
        <v>1894</v>
      </c>
      <c r="C2220" s="946" t="s">
        <v>1781</v>
      </c>
      <c r="D2220" s="439">
        <v>8</v>
      </c>
      <c r="E2220" s="69"/>
      <c r="F2220" s="1360">
        <v>45949</v>
      </c>
      <c r="G2220" s="1360" t="s">
        <v>1750</v>
      </c>
      <c r="H2220" s="937"/>
      <c r="I2220" s="913"/>
      <c r="J2220" s="1412" t="s">
        <v>161</v>
      </c>
      <c r="K2220" s="818" t="s">
        <v>19</v>
      </c>
      <c r="L2220" s="182"/>
      <c r="M2220" s="1382"/>
      <c r="N2220" s="1154"/>
      <c r="O2220" s="1154"/>
      <c r="P2220" s="1154"/>
      <c r="Q2220" s="1154"/>
      <c r="R2220" s="1154"/>
      <c r="S2220" s="1154"/>
      <c r="T2220" s="1154"/>
      <c r="U2220" s="1154"/>
      <c r="V2220" s="1154"/>
      <c r="W2220" s="1154"/>
    </row>
    <row r="2221" ht="16.5" customHeight="1" spans="1:23">
      <c r="A2221" s="818" t="s">
        <v>1811</v>
      </c>
      <c r="B2221" s="942" t="s">
        <v>1894</v>
      </c>
      <c r="C2221" s="946" t="s">
        <v>1782</v>
      </c>
      <c r="D2221" s="439">
        <v>5</v>
      </c>
      <c r="E2221" s="69"/>
      <c r="F2221" s="1360">
        <v>45949</v>
      </c>
      <c r="G2221" s="1360" t="s">
        <v>1750</v>
      </c>
      <c r="H2221" s="937"/>
      <c r="I2221" s="913"/>
      <c r="J2221" s="1412" t="s">
        <v>161</v>
      </c>
      <c r="K2221" s="818" t="s">
        <v>19</v>
      </c>
      <c r="L2221" s="182"/>
      <c r="M2221" s="1382"/>
      <c r="N2221" s="1154"/>
      <c r="O2221" s="1154"/>
      <c r="P2221" s="1154"/>
      <c r="Q2221" s="1154"/>
      <c r="R2221" s="1154"/>
      <c r="S2221" s="1154"/>
      <c r="T2221" s="1154"/>
      <c r="U2221" s="1154"/>
      <c r="V2221" s="1154"/>
      <c r="W2221" s="1154"/>
    </row>
    <row r="2222" ht="16.5" customHeight="1" spans="1:23">
      <c r="A2222" s="818" t="s">
        <v>1811</v>
      </c>
      <c r="B2222" s="942" t="s">
        <v>1894</v>
      </c>
      <c r="C2222" s="946" t="s">
        <v>1783</v>
      </c>
      <c r="D2222" s="439">
        <v>5</v>
      </c>
      <c r="E2222" s="69"/>
      <c r="F2222" s="1360">
        <v>45949</v>
      </c>
      <c r="G2222" s="1360" t="s">
        <v>1750</v>
      </c>
      <c r="H2222" s="937"/>
      <c r="I2222" s="913"/>
      <c r="J2222" s="1412" t="s">
        <v>161</v>
      </c>
      <c r="K2222" s="818" t="s">
        <v>19</v>
      </c>
      <c r="L2222" s="182"/>
      <c r="M2222" s="1382"/>
      <c r="N2222" s="1154"/>
      <c r="O2222" s="1154"/>
      <c r="P2222" s="1154"/>
      <c r="Q2222" s="1154"/>
      <c r="R2222" s="1154"/>
      <c r="S2222" s="1154"/>
      <c r="T2222" s="1154"/>
      <c r="U2222" s="1154"/>
      <c r="V2222" s="1154"/>
      <c r="W2222" s="1154"/>
    </row>
    <row r="2223" ht="16.5" customHeight="1" spans="1:23">
      <c r="A2223" s="818" t="s">
        <v>1811</v>
      </c>
      <c r="B2223" s="942" t="s">
        <v>1894</v>
      </c>
      <c r="C2223" s="946" t="s">
        <v>1784</v>
      </c>
      <c r="D2223" s="439">
        <v>4</v>
      </c>
      <c r="E2223" s="69"/>
      <c r="F2223" s="1360">
        <v>45949</v>
      </c>
      <c r="G2223" s="1360" t="s">
        <v>1750</v>
      </c>
      <c r="H2223" s="937"/>
      <c r="I2223" s="913"/>
      <c r="J2223" s="1412" t="s">
        <v>161</v>
      </c>
      <c r="K2223" s="818" t="s">
        <v>19</v>
      </c>
      <c r="L2223" s="182"/>
      <c r="M2223" s="1382"/>
      <c r="N2223" s="1154"/>
      <c r="O2223" s="1154"/>
      <c r="P2223" s="1154"/>
      <c r="Q2223" s="1154"/>
      <c r="R2223" s="1154"/>
      <c r="S2223" s="1154"/>
      <c r="T2223" s="1154"/>
      <c r="U2223" s="1154"/>
      <c r="V2223" s="1154"/>
      <c r="W2223" s="1154"/>
    </row>
    <row r="2224" ht="16.5" customHeight="1" spans="1:23">
      <c r="A2224" s="818" t="s">
        <v>1811</v>
      </c>
      <c r="B2224" s="942" t="s">
        <v>1894</v>
      </c>
      <c r="C2224" s="946" t="s">
        <v>1785</v>
      </c>
      <c r="D2224" s="439">
        <v>4</v>
      </c>
      <c r="E2224" s="69"/>
      <c r="F2224" s="1360">
        <v>45949</v>
      </c>
      <c r="G2224" s="1360" t="s">
        <v>1750</v>
      </c>
      <c r="H2224" s="937"/>
      <c r="I2224" s="913"/>
      <c r="J2224" s="1412" t="s">
        <v>161</v>
      </c>
      <c r="K2224" s="818" t="s">
        <v>19</v>
      </c>
      <c r="L2224" s="182"/>
      <c r="M2224" s="1382"/>
      <c r="N2224" s="1154"/>
      <c r="O2224" s="1154"/>
      <c r="P2224" s="1154"/>
      <c r="Q2224" s="1154"/>
      <c r="R2224" s="1154"/>
      <c r="S2224" s="1154"/>
      <c r="T2224" s="1154"/>
      <c r="U2224" s="1154"/>
      <c r="V2224" s="1154"/>
      <c r="W2224" s="1154"/>
    </row>
    <row r="2225" ht="16.5" customHeight="1" spans="1:23">
      <c r="A2225" s="818" t="s">
        <v>1811</v>
      </c>
      <c r="B2225" s="942" t="s">
        <v>1894</v>
      </c>
      <c r="C2225" s="946" t="s">
        <v>1786</v>
      </c>
      <c r="D2225" s="439">
        <v>4</v>
      </c>
      <c r="E2225" s="69"/>
      <c r="F2225" s="1360">
        <v>45949</v>
      </c>
      <c r="G2225" s="1360" t="s">
        <v>1750</v>
      </c>
      <c r="H2225" s="937"/>
      <c r="I2225" s="913"/>
      <c r="J2225" s="1412" t="s">
        <v>161</v>
      </c>
      <c r="K2225" s="818" t="s">
        <v>19</v>
      </c>
      <c r="L2225" s="182"/>
      <c r="M2225" s="1382"/>
      <c r="N2225" s="1154"/>
      <c r="O2225" s="1154"/>
      <c r="P2225" s="1154"/>
      <c r="Q2225" s="1154"/>
      <c r="R2225" s="1154"/>
      <c r="S2225" s="1154"/>
      <c r="T2225" s="1154"/>
      <c r="U2225" s="1154"/>
      <c r="V2225" s="1154"/>
      <c r="W2225" s="1154"/>
    </row>
    <row r="2226" ht="16.5" customHeight="1" spans="1:23">
      <c r="A2226" s="818" t="s">
        <v>1811</v>
      </c>
      <c r="B2226" s="942" t="s">
        <v>1894</v>
      </c>
      <c r="C2226" s="966" t="s">
        <v>1787</v>
      </c>
      <c r="D2226" s="443">
        <v>4</v>
      </c>
      <c r="E2226" s="69"/>
      <c r="F2226" s="1360">
        <v>45949</v>
      </c>
      <c r="G2226" s="1360" t="s">
        <v>1750</v>
      </c>
      <c r="H2226" s="963"/>
      <c r="I2226" s="961"/>
      <c r="J2226" s="1412" t="s">
        <v>161</v>
      </c>
      <c r="K2226" s="1393" t="s">
        <v>19</v>
      </c>
      <c r="L2226" s="445"/>
      <c r="M2226" s="1382"/>
      <c r="N2226" s="1154"/>
      <c r="O2226" s="1154"/>
      <c r="P2226" s="1154"/>
      <c r="Q2226" s="1154"/>
      <c r="R2226" s="1154"/>
      <c r="S2226" s="1154"/>
      <c r="T2226" s="1154"/>
      <c r="U2226" s="1154"/>
      <c r="V2226" s="1154"/>
      <c r="W2226" s="1154"/>
    </row>
    <row r="2227" ht="16.5" customHeight="1" spans="1:23">
      <c r="A2227" s="818" t="s">
        <v>1811</v>
      </c>
      <c r="B2227" s="942" t="s">
        <v>1897</v>
      </c>
      <c r="C2227" s="946" t="s">
        <v>1823</v>
      </c>
      <c r="D2227" s="439">
        <v>40</v>
      </c>
      <c r="E2227" s="1411" t="s">
        <v>1898</v>
      </c>
      <c r="F2227" s="1360">
        <v>45949</v>
      </c>
      <c r="G2227" s="1360" t="s">
        <v>1750</v>
      </c>
      <c r="H2227" s="937"/>
      <c r="I2227" s="913"/>
      <c r="J2227" s="1403" t="s">
        <v>39</v>
      </c>
      <c r="K2227" s="818" t="s">
        <v>19</v>
      </c>
      <c r="L2227" s="182"/>
      <c r="M2227" s="1382" t="s">
        <v>1840</v>
      </c>
      <c r="N2227" s="1154"/>
      <c r="O2227" s="1154"/>
      <c r="P2227" s="1154"/>
      <c r="Q2227" s="1154"/>
      <c r="R2227" s="1154"/>
      <c r="S2227" s="1154"/>
      <c r="T2227" s="1154"/>
      <c r="U2227" s="1154"/>
      <c r="V2227" s="1154"/>
      <c r="W2227" s="1154"/>
    </row>
    <row r="2228" ht="16.5" customHeight="1" spans="1:23">
      <c r="A2228" s="818" t="s">
        <v>1811</v>
      </c>
      <c r="B2228" s="942" t="s">
        <v>1897</v>
      </c>
      <c r="C2228" s="946" t="s">
        <v>1824</v>
      </c>
      <c r="D2228" s="439">
        <v>40</v>
      </c>
      <c r="E2228" s="69"/>
      <c r="F2228" s="1360">
        <v>45949</v>
      </c>
      <c r="G2228" s="1360" t="s">
        <v>1750</v>
      </c>
      <c r="H2228" s="937"/>
      <c r="I2228" s="913"/>
      <c r="J2228" s="1403" t="s">
        <v>39</v>
      </c>
      <c r="K2228" s="1393" t="s">
        <v>19</v>
      </c>
      <c r="L2228" s="182"/>
      <c r="M2228" s="1382" t="s">
        <v>1899</v>
      </c>
      <c r="N2228" s="1154"/>
      <c r="O2228" s="1154"/>
      <c r="P2228" s="1154"/>
      <c r="Q2228" s="1154"/>
      <c r="R2228" s="1154"/>
      <c r="S2228" s="1154"/>
      <c r="T2228" s="1154"/>
      <c r="U2228" s="1154"/>
      <c r="V2228" s="1154"/>
      <c r="W2228" s="1154"/>
    </row>
    <row r="2229" ht="16.5" customHeight="1" spans="1:23">
      <c r="A2229" s="818" t="s">
        <v>1811</v>
      </c>
      <c r="B2229" s="942" t="s">
        <v>1897</v>
      </c>
      <c r="C2229" s="946" t="s">
        <v>1827</v>
      </c>
      <c r="D2229" s="439">
        <v>26</v>
      </c>
      <c r="E2229" s="69"/>
      <c r="F2229" s="1360">
        <v>45949</v>
      </c>
      <c r="G2229" s="1360" t="s">
        <v>1750</v>
      </c>
      <c r="H2229" s="937"/>
      <c r="I2229" s="913"/>
      <c r="J2229" s="1403" t="s">
        <v>39</v>
      </c>
      <c r="K2229" s="818" t="s">
        <v>19</v>
      </c>
      <c r="L2229" s="182"/>
      <c r="M2229" s="1382"/>
      <c r="N2229" s="1154"/>
      <c r="O2229" s="1154"/>
      <c r="P2229" s="1154"/>
      <c r="Q2229" s="1154"/>
      <c r="R2229" s="1154"/>
      <c r="S2229" s="1154"/>
      <c r="T2229" s="1154"/>
      <c r="U2229" s="1154"/>
      <c r="V2229" s="1154"/>
      <c r="W2229" s="1154"/>
    </row>
    <row r="2230" ht="16.5" customHeight="1" spans="1:23">
      <c r="A2230" s="818" t="s">
        <v>1811</v>
      </c>
      <c r="B2230" s="942" t="s">
        <v>1897</v>
      </c>
      <c r="C2230" s="946" t="s">
        <v>1828</v>
      </c>
      <c r="D2230" s="439">
        <v>26</v>
      </c>
      <c r="E2230" s="69"/>
      <c r="F2230" s="1360">
        <v>45949</v>
      </c>
      <c r="G2230" s="1360" t="s">
        <v>1750</v>
      </c>
      <c r="H2230" s="937"/>
      <c r="I2230" s="913"/>
      <c r="J2230" s="1403" t="s">
        <v>39</v>
      </c>
      <c r="K2230" s="1393" t="s">
        <v>19</v>
      </c>
      <c r="L2230" s="182"/>
      <c r="M2230" s="1382"/>
      <c r="N2230" s="1154"/>
      <c r="O2230" s="1154"/>
      <c r="P2230" s="1154"/>
      <c r="Q2230" s="1154"/>
      <c r="R2230" s="1154"/>
      <c r="S2230" s="1154"/>
      <c r="T2230" s="1154"/>
      <c r="U2230" s="1154"/>
      <c r="V2230" s="1154"/>
      <c r="W2230" s="1154"/>
    </row>
    <row r="2231" ht="16.5" customHeight="1" spans="1:23">
      <c r="A2231" s="818" t="s">
        <v>1811</v>
      </c>
      <c r="B2231" s="942" t="s">
        <v>1897</v>
      </c>
      <c r="C2231" s="946" t="s">
        <v>1833</v>
      </c>
      <c r="D2231" s="439">
        <v>6</v>
      </c>
      <c r="E2231" s="69"/>
      <c r="F2231" s="1360">
        <v>45949</v>
      </c>
      <c r="G2231" s="1360" t="s">
        <v>1750</v>
      </c>
      <c r="H2231" s="937"/>
      <c r="I2231" s="913"/>
      <c r="J2231" s="1403" t="s">
        <v>39</v>
      </c>
      <c r="K2231" s="818" t="s">
        <v>19</v>
      </c>
      <c r="L2231" s="182"/>
      <c r="M2231" s="1382"/>
      <c r="N2231" s="1154"/>
      <c r="O2231" s="1154"/>
      <c r="P2231" s="1154"/>
      <c r="Q2231" s="1154"/>
      <c r="R2231" s="1154"/>
      <c r="S2231" s="1154"/>
      <c r="T2231" s="1154"/>
      <c r="U2231" s="1154"/>
      <c r="V2231" s="1154"/>
      <c r="W2231" s="1154"/>
    </row>
    <row r="2232" ht="16.5" customHeight="1" spans="1:23">
      <c r="A2232" s="818" t="s">
        <v>1811</v>
      </c>
      <c r="B2232" s="942" t="s">
        <v>1897</v>
      </c>
      <c r="C2232" s="946" t="s">
        <v>1834</v>
      </c>
      <c r="D2232" s="439">
        <v>6</v>
      </c>
      <c r="E2232" s="69"/>
      <c r="F2232" s="1360">
        <v>45949</v>
      </c>
      <c r="G2232" s="1360" t="s">
        <v>1750</v>
      </c>
      <c r="H2232" s="937"/>
      <c r="I2232" s="913"/>
      <c r="J2232" s="1403" t="s">
        <v>39</v>
      </c>
      <c r="K2232" s="1393" t="s">
        <v>19</v>
      </c>
      <c r="L2232" s="182"/>
      <c r="M2232" s="1382"/>
      <c r="N2232" s="1154"/>
      <c r="O2232" s="1154"/>
      <c r="P2232" s="1154"/>
      <c r="Q2232" s="1154"/>
      <c r="R2232" s="1154"/>
      <c r="S2232" s="1154"/>
      <c r="T2232" s="1154"/>
      <c r="U2232" s="1154"/>
      <c r="V2232" s="1154"/>
      <c r="W2232" s="1154"/>
    </row>
    <row r="2233" ht="16.5" customHeight="1" spans="1:23">
      <c r="A2233" s="818" t="s">
        <v>1811</v>
      </c>
      <c r="B2233" s="942" t="s">
        <v>1897</v>
      </c>
      <c r="C2233" s="946" t="s">
        <v>1771</v>
      </c>
      <c r="D2233" s="439">
        <v>2</v>
      </c>
      <c r="E2233" s="69"/>
      <c r="F2233" s="1360">
        <v>45949</v>
      </c>
      <c r="G2233" s="1360" t="s">
        <v>1750</v>
      </c>
      <c r="H2233" s="937"/>
      <c r="I2233" s="913"/>
      <c r="J2233" s="1403" t="s">
        <v>39</v>
      </c>
      <c r="K2233" s="818" t="s">
        <v>19</v>
      </c>
      <c r="L2233" s="182"/>
      <c r="M2233" s="1382"/>
      <c r="N2233" s="1154"/>
      <c r="O2233" s="1154"/>
      <c r="P2233" s="1154"/>
      <c r="Q2233" s="1154"/>
      <c r="R2233" s="1154"/>
      <c r="S2233" s="1154"/>
      <c r="T2233" s="1154"/>
      <c r="U2233" s="1154"/>
      <c r="V2233" s="1154"/>
      <c r="W2233" s="1154"/>
    </row>
    <row r="2234" ht="16.5" customHeight="1" spans="1:23">
      <c r="A2234" s="818" t="s">
        <v>1811</v>
      </c>
      <c r="B2234" s="942" t="s">
        <v>1897</v>
      </c>
      <c r="C2234" s="946" t="s">
        <v>1835</v>
      </c>
      <c r="D2234" s="439">
        <v>2</v>
      </c>
      <c r="E2234" s="69"/>
      <c r="F2234" s="1360">
        <v>45949</v>
      </c>
      <c r="G2234" s="1360" t="s">
        <v>1750</v>
      </c>
      <c r="H2234" s="937"/>
      <c r="I2234" s="913"/>
      <c r="J2234" s="1403" t="s">
        <v>39</v>
      </c>
      <c r="K2234" s="1393" t="s">
        <v>19</v>
      </c>
      <c r="L2234" s="182"/>
      <c r="M2234" s="1382"/>
      <c r="N2234" s="1154"/>
      <c r="O2234" s="1154"/>
      <c r="P2234" s="1154"/>
      <c r="Q2234" s="1154"/>
      <c r="R2234" s="1154"/>
      <c r="S2234" s="1154"/>
      <c r="T2234" s="1154"/>
      <c r="U2234" s="1154"/>
      <c r="V2234" s="1154"/>
      <c r="W2234" s="1154"/>
    </row>
    <row r="2235" ht="16.5" customHeight="1" spans="1:23">
      <c r="A2235" s="818" t="s">
        <v>1811</v>
      </c>
      <c r="B2235" s="942" t="s">
        <v>1897</v>
      </c>
      <c r="C2235" s="946" t="s">
        <v>1780</v>
      </c>
      <c r="D2235" s="439">
        <v>15</v>
      </c>
      <c r="E2235" s="69"/>
      <c r="F2235" s="1360">
        <v>45949</v>
      </c>
      <c r="G2235" s="1360" t="s">
        <v>1750</v>
      </c>
      <c r="H2235" s="937"/>
      <c r="I2235" s="913"/>
      <c r="J2235" s="1403" t="s">
        <v>39</v>
      </c>
      <c r="K2235" s="818" t="s">
        <v>19</v>
      </c>
      <c r="L2235" s="182"/>
      <c r="M2235" s="1382"/>
      <c r="N2235" s="1154"/>
      <c r="O2235" s="1154"/>
      <c r="P2235" s="1154"/>
      <c r="Q2235" s="1154"/>
      <c r="R2235" s="1154"/>
      <c r="S2235" s="1154"/>
      <c r="T2235" s="1154"/>
      <c r="U2235" s="1154"/>
      <c r="V2235" s="1154"/>
      <c r="W2235" s="1154"/>
    </row>
    <row r="2236" ht="16.5" customHeight="1" spans="1:23">
      <c r="A2236" s="818" t="s">
        <v>1811</v>
      </c>
      <c r="B2236" s="942" t="s">
        <v>1897</v>
      </c>
      <c r="C2236" s="946" t="s">
        <v>1781</v>
      </c>
      <c r="D2236" s="439">
        <v>15</v>
      </c>
      <c r="E2236" s="69"/>
      <c r="F2236" s="1360">
        <v>45949</v>
      </c>
      <c r="G2236" s="1360" t="s">
        <v>1750</v>
      </c>
      <c r="H2236" s="937"/>
      <c r="I2236" s="913"/>
      <c r="J2236" s="1403" t="s">
        <v>39</v>
      </c>
      <c r="K2236" s="1393" t="s">
        <v>19</v>
      </c>
      <c r="L2236" s="182"/>
      <c r="M2236" s="1382"/>
      <c r="N2236" s="1154"/>
      <c r="O2236" s="1154"/>
      <c r="P2236" s="1154"/>
      <c r="Q2236" s="1154"/>
      <c r="R2236" s="1154"/>
      <c r="S2236" s="1154"/>
      <c r="T2236" s="1154"/>
      <c r="U2236" s="1154"/>
      <c r="V2236" s="1154"/>
      <c r="W2236" s="1154"/>
    </row>
    <row r="2237" ht="16.5" customHeight="1" spans="1:23">
      <c r="A2237" s="818" t="s">
        <v>1811</v>
      </c>
      <c r="B2237" s="942" t="s">
        <v>1897</v>
      </c>
      <c r="C2237" s="946" t="s">
        <v>1782</v>
      </c>
      <c r="D2237" s="439">
        <v>5</v>
      </c>
      <c r="E2237" s="69"/>
      <c r="F2237" s="1360">
        <v>45949</v>
      </c>
      <c r="G2237" s="1360" t="s">
        <v>1750</v>
      </c>
      <c r="H2237" s="937"/>
      <c r="I2237" s="913"/>
      <c r="J2237" s="1403" t="s">
        <v>39</v>
      </c>
      <c r="K2237" s="818" t="s">
        <v>19</v>
      </c>
      <c r="L2237" s="182"/>
      <c r="M2237" s="1382"/>
      <c r="N2237" s="1154"/>
      <c r="O2237" s="1154"/>
      <c r="P2237" s="1154"/>
      <c r="Q2237" s="1154"/>
      <c r="R2237" s="1154"/>
      <c r="S2237" s="1154"/>
      <c r="T2237" s="1154"/>
      <c r="U2237" s="1154"/>
      <c r="V2237" s="1154"/>
      <c r="W2237" s="1154"/>
    </row>
    <row r="2238" ht="16.5" customHeight="1" spans="1:23">
      <c r="A2238" s="818" t="s">
        <v>1811</v>
      </c>
      <c r="B2238" s="942" t="s">
        <v>1897</v>
      </c>
      <c r="C2238" s="946" t="s">
        <v>1783</v>
      </c>
      <c r="D2238" s="439">
        <v>5</v>
      </c>
      <c r="E2238" s="69"/>
      <c r="F2238" s="1360">
        <v>45949</v>
      </c>
      <c r="G2238" s="1360" t="s">
        <v>1750</v>
      </c>
      <c r="H2238" s="937"/>
      <c r="I2238" s="913"/>
      <c r="J2238" s="1403" t="s">
        <v>39</v>
      </c>
      <c r="K2238" s="1393" t="s">
        <v>19</v>
      </c>
      <c r="L2238" s="182"/>
      <c r="M2238" s="1382"/>
      <c r="N2238" s="1154"/>
      <c r="O2238" s="1154"/>
      <c r="P2238" s="1154"/>
      <c r="Q2238" s="1154"/>
      <c r="R2238" s="1154"/>
      <c r="S2238" s="1154"/>
      <c r="T2238" s="1154"/>
      <c r="U2238" s="1154"/>
      <c r="V2238" s="1154"/>
      <c r="W2238" s="1154"/>
    </row>
    <row r="2239" ht="16.5" customHeight="1" spans="1:23">
      <c r="A2239" s="818" t="s">
        <v>1811</v>
      </c>
      <c r="B2239" s="942" t="s">
        <v>1897</v>
      </c>
      <c r="C2239" s="946" t="s">
        <v>1784</v>
      </c>
      <c r="D2239" s="439">
        <v>4</v>
      </c>
      <c r="E2239" s="69"/>
      <c r="F2239" s="1360">
        <v>45949</v>
      </c>
      <c r="G2239" s="1360" t="s">
        <v>1750</v>
      </c>
      <c r="H2239" s="937"/>
      <c r="I2239" s="913"/>
      <c r="J2239" s="1403" t="s">
        <v>39</v>
      </c>
      <c r="K2239" s="818" t="s">
        <v>19</v>
      </c>
      <c r="L2239" s="182"/>
      <c r="M2239" s="1382"/>
      <c r="N2239" s="1154"/>
      <c r="O2239" s="1154"/>
      <c r="P2239" s="1154"/>
      <c r="Q2239" s="1154"/>
      <c r="R2239" s="1154"/>
      <c r="S2239" s="1154"/>
      <c r="T2239" s="1154"/>
      <c r="U2239" s="1154"/>
      <c r="V2239" s="1154"/>
      <c r="W2239" s="1154"/>
    </row>
    <row r="2240" ht="16.5" customHeight="1" spans="1:23">
      <c r="A2240" s="818" t="s">
        <v>1811</v>
      </c>
      <c r="B2240" s="942" t="s">
        <v>1897</v>
      </c>
      <c r="C2240" s="946" t="s">
        <v>1785</v>
      </c>
      <c r="D2240" s="439">
        <v>4</v>
      </c>
      <c r="E2240" s="69"/>
      <c r="F2240" s="1360">
        <v>45949</v>
      </c>
      <c r="G2240" s="1360" t="s">
        <v>1750</v>
      </c>
      <c r="H2240" s="937"/>
      <c r="I2240" s="913"/>
      <c r="J2240" s="1403" t="s">
        <v>39</v>
      </c>
      <c r="K2240" s="1393" t="s">
        <v>19</v>
      </c>
      <c r="L2240" s="182"/>
      <c r="M2240" s="1382"/>
      <c r="N2240" s="1154"/>
      <c r="O2240" s="1154"/>
      <c r="P2240" s="1154"/>
      <c r="Q2240" s="1154"/>
      <c r="R2240" s="1154"/>
      <c r="S2240" s="1154"/>
      <c r="T2240" s="1154"/>
      <c r="U2240" s="1154"/>
      <c r="V2240" s="1154"/>
      <c r="W2240" s="1154"/>
    </row>
    <row r="2241" ht="16.5" customHeight="1" spans="1:23">
      <c r="A2241" s="818" t="s">
        <v>1811</v>
      </c>
      <c r="B2241" s="942" t="s">
        <v>1897</v>
      </c>
      <c r="C2241" s="946" t="s">
        <v>1786</v>
      </c>
      <c r="D2241" s="439">
        <v>3</v>
      </c>
      <c r="E2241" s="69"/>
      <c r="F2241" s="1360">
        <v>45949</v>
      </c>
      <c r="G2241" s="1360" t="s">
        <v>1750</v>
      </c>
      <c r="H2241" s="937"/>
      <c r="I2241" s="913"/>
      <c r="J2241" s="1403" t="s">
        <v>39</v>
      </c>
      <c r="K2241" s="818" t="s">
        <v>19</v>
      </c>
      <c r="L2241" s="182"/>
      <c r="M2241" s="1382"/>
      <c r="N2241" s="1154"/>
      <c r="O2241" s="1154"/>
      <c r="P2241" s="1154"/>
      <c r="Q2241" s="1154"/>
      <c r="R2241" s="1154"/>
      <c r="S2241" s="1154"/>
      <c r="T2241" s="1154"/>
      <c r="U2241" s="1154"/>
      <c r="V2241" s="1154"/>
      <c r="W2241" s="1154"/>
    </row>
    <row r="2242" ht="16.5" customHeight="1" spans="1:23">
      <c r="A2242" s="1393" t="s">
        <v>1811</v>
      </c>
      <c r="B2242" s="942" t="s">
        <v>1897</v>
      </c>
      <c r="C2242" s="966" t="s">
        <v>1787</v>
      </c>
      <c r="D2242" s="443">
        <v>3</v>
      </c>
      <c r="E2242" s="69"/>
      <c r="F2242" s="1360">
        <v>45949</v>
      </c>
      <c r="G2242" s="1360" t="s">
        <v>1750</v>
      </c>
      <c r="H2242" s="963"/>
      <c r="I2242" s="961"/>
      <c r="J2242" s="1403" t="s">
        <v>39</v>
      </c>
      <c r="K2242" s="1393" t="s">
        <v>19</v>
      </c>
      <c r="L2242" s="445"/>
      <c r="M2242" s="1382"/>
      <c r="N2242" s="1154"/>
      <c r="O2242" s="1154"/>
      <c r="P2242" s="1154"/>
      <c r="Q2242" s="1154"/>
      <c r="R2242" s="1154"/>
      <c r="S2242" s="1154"/>
      <c r="T2242" s="1154"/>
      <c r="U2242" s="1154"/>
      <c r="V2242" s="1154"/>
      <c r="W2242" s="1154"/>
    </row>
    <row r="2243" ht="16.5" customHeight="1" spans="1:23">
      <c r="A2243" s="818" t="s">
        <v>1811</v>
      </c>
      <c r="B2243" s="942" t="s">
        <v>1900</v>
      </c>
      <c r="C2243" s="946" t="s">
        <v>1823</v>
      </c>
      <c r="D2243" s="439">
        <v>66</v>
      </c>
      <c r="E2243" s="1411" t="s">
        <v>1901</v>
      </c>
      <c r="F2243" s="1360">
        <v>45949</v>
      </c>
      <c r="G2243" s="1360" t="s">
        <v>1750</v>
      </c>
      <c r="H2243" s="937"/>
      <c r="I2243" s="913"/>
      <c r="J2243" s="1403" t="s">
        <v>39</v>
      </c>
      <c r="K2243" s="818" t="s">
        <v>19</v>
      </c>
      <c r="L2243" s="182"/>
      <c r="M2243" s="1384" t="s">
        <v>1844</v>
      </c>
      <c r="N2243" s="1154"/>
      <c r="O2243" s="1154"/>
      <c r="P2243" s="1154"/>
      <c r="Q2243" s="1154"/>
      <c r="R2243" s="1154"/>
      <c r="S2243" s="1154"/>
      <c r="T2243" s="1154"/>
      <c r="U2243" s="1154"/>
      <c r="V2243" s="1154"/>
      <c r="W2243" s="1154"/>
    </row>
    <row r="2244" ht="16.5" customHeight="1" spans="1:23">
      <c r="A2244" s="818" t="s">
        <v>1811</v>
      </c>
      <c r="B2244" s="942" t="s">
        <v>1900</v>
      </c>
      <c r="C2244" s="946" t="s">
        <v>1824</v>
      </c>
      <c r="D2244" s="439">
        <v>66</v>
      </c>
      <c r="E2244" s="69"/>
      <c r="F2244" s="1360">
        <v>45949</v>
      </c>
      <c r="G2244" s="1360" t="s">
        <v>1750</v>
      </c>
      <c r="H2244" s="937"/>
      <c r="I2244" s="913"/>
      <c r="J2244" s="1403" t="s">
        <v>39</v>
      </c>
      <c r="K2244" s="1393" t="s">
        <v>19</v>
      </c>
      <c r="L2244" s="182"/>
      <c r="M2244" s="1384" t="s">
        <v>1902</v>
      </c>
      <c r="N2244" s="1154"/>
      <c r="O2244" s="1154"/>
      <c r="P2244" s="1154"/>
      <c r="Q2244" s="1154"/>
      <c r="R2244" s="1154"/>
      <c r="S2244" s="1154"/>
      <c r="T2244" s="1154"/>
      <c r="U2244" s="1154"/>
      <c r="V2244" s="1154"/>
      <c r="W2244" s="1154"/>
    </row>
    <row r="2245" ht="16.5" customHeight="1" spans="1:23">
      <c r="A2245" s="818" t="s">
        <v>1811</v>
      </c>
      <c r="B2245" s="942" t="s">
        <v>1900</v>
      </c>
      <c r="C2245" s="946" t="s">
        <v>1825</v>
      </c>
      <c r="D2245" s="439">
        <v>1</v>
      </c>
      <c r="E2245" s="1358"/>
      <c r="F2245" s="1360">
        <v>45949</v>
      </c>
      <c r="G2245" s="1360" t="s">
        <v>1750</v>
      </c>
      <c r="H2245" s="937"/>
      <c r="I2245" s="913"/>
      <c r="J2245" s="1403" t="s">
        <v>39</v>
      </c>
      <c r="K2245" s="818" t="s">
        <v>19</v>
      </c>
      <c r="L2245" s="182"/>
      <c r="M2245" s="1384"/>
      <c r="N2245" s="1154"/>
      <c r="O2245" s="1154"/>
      <c r="P2245" s="1154"/>
      <c r="Q2245" s="1154"/>
      <c r="R2245" s="1154"/>
      <c r="S2245" s="1154"/>
      <c r="T2245" s="1154"/>
      <c r="U2245" s="1154"/>
      <c r="V2245" s="1154"/>
      <c r="W2245" s="1154"/>
    </row>
    <row r="2246" ht="16.5" customHeight="1" spans="1:23">
      <c r="A2246" s="818" t="s">
        <v>1811</v>
      </c>
      <c r="B2246" s="942" t="s">
        <v>1900</v>
      </c>
      <c r="C2246" s="946" t="s">
        <v>1826</v>
      </c>
      <c r="D2246" s="439">
        <v>1</v>
      </c>
      <c r="E2246" s="1358"/>
      <c r="F2246" s="1360">
        <v>45949</v>
      </c>
      <c r="G2246" s="1360" t="s">
        <v>1750</v>
      </c>
      <c r="H2246" s="937"/>
      <c r="I2246" s="913"/>
      <c r="J2246" s="1403" t="s">
        <v>39</v>
      </c>
      <c r="K2246" s="1393" t="s">
        <v>19</v>
      </c>
      <c r="L2246" s="182"/>
      <c r="M2246" s="1384"/>
      <c r="N2246" s="1154"/>
      <c r="O2246" s="1154"/>
      <c r="P2246" s="1154"/>
      <c r="Q2246" s="1154"/>
      <c r="R2246" s="1154"/>
      <c r="S2246" s="1154"/>
      <c r="T2246" s="1154"/>
      <c r="U2246" s="1154"/>
      <c r="V2246" s="1154"/>
      <c r="W2246" s="1154"/>
    </row>
    <row r="2247" ht="16.5" customHeight="1" spans="1:23">
      <c r="A2247" s="818" t="s">
        <v>1811</v>
      </c>
      <c r="B2247" s="942" t="s">
        <v>1900</v>
      </c>
      <c r="C2247" s="946" t="s">
        <v>1827</v>
      </c>
      <c r="D2247" s="439">
        <v>34</v>
      </c>
      <c r="E2247" s="69"/>
      <c r="F2247" s="1360">
        <v>45949</v>
      </c>
      <c r="G2247" s="1360" t="s">
        <v>1750</v>
      </c>
      <c r="H2247" s="937"/>
      <c r="I2247" s="913"/>
      <c r="J2247" s="1403" t="s">
        <v>39</v>
      </c>
      <c r="K2247" s="818" t="s">
        <v>19</v>
      </c>
      <c r="L2247" s="182"/>
      <c r="M2247" s="1384"/>
      <c r="N2247" s="1154"/>
      <c r="O2247" s="1154"/>
      <c r="P2247" s="1154"/>
      <c r="Q2247" s="1154"/>
      <c r="R2247" s="1154"/>
      <c r="S2247" s="1154"/>
      <c r="T2247" s="1154"/>
      <c r="U2247" s="1154"/>
      <c r="V2247" s="1154"/>
      <c r="W2247" s="1154"/>
    </row>
    <row r="2248" ht="16.5" customHeight="1" spans="1:23">
      <c r="A2248" s="818" t="s">
        <v>1811</v>
      </c>
      <c r="B2248" s="942" t="s">
        <v>1900</v>
      </c>
      <c r="C2248" s="946" t="s">
        <v>1828</v>
      </c>
      <c r="D2248" s="439">
        <v>34</v>
      </c>
      <c r="E2248" s="69"/>
      <c r="F2248" s="1360">
        <v>45949</v>
      </c>
      <c r="G2248" s="1360" t="s">
        <v>1750</v>
      </c>
      <c r="H2248" s="937"/>
      <c r="I2248" s="913"/>
      <c r="J2248" s="1403" t="s">
        <v>39</v>
      </c>
      <c r="K2248" s="1393" t="s">
        <v>19</v>
      </c>
      <c r="L2248" s="182"/>
      <c r="M2248" s="1384"/>
      <c r="N2248" s="1154"/>
      <c r="O2248" s="1154"/>
      <c r="P2248" s="1154"/>
      <c r="Q2248" s="1154"/>
      <c r="R2248" s="1154"/>
      <c r="S2248" s="1154"/>
      <c r="T2248" s="1154"/>
      <c r="U2248" s="1154"/>
      <c r="V2248" s="1154"/>
      <c r="W2248" s="1154"/>
    </row>
    <row r="2249" ht="16.5" customHeight="1" spans="1:23">
      <c r="A2249" s="818" t="s">
        <v>1811</v>
      </c>
      <c r="B2249" s="942" t="s">
        <v>1900</v>
      </c>
      <c r="C2249" s="946" t="s">
        <v>1833</v>
      </c>
      <c r="D2249" s="439">
        <v>1</v>
      </c>
      <c r="E2249" s="1358"/>
      <c r="F2249" s="1360">
        <v>45949</v>
      </c>
      <c r="G2249" s="1360" t="s">
        <v>1750</v>
      </c>
      <c r="H2249" s="937"/>
      <c r="I2249" s="913"/>
      <c r="J2249" s="1403" t="s">
        <v>39</v>
      </c>
      <c r="K2249" s="818" t="s">
        <v>19</v>
      </c>
      <c r="L2249" s="182"/>
      <c r="M2249" s="1384"/>
      <c r="N2249" s="1154"/>
      <c r="O2249" s="1154"/>
      <c r="P2249" s="1154"/>
      <c r="Q2249" s="1154"/>
      <c r="R2249" s="1154"/>
      <c r="S2249" s="1154"/>
      <c r="T2249" s="1154"/>
      <c r="U2249" s="1154"/>
      <c r="V2249" s="1154"/>
      <c r="W2249" s="1154"/>
    </row>
    <row r="2250" ht="16.5" customHeight="1" spans="1:23">
      <c r="A2250" s="818" t="s">
        <v>1811</v>
      </c>
      <c r="B2250" s="942" t="s">
        <v>1900</v>
      </c>
      <c r="C2250" s="946" t="s">
        <v>1834</v>
      </c>
      <c r="D2250" s="439">
        <v>1</v>
      </c>
      <c r="E2250" s="69"/>
      <c r="F2250" s="1360">
        <v>45949</v>
      </c>
      <c r="G2250" s="1360" t="s">
        <v>1750</v>
      </c>
      <c r="H2250" s="937"/>
      <c r="I2250" s="913"/>
      <c r="J2250" s="1403" t="s">
        <v>39</v>
      </c>
      <c r="K2250" s="1393" t="s">
        <v>19</v>
      </c>
      <c r="L2250" s="182"/>
      <c r="M2250" s="1384"/>
      <c r="N2250" s="1154"/>
      <c r="O2250" s="1154"/>
      <c r="P2250" s="1154"/>
      <c r="Q2250" s="1154"/>
      <c r="R2250" s="1154"/>
      <c r="S2250" s="1154"/>
      <c r="T2250" s="1154"/>
      <c r="U2250" s="1154"/>
      <c r="V2250" s="1154"/>
      <c r="W2250" s="1154"/>
    </row>
    <row r="2251" ht="16.5" customHeight="1" spans="1:23">
      <c r="A2251" s="818" t="s">
        <v>1811</v>
      </c>
      <c r="B2251" s="942" t="s">
        <v>1900</v>
      </c>
      <c r="C2251" s="946" t="s">
        <v>1771</v>
      </c>
      <c r="D2251" s="439">
        <v>1</v>
      </c>
      <c r="E2251" s="69"/>
      <c r="F2251" s="1360">
        <v>45949</v>
      </c>
      <c r="G2251" s="1360" t="s">
        <v>1750</v>
      </c>
      <c r="H2251" s="937"/>
      <c r="I2251" s="913"/>
      <c r="J2251" s="1403" t="s">
        <v>39</v>
      </c>
      <c r="K2251" s="818" t="s">
        <v>19</v>
      </c>
      <c r="L2251" s="182"/>
      <c r="M2251" s="1384"/>
      <c r="N2251" s="1154"/>
      <c r="O2251" s="1154"/>
      <c r="P2251" s="1154"/>
      <c r="Q2251" s="1154"/>
      <c r="R2251" s="1154"/>
      <c r="S2251" s="1154"/>
      <c r="T2251" s="1154"/>
      <c r="U2251" s="1154"/>
      <c r="V2251" s="1154"/>
      <c r="W2251" s="1154"/>
    </row>
    <row r="2252" ht="16.5" customHeight="1" spans="1:23">
      <c r="A2252" s="818" t="s">
        <v>1811</v>
      </c>
      <c r="B2252" s="942" t="s">
        <v>1900</v>
      </c>
      <c r="C2252" s="946" t="s">
        <v>1835</v>
      </c>
      <c r="D2252" s="439">
        <v>1</v>
      </c>
      <c r="E2252" s="69"/>
      <c r="F2252" s="1360">
        <v>45949</v>
      </c>
      <c r="G2252" s="1360" t="s">
        <v>1750</v>
      </c>
      <c r="H2252" s="937"/>
      <c r="I2252" s="913"/>
      <c r="J2252" s="1403" t="s">
        <v>39</v>
      </c>
      <c r="K2252" s="1393" t="s">
        <v>19</v>
      </c>
      <c r="L2252" s="182"/>
      <c r="M2252" s="1384"/>
      <c r="N2252" s="1154"/>
      <c r="O2252" s="1154"/>
      <c r="P2252" s="1154"/>
      <c r="Q2252" s="1154"/>
      <c r="R2252" s="1154"/>
      <c r="S2252" s="1154"/>
      <c r="T2252" s="1154"/>
      <c r="U2252" s="1154"/>
      <c r="V2252" s="1154"/>
      <c r="W2252" s="1154"/>
    </row>
    <row r="2253" ht="16.5" customHeight="1" spans="1:23">
      <c r="A2253" s="818" t="s">
        <v>1811</v>
      </c>
      <c r="B2253" s="942" t="s">
        <v>1900</v>
      </c>
      <c r="C2253" s="946" t="s">
        <v>1836</v>
      </c>
      <c r="D2253" s="439">
        <v>6</v>
      </c>
      <c r="E2253" s="69"/>
      <c r="F2253" s="1360">
        <v>45949</v>
      </c>
      <c r="G2253" s="1360" t="s">
        <v>1750</v>
      </c>
      <c r="H2253" s="937"/>
      <c r="I2253" s="913"/>
      <c r="J2253" s="1403" t="s">
        <v>39</v>
      </c>
      <c r="K2253" s="1393" t="s">
        <v>19</v>
      </c>
      <c r="L2253" s="182"/>
      <c r="M2253" s="1384"/>
      <c r="N2253" s="1154"/>
      <c r="O2253" s="1154"/>
      <c r="P2253" s="1154"/>
      <c r="Q2253" s="1154"/>
      <c r="R2253" s="1154"/>
      <c r="S2253" s="1154"/>
      <c r="T2253" s="1154"/>
      <c r="U2253" s="1154"/>
      <c r="V2253" s="1154"/>
      <c r="W2253" s="1154"/>
    </row>
    <row r="2254" ht="16.5" customHeight="1" spans="1:23">
      <c r="A2254" s="818" t="s">
        <v>1811</v>
      </c>
      <c r="B2254" s="942" t="s">
        <v>1900</v>
      </c>
      <c r="C2254" s="946" t="s">
        <v>1837</v>
      </c>
      <c r="D2254" s="439">
        <v>6</v>
      </c>
      <c r="E2254" s="69"/>
      <c r="F2254" s="1360">
        <v>45949</v>
      </c>
      <c r="G2254" s="1360" t="s">
        <v>1750</v>
      </c>
      <c r="H2254" s="937"/>
      <c r="I2254" s="913"/>
      <c r="J2254" s="1403" t="s">
        <v>39</v>
      </c>
      <c r="K2254" s="818" t="s">
        <v>19</v>
      </c>
      <c r="L2254" s="182"/>
      <c r="M2254" s="1384"/>
      <c r="N2254" s="1154"/>
      <c r="O2254" s="1154"/>
      <c r="P2254" s="1154"/>
      <c r="Q2254" s="1154"/>
      <c r="R2254" s="1154"/>
      <c r="S2254" s="1154"/>
      <c r="T2254" s="1154"/>
      <c r="U2254" s="1154"/>
      <c r="V2254" s="1154"/>
      <c r="W2254" s="1154"/>
    </row>
    <row r="2255" ht="16.5" customHeight="1" spans="1:23">
      <c r="A2255" s="818" t="s">
        <v>1811</v>
      </c>
      <c r="B2255" s="942" t="s">
        <v>1900</v>
      </c>
      <c r="C2255" s="946" t="s">
        <v>1780</v>
      </c>
      <c r="D2255" s="439">
        <v>8</v>
      </c>
      <c r="E2255" s="69"/>
      <c r="F2255" s="1360">
        <v>45949</v>
      </c>
      <c r="G2255" s="1360" t="s">
        <v>1750</v>
      </c>
      <c r="H2255" s="937"/>
      <c r="I2255" s="913"/>
      <c r="J2255" s="1403" t="s">
        <v>39</v>
      </c>
      <c r="K2255" s="1393" t="s">
        <v>19</v>
      </c>
      <c r="L2255" s="182"/>
      <c r="M2255" s="1384"/>
      <c r="N2255" s="1154"/>
      <c r="O2255" s="1154"/>
      <c r="P2255" s="1154"/>
      <c r="Q2255" s="1154"/>
      <c r="R2255" s="1154"/>
      <c r="S2255" s="1154"/>
      <c r="T2255" s="1154"/>
      <c r="U2255" s="1154"/>
      <c r="V2255" s="1154"/>
      <c r="W2255" s="1154"/>
    </row>
    <row r="2256" ht="16.5" customHeight="1" spans="1:23">
      <c r="A2256" s="818" t="s">
        <v>1811</v>
      </c>
      <c r="B2256" s="942" t="s">
        <v>1900</v>
      </c>
      <c r="C2256" s="946" t="s">
        <v>1781</v>
      </c>
      <c r="D2256" s="439">
        <v>8</v>
      </c>
      <c r="E2256" s="69"/>
      <c r="F2256" s="1360">
        <v>45949</v>
      </c>
      <c r="G2256" s="1360" t="s">
        <v>1750</v>
      </c>
      <c r="H2256" s="937"/>
      <c r="I2256" s="913"/>
      <c r="J2256" s="1403" t="s">
        <v>39</v>
      </c>
      <c r="K2256" s="818" t="s">
        <v>19</v>
      </c>
      <c r="L2256" s="182"/>
      <c r="M2256" s="1384"/>
      <c r="N2256" s="1154"/>
      <c r="O2256" s="1154"/>
      <c r="P2256" s="1154"/>
      <c r="Q2256" s="1154"/>
      <c r="R2256" s="1154"/>
      <c r="S2256" s="1154"/>
      <c r="T2256" s="1154"/>
      <c r="U2256" s="1154"/>
      <c r="V2256" s="1154"/>
      <c r="W2256" s="1154"/>
    </row>
    <row r="2257" ht="16.5" customHeight="1" spans="1:23">
      <c r="A2257" s="818" t="s">
        <v>1811</v>
      </c>
      <c r="B2257" s="942" t="s">
        <v>1900</v>
      </c>
      <c r="C2257" s="946" t="s">
        <v>1782</v>
      </c>
      <c r="D2257" s="439">
        <v>2</v>
      </c>
      <c r="E2257" s="69"/>
      <c r="F2257" s="1360">
        <v>45949</v>
      </c>
      <c r="G2257" s="1360" t="s">
        <v>1750</v>
      </c>
      <c r="H2257" s="937"/>
      <c r="I2257" s="913"/>
      <c r="J2257" s="1403" t="s">
        <v>39</v>
      </c>
      <c r="K2257" s="1393" t="s">
        <v>19</v>
      </c>
      <c r="L2257" s="182"/>
      <c r="M2257" s="1384"/>
      <c r="N2257" s="1154"/>
      <c r="O2257" s="1154"/>
      <c r="P2257" s="1154"/>
      <c r="Q2257" s="1154"/>
      <c r="R2257" s="1154"/>
      <c r="S2257" s="1154"/>
      <c r="T2257" s="1154"/>
      <c r="U2257" s="1154"/>
      <c r="V2257" s="1154"/>
      <c r="W2257" s="1154"/>
    </row>
    <row r="2258" ht="16.5" customHeight="1" spans="1:23">
      <c r="A2258" s="818" t="s">
        <v>1811</v>
      </c>
      <c r="B2258" s="942" t="s">
        <v>1900</v>
      </c>
      <c r="C2258" s="946" t="s">
        <v>1783</v>
      </c>
      <c r="D2258" s="439">
        <v>2</v>
      </c>
      <c r="E2258" s="69"/>
      <c r="F2258" s="1360">
        <v>45949</v>
      </c>
      <c r="G2258" s="1360" t="s">
        <v>1750</v>
      </c>
      <c r="H2258" s="937"/>
      <c r="I2258" s="913"/>
      <c r="J2258" s="1403" t="s">
        <v>39</v>
      </c>
      <c r="K2258" s="818" t="s">
        <v>19</v>
      </c>
      <c r="L2258" s="182"/>
      <c r="M2258" s="1384"/>
      <c r="N2258" s="1154"/>
      <c r="O2258" s="1154"/>
      <c r="P2258" s="1154"/>
      <c r="Q2258" s="1154"/>
      <c r="R2258" s="1154"/>
      <c r="S2258" s="1154"/>
      <c r="T2258" s="1154"/>
      <c r="U2258" s="1154"/>
      <c r="V2258" s="1154"/>
      <c r="W2258" s="1154"/>
    </row>
    <row r="2259" ht="16.5" customHeight="1" spans="1:23">
      <c r="A2259" s="818" t="s">
        <v>1811</v>
      </c>
      <c r="B2259" s="942" t="s">
        <v>1900</v>
      </c>
      <c r="C2259" s="946" t="s">
        <v>1784</v>
      </c>
      <c r="D2259" s="439">
        <v>1</v>
      </c>
      <c r="E2259" s="281"/>
      <c r="F2259" s="1360">
        <v>45949</v>
      </c>
      <c r="G2259" s="1360" t="s">
        <v>1750</v>
      </c>
      <c r="H2259" s="937"/>
      <c r="I2259" s="913"/>
      <c r="J2259" s="1403" t="s">
        <v>39</v>
      </c>
      <c r="K2259" s="1393" t="s">
        <v>19</v>
      </c>
      <c r="L2259" s="182"/>
      <c r="M2259" s="1384"/>
      <c r="N2259" s="1154"/>
      <c r="O2259" s="1154"/>
      <c r="P2259" s="1154"/>
      <c r="Q2259" s="1154"/>
      <c r="R2259" s="1154"/>
      <c r="S2259" s="1154"/>
      <c r="T2259" s="1154"/>
      <c r="U2259" s="1154"/>
      <c r="V2259" s="1154"/>
      <c r="W2259" s="1154"/>
    </row>
    <row r="2260" ht="16.5" customHeight="1" spans="1:23">
      <c r="A2260" s="818" t="s">
        <v>1811</v>
      </c>
      <c r="B2260" s="942" t="s">
        <v>1900</v>
      </c>
      <c r="C2260" s="946" t="s">
        <v>1785</v>
      </c>
      <c r="D2260" s="439">
        <v>1</v>
      </c>
      <c r="E2260" s="1358"/>
      <c r="F2260" s="1360">
        <v>45949</v>
      </c>
      <c r="G2260" s="1360" t="s">
        <v>1750</v>
      </c>
      <c r="H2260" s="937"/>
      <c r="I2260" s="913"/>
      <c r="J2260" s="1403" t="s">
        <v>39</v>
      </c>
      <c r="K2260" s="818" t="s">
        <v>19</v>
      </c>
      <c r="L2260" s="182"/>
      <c r="M2260" s="1384"/>
      <c r="N2260" s="1154"/>
      <c r="O2260" s="1154"/>
      <c r="P2260" s="1154"/>
      <c r="Q2260" s="1154"/>
      <c r="R2260" s="1154"/>
      <c r="S2260" s="1154"/>
      <c r="T2260" s="1154"/>
      <c r="U2260" s="1154"/>
      <c r="V2260" s="1154"/>
      <c r="W2260" s="1154"/>
    </row>
    <row r="2261" ht="16.5" customHeight="1" spans="1:23">
      <c r="A2261" s="818" t="s">
        <v>1811</v>
      </c>
      <c r="B2261" s="942" t="s">
        <v>1900</v>
      </c>
      <c r="C2261" s="946" t="s">
        <v>1786</v>
      </c>
      <c r="D2261" s="439">
        <v>1</v>
      </c>
      <c r="E2261" s="281"/>
      <c r="F2261" s="1360">
        <v>45949</v>
      </c>
      <c r="G2261" s="1360" t="s">
        <v>1750</v>
      </c>
      <c r="H2261" s="937"/>
      <c r="I2261" s="913"/>
      <c r="J2261" s="1403" t="s">
        <v>39</v>
      </c>
      <c r="K2261" s="1393" t="s">
        <v>19</v>
      </c>
      <c r="L2261" s="182"/>
      <c r="M2261" s="1384"/>
      <c r="N2261" s="1154"/>
      <c r="O2261" s="1154"/>
      <c r="P2261" s="1154"/>
      <c r="Q2261" s="1154"/>
      <c r="R2261" s="1154"/>
      <c r="S2261" s="1154"/>
      <c r="T2261" s="1154"/>
      <c r="U2261" s="1154"/>
      <c r="V2261" s="1154"/>
      <c r="W2261" s="1154"/>
    </row>
    <row r="2262" ht="16.5" customHeight="1" spans="1:23">
      <c r="A2262" s="818" t="s">
        <v>1811</v>
      </c>
      <c r="B2262" s="942" t="s">
        <v>1900</v>
      </c>
      <c r="C2262" s="946" t="s">
        <v>1787</v>
      </c>
      <c r="D2262" s="439">
        <v>1</v>
      </c>
      <c r="E2262" s="281"/>
      <c r="F2262" s="1360">
        <v>45949</v>
      </c>
      <c r="G2262" s="1360" t="s">
        <v>1750</v>
      </c>
      <c r="H2262" s="937"/>
      <c r="I2262" s="913"/>
      <c r="J2262" s="1403" t="s">
        <v>39</v>
      </c>
      <c r="K2262" s="1393" t="s">
        <v>19</v>
      </c>
      <c r="L2262" s="182"/>
      <c r="M2262" s="1384"/>
      <c r="N2262" s="1154"/>
      <c r="O2262" s="1154"/>
      <c r="P2262" s="1154"/>
      <c r="Q2262" s="1154"/>
      <c r="R2262" s="1154"/>
      <c r="S2262" s="1154"/>
      <c r="T2262" s="1154"/>
      <c r="U2262" s="1154"/>
      <c r="V2262" s="1154"/>
      <c r="W2262" s="1154"/>
    </row>
    <row r="2263" ht="16.5" customHeight="1" spans="1:23">
      <c r="A2263" s="818" t="s">
        <v>1903</v>
      </c>
      <c r="B2263" s="942" t="s">
        <v>309</v>
      </c>
      <c r="C2263" s="1413" t="s">
        <v>15</v>
      </c>
      <c r="D2263" s="183">
        <v>0</v>
      </c>
      <c r="E2263" s="1358" t="s">
        <v>564</v>
      </c>
      <c r="F2263" s="1360">
        <v>45920</v>
      </c>
      <c r="G2263" s="1360" t="s">
        <v>1904</v>
      </c>
      <c r="H2263" s="937"/>
      <c r="I2263" s="913"/>
      <c r="J2263" s="913" t="s">
        <v>18</v>
      </c>
      <c r="K2263" s="919" t="s">
        <v>1905</v>
      </c>
      <c r="L2263" s="182"/>
      <c r="M2263" s="961" t="s">
        <v>1906</v>
      </c>
      <c r="N2263" s="512"/>
      <c r="O2263" s="1154"/>
      <c r="P2263" s="1154"/>
      <c r="Q2263" s="1154"/>
      <c r="R2263" s="1154"/>
      <c r="S2263" s="1154"/>
      <c r="T2263" s="1154"/>
      <c r="U2263" s="1154"/>
      <c r="V2263" s="1154"/>
      <c r="W2263" s="1154"/>
    </row>
    <row r="2264" ht="16.5" customHeight="1" spans="1:23">
      <c r="A2264" s="818" t="s">
        <v>1903</v>
      </c>
      <c r="B2264" s="942" t="s">
        <v>309</v>
      </c>
      <c r="C2264" s="1413" t="s">
        <v>27</v>
      </c>
      <c r="D2264" s="183">
        <v>0</v>
      </c>
      <c r="E2264" s="69"/>
      <c r="F2264" s="1360">
        <v>45920</v>
      </c>
      <c r="G2264" s="1360" t="s">
        <v>1904</v>
      </c>
      <c r="H2264" s="937"/>
      <c r="I2264" s="913"/>
      <c r="J2264" s="913" t="s">
        <v>18</v>
      </c>
      <c r="K2264" s="894" t="s">
        <v>1905</v>
      </c>
      <c r="L2264" s="182"/>
      <c r="M2264" s="961"/>
      <c r="N2264" s="512"/>
      <c r="O2264" s="1154"/>
      <c r="P2264" s="1154"/>
      <c r="Q2264" s="1154"/>
      <c r="R2264" s="1154"/>
      <c r="S2264" s="1154"/>
      <c r="T2264" s="1154"/>
      <c r="U2264" s="1154"/>
      <c r="V2264" s="1154"/>
      <c r="W2264" s="1154"/>
    </row>
    <row r="2265" ht="16.5" customHeight="1" spans="1:23">
      <c r="A2265" s="818" t="s">
        <v>1903</v>
      </c>
      <c r="B2265" s="942" t="s">
        <v>309</v>
      </c>
      <c r="C2265" s="1413" t="s">
        <v>70</v>
      </c>
      <c r="D2265" s="183">
        <v>0</v>
      </c>
      <c r="E2265" s="69"/>
      <c r="F2265" s="1360">
        <v>45920</v>
      </c>
      <c r="G2265" s="1360" t="s">
        <v>1904</v>
      </c>
      <c r="H2265" s="937"/>
      <c r="I2265" s="913"/>
      <c r="J2265" s="913" t="s">
        <v>18</v>
      </c>
      <c r="K2265" s="894" t="s">
        <v>1905</v>
      </c>
      <c r="L2265" s="182"/>
      <c r="M2265" s="961"/>
      <c r="N2265" s="512"/>
      <c r="O2265" s="1154"/>
      <c r="P2265" s="1154"/>
      <c r="Q2265" s="1154"/>
      <c r="R2265" s="1154"/>
      <c r="S2265" s="1154"/>
      <c r="T2265" s="1154"/>
      <c r="U2265" s="1154"/>
      <c r="V2265" s="1154"/>
      <c r="W2265" s="1154"/>
    </row>
    <row r="2266" ht="16.5" customHeight="1" spans="1:23">
      <c r="A2266" s="818" t="s">
        <v>1903</v>
      </c>
      <c r="B2266" s="942" t="s">
        <v>309</v>
      </c>
      <c r="C2266" s="1413" t="s">
        <v>71</v>
      </c>
      <c r="D2266" s="183">
        <v>0</v>
      </c>
      <c r="E2266" s="69"/>
      <c r="F2266" s="1360">
        <v>45920</v>
      </c>
      <c r="G2266" s="1360" t="s">
        <v>1904</v>
      </c>
      <c r="H2266" s="937"/>
      <c r="I2266" s="913"/>
      <c r="J2266" s="913" t="s">
        <v>18</v>
      </c>
      <c r="K2266" s="894" t="s">
        <v>1905</v>
      </c>
      <c r="L2266" s="182"/>
      <c r="M2266" s="961"/>
      <c r="N2266" s="512"/>
      <c r="O2266" s="1154"/>
      <c r="P2266" s="1154"/>
      <c r="Q2266" s="1154"/>
      <c r="R2266" s="1154"/>
      <c r="S2266" s="1154"/>
      <c r="T2266" s="1154"/>
      <c r="U2266" s="1154"/>
      <c r="V2266" s="1154"/>
      <c r="W2266" s="1154"/>
    </row>
    <row r="2267" ht="16.5" customHeight="1" spans="1:23">
      <c r="A2267" s="818" t="s">
        <v>1903</v>
      </c>
      <c r="B2267" s="942" t="s">
        <v>309</v>
      </c>
      <c r="C2267" s="1413" t="s">
        <v>59</v>
      </c>
      <c r="D2267" s="183">
        <v>0</v>
      </c>
      <c r="E2267" s="69"/>
      <c r="F2267" s="1360">
        <v>45920</v>
      </c>
      <c r="G2267" s="1360" t="s">
        <v>1904</v>
      </c>
      <c r="H2267" s="937"/>
      <c r="I2267" s="913"/>
      <c r="J2267" s="913" t="s">
        <v>18</v>
      </c>
      <c r="K2267" s="894" t="s">
        <v>1905</v>
      </c>
      <c r="L2267" s="182"/>
      <c r="M2267" s="961"/>
      <c r="N2267" s="512"/>
      <c r="O2267" s="1154"/>
      <c r="P2267" s="1154"/>
      <c r="Q2267" s="1154"/>
      <c r="R2267" s="1154"/>
      <c r="S2267" s="1154"/>
      <c r="T2267" s="1154"/>
      <c r="U2267" s="1154"/>
      <c r="V2267" s="1154"/>
      <c r="W2267" s="1154"/>
    </row>
    <row r="2268" ht="16.5" customHeight="1" spans="1:23">
      <c r="A2268" s="818" t="s">
        <v>1903</v>
      </c>
      <c r="B2268" s="942" t="s">
        <v>309</v>
      </c>
      <c r="C2268" s="1413" t="s">
        <v>60</v>
      </c>
      <c r="D2268" s="183">
        <v>0</v>
      </c>
      <c r="E2268" s="69"/>
      <c r="F2268" s="1360">
        <v>45920</v>
      </c>
      <c r="G2268" s="1360" t="s">
        <v>1904</v>
      </c>
      <c r="H2268" s="937"/>
      <c r="I2268" s="913"/>
      <c r="J2268" s="913" t="s">
        <v>18</v>
      </c>
      <c r="K2268" s="894" t="s">
        <v>1905</v>
      </c>
      <c r="L2268" s="182"/>
      <c r="M2268" s="961"/>
      <c r="N2268" s="512"/>
      <c r="O2268" s="1154"/>
      <c r="P2268" s="1154"/>
      <c r="Q2268" s="1154"/>
      <c r="R2268" s="1154"/>
      <c r="S2268" s="1154"/>
      <c r="T2268" s="1154"/>
      <c r="U2268" s="1154"/>
      <c r="V2268" s="1154"/>
      <c r="W2268" s="1154"/>
    </row>
    <row r="2269" ht="16.5" customHeight="1" spans="1:23">
      <c r="A2269" s="818" t="s">
        <v>1903</v>
      </c>
      <c r="B2269" s="942" t="s">
        <v>309</v>
      </c>
      <c r="C2269" s="1413" t="s">
        <v>757</v>
      </c>
      <c r="D2269" s="183">
        <v>0</v>
      </c>
      <c r="E2269" s="69"/>
      <c r="F2269" s="1360">
        <v>45920</v>
      </c>
      <c r="G2269" s="1360" t="s">
        <v>1904</v>
      </c>
      <c r="H2269" s="937"/>
      <c r="I2269" s="913"/>
      <c r="J2269" s="913" t="s">
        <v>18</v>
      </c>
      <c r="K2269" s="894" t="s">
        <v>1905</v>
      </c>
      <c r="L2269" s="182"/>
      <c r="M2269" s="961"/>
      <c r="N2269" s="512"/>
      <c r="O2269" s="1154"/>
      <c r="P2269" s="1154"/>
      <c r="Q2269" s="1154"/>
      <c r="R2269" s="1154"/>
      <c r="S2269" s="1154"/>
      <c r="T2269" s="1154"/>
      <c r="U2269" s="1154"/>
      <c r="V2269" s="1154"/>
      <c r="W2269" s="1154"/>
    </row>
    <row r="2270" ht="16.5" customHeight="1" spans="1:23">
      <c r="A2270" s="818" t="s">
        <v>1907</v>
      </c>
      <c r="B2270" s="942" t="s">
        <v>1908</v>
      </c>
      <c r="C2270" s="946" t="s">
        <v>1737</v>
      </c>
      <c r="D2270" s="450">
        <v>20</v>
      </c>
      <c r="E2270" s="1414" t="s">
        <v>1426</v>
      </c>
      <c r="F2270" s="943" t="s">
        <v>309</v>
      </c>
      <c r="G2270" s="943" t="s">
        <v>1904</v>
      </c>
      <c r="H2270" s="1361"/>
      <c r="I2270" s="1378"/>
      <c r="J2270" s="1416" t="s">
        <v>521</v>
      </c>
      <c r="K2270" s="913" t="s">
        <v>1909</v>
      </c>
      <c r="L2270" s="1381"/>
      <c r="M2270" s="913"/>
      <c r="N2270" s="512"/>
      <c r="O2270" s="326"/>
      <c r="P2270" s="326"/>
      <c r="Q2270" s="326"/>
      <c r="R2270" s="326"/>
      <c r="S2270" s="326"/>
      <c r="T2270" s="326"/>
      <c r="U2270" s="326"/>
      <c r="V2270" s="326"/>
      <c r="W2270" s="326"/>
    </row>
    <row r="2271" ht="16.5" customHeight="1" spans="1:23">
      <c r="A2271" s="818" t="s">
        <v>1907</v>
      </c>
      <c r="B2271" s="942" t="s">
        <v>1908</v>
      </c>
      <c r="C2271" s="946" t="s">
        <v>1740</v>
      </c>
      <c r="D2271" s="450">
        <v>20</v>
      </c>
      <c r="E2271" s="281"/>
      <c r="F2271" s="943" t="s">
        <v>309</v>
      </c>
      <c r="G2271" s="943" t="s">
        <v>1904</v>
      </c>
      <c r="H2271" s="1361"/>
      <c r="I2271" s="1378"/>
      <c r="J2271" s="1416" t="s">
        <v>521</v>
      </c>
      <c r="K2271" s="913" t="s">
        <v>1909</v>
      </c>
      <c r="L2271" s="1381"/>
      <c r="M2271" s="913"/>
      <c r="N2271" s="512"/>
      <c r="O2271" s="326"/>
      <c r="P2271" s="326"/>
      <c r="Q2271" s="326"/>
      <c r="R2271" s="326"/>
      <c r="S2271" s="326"/>
      <c r="T2271" s="326"/>
      <c r="U2271" s="326"/>
      <c r="V2271" s="326"/>
      <c r="W2271" s="326"/>
    </row>
    <row r="2272" ht="16.5" customHeight="1" spans="1:23">
      <c r="A2272" s="818" t="s">
        <v>1907</v>
      </c>
      <c r="B2272" s="942" t="s">
        <v>1908</v>
      </c>
      <c r="C2272" s="1415" t="s">
        <v>1741</v>
      </c>
      <c r="D2272" s="450">
        <v>20</v>
      </c>
      <c r="E2272" s="281"/>
      <c r="F2272" s="943" t="s">
        <v>309</v>
      </c>
      <c r="G2272" s="943" t="s">
        <v>1904</v>
      </c>
      <c r="H2272" s="1361"/>
      <c r="I2272" s="1378"/>
      <c r="J2272" s="1416" t="s">
        <v>521</v>
      </c>
      <c r="K2272" s="913" t="s">
        <v>1909</v>
      </c>
      <c r="L2272" s="1381"/>
      <c r="M2272" s="913"/>
      <c r="N2272" s="512"/>
      <c r="O2272" s="326"/>
      <c r="P2272" s="326"/>
      <c r="Q2272" s="326"/>
      <c r="R2272" s="326"/>
      <c r="S2272" s="326"/>
      <c r="T2272" s="326"/>
      <c r="U2272" s="326"/>
      <c r="V2272" s="326"/>
      <c r="W2272" s="326"/>
    </row>
    <row r="2273" ht="16.5" customHeight="1" spans="1:23">
      <c r="A2273" s="818" t="s">
        <v>1907</v>
      </c>
      <c r="B2273" s="942" t="s">
        <v>1908</v>
      </c>
      <c r="C2273" s="1415" t="s">
        <v>1742</v>
      </c>
      <c r="D2273" s="450">
        <v>20</v>
      </c>
      <c r="E2273" s="281"/>
      <c r="F2273" s="943" t="s">
        <v>309</v>
      </c>
      <c r="G2273" s="943" t="s">
        <v>1904</v>
      </c>
      <c r="H2273" s="1361"/>
      <c r="I2273" s="1378"/>
      <c r="J2273" s="1416" t="s">
        <v>521</v>
      </c>
      <c r="K2273" s="913" t="s">
        <v>1909</v>
      </c>
      <c r="L2273" s="1381"/>
      <c r="M2273" s="913"/>
      <c r="N2273" s="512"/>
      <c r="O2273" s="326"/>
      <c r="P2273" s="326"/>
      <c r="Q2273" s="326"/>
      <c r="R2273" s="326"/>
      <c r="S2273" s="326"/>
      <c r="T2273" s="326"/>
      <c r="U2273" s="326"/>
      <c r="V2273" s="326"/>
      <c r="W2273" s="326"/>
    </row>
    <row r="2274" ht="16.5" customHeight="1" spans="1:23">
      <c r="A2274" s="818" t="s">
        <v>1907</v>
      </c>
      <c r="B2274" s="942" t="s">
        <v>1908</v>
      </c>
      <c r="C2274" s="1415" t="s">
        <v>1723</v>
      </c>
      <c r="D2274" s="450">
        <v>20</v>
      </c>
      <c r="E2274" s="281"/>
      <c r="F2274" s="943" t="s">
        <v>309</v>
      </c>
      <c r="G2274" s="943" t="s">
        <v>1904</v>
      </c>
      <c r="H2274" s="1361"/>
      <c r="I2274" s="1378"/>
      <c r="J2274" s="1416" t="s">
        <v>521</v>
      </c>
      <c r="K2274" s="913" t="s">
        <v>1909</v>
      </c>
      <c r="L2274" s="1381"/>
      <c r="M2274" s="913"/>
      <c r="N2274" s="512"/>
      <c r="O2274" s="326"/>
      <c r="P2274" s="326"/>
      <c r="Q2274" s="326"/>
      <c r="R2274" s="326"/>
      <c r="S2274" s="326"/>
      <c r="T2274" s="326"/>
      <c r="U2274" s="326"/>
      <c r="V2274" s="326"/>
      <c r="W2274" s="326"/>
    </row>
    <row r="2275" ht="16.5" customHeight="1" spans="1:23">
      <c r="A2275" s="818" t="s">
        <v>1907</v>
      </c>
      <c r="B2275" s="942" t="s">
        <v>1908</v>
      </c>
      <c r="C2275" s="1415" t="s">
        <v>1725</v>
      </c>
      <c r="D2275" s="450">
        <v>20</v>
      </c>
      <c r="E2275" s="281"/>
      <c r="F2275" s="943" t="s">
        <v>309</v>
      </c>
      <c r="G2275" s="943" t="s">
        <v>1904</v>
      </c>
      <c r="H2275" s="1361"/>
      <c r="I2275" s="1378"/>
      <c r="J2275" s="1416" t="s">
        <v>521</v>
      </c>
      <c r="K2275" s="913" t="s">
        <v>1909</v>
      </c>
      <c r="L2275" s="1381"/>
      <c r="M2275" s="913"/>
      <c r="N2275" s="512"/>
      <c r="O2275" s="326"/>
      <c r="P2275" s="326"/>
      <c r="Q2275" s="326"/>
      <c r="R2275" s="326"/>
      <c r="S2275" s="326"/>
      <c r="T2275" s="326"/>
      <c r="U2275" s="326"/>
      <c r="V2275" s="326"/>
      <c r="W2275" s="326"/>
    </row>
    <row r="2276" ht="16.5" customHeight="1" spans="1:23">
      <c r="A2276" s="818" t="s">
        <v>1907</v>
      </c>
      <c r="B2276" s="942" t="s">
        <v>1908</v>
      </c>
      <c r="C2276" s="1415" t="s">
        <v>1747</v>
      </c>
      <c r="D2276" s="450">
        <v>2</v>
      </c>
      <c r="E2276" s="281"/>
      <c r="F2276" s="943" t="s">
        <v>309</v>
      </c>
      <c r="G2276" s="943" t="s">
        <v>1904</v>
      </c>
      <c r="H2276" s="1361"/>
      <c r="I2276" s="1378"/>
      <c r="J2276" s="1416" t="s">
        <v>521</v>
      </c>
      <c r="K2276" s="913" t="s">
        <v>1909</v>
      </c>
      <c r="L2276" s="1381"/>
      <c r="M2276" s="913"/>
      <c r="N2276" s="512"/>
      <c r="O2276" s="326"/>
      <c r="P2276" s="326"/>
      <c r="Q2276" s="326"/>
      <c r="R2276" s="326"/>
      <c r="S2276" s="326"/>
      <c r="T2276" s="326"/>
      <c r="U2276" s="326"/>
      <c r="V2276" s="326"/>
      <c r="W2276" s="326"/>
    </row>
    <row r="2277" ht="16.5" customHeight="1" spans="1:23">
      <c r="A2277" s="818" t="s">
        <v>1907</v>
      </c>
      <c r="B2277" s="942" t="s">
        <v>1908</v>
      </c>
      <c r="C2277" s="1415" t="s">
        <v>1748</v>
      </c>
      <c r="D2277" s="450">
        <v>2</v>
      </c>
      <c r="E2277" s="281"/>
      <c r="F2277" s="943" t="s">
        <v>309</v>
      </c>
      <c r="G2277" s="943" t="s">
        <v>1904</v>
      </c>
      <c r="H2277" s="1361"/>
      <c r="I2277" s="1378"/>
      <c r="J2277" s="1416" t="s">
        <v>521</v>
      </c>
      <c r="K2277" s="913" t="s">
        <v>1909</v>
      </c>
      <c r="L2277" s="1381"/>
      <c r="M2277" s="913"/>
      <c r="N2277" s="512"/>
      <c r="O2277" s="326"/>
      <c r="P2277" s="326"/>
      <c r="Q2277" s="326"/>
      <c r="R2277" s="326"/>
      <c r="S2277" s="326"/>
      <c r="T2277" s="326"/>
      <c r="U2277" s="326"/>
      <c r="V2277" s="326"/>
      <c r="W2277" s="326"/>
    </row>
    <row r="2278" ht="16.5" customHeight="1" spans="1:23">
      <c r="A2278" s="818" t="s">
        <v>1907</v>
      </c>
      <c r="B2278" s="942" t="s">
        <v>1908</v>
      </c>
      <c r="C2278" s="1415" t="s">
        <v>1769</v>
      </c>
      <c r="D2278" s="450">
        <v>2</v>
      </c>
      <c r="E2278" s="281"/>
      <c r="F2278" s="943" t="s">
        <v>309</v>
      </c>
      <c r="G2278" s="943" t="s">
        <v>1904</v>
      </c>
      <c r="H2278" s="1361"/>
      <c r="I2278" s="1378"/>
      <c r="J2278" s="1416" t="s">
        <v>521</v>
      </c>
      <c r="K2278" s="913" t="s">
        <v>1909</v>
      </c>
      <c r="L2278" s="1381"/>
      <c r="M2278" s="913"/>
      <c r="N2278" s="512"/>
      <c r="O2278" s="326"/>
      <c r="P2278" s="326"/>
      <c r="Q2278" s="326"/>
      <c r="R2278" s="326"/>
      <c r="S2278" s="326"/>
      <c r="T2278" s="326"/>
      <c r="U2278" s="326"/>
      <c r="V2278" s="326"/>
      <c r="W2278" s="326"/>
    </row>
    <row r="2279" ht="16.5" customHeight="1" spans="1:23">
      <c r="A2279" s="818" t="s">
        <v>1907</v>
      </c>
      <c r="B2279" s="942" t="s">
        <v>1908</v>
      </c>
      <c r="C2279" s="1415" t="s">
        <v>1770</v>
      </c>
      <c r="D2279" s="450">
        <v>2</v>
      </c>
      <c r="E2279" s="281"/>
      <c r="F2279" s="943" t="s">
        <v>309</v>
      </c>
      <c r="G2279" s="943" t="s">
        <v>1904</v>
      </c>
      <c r="H2279" s="1361"/>
      <c r="I2279" s="1378"/>
      <c r="J2279" s="1416" t="s">
        <v>521</v>
      </c>
      <c r="K2279" s="913" t="s">
        <v>1909</v>
      </c>
      <c r="L2279" s="1381"/>
      <c r="M2279" s="913"/>
      <c r="N2279" s="512"/>
      <c r="O2279" s="326"/>
      <c r="P2279" s="326"/>
      <c r="Q2279" s="326"/>
      <c r="R2279" s="326"/>
      <c r="S2279" s="326"/>
      <c r="T2279" s="326"/>
      <c r="U2279" s="326"/>
      <c r="V2279" s="326"/>
      <c r="W2279" s="326"/>
    </row>
    <row r="2280" ht="16.5" customHeight="1" spans="1:23">
      <c r="A2280" s="818" t="s">
        <v>1907</v>
      </c>
      <c r="B2280" s="942" t="s">
        <v>1908</v>
      </c>
      <c r="C2280" s="1415" t="s">
        <v>1910</v>
      </c>
      <c r="D2280" s="450">
        <v>2</v>
      </c>
      <c r="E2280" s="281"/>
      <c r="F2280" s="943" t="s">
        <v>309</v>
      </c>
      <c r="G2280" s="943" t="s">
        <v>1904</v>
      </c>
      <c r="H2280" s="1361"/>
      <c r="I2280" s="1378"/>
      <c r="J2280" s="1416" t="s">
        <v>521</v>
      </c>
      <c r="K2280" s="913" t="s">
        <v>1909</v>
      </c>
      <c r="L2280" s="1381"/>
      <c r="M2280" s="913"/>
      <c r="N2280" s="512"/>
      <c r="O2280" s="326"/>
      <c r="P2280" s="326"/>
      <c r="Q2280" s="326"/>
      <c r="R2280" s="326"/>
      <c r="S2280" s="326"/>
      <c r="T2280" s="326"/>
      <c r="U2280" s="326"/>
      <c r="V2280" s="326"/>
      <c r="W2280" s="326"/>
    </row>
    <row r="2281" ht="16.5" customHeight="1" spans="1:23">
      <c r="A2281" s="818" t="s">
        <v>1907</v>
      </c>
      <c r="B2281" s="942" t="s">
        <v>1908</v>
      </c>
      <c r="C2281" s="1415" t="s">
        <v>1911</v>
      </c>
      <c r="D2281" s="450">
        <v>2</v>
      </c>
      <c r="E2281" s="281"/>
      <c r="F2281" s="943" t="s">
        <v>309</v>
      </c>
      <c r="G2281" s="943" t="s">
        <v>1904</v>
      </c>
      <c r="H2281" s="1361"/>
      <c r="I2281" s="1378"/>
      <c r="J2281" s="1416" t="s">
        <v>521</v>
      </c>
      <c r="K2281" s="913" t="s">
        <v>1909</v>
      </c>
      <c r="L2281" s="1381"/>
      <c r="M2281" s="913"/>
      <c r="N2281" s="512"/>
      <c r="O2281" s="326"/>
      <c r="P2281" s="326"/>
      <c r="Q2281" s="326"/>
      <c r="R2281" s="326"/>
      <c r="S2281" s="326"/>
      <c r="T2281" s="326"/>
      <c r="U2281" s="326"/>
      <c r="V2281" s="326"/>
      <c r="W2281" s="326"/>
    </row>
    <row r="2282" ht="16.5" customHeight="1" spans="1:23">
      <c r="A2282" s="818" t="s">
        <v>1912</v>
      </c>
      <c r="B2282" s="942" t="s">
        <v>1913</v>
      </c>
      <c r="C2282" s="914" t="s">
        <v>518</v>
      </c>
      <c r="D2282" s="439">
        <v>1</v>
      </c>
      <c r="E2282" s="1358" t="s">
        <v>1914</v>
      </c>
      <c r="F2282" s="1359">
        <v>45955</v>
      </c>
      <c r="G2282" s="1360" t="s">
        <v>1904</v>
      </c>
      <c r="H2282" s="937"/>
      <c r="I2282" s="913"/>
      <c r="J2282" s="913" t="s">
        <v>207</v>
      </c>
      <c r="K2282" s="818" t="s">
        <v>19</v>
      </c>
      <c r="L2282" s="182"/>
      <c r="M2282" s="1382" t="s">
        <v>1915</v>
      </c>
      <c r="N2282" s="1154"/>
      <c r="O2282" s="1154"/>
      <c r="P2282" s="1154"/>
      <c r="Q2282" s="1154"/>
      <c r="R2282" s="1154"/>
      <c r="S2282" s="1154"/>
      <c r="T2282" s="1154"/>
      <c r="U2282" s="1154"/>
      <c r="V2282" s="1154"/>
      <c r="W2282" s="1154"/>
    </row>
    <row r="2283" ht="16.5" customHeight="1" spans="1:23">
      <c r="A2283" s="818" t="s">
        <v>1912</v>
      </c>
      <c r="B2283" s="942" t="s">
        <v>1913</v>
      </c>
      <c r="C2283" s="914" t="s">
        <v>735</v>
      </c>
      <c r="D2283" s="439">
        <v>5</v>
      </c>
      <c r="E2283" s="69"/>
      <c r="F2283" s="1359">
        <v>45955</v>
      </c>
      <c r="G2283" s="1360" t="s">
        <v>1904</v>
      </c>
      <c r="H2283" s="937"/>
      <c r="I2283" s="913"/>
      <c r="J2283" s="913" t="s">
        <v>207</v>
      </c>
      <c r="K2283" s="818" t="s">
        <v>19</v>
      </c>
      <c r="L2283" s="182"/>
      <c r="M2283" s="1382" t="s">
        <v>1916</v>
      </c>
      <c r="N2283" s="1154"/>
      <c r="O2283" s="1154"/>
      <c r="P2283" s="1154"/>
      <c r="Q2283" s="1154"/>
      <c r="R2283" s="1154"/>
      <c r="S2283" s="1154"/>
      <c r="T2283" s="1154"/>
      <c r="U2283" s="1154"/>
      <c r="V2283" s="1154"/>
      <c r="W2283" s="1154"/>
    </row>
    <row r="2284" ht="16.5" customHeight="1" spans="1:23">
      <c r="A2284" s="818" t="s">
        <v>1912</v>
      </c>
      <c r="B2284" s="942" t="s">
        <v>1913</v>
      </c>
      <c r="C2284" s="914" t="s">
        <v>151</v>
      </c>
      <c r="D2284" s="439">
        <v>19</v>
      </c>
      <c r="E2284" s="69"/>
      <c r="F2284" s="1359">
        <v>45955</v>
      </c>
      <c r="G2284" s="1360" t="s">
        <v>1904</v>
      </c>
      <c r="H2284" s="937"/>
      <c r="I2284" s="913"/>
      <c r="J2284" s="913" t="s">
        <v>207</v>
      </c>
      <c r="K2284" s="818" t="s">
        <v>19</v>
      </c>
      <c r="L2284" s="182"/>
      <c r="M2284" s="1382" t="s">
        <v>1917</v>
      </c>
      <c r="N2284" s="1154"/>
      <c r="O2284" s="1154"/>
      <c r="P2284" s="1154"/>
      <c r="Q2284" s="1154"/>
      <c r="R2284" s="1154"/>
      <c r="S2284" s="1154"/>
      <c r="T2284" s="1154"/>
      <c r="U2284" s="1154"/>
      <c r="V2284" s="1154"/>
      <c r="W2284" s="1154"/>
    </row>
    <row r="2285" ht="16.5" customHeight="1" spans="1:23">
      <c r="A2285" s="818" t="s">
        <v>1912</v>
      </c>
      <c r="B2285" s="942" t="s">
        <v>1913</v>
      </c>
      <c r="C2285" s="914" t="s">
        <v>152</v>
      </c>
      <c r="D2285" s="439">
        <v>9</v>
      </c>
      <c r="E2285" s="69"/>
      <c r="F2285" s="1359">
        <v>45955</v>
      </c>
      <c r="G2285" s="1360" t="s">
        <v>1904</v>
      </c>
      <c r="H2285" s="937"/>
      <c r="I2285" s="913"/>
      <c r="J2285" s="913" t="s">
        <v>207</v>
      </c>
      <c r="K2285" s="818" t="s">
        <v>19</v>
      </c>
      <c r="L2285" s="182"/>
      <c r="M2285" s="1382"/>
      <c r="N2285" s="1154"/>
      <c r="O2285" s="1154"/>
      <c r="P2285" s="1154"/>
      <c r="Q2285" s="1154"/>
      <c r="R2285" s="1154"/>
      <c r="S2285" s="1154"/>
      <c r="T2285" s="1154"/>
      <c r="U2285" s="1154"/>
      <c r="V2285" s="1154"/>
      <c r="W2285" s="1154"/>
    </row>
    <row r="2286" ht="16.5" customHeight="1" spans="1:23">
      <c r="A2286" s="818" t="s">
        <v>1912</v>
      </c>
      <c r="B2286" s="942" t="s">
        <v>1913</v>
      </c>
      <c r="C2286" s="914" t="s">
        <v>1263</v>
      </c>
      <c r="D2286" s="439">
        <v>1</v>
      </c>
      <c r="E2286" s="69"/>
      <c r="F2286" s="1359">
        <v>45955</v>
      </c>
      <c r="G2286" s="1360" t="s">
        <v>1904</v>
      </c>
      <c r="H2286" s="937"/>
      <c r="I2286" s="913"/>
      <c r="J2286" s="913" t="s">
        <v>207</v>
      </c>
      <c r="K2286" s="818" t="s">
        <v>19</v>
      </c>
      <c r="L2286" s="182"/>
      <c r="M2286" s="1382"/>
      <c r="N2286" s="1154"/>
      <c r="O2286" s="1154"/>
      <c r="P2286" s="1154"/>
      <c r="Q2286" s="1154"/>
      <c r="R2286" s="1154"/>
      <c r="S2286" s="1154"/>
      <c r="T2286" s="1154"/>
      <c r="U2286" s="1154"/>
      <c r="V2286" s="1154"/>
      <c r="W2286" s="1154"/>
    </row>
    <row r="2287" ht="16.5" customHeight="1" spans="1:23">
      <c r="A2287" s="818" t="s">
        <v>1912</v>
      </c>
      <c r="B2287" s="942" t="s">
        <v>1913</v>
      </c>
      <c r="C2287" s="914" t="s">
        <v>56</v>
      </c>
      <c r="D2287" s="439">
        <v>2</v>
      </c>
      <c r="E2287" s="69"/>
      <c r="F2287" s="1359">
        <v>45955</v>
      </c>
      <c r="G2287" s="1360" t="s">
        <v>1904</v>
      </c>
      <c r="H2287" s="937"/>
      <c r="I2287" s="913"/>
      <c r="J2287" s="913" t="s">
        <v>207</v>
      </c>
      <c r="K2287" s="818" t="s">
        <v>19</v>
      </c>
      <c r="L2287" s="182"/>
      <c r="M2287" s="1382"/>
      <c r="N2287" s="1154"/>
      <c r="O2287" s="1154"/>
      <c r="P2287" s="1154"/>
      <c r="Q2287" s="1154"/>
      <c r="R2287" s="1154"/>
      <c r="S2287" s="1154"/>
      <c r="T2287" s="1154"/>
      <c r="U2287" s="1154"/>
      <c r="V2287" s="1154"/>
      <c r="W2287" s="1154"/>
    </row>
    <row r="2288" ht="16.5" customHeight="1" spans="1:23">
      <c r="A2288" s="818" t="s">
        <v>1912</v>
      </c>
      <c r="B2288" s="942" t="s">
        <v>1913</v>
      </c>
      <c r="C2288" s="914" t="s">
        <v>1813</v>
      </c>
      <c r="D2288" s="439">
        <v>8</v>
      </c>
      <c r="E2288" s="69"/>
      <c r="F2288" s="1359">
        <v>45955</v>
      </c>
      <c r="G2288" s="1360" t="s">
        <v>1904</v>
      </c>
      <c r="H2288" s="937"/>
      <c r="I2288" s="913"/>
      <c r="J2288" s="913" t="s">
        <v>207</v>
      </c>
      <c r="K2288" s="818" t="s">
        <v>19</v>
      </c>
      <c r="L2288" s="182"/>
      <c r="M2288" s="1382"/>
      <c r="N2288" s="1154"/>
      <c r="O2288" s="1154"/>
      <c r="P2288" s="1154"/>
      <c r="Q2288" s="1154"/>
      <c r="R2288" s="1154"/>
      <c r="S2288" s="1154"/>
      <c r="T2288" s="1154"/>
      <c r="U2288" s="1154"/>
      <c r="V2288" s="1154"/>
      <c r="W2288" s="1154"/>
    </row>
    <row r="2289" ht="16.5" customHeight="1" spans="1:23">
      <c r="A2289" s="818" t="s">
        <v>1912</v>
      </c>
      <c r="B2289" s="942" t="s">
        <v>1913</v>
      </c>
      <c r="C2289" s="914" t="s">
        <v>1817</v>
      </c>
      <c r="D2289" s="439">
        <v>8</v>
      </c>
      <c r="E2289" s="69"/>
      <c r="F2289" s="1359">
        <v>45955</v>
      </c>
      <c r="G2289" s="1360" t="s">
        <v>1904</v>
      </c>
      <c r="H2289" s="937"/>
      <c r="I2289" s="913"/>
      <c r="J2289" s="913" t="s">
        <v>207</v>
      </c>
      <c r="K2289" s="818" t="s">
        <v>19</v>
      </c>
      <c r="L2289" s="182"/>
      <c r="M2289" s="1382"/>
      <c r="N2289" s="1154"/>
      <c r="O2289" s="1154"/>
      <c r="P2289" s="1154"/>
      <c r="Q2289" s="1154"/>
      <c r="R2289" s="1154"/>
      <c r="S2289" s="1154"/>
      <c r="T2289" s="1154"/>
      <c r="U2289" s="1154"/>
      <c r="V2289" s="1154"/>
      <c r="W2289" s="1154"/>
    </row>
    <row r="2290" ht="16.5" customHeight="1" spans="1:23">
      <c r="A2290" s="818" t="s">
        <v>1912</v>
      </c>
      <c r="B2290" s="942" t="s">
        <v>1913</v>
      </c>
      <c r="C2290" s="946" t="s">
        <v>1819</v>
      </c>
      <c r="D2290" s="439">
        <v>100</v>
      </c>
      <c r="E2290" s="69"/>
      <c r="F2290" s="1359">
        <v>45955</v>
      </c>
      <c r="G2290" s="1360" t="s">
        <v>1904</v>
      </c>
      <c r="H2290" s="937"/>
      <c r="I2290" s="913"/>
      <c r="J2290" s="913" t="s">
        <v>207</v>
      </c>
      <c r="K2290" s="818" t="s">
        <v>19</v>
      </c>
      <c r="L2290" s="182"/>
      <c r="M2290" s="1382"/>
      <c r="N2290" s="1154"/>
      <c r="O2290" s="1154"/>
      <c r="P2290" s="1154"/>
      <c r="Q2290" s="1154"/>
      <c r="R2290" s="1154"/>
      <c r="S2290" s="1154"/>
      <c r="T2290" s="1154"/>
      <c r="U2290" s="1154"/>
      <c r="V2290" s="1154"/>
      <c r="W2290" s="1154"/>
    </row>
    <row r="2291" ht="16.5" customHeight="1" spans="1:23">
      <c r="A2291" s="818" t="s">
        <v>1912</v>
      </c>
      <c r="B2291" s="942" t="s">
        <v>1913</v>
      </c>
      <c r="C2291" s="946" t="s">
        <v>1820</v>
      </c>
      <c r="D2291" s="439">
        <v>100</v>
      </c>
      <c r="E2291" s="69"/>
      <c r="F2291" s="1359">
        <v>45955</v>
      </c>
      <c r="G2291" s="1360" t="s">
        <v>1904</v>
      </c>
      <c r="H2291" s="937"/>
      <c r="I2291" s="913"/>
      <c r="J2291" s="913" t="s">
        <v>207</v>
      </c>
      <c r="K2291" s="818" t="s">
        <v>19</v>
      </c>
      <c r="L2291" s="182"/>
      <c r="M2291" s="1382"/>
      <c r="N2291" s="1154"/>
      <c r="O2291" s="1154"/>
      <c r="P2291" s="1154"/>
      <c r="Q2291" s="1154"/>
      <c r="R2291" s="1154"/>
      <c r="S2291" s="1154"/>
      <c r="T2291" s="1154"/>
      <c r="U2291" s="1154"/>
      <c r="V2291" s="1154"/>
      <c r="W2291" s="1154"/>
    </row>
    <row r="2292" ht="16.5" customHeight="1" spans="1:23">
      <c r="A2292" s="818" t="s">
        <v>1912</v>
      </c>
      <c r="B2292" s="942" t="s">
        <v>1913</v>
      </c>
      <c r="C2292" s="946" t="s">
        <v>1821</v>
      </c>
      <c r="D2292" s="439">
        <v>45</v>
      </c>
      <c r="E2292" s="69"/>
      <c r="F2292" s="1359">
        <v>45955</v>
      </c>
      <c r="G2292" s="1360" t="s">
        <v>1904</v>
      </c>
      <c r="H2292" s="937"/>
      <c r="I2292" s="913"/>
      <c r="J2292" s="913" t="s">
        <v>207</v>
      </c>
      <c r="K2292" s="818" t="s">
        <v>19</v>
      </c>
      <c r="L2292" s="182"/>
      <c r="M2292" s="1382"/>
      <c r="N2292" s="1154"/>
      <c r="O2292" s="1154"/>
      <c r="P2292" s="1154"/>
      <c r="Q2292" s="1154"/>
      <c r="R2292" s="1154"/>
      <c r="S2292" s="1154"/>
      <c r="T2292" s="1154"/>
      <c r="U2292" s="1154"/>
      <c r="V2292" s="1154"/>
      <c r="W2292" s="1154"/>
    </row>
    <row r="2293" ht="16.5" customHeight="1" spans="1:23">
      <c r="A2293" s="818" t="s">
        <v>1912</v>
      </c>
      <c r="B2293" s="942" t="s">
        <v>1913</v>
      </c>
      <c r="C2293" s="946" t="s">
        <v>1822</v>
      </c>
      <c r="D2293" s="439">
        <v>45</v>
      </c>
      <c r="E2293" s="69"/>
      <c r="F2293" s="1359">
        <v>45955</v>
      </c>
      <c r="G2293" s="1360" t="s">
        <v>1904</v>
      </c>
      <c r="H2293" s="937"/>
      <c r="I2293" s="913"/>
      <c r="J2293" s="913" t="s">
        <v>207</v>
      </c>
      <c r="K2293" s="818" t="s">
        <v>19</v>
      </c>
      <c r="L2293" s="182"/>
      <c r="M2293" s="1382"/>
      <c r="N2293" s="1154"/>
      <c r="O2293" s="1154"/>
      <c r="P2293" s="1154"/>
      <c r="Q2293" s="1154"/>
      <c r="R2293" s="1154"/>
      <c r="S2293" s="1154"/>
      <c r="T2293" s="1154"/>
      <c r="U2293" s="1154"/>
      <c r="V2293" s="1154"/>
      <c r="W2293" s="1154"/>
    </row>
    <row r="2294" ht="16.5" customHeight="1" spans="1:23">
      <c r="A2294" s="818" t="s">
        <v>1912</v>
      </c>
      <c r="B2294" s="942" t="s">
        <v>1913</v>
      </c>
      <c r="C2294" s="946" t="s">
        <v>1823</v>
      </c>
      <c r="D2294" s="439">
        <v>10</v>
      </c>
      <c r="E2294" s="69"/>
      <c r="F2294" s="1359">
        <v>45955</v>
      </c>
      <c r="G2294" s="1360" t="s">
        <v>1904</v>
      </c>
      <c r="H2294" s="937"/>
      <c r="I2294" s="913"/>
      <c r="J2294" s="913" t="s">
        <v>207</v>
      </c>
      <c r="K2294" s="818" t="s">
        <v>19</v>
      </c>
      <c r="L2294" s="182"/>
      <c r="M2294" s="1382"/>
      <c r="N2294" s="1154"/>
      <c r="O2294" s="1154"/>
      <c r="P2294" s="1154"/>
      <c r="Q2294" s="1154"/>
      <c r="R2294" s="1154"/>
      <c r="S2294" s="1154"/>
      <c r="T2294" s="1154"/>
      <c r="U2294" s="1154"/>
      <c r="V2294" s="1154"/>
      <c r="W2294" s="1154"/>
    </row>
    <row r="2295" ht="16.5" customHeight="1" spans="1:23">
      <c r="A2295" s="818" t="s">
        <v>1912</v>
      </c>
      <c r="B2295" s="942" t="s">
        <v>1913</v>
      </c>
      <c r="C2295" s="946" t="s">
        <v>1824</v>
      </c>
      <c r="D2295" s="439">
        <v>10</v>
      </c>
      <c r="E2295" s="69"/>
      <c r="F2295" s="1359">
        <v>45955</v>
      </c>
      <c r="G2295" s="1360" t="s">
        <v>1904</v>
      </c>
      <c r="H2295" s="937"/>
      <c r="I2295" s="913"/>
      <c r="J2295" s="913" t="s">
        <v>207</v>
      </c>
      <c r="K2295" s="818" t="s">
        <v>19</v>
      </c>
      <c r="L2295" s="182"/>
      <c r="M2295" s="1382"/>
      <c r="N2295" s="1154"/>
      <c r="O2295" s="1154"/>
      <c r="P2295" s="1154"/>
      <c r="Q2295" s="1154"/>
      <c r="R2295" s="1154"/>
      <c r="S2295" s="1154"/>
      <c r="T2295" s="1154"/>
      <c r="U2295" s="1154"/>
      <c r="V2295" s="1154"/>
      <c r="W2295" s="1154"/>
    </row>
    <row r="2296" ht="16.5" customHeight="1" spans="1:23">
      <c r="A2296" s="818" t="s">
        <v>1912</v>
      </c>
      <c r="B2296" s="942" t="s">
        <v>1913</v>
      </c>
      <c r="C2296" s="946" t="s">
        <v>1825</v>
      </c>
      <c r="D2296" s="439">
        <v>1</v>
      </c>
      <c r="E2296" s="69"/>
      <c r="F2296" s="1359">
        <v>45955</v>
      </c>
      <c r="G2296" s="1360" t="s">
        <v>1904</v>
      </c>
      <c r="H2296" s="937"/>
      <c r="I2296" s="913"/>
      <c r="J2296" s="913" t="s">
        <v>207</v>
      </c>
      <c r="K2296" s="818" t="s">
        <v>19</v>
      </c>
      <c r="L2296" s="182"/>
      <c r="M2296" s="1382"/>
      <c r="N2296" s="1154"/>
      <c r="O2296" s="1154"/>
      <c r="P2296" s="1154"/>
      <c r="Q2296" s="1154"/>
      <c r="R2296" s="1154"/>
      <c r="S2296" s="1154"/>
      <c r="T2296" s="1154"/>
      <c r="U2296" s="1154"/>
      <c r="V2296" s="1154"/>
      <c r="W2296" s="1154"/>
    </row>
    <row r="2297" ht="16.5" customHeight="1" spans="1:23">
      <c r="A2297" s="818" t="s">
        <v>1912</v>
      </c>
      <c r="B2297" s="942" t="s">
        <v>1913</v>
      </c>
      <c r="C2297" s="946" t="s">
        <v>1826</v>
      </c>
      <c r="D2297" s="439">
        <v>1</v>
      </c>
      <c r="E2297" s="69"/>
      <c r="F2297" s="1359">
        <v>45955</v>
      </c>
      <c r="G2297" s="1360" t="s">
        <v>1904</v>
      </c>
      <c r="H2297" s="937"/>
      <c r="I2297" s="913"/>
      <c r="J2297" s="913" t="s">
        <v>207</v>
      </c>
      <c r="K2297" s="818" t="s">
        <v>19</v>
      </c>
      <c r="L2297" s="182"/>
      <c r="M2297" s="1382"/>
      <c r="N2297" s="1154"/>
      <c r="O2297" s="1154"/>
      <c r="P2297" s="1154"/>
      <c r="Q2297" s="1154"/>
      <c r="R2297" s="1154"/>
      <c r="S2297" s="1154"/>
      <c r="T2297" s="1154"/>
      <c r="U2297" s="1154"/>
      <c r="V2297" s="1154"/>
      <c r="W2297" s="1154"/>
    </row>
    <row r="2298" ht="16.5" customHeight="1" spans="1:23">
      <c r="A2298" s="818" t="s">
        <v>1912</v>
      </c>
      <c r="B2298" s="942" t="s">
        <v>1913</v>
      </c>
      <c r="C2298" s="946" t="s">
        <v>1827</v>
      </c>
      <c r="D2298" s="439">
        <v>10</v>
      </c>
      <c r="E2298" s="69"/>
      <c r="F2298" s="1359">
        <v>45955</v>
      </c>
      <c r="G2298" s="1360" t="s">
        <v>1904</v>
      </c>
      <c r="H2298" s="937"/>
      <c r="I2298" s="913"/>
      <c r="J2298" s="913" t="s">
        <v>207</v>
      </c>
      <c r="K2298" s="818" t="s">
        <v>19</v>
      </c>
      <c r="L2298" s="182"/>
      <c r="M2298" s="1382"/>
      <c r="N2298" s="1154"/>
      <c r="O2298" s="1154"/>
      <c r="P2298" s="1154"/>
      <c r="Q2298" s="1154"/>
      <c r="R2298" s="1154"/>
      <c r="S2298" s="1154"/>
      <c r="T2298" s="1154"/>
      <c r="U2298" s="1154"/>
      <c r="V2298" s="1154"/>
      <c r="W2298" s="1154"/>
    </row>
    <row r="2299" ht="16.5" customHeight="1" spans="1:23">
      <c r="A2299" s="818" t="s">
        <v>1912</v>
      </c>
      <c r="B2299" s="942" t="s">
        <v>1913</v>
      </c>
      <c r="C2299" s="946" t="s">
        <v>1828</v>
      </c>
      <c r="D2299" s="439">
        <v>10</v>
      </c>
      <c r="E2299" s="69"/>
      <c r="F2299" s="1359">
        <v>45955</v>
      </c>
      <c r="G2299" s="1360" t="s">
        <v>1904</v>
      </c>
      <c r="H2299" s="937"/>
      <c r="I2299" s="913"/>
      <c r="J2299" s="913" t="s">
        <v>207</v>
      </c>
      <c r="K2299" s="818" t="s">
        <v>19</v>
      </c>
      <c r="L2299" s="182"/>
      <c r="M2299" s="1382"/>
      <c r="N2299" s="1154"/>
      <c r="O2299" s="1154"/>
      <c r="P2299" s="1154"/>
      <c r="Q2299" s="1154"/>
      <c r="R2299" s="1154"/>
      <c r="S2299" s="1154"/>
      <c r="T2299" s="1154"/>
      <c r="U2299" s="1154"/>
      <c r="V2299" s="1154"/>
      <c r="W2299" s="1154"/>
    </row>
    <row r="2300" ht="16.5" customHeight="1" spans="1:23">
      <c r="A2300" s="818" t="s">
        <v>1912</v>
      </c>
      <c r="B2300" s="942" t="s">
        <v>1913</v>
      </c>
      <c r="C2300" s="946" t="s">
        <v>1833</v>
      </c>
      <c r="D2300" s="439">
        <v>2</v>
      </c>
      <c r="E2300" s="69"/>
      <c r="F2300" s="1359">
        <v>45955</v>
      </c>
      <c r="G2300" s="1360" t="s">
        <v>1904</v>
      </c>
      <c r="H2300" s="937"/>
      <c r="I2300" s="913"/>
      <c r="J2300" s="913" t="s">
        <v>207</v>
      </c>
      <c r="K2300" s="818" t="s">
        <v>19</v>
      </c>
      <c r="L2300" s="182"/>
      <c r="M2300" s="1382"/>
      <c r="N2300" s="1154"/>
      <c r="O2300" s="1154"/>
      <c r="P2300" s="1154"/>
      <c r="Q2300" s="1154"/>
      <c r="R2300" s="1154"/>
      <c r="S2300" s="1154"/>
      <c r="T2300" s="1154"/>
      <c r="U2300" s="1154"/>
      <c r="V2300" s="1154"/>
      <c r="W2300" s="1154"/>
    </row>
    <row r="2301" ht="16.5" customHeight="1" spans="1:23">
      <c r="A2301" s="818" t="s">
        <v>1912</v>
      </c>
      <c r="B2301" s="942" t="s">
        <v>1913</v>
      </c>
      <c r="C2301" s="946" t="s">
        <v>1834</v>
      </c>
      <c r="D2301" s="439">
        <v>2</v>
      </c>
      <c r="E2301" s="69"/>
      <c r="F2301" s="1359">
        <v>45955</v>
      </c>
      <c r="G2301" s="1360" t="s">
        <v>1904</v>
      </c>
      <c r="H2301" s="937"/>
      <c r="I2301" s="913"/>
      <c r="J2301" s="913" t="s">
        <v>207</v>
      </c>
      <c r="K2301" s="818" t="s">
        <v>19</v>
      </c>
      <c r="L2301" s="182"/>
      <c r="M2301" s="1382"/>
      <c r="N2301" s="1154"/>
      <c r="O2301" s="1154"/>
      <c r="P2301" s="1154"/>
      <c r="Q2301" s="1154"/>
      <c r="R2301" s="1154"/>
      <c r="S2301" s="1154"/>
      <c r="T2301" s="1154"/>
      <c r="U2301" s="1154"/>
      <c r="V2301" s="1154"/>
      <c r="W2301" s="1154"/>
    </row>
    <row r="2302" ht="16.5" customHeight="1" spans="1:23">
      <c r="A2302" s="818" t="s">
        <v>1912</v>
      </c>
      <c r="B2302" s="942" t="s">
        <v>1913</v>
      </c>
      <c r="C2302" s="1390" t="s">
        <v>129</v>
      </c>
      <c r="D2302" s="896">
        <v>4</v>
      </c>
      <c r="E2302" s="69"/>
      <c r="F2302" s="1359">
        <v>45955</v>
      </c>
      <c r="G2302" s="1360" t="s">
        <v>1904</v>
      </c>
      <c r="H2302" s="937"/>
      <c r="I2302" s="913"/>
      <c r="J2302" s="913" t="s">
        <v>207</v>
      </c>
      <c r="K2302" s="818" t="s">
        <v>19</v>
      </c>
      <c r="L2302" s="182"/>
      <c r="M2302" s="1382"/>
      <c r="N2302" s="1154"/>
      <c r="O2302" s="1154"/>
      <c r="P2302" s="1154"/>
      <c r="Q2302" s="1154"/>
      <c r="R2302" s="1154"/>
      <c r="S2302" s="1154"/>
      <c r="T2302" s="1154"/>
      <c r="U2302" s="1154"/>
      <c r="V2302" s="1154"/>
      <c r="W2302" s="1154"/>
    </row>
    <row r="2303" ht="16.5" customHeight="1" spans="1:23">
      <c r="A2303" s="818" t="s">
        <v>1912</v>
      </c>
      <c r="B2303" s="942" t="s">
        <v>1913</v>
      </c>
      <c r="C2303" s="946" t="s">
        <v>15</v>
      </c>
      <c r="D2303" s="439">
        <v>4</v>
      </c>
      <c r="E2303" s="69"/>
      <c r="F2303" s="1359">
        <v>45955</v>
      </c>
      <c r="G2303" s="1360" t="s">
        <v>1904</v>
      </c>
      <c r="H2303" s="937"/>
      <c r="I2303" s="913"/>
      <c r="J2303" s="913" t="s">
        <v>207</v>
      </c>
      <c r="K2303" s="818" t="s">
        <v>19</v>
      </c>
      <c r="L2303" s="182"/>
      <c r="M2303" s="1382"/>
      <c r="N2303" s="1154"/>
      <c r="O2303" s="1154"/>
      <c r="P2303" s="1154"/>
      <c r="Q2303" s="1154"/>
      <c r="R2303" s="1154"/>
      <c r="S2303" s="1154"/>
      <c r="T2303" s="1154"/>
      <c r="U2303" s="1154"/>
      <c r="V2303" s="1154"/>
      <c r="W2303" s="1154"/>
    </row>
    <row r="2304" ht="16.5" customHeight="1" spans="1:23">
      <c r="A2304" s="818" t="s">
        <v>1912</v>
      </c>
      <c r="B2304" s="942" t="s">
        <v>1913</v>
      </c>
      <c r="C2304" s="1390" t="s">
        <v>24</v>
      </c>
      <c r="D2304" s="896">
        <v>2</v>
      </c>
      <c r="E2304" s="69"/>
      <c r="F2304" s="1359">
        <v>45955</v>
      </c>
      <c r="G2304" s="1360" t="s">
        <v>1904</v>
      </c>
      <c r="H2304" s="937"/>
      <c r="I2304" s="913"/>
      <c r="J2304" s="913" t="s">
        <v>207</v>
      </c>
      <c r="K2304" s="818" t="s">
        <v>19</v>
      </c>
      <c r="L2304" s="182"/>
      <c r="M2304" s="1382"/>
      <c r="N2304" s="1154"/>
      <c r="O2304" s="1154"/>
      <c r="P2304" s="1154"/>
      <c r="Q2304" s="1154"/>
      <c r="R2304" s="1154"/>
      <c r="S2304" s="1154"/>
      <c r="T2304" s="1154"/>
      <c r="U2304" s="1154"/>
      <c r="V2304" s="1154"/>
      <c r="W2304" s="1154"/>
    </row>
    <row r="2305" ht="16.5" customHeight="1" spans="1:23">
      <c r="A2305" s="818" t="s">
        <v>1912</v>
      </c>
      <c r="B2305" s="942" t="s">
        <v>1913</v>
      </c>
      <c r="C2305" s="946" t="s">
        <v>27</v>
      </c>
      <c r="D2305" s="439">
        <v>1</v>
      </c>
      <c r="E2305" s="69"/>
      <c r="F2305" s="1359">
        <v>45955</v>
      </c>
      <c r="G2305" s="1360" t="s">
        <v>1904</v>
      </c>
      <c r="H2305" s="937"/>
      <c r="I2305" s="913"/>
      <c r="J2305" s="913" t="s">
        <v>207</v>
      </c>
      <c r="K2305" s="818" t="s">
        <v>19</v>
      </c>
      <c r="L2305" s="182"/>
      <c r="M2305" s="1382"/>
      <c r="N2305" s="1154"/>
      <c r="O2305" s="1154"/>
      <c r="P2305" s="1154"/>
      <c r="Q2305" s="1154"/>
      <c r="R2305" s="1154"/>
      <c r="S2305" s="1154"/>
      <c r="T2305" s="1154"/>
      <c r="U2305" s="1154"/>
      <c r="V2305" s="1154"/>
      <c r="W2305" s="1154"/>
    </row>
    <row r="2306" ht="16.5" customHeight="1" spans="1:23">
      <c r="A2306" s="818" t="s">
        <v>1912</v>
      </c>
      <c r="B2306" s="942" t="s">
        <v>1913</v>
      </c>
      <c r="C2306" s="946" t="s">
        <v>136</v>
      </c>
      <c r="D2306" s="439">
        <v>1</v>
      </c>
      <c r="E2306" s="69"/>
      <c r="F2306" s="1359">
        <v>45955</v>
      </c>
      <c r="G2306" s="1360" t="s">
        <v>1904</v>
      </c>
      <c r="H2306" s="937"/>
      <c r="I2306" s="913"/>
      <c r="J2306" s="913" t="s">
        <v>207</v>
      </c>
      <c r="K2306" s="818" t="s">
        <v>19</v>
      </c>
      <c r="L2306" s="182"/>
      <c r="M2306" s="1382"/>
      <c r="N2306" s="1154"/>
      <c r="O2306" s="1154"/>
      <c r="P2306" s="1154"/>
      <c r="Q2306" s="1154"/>
      <c r="R2306" s="1154"/>
      <c r="S2306" s="1154"/>
      <c r="T2306" s="1154"/>
      <c r="U2306" s="1154"/>
      <c r="V2306" s="1154"/>
      <c r="W2306" s="1154"/>
    </row>
    <row r="2307" ht="16.5" customHeight="1" spans="1:23">
      <c r="A2307" s="818" t="s">
        <v>1912</v>
      </c>
      <c r="B2307" s="942" t="s">
        <v>1913</v>
      </c>
      <c r="C2307" s="946" t="s">
        <v>67</v>
      </c>
      <c r="D2307" s="439">
        <v>2</v>
      </c>
      <c r="E2307" s="69"/>
      <c r="F2307" s="1359">
        <v>45955</v>
      </c>
      <c r="G2307" s="1360" t="s">
        <v>1904</v>
      </c>
      <c r="H2307" s="937"/>
      <c r="I2307" s="913"/>
      <c r="J2307" s="913" t="s">
        <v>207</v>
      </c>
      <c r="K2307" s="818" t="s">
        <v>19</v>
      </c>
      <c r="L2307" s="182"/>
      <c r="M2307" s="1382"/>
      <c r="N2307" s="1154"/>
      <c r="O2307" s="1154"/>
      <c r="P2307" s="1154"/>
      <c r="Q2307" s="1154"/>
      <c r="R2307" s="1154"/>
      <c r="S2307" s="1154"/>
      <c r="T2307" s="1154"/>
      <c r="U2307" s="1154"/>
      <c r="V2307" s="1154"/>
      <c r="W2307" s="1154"/>
    </row>
    <row r="2308" ht="16.5" customHeight="1" spans="1:23">
      <c r="A2308" s="818" t="s">
        <v>1912</v>
      </c>
      <c r="B2308" s="942" t="s">
        <v>1913</v>
      </c>
      <c r="C2308" s="946" t="s">
        <v>462</v>
      </c>
      <c r="D2308" s="439">
        <v>1</v>
      </c>
      <c r="E2308" s="69"/>
      <c r="F2308" s="1359">
        <v>45955</v>
      </c>
      <c r="G2308" s="1360" t="s">
        <v>1904</v>
      </c>
      <c r="H2308" s="937"/>
      <c r="I2308" s="913"/>
      <c r="J2308" s="913" t="s">
        <v>207</v>
      </c>
      <c r="K2308" s="818" t="s">
        <v>19</v>
      </c>
      <c r="L2308" s="182"/>
      <c r="M2308" s="1382"/>
      <c r="N2308" s="1154"/>
      <c r="O2308" s="1154"/>
      <c r="P2308" s="1154"/>
      <c r="Q2308" s="1154"/>
      <c r="R2308" s="1154"/>
      <c r="S2308" s="1154"/>
      <c r="T2308" s="1154"/>
      <c r="U2308" s="1154"/>
      <c r="V2308" s="1154"/>
      <c r="W2308" s="1154"/>
    </row>
    <row r="2309" ht="16.5" customHeight="1" spans="1:23">
      <c r="A2309" s="818" t="s">
        <v>1912</v>
      </c>
      <c r="B2309" s="942" t="s">
        <v>1913</v>
      </c>
      <c r="C2309" s="946" t="s">
        <v>32</v>
      </c>
      <c r="D2309" s="439">
        <v>2</v>
      </c>
      <c r="E2309" s="69"/>
      <c r="F2309" s="1359">
        <v>45955</v>
      </c>
      <c r="G2309" s="1360" t="s">
        <v>1904</v>
      </c>
      <c r="H2309" s="937"/>
      <c r="I2309" s="913"/>
      <c r="J2309" s="913" t="s">
        <v>207</v>
      </c>
      <c r="K2309" s="818" t="s">
        <v>19</v>
      </c>
      <c r="L2309" s="182"/>
      <c r="M2309" s="1382"/>
      <c r="N2309" s="1154"/>
      <c r="O2309" s="1154"/>
      <c r="P2309" s="1154"/>
      <c r="Q2309" s="1154"/>
      <c r="R2309" s="1154"/>
      <c r="S2309" s="1154"/>
      <c r="T2309" s="1154"/>
      <c r="U2309" s="1154"/>
      <c r="V2309" s="1154"/>
      <c r="W2309" s="1154"/>
    </row>
    <row r="2310" ht="16.5" customHeight="1" spans="1:23">
      <c r="A2310" s="818" t="s">
        <v>1912</v>
      </c>
      <c r="B2310" s="942" t="s">
        <v>1913</v>
      </c>
      <c r="C2310" s="946" t="s">
        <v>33</v>
      </c>
      <c r="D2310" s="439">
        <v>1</v>
      </c>
      <c r="E2310" s="69"/>
      <c r="F2310" s="1359">
        <v>45955</v>
      </c>
      <c r="G2310" s="1360" t="s">
        <v>1904</v>
      </c>
      <c r="H2310" s="937"/>
      <c r="I2310" s="913"/>
      <c r="J2310" s="913" t="s">
        <v>207</v>
      </c>
      <c r="K2310" s="818" t="s">
        <v>19</v>
      </c>
      <c r="L2310" s="182"/>
      <c r="M2310" s="1382"/>
      <c r="N2310" s="1154"/>
      <c r="O2310" s="1154"/>
      <c r="P2310" s="1154"/>
      <c r="Q2310" s="1154"/>
      <c r="R2310" s="1154"/>
      <c r="S2310" s="1154"/>
      <c r="T2310" s="1154"/>
      <c r="U2310" s="1154"/>
      <c r="V2310" s="1154"/>
      <c r="W2310" s="1154"/>
    </row>
    <row r="2311" ht="20" customHeight="1" spans="1:23">
      <c r="A2311" s="818" t="s">
        <v>1735</v>
      </c>
      <c r="B2311" s="914" t="s">
        <v>1918</v>
      </c>
      <c r="C2311" s="914" t="s">
        <v>1813</v>
      </c>
      <c r="D2311" s="439">
        <v>4</v>
      </c>
      <c r="E2311" s="914" t="s">
        <v>1919</v>
      </c>
      <c r="F2311" s="915">
        <v>45972</v>
      </c>
      <c r="G2311" s="915" t="s">
        <v>1920</v>
      </c>
      <c r="H2311" s="937"/>
      <c r="I2311" s="913"/>
      <c r="J2311" s="1418" t="s">
        <v>215</v>
      </c>
      <c r="K2311" s="1418" t="s">
        <v>19</v>
      </c>
      <c r="L2311" s="955"/>
      <c r="M2311" s="913" t="s">
        <v>1921</v>
      </c>
      <c r="N2311" s="1154"/>
      <c r="O2311" s="1154"/>
      <c r="P2311" s="1154"/>
      <c r="Q2311" s="1154"/>
      <c r="R2311" s="1154"/>
      <c r="S2311" s="1154"/>
      <c r="T2311" s="1154"/>
      <c r="U2311" s="1154"/>
      <c r="V2311" s="1154"/>
      <c r="W2311" s="1154"/>
    </row>
    <row r="2312" ht="20" customHeight="1" spans="1:23">
      <c r="A2312" s="818" t="s">
        <v>1735</v>
      </c>
      <c r="B2312" s="914" t="s">
        <v>1918</v>
      </c>
      <c r="C2312" s="914" t="s">
        <v>1817</v>
      </c>
      <c r="D2312" s="439">
        <v>4</v>
      </c>
      <c r="E2312" s="69"/>
      <c r="F2312" s="915">
        <v>45972</v>
      </c>
      <c r="G2312" s="915" t="s">
        <v>1920</v>
      </c>
      <c r="H2312" s="937"/>
      <c r="I2312" s="913"/>
      <c r="J2312" s="1418" t="s">
        <v>215</v>
      </c>
      <c r="K2312" s="1418" t="s">
        <v>19</v>
      </c>
      <c r="L2312" s="955"/>
      <c r="M2312" s="913" t="s">
        <v>1922</v>
      </c>
      <c r="N2312" s="1154"/>
      <c r="O2312" s="1154"/>
      <c r="P2312" s="1154"/>
      <c r="Q2312" s="1154"/>
      <c r="R2312" s="1154"/>
      <c r="S2312" s="1154"/>
      <c r="T2312" s="1154"/>
      <c r="U2312" s="1154"/>
      <c r="V2312" s="1154"/>
      <c r="W2312" s="1154"/>
    </row>
    <row r="2313" ht="20" customHeight="1" spans="1:23">
      <c r="A2313" s="818" t="s">
        <v>1735</v>
      </c>
      <c r="B2313" s="914" t="s">
        <v>1918</v>
      </c>
      <c r="C2313" s="946" t="s">
        <v>1819</v>
      </c>
      <c r="D2313" s="439">
        <v>4</v>
      </c>
      <c r="E2313" s="69"/>
      <c r="F2313" s="915">
        <v>45972</v>
      </c>
      <c r="G2313" s="915" t="s">
        <v>1920</v>
      </c>
      <c r="H2313" s="937"/>
      <c r="I2313" s="913"/>
      <c r="J2313" s="1418" t="s">
        <v>215</v>
      </c>
      <c r="K2313" s="1418" t="s">
        <v>19</v>
      </c>
      <c r="L2313" s="955"/>
      <c r="M2313" s="913"/>
      <c r="N2313" s="1154"/>
      <c r="O2313" s="1154"/>
      <c r="P2313" s="1154"/>
      <c r="Q2313" s="1154"/>
      <c r="R2313" s="1154"/>
      <c r="S2313" s="1154"/>
      <c r="T2313" s="1154"/>
      <c r="U2313" s="1154"/>
      <c r="V2313" s="1154"/>
      <c r="W2313" s="1154"/>
    </row>
    <row r="2314" ht="20" customHeight="1" spans="1:23">
      <c r="A2314" s="818" t="s">
        <v>1735</v>
      </c>
      <c r="B2314" s="914" t="s">
        <v>1918</v>
      </c>
      <c r="C2314" s="946" t="s">
        <v>1820</v>
      </c>
      <c r="D2314" s="439">
        <v>4</v>
      </c>
      <c r="E2314" s="69"/>
      <c r="F2314" s="915">
        <v>45972</v>
      </c>
      <c r="G2314" s="915" t="s">
        <v>1920</v>
      </c>
      <c r="H2314" s="937"/>
      <c r="I2314" s="913"/>
      <c r="J2314" s="1418" t="s">
        <v>215</v>
      </c>
      <c r="K2314" s="1418" t="s">
        <v>19</v>
      </c>
      <c r="L2314" s="955"/>
      <c r="M2314" s="913"/>
      <c r="N2314" s="1154"/>
      <c r="O2314" s="1154"/>
      <c r="P2314" s="1154"/>
      <c r="Q2314" s="1154"/>
      <c r="R2314" s="1154"/>
      <c r="S2314" s="1154"/>
      <c r="T2314" s="1154"/>
      <c r="U2314" s="1154"/>
      <c r="V2314" s="1154"/>
      <c r="W2314" s="1154"/>
    </row>
    <row r="2315" ht="20" customHeight="1" spans="1:23">
      <c r="A2315" s="818" t="s">
        <v>1735</v>
      </c>
      <c r="B2315" s="914" t="s">
        <v>1918</v>
      </c>
      <c r="C2315" s="946" t="s">
        <v>1821</v>
      </c>
      <c r="D2315" s="439">
        <v>12</v>
      </c>
      <c r="E2315" s="69"/>
      <c r="F2315" s="915">
        <v>45972</v>
      </c>
      <c r="G2315" s="915" t="s">
        <v>1920</v>
      </c>
      <c r="H2315" s="937"/>
      <c r="I2315" s="913"/>
      <c r="J2315" s="1418" t="s">
        <v>215</v>
      </c>
      <c r="K2315" s="1418" t="s">
        <v>19</v>
      </c>
      <c r="L2315" s="955"/>
      <c r="M2315" s="913"/>
      <c r="N2315" s="1154"/>
      <c r="O2315" s="1154"/>
      <c r="P2315" s="1154"/>
      <c r="Q2315" s="1154"/>
      <c r="R2315" s="1154"/>
      <c r="S2315" s="1154"/>
      <c r="T2315" s="1154"/>
      <c r="U2315" s="1154"/>
      <c r="V2315" s="1154"/>
      <c r="W2315" s="1154"/>
    </row>
    <row r="2316" ht="17" customHeight="1" spans="1:23">
      <c r="A2316" s="818" t="s">
        <v>1735</v>
      </c>
      <c r="B2316" s="914" t="s">
        <v>1918</v>
      </c>
      <c r="C2316" s="946" t="s">
        <v>1822</v>
      </c>
      <c r="D2316" s="439">
        <v>12</v>
      </c>
      <c r="E2316" s="69"/>
      <c r="F2316" s="915">
        <v>45972</v>
      </c>
      <c r="G2316" s="915" t="s">
        <v>1920</v>
      </c>
      <c r="H2316" s="937"/>
      <c r="I2316" s="913"/>
      <c r="J2316" s="1418" t="s">
        <v>215</v>
      </c>
      <c r="K2316" s="1418" t="s">
        <v>19</v>
      </c>
      <c r="L2316" s="955"/>
      <c r="M2316" s="913"/>
      <c r="N2316" s="1154"/>
      <c r="O2316" s="1154"/>
      <c r="P2316" s="1154"/>
      <c r="Q2316" s="1154"/>
      <c r="R2316" s="1154"/>
      <c r="S2316" s="1154"/>
      <c r="T2316" s="1154"/>
      <c r="U2316" s="1154"/>
      <c r="V2316" s="1154"/>
      <c r="W2316" s="1154"/>
    </row>
    <row r="2317" ht="17" customHeight="1" spans="1:23">
      <c r="A2317" s="818" t="s">
        <v>1735</v>
      </c>
      <c r="B2317" s="914" t="s">
        <v>1918</v>
      </c>
      <c r="C2317" s="946" t="s">
        <v>1823</v>
      </c>
      <c r="D2317" s="439">
        <v>30</v>
      </c>
      <c r="E2317" s="69"/>
      <c r="F2317" s="915">
        <v>45972</v>
      </c>
      <c r="G2317" s="915" t="s">
        <v>1920</v>
      </c>
      <c r="H2317" s="937"/>
      <c r="I2317" s="913"/>
      <c r="J2317" s="1418" t="s">
        <v>215</v>
      </c>
      <c r="K2317" s="1418" t="s">
        <v>19</v>
      </c>
      <c r="L2317" s="955"/>
      <c r="M2317" s="913"/>
      <c r="N2317" s="1154"/>
      <c r="O2317" s="1154"/>
      <c r="P2317" s="1154"/>
      <c r="Q2317" s="1154"/>
      <c r="R2317" s="1154"/>
      <c r="S2317" s="1154"/>
      <c r="T2317" s="1154"/>
      <c r="U2317" s="1154"/>
      <c r="V2317" s="1154"/>
      <c r="W2317" s="1154"/>
    </row>
    <row r="2318" ht="17" customHeight="1" spans="1:23">
      <c r="A2318" s="818" t="s">
        <v>1735</v>
      </c>
      <c r="B2318" s="914" t="s">
        <v>1918</v>
      </c>
      <c r="C2318" s="946" t="s">
        <v>1824</v>
      </c>
      <c r="D2318" s="439">
        <v>30</v>
      </c>
      <c r="E2318" s="69"/>
      <c r="F2318" s="915">
        <v>45972</v>
      </c>
      <c r="G2318" s="915" t="s">
        <v>1920</v>
      </c>
      <c r="H2318" s="937"/>
      <c r="I2318" s="913"/>
      <c r="J2318" s="1418" t="s">
        <v>215</v>
      </c>
      <c r="K2318" s="1418" t="s">
        <v>19</v>
      </c>
      <c r="L2318" s="955"/>
      <c r="M2318" s="913"/>
      <c r="N2318" s="1154"/>
      <c r="O2318" s="1154"/>
      <c r="P2318" s="1154"/>
      <c r="Q2318" s="1154"/>
      <c r="R2318" s="1154"/>
      <c r="S2318" s="1154"/>
      <c r="T2318" s="1154"/>
      <c r="U2318" s="1154"/>
      <c r="V2318" s="1154"/>
      <c r="W2318" s="1154"/>
    </row>
    <row r="2319" ht="17" customHeight="1" spans="1:23">
      <c r="A2319" s="818" t="s">
        <v>1735</v>
      </c>
      <c r="B2319" s="914" t="s">
        <v>1918</v>
      </c>
      <c r="C2319" s="946" t="s">
        <v>1827</v>
      </c>
      <c r="D2319" s="439">
        <v>9</v>
      </c>
      <c r="E2319" s="69"/>
      <c r="F2319" s="915">
        <v>45972</v>
      </c>
      <c r="G2319" s="915" t="s">
        <v>1920</v>
      </c>
      <c r="H2319" s="937"/>
      <c r="I2319" s="913"/>
      <c r="J2319" s="1418" t="s">
        <v>215</v>
      </c>
      <c r="K2319" s="1418" t="s">
        <v>19</v>
      </c>
      <c r="L2319" s="955"/>
      <c r="M2319" s="913"/>
      <c r="N2319" s="1154"/>
      <c r="O2319" s="1154"/>
      <c r="P2319" s="1154"/>
      <c r="Q2319" s="1154"/>
      <c r="R2319" s="1154"/>
      <c r="S2319" s="1154"/>
      <c r="T2319" s="1154"/>
      <c r="U2319" s="1154"/>
      <c r="V2319" s="1154"/>
      <c r="W2319" s="1154"/>
    </row>
    <row r="2320" ht="17" customHeight="1" spans="1:23">
      <c r="A2320" s="818" t="s">
        <v>1735</v>
      </c>
      <c r="B2320" s="914" t="s">
        <v>1918</v>
      </c>
      <c r="C2320" s="946" t="s">
        <v>1828</v>
      </c>
      <c r="D2320" s="439">
        <v>9</v>
      </c>
      <c r="E2320" s="69"/>
      <c r="F2320" s="915">
        <v>45972</v>
      </c>
      <c r="G2320" s="915" t="s">
        <v>1920</v>
      </c>
      <c r="H2320" s="937"/>
      <c r="I2320" s="913"/>
      <c r="J2320" s="1418" t="s">
        <v>215</v>
      </c>
      <c r="K2320" s="1418" t="s">
        <v>19</v>
      </c>
      <c r="L2320" s="955"/>
      <c r="M2320" s="913"/>
      <c r="N2320" s="1154"/>
      <c r="O2320" s="1154"/>
      <c r="P2320" s="1154"/>
      <c r="Q2320" s="1154"/>
      <c r="R2320" s="1154"/>
      <c r="S2320" s="1154"/>
      <c r="T2320" s="1154"/>
      <c r="U2320" s="1154"/>
      <c r="V2320" s="1154"/>
      <c r="W2320" s="1154"/>
    </row>
    <row r="2321" ht="17" customHeight="1" spans="1:23">
      <c r="A2321" s="818" t="s">
        <v>1735</v>
      </c>
      <c r="B2321" s="914" t="s">
        <v>1918</v>
      </c>
      <c r="C2321" s="946" t="s">
        <v>133</v>
      </c>
      <c r="D2321" s="439">
        <v>2</v>
      </c>
      <c r="E2321" s="69"/>
      <c r="F2321" s="915">
        <v>45972</v>
      </c>
      <c r="G2321" s="915" t="s">
        <v>1920</v>
      </c>
      <c r="H2321" s="937"/>
      <c r="I2321" s="913"/>
      <c r="J2321" s="1418" t="s">
        <v>215</v>
      </c>
      <c r="K2321" s="1418" t="s">
        <v>19</v>
      </c>
      <c r="L2321" s="955"/>
      <c r="M2321" s="913"/>
      <c r="N2321" s="1154"/>
      <c r="O2321" s="1154"/>
      <c r="P2321" s="1154"/>
      <c r="Q2321" s="1154"/>
      <c r="R2321" s="1154"/>
      <c r="S2321" s="1154"/>
      <c r="T2321" s="1154"/>
      <c r="U2321" s="1154"/>
      <c r="V2321" s="1154"/>
      <c r="W2321" s="1154"/>
    </row>
    <row r="2322" ht="17" customHeight="1" spans="1:23">
      <c r="A2322" s="818" t="s">
        <v>1735</v>
      </c>
      <c r="B2322" s="914" t="s">
        <v>1918</v>
      </c>
      <c r="C2322" s="946" t="s">
        <v>15</v>
      </c>
      <c r="D2322" s="439">
        <v>9</v>
      </c>
      <c r="E2322" s="69"/>
      <c r="F2322" s="915">
        <v>45972</v>
      </c>
      <c r="G2322" s="915" t="s">
        <v>1920</v>
      </c>
      <c r="H2322" s="937"/>
      <c r="I2322" s="913"/>
      <c r="J2322" s="1418" t="s">
        <v>215</v>
      </c>
      <c r="K2322" s="1418" t="s">
        <v>19</v>
      </c>
      <c r="L2322" s="955"/>
      <c r="M2322" s="913"/>
      <c r="N2322" s="1154"/>
      <c r="O2322" s="1154"/>
      <c r="P2322" s="1154"/>
      <c r="Q2322" s="1154"/>
      <c r="R2322" s="1154"/>
      <c r="S2322" s="1154"/>
      <c r="T2322" s="1154"/>
      <c r="U2322" s="1154"/>
      <c r="V2322" s="1154"/>
      <c r="W2322" s="1154"/>
    </row>
    <row r="2323" ht="17" customHeight="1" spans="1:23">
      <c r="A2323" s="818" t="s">
        <v>1735</v>
      </c>
      <c r="B2323" s="914" t="s">
        <v>1918</v>
      </c>
      <c r="C2323" s="946" t="s">
        <v>28</v>
      </c>
      <c r="D2323" s="439">
        <v>8</v>
      </c>
      <c r="E2323" s="69"/>
      <c r="F2323" s="915">
        <v>45972</v>
      </c>
      <c r="G2323" s="915" t="s">
        <v>1920</v>
      </c>
      <c r="H2323" s="937"/>
      <c r="I2323" s="913"/>
      <c r="J2323" s="1418" t="s">
        <v>215</v>
      </c>
      <c r="K2323" s="1418" t="s">
        <v>19</v>
      </c>
      <c r="L2323" s="955"/>
      <c r="M2323" s="913"/>
      <c r="N2323" s="1154"/>
      <c r="O2323" s="1154"/>
      <c r="P2323" s="1154"/>
      <c r="Q2323" s="1154"/>
      <c r="R2323" s="1154"/>
      <c r="S2323" s="1154"/>
      <c r="T2323" s="1154"/>
      <c r="U2323" s="1154"/>
      <c r="V2323" s="1154"/>
      <c r="W2323" s="1154"/>
    </row>
    <row r="2324" ht="17" customHeight="1" spans="1:23">
      <c r="A2324" s="818" t="s">
        <v>1735</v>
      </c>
      <c r="B2324" s="914" t="s">
        <v>1918</v>
      </c>
      <c r="C2324" s="946" t="s">
        <v>1771</v>
      </c>
      <c r="D2324" s="439">
        <v>12</v>
      </c>
      <c r="E2324" s="69"/>
      <c r="F2324" s="915">
        <v>45972</v>
      </c>
      <c r="G2324" s="915" t="s">
        <v>1920</v>
      </c>
      <c r="H2324" s="937"/>
      <c r="I2324" s="913"/>
      <c r="J2324" s="1418" t="s">
        <v>215</v>
      </c>
      <c r="K2324" s="1418" t="s">
        <v>19</v>
      </c>
      <c r="L2324" s="955"/>
      <c r="M2324" s="913"/>
      <c r="N2324" s="1154"/>
      <c r="O2324" s="1154"/>
      <c r="P2324" s="1154"/>
      <c r="Q2324" s="1154"/>
      <c r="R2324" s="1154"/>
      <c r="S2324" s="1154"/>
      <c r="T2324" s="1154"/>
      <c r="U2324" s="1154"/>
      <c r="V2324" s="1154"/>
      <c r="W2324" s="1154"/>
    </row>
    <row r="2325" ht="17" customHeight="1" spans="1:23">
      <c r="A2325" s="818" t="s">
        <v>1735</v>
      </c>
      <c r="B2325" s="914" t="s">
        <v>1918</v>
      </c>
      <c r="C2325" s="946" t="s">
        <v>1835</v>
      </c>
      <c r="D2325" s="439">
        <v>12</v>
      </c>
      <c r="E2325" s="281"/>
      <c r="F2325" s="915">
        <v>45972</v>
      </c>
      <c r="G2325" s="915" t="s">
        <v>1920</v>
      </c>
      <c r="H2325" s="937"/>
      <c r="I2325" s="913"/>
      <c r="J2325" s="1418" t="s">
        <v>215</v>
      </c>
      <c r="K2325" s="1418" t="s">
        <v>19</v>
      </c>
      <c r="L2325" s="955"/>
      <c r="M2325" s="913"/>
      <c r="N2325" s="1154"/>
      <c r="O2325" s="1154"/>
      <c r="P2325" s="1154"/>
      <c r="Q2325" s="1154"/>
      <c r="R2325" s="1154"/>
      <c r="S2325" s="1154"/>
      <c r="T2325" s="1154"/>
      <c r="U2325" s="1154"/>
      <c r="V2325" s="1154"/>
      <c r="W2325" s="1154"/>
    </row>
    <row r="2326" ht="17" customHeight="1" spans="1:23">
      <c r="A2326" s="818" t="s">
        <v>1735</v>
      </c>
      <c r="B2326" s="914" t="s">
        <v>1918</v>
      </c>
      <c r="C2326" s="946" t="s">
        <v>1836</v>
      </c>
      <c r="D2326" s="439">
        <v>9</v>
      </c>
      <c r="E2326" s="281"/>
      <c r="F2326" s="915">
        <v>45972</v>
      </c>
      <c r="G2326" s="915" t="s">
        <v>1920</v>
      </c>
      <c r="H2326" s="937"/>
      <c r="I2326" s="913"/>
      <c r="J2326" s="1418" t="s">
        <v>215</v>
      </c>
      <c r="K2326" s="1418" t="s">
        <v>19</v>
      </c>
      <c r="L2326" s="955"/>
      <c r="M2326" s="913"/>
      <c r="N2326" s="1154"/>
      <c r="O2326" s="1154"/>
      <c r="P2326" s="1154"/>
      <c r="Q2326" s="1154"/>
      <c r="R2326" s="1154"/>
      <c r="S2326" s="1154"/>
      <c r="T2326" s="1154"/>
      <c r="U2326" s="1154"/>
      <c r="V2326" s="1154"/>
      <c r="W2326" s="1154"/>
    </row>
    <row r="2327" ht="17" customHeight="1" spans="1:23">
      <c r="A2327" s="818" t="s">
        <v>1735</v>
      </c>
      <c r="B2327" s="914" t="s">
        <v>1918</v>
      </c>
      <c r="C2327" s="946" t="s">
        <v>1837</v>
      </c>
      <c r="D2327" s="439">
        <v>9</v>
      </c>
      <c r="E2327" s="281"/>
      <c r="F2327" s="915">
        <v>45972</v>
      </c>
      <c r="G2327" s="915" t="s">
        <v>1920</v>
      </c>
      <c r="H2327" s="937"/>
      <c r="I2327" s="913"/>
      <c r="J2327" s="1418" t="s">
        <v>215</v>
      </c>
      <c r="K2327" s="1418" t="s">
        <v>19</v>
      </c>
      <c r="L2327" s="955"/>
      <c r="M2327" s="913"/>
      <c r="N2327" s="1154"/>
      <c r="O2327" s="1154"/>
      <c r="P2327" s="1154"/>
      <c r="Q2327" s="1154"/>
      <c r="R2327" s="1154"/>
      <c r="S2327" s="1154"/>
      <c r="T2327" s="1154"/>
      <c r="U2327" s="1154"/>
      <c r="V2327" s="1154"/>
      <c r="W2327" s="1154"/>
    </row>
    <row r="2328" ht="17" customHeight="1" spans="1:23">
      <c r="A2328" s="818" t="s">
        <v>1735</v>
      </c>
      <c r="B2328" s="914" t="s">
        <v>1918</v>
      </c>
      <c r="C2328" s="946" t="s">
        <v>1782</v>
      </c>
      <c r="D2328" s="439">
        <v>5</v>
      </c>
      <c r="E2328" s="281"/>
      <c r="F2328" s="915">
        <v>45972</v>
      </c>
      <c r="G2328" s="915" t="s">
        <v>1920</v>
      </c>
      <c r="H2328" s="937"/>
      <c r="I2328" s="913"/>
      <c r="J2328" s="1418" t="s">
        <v>215</v>
      </c>
      <c r="K2328" s="1418" t="s">
        <v>19</v>
      </c>
      <c r="L2328" s="955"/>
      <c r="M2328" s="913"/>
      <c r="N2328" s="1154"/>
      <c r="O2328" s="1154"/>
      <c r="P2328" s="1154"/>
      <c r="Q2328" s="1154"/>
      <c r="R2328" s="1154"/>
      <c r="S2328" s="1154"/>
      <c r="T2328" s="1154"/>
      <c r="U2328" s="1154"/>
      <c r="V2328" s="1154"/>
      <c r="W2328" s="1154"/>
    </row>
    <row r="2329" ht="17" customHeight="1" spans="1:23">
      <c r="A2329" s="818" t="s">
        <v>1735</v>
      </c>
      <c r="B2329" s="914" t="s">
        <v>1918</v>
      </c>
      <c r="C2329" s="946" t="s">
        <v>1783</v>
      </c>
      <c r="D2329" s="439">
        <v>5</v>
      </c>
      <c r="E2329" s="281"/>
      <c r="F2329" s="915">
        <v>45972</v>
      </c>
      <c r="G2329" s="915" t="s">
        <v>1920</v>
      </c>
      <c r="H2329" s="937"/>
      <c r="I2329" s="913"/>
      <c r="J2329" s="1418" t="s">
        <v>215</v>
      </c>
      <c r="K2329" s="1418" t="s">
        <v>19</v>
      </c>
      <c r="L2329" s="955"/>
      <c r="M2329" s="913"/>
      <c r="N2329" s="1154"/>
      <c r="O2329" s="1154"/>
      <c r="P2329" s="1154"/>
      <c r="Q2329" s="1154"/>
      <c r="R2329" s="1154"/>
      <c r="S2329" s="1154"/>
      <c r="T2329" s="1154"/>
      <c r="U2329" s="1154"/>
      <c r="V2329" s="1154"/>
      <c r="W2329" s="1154"/>
    </row>
    <row r="2330" ht="17" customHeight="1" spans="1:23">
      <c r="A2330" s="818" t="s">
        <v>1735</v>
      </c>
      <c r="B2330" s="914" t="s">
        <v>1918</v>
      </c>
      <c r="C2330" s="946" t="s">
        <v>165</v>
      </c>
      <c r="D2330" s="439">
        <v>14</v>
      </c>
      <c r="E2330" s="281"/>
      <c r="F2330" s="915">
        <v>45972</v>
      </c>
      <c r="G2330" s="915" t="s">
        <v>1920</v>
      </c>
      <c r="H2330" s="937"/>
      <c r="I2330" s="913"/>
      <c r="J2330" s="1418" t="s">
        <v>215</v>
      </c>
      <c r="K2330" s="1418" t="s">
        <v>19</v>
      </c>
      <c r="L2330" s="955"/>
      <c r="M2330" s="913"/>
      <c r="N2330" s="1154"/>
      <c r="O2330" s="1154"/>
      <c r="P2330" s="1154"/>
      <c r="Q2330" s="1154"/>
      <c r="R2330" s="1154"/>
      <c r="S2330" s="1154"/>
      <c r="T2330" s="1154"/>
      <c r="U2330" s="1154"/>
      <c r="V2330" s="1154"/>
      <c r="W2330" s="1154"/>
    </row>
    <row r="2331" ht="17" customHeight="1" spans="1:23">
      <c r="A2331" s="818" t="s">
        <v>1735</v>
      </c>
      <c r="B2331" s="914" t="s">
        <v>1918</v>
      </c>
      <c r="C2331" s="946" t="s">
        <v>463</v>
      </c>
      <c r="D2331" s="439">
        <v>3</v>
      </c>
      <c r="E2331" s="69"/>
      <c r="F2331" s="915">
        <v>45972</v>
      </c>
      <c r="G2331" s="915" t="s">
        <v>1920</v>
      </c>
      <c r="H2331" s="937"/>
      <c r="I2331" s="913"/>
      <c r="J2331" s="1418" t="s">
        <v>215</v>
      </c>
      <c r="K2331" s="1418" t="s">
        <v>19</v>
      </c>
      <c r="L2331" s="955"/>
      <c r="M2331" s="913"/>
      <c r="N2331" s="1154"/>
      <c r="O2331" s="1154"/>
      <c r="P2331" s="1154"/>
      <c r="Q2331" s="1154"/>
      <c r="R2331" s="1154"/>
      <c r="S2331" s="1154"/>
      <c r="T2331" s="1154"/>
      <c r="U2331" s="1154"/>
      <c r="V2331" s="1154"/>
      <c r="W2331" s="1154"/>
    </row>
    <row r="2332" ht="17" customHeight="1" spans="1:23">
      <c r="A2332" s="818" t="s">
        <v>1735</v>
      </c>
      <c r="B2332" s="914" t="s">
        <v>1918</v>
      </c>
      <c r="C2332" s="946" t="s">
        <v>29</v>
      </c>
      <c r="D2332" s="439">
        <v>3</v>
      </c>
      <c r="E2332" s="281"/>
      <c r="F2332" s="915">
        <v>45972</v>
      </c>
      <c r="G2332" s="915" t="s">
        <v>1920</v>
      </c>
      <c r="H2332" s="937"/>
      <c r="I2332" s="913"/>
      <c r="J2332" s="1418" t="s">
        <v>215</v>
      </c>
      <c r="K2332" s="1418" t="s">
        <v>19</v>
      </c>
      <c r="L2332" s="955"/>
      <c r="M2332" s="913"/>
      <c r="N2332" s="1154"/>
      <c r="O2332" s="1154"/>
      <c r="P2332" s="1154"/>
      <c r="Q2332" s="1154"/>
      <c r="R2332" s="1154"/>
      <c r="S2332" s="1154"/>
      <c r="T2332" s="1154"/>
      <c r="U2332" s="1154"/>
      <c r="V2332" s="1154"/>
      <c r="W2332" s="1154"/>
    </row>
    <row r="2333" ht="17" customHeight="1" spans="1:23">
      <c r="A2333" s="818" t="s">
        <v>1735</v>
      </c>
      <c r="B2333" s="914" t="s">
        <v>1918</v>
      </c>
      <c r="C2333" s="946" t="s">
        <v>31</v>
      </c>
      <c r="D2333" s="439">
        <v>2</v>
      </c>
      <c r="E2333" s="281"/>
      <c r="F2333" s="915">
        <v>45972</v>
      </c>
      <c r="G2333" s="915" t="s">
        <v>1920</v>
      </c>
      <c r="H2333" s="937"/>
      <c r="I2333" s="913"/>
      <c r="J2333" s="1418" t="s">
        <v>215</v>
      </c>
      <c r="K2333" s="1418" t="s">
        <v>19</v>
      </c>
      <c r="L2333" s="955"/>
      <c r="M2333" s="913"/>
      <c r="N2333" s="1154"/>
      <c r="O2333" s="1154"/>
      <c r="P2333" s="1154"/>
      <c r="Q2333" s="1154"/>
      <c r="R2333" s="1154"/>
      <c r="S2333" s="1154"/>
      <c r="T2333" s="1154"/>
      <c r="U2333" s="1154"/>
      <c r="V2333" s="1154"/>
      <c r="W2333" s="1154"/>
    </row>
    <row r="2334" ht="17" customHeight="1" spans="1:23">
      <c r="A2334" s="818" t="s">
        <v>1735</v>
      </c>
      <c r="B2334" s="914" t="s">
        <v>1918</v>
      </c>
      <c r="C2334" s="966" t="s">
        <v>34</v>
      </c>
      <c r="D2334" s="443">
        <v>7</v>
      </c>
      <c r="E2334" s="281"/>
      <c r="F2334" s="915">
        <v>45972</v>
      </c>
      <c r="G2334" s="1389" t="s">
        <v>1920</v>
      </c>
      <c r="H2334" s="963"/>
      <c r="I2334" s="961"/>
      <c r="J2334" s="1403" t="s">
        <v>215</v>
      </c>
      <c r="K2334" s="1403" t="s">
        <v>19</v>
      </c>
      <c r="L2334" s="438"/>
      <c r="M2334" s="913"/>
      <c r="N2334" s="1154"/>
      <c r="O2334" s="1154"/>
      <c r="P2334" s="1154"/>
      <c r="Q2334" s="1154"/>
      <c r="R2334" s="1154"/>
      <c r="S2334" s="1154"/>
      <c r="T2334" s="1154"/>
      <c r="U2334" s="1154"/>
      <c r="V2334" s="1154"/>
      <c r="W2334" s="1154"/>
    </row>
    <row r="2335" s="800" customFormat="1" ht="17" customHeight="1" spans="1:23">
      <c r="A2335" s="818" t="s">
        <v>1735</v>
      </c>
      <c r="B2335" s="942" t="s">
        <v>1923</v>
      </c>
      <c r="C2335" s="946" t="s">
        <v>1819</v>
      </c>
      <c r="D2335" s="439">
        <v>90</v>
      </c>
      <c r="E2335" s="914" t="s">
        <v>1924</v>
      </c>
      <c r="F2335" s="915">
        <v>45972</v>
      </c>
      <c r="G2335" s="915" t="s">
        <v>1920</v>
      </c>
      <c r="H2335" s="937"/>
      <c r="I2335" s="913"/>
      <c r="J2335" s="913" t="s">
        <v>207</v>
      </c>
      <c r="K2335" s="818" t="s">
        <v>19</v>
      </c>
      <c r="L2335" s="182"/>
      <c r="M2335" s="819" t="s">
        <v>1925</v>
      </c>
      <c r="N2335" s="512"/>
      <c r="O2335" s="512"/>
      <c r="P2335" s="512"/>
      <c r="Q2335" s="512"/>
      <c r="R2335" s="512"/>
      <c r="S2335" s="512"/>
      <c r="T2335" s="512"/>
      <c r="U2335" s="512"/>
      <c r="V2335" s="512"/>
      <c r="W2335" s="512"/>
    </row>
    <row r="2336" s="800" customFormat="1" ht="17" customHeight="1" spans="1:23">
      <c r="A2336" s="818" t="s">
        <v>1735</v>
      </c>
      <c r="B2336" s="942" t="s">
        <v>1923</v>
      </c>
      <c r="C2336" s="946" t="s">
        <v>1820</v>
      </c>
      <c r="D2336" s="439">
        <v>90</v>
      </c>
      <c r="E2336" s="281"/>
      <c r="F2336" s="915">
        <v>45972</v>
      </c>
      <c r="G2336" s="915" t="s">
        <v>1920</v>
      </c>
      <c r="H2336" s="937"/>
      <c r="I2336" s="913"/>
      <c r="J2336" s="913" t="s">
        <v>207</v>
      </c>
      <c r="K2336" s="818" t="s">
        <v>19</v>
      </c>
      <c r="L2336" s="182"/>
      <c r="M2336" s="913" t="s">
        <v>1926</v>
      </c>
      <c r="N2336" s="512"/>
      <c r="O2336" s="512"/>
      <c r="P2336" s="512"/>
      <c r="Q2336" s="512"/>
      <c r="R2336" s="512"/>
      <c r="S2336" s="512"/>
      <c r="T2336" s="512"/>
      <c r="U2336" s="512"/>
      <c r="V2336" s="512"/>
      <c r="W2336" s="512"/>
    </row>
    <row r="2337" s="800" customFormat="1" ht="17" customHeight="1" spans="1:23">
      <c r="A2337" s="818" t="s">
        <v>1735</v>
      </c>
      <c r="B2337" s="942" t="s">
        <v>1923</v>
      </c>
      <c r="C2337" s="946" t="s">
        <v>1821</v>
      </c>
      <c r="D2337" s="439">
        <v>40</v>
      </c>
      <c r="E2337" s="281"/>
      <c r="F2337" s="915">
        <v>45972</v>
      </c>
      <c r="G2337" s="915" t="s">
        <v>1920</v>
      </c>
      <c r="H2337" s="937"/>
      <c r="I2337" s="913"/>
      <c r="J2337" s="913" t="s">
        <v>207</v>
      </c>
      <c r="K2337" s="818" t="s">
        <v>19</v>
      </c>
      <c r="L2337" s="182"/>
      <c r="M2337" s="913"/>
      <c r="N2337" s="512"/>
      <c r="O2337" s="512"/>
      <c r="P2337" s="512"/>
      <c r="Q2337" s="512"/>
      <c r="R2337" s="512"/>
      <c r="S2337" s="512"/>
      <c r="T2337" s="512"/>
      <c r="U2337" s="512"/>
      <c r="V2337" s="512"/>
      <c r="W2337" s="512"/>
    </row>
    <row r="2338" s="800" customFormat="1" ht="17" customHeight="1" spans="1:23">
      <c r="A2338" s="818" t="s">
        <v>1735</v>
      </c>
      <c r="B2338" s="942" t="s">
        <v>1923</v>
      </c>
      <c r="C2338" s="946" t="s">
        <v>1822</v>
      </c>
      <c r="D2338" s="439">
        <v>40</v>
      </c>
      <c r="E2338" s="281"/>
      <c r="F2338" s="915">
        <v>45972</v>
      </c>
      <c r="G2338" s="915" t="s">
        <v>1920</v>
      </c>
      <c r="H2338" s="937"/>
      <c r="I2338" s="913"/>
      <c r="J2338" s="913" t="s">
        <v>207</v>
      </c>
      <c r="K2338" s="818" t="s">
        <v>19</v>
      </c>
      <c r="L2338" s="182"/>
      <c r="M2338" s="913"/>
      <c r="N2338" s="512"/>
      <c r="O2338" s="512"/>
      <c r="P2338" s="512"/>
      <c r="Q2338" s="512"/>
      <c r="R2338" s="512"/>
      <c r="S2338" s="512"/>
      <c r="T2338" s="512"/>
      <c r="U2338" s="512"/>
      <c r="V2338" s="512"/>
      <c r="W2338" s="512"/>
    </row>
    <row r="2339" s="800" customFormat="1" ht="17" customHeight="1" spans="1:23">
      <c r="A2339" s="818" t="s">
        <v>1735</v>
      </c>
      <c r="B2339" s="942" t="s">
        <v>1923</v>
      </c>
      <c r="C2339" s="946" t="s">
        <v>1823</v>
      </c>
      <c r="D2339" s="439">
        <v>6</v>
      </c>
      <c r="E2339" s="281"/>
      <c r="F2339" s="915">
        <v>45972</v>
      </c>
      <c r="G2339" s="915" t="s">
        <v>1920</v>
      </c>
      <c r="H2339" s="937"/>
      <c r="I2339" s="913"/>
      <c r="J2339" s="913" t="s">
        <v>207</v>
      </c>
      <c r="K2339" s="818" t="s">
        <v>19</v>
      </c>
      <c r="L2339" s="182"/>
      <c r="M2339" s="913"/>
      <c r="N2339" s="512"/>
      <c r="O2339" s="512"/>
      <c r="P2339" s="512"/>
      <c r="Q2339" s="512"/>
      <c r="R2339" s="512"/>
      <c r="S2339" s="512"/>
      <c r="T2339" s="512"/>
      <c r="U2339" s="512"/>
      <c r="V2339" s="512"/>
      <c r="W2339" s="512"/>
    </row>
    <row r="2340" s="800" customFormat="1" ht="17" customHeight="1" spans="1:23">
      <c r="A2340" s="818" t="s">
        <v>1735</v>
      </c>
      <c r="B2340" s="942" t="s">
        <v>1923</v>
      </c>
      <c r="C2340" s="946" t="s">
        <v>1824</v>
      </c>
      <c r="D2340" s="439">
        <v>6</v>
      </c>
      <c r="E2340" s="281"/>
      <c r="F2340" s="915">
        <v>45972</v>
      </c>
      <c r="G2340" s="915" t="s">
        <v>1920</v>
      </c>
      <c r="H2340" s="937"/>
      <c r="I2340" s="913"/>
      <c r="J2340" s="913" t="s">
        <v>207</v>
      </c>
      <c r="K2340" s="818" t="s">
        <v>19</v>
      </c>
      <c r="L2340" s="182"/>
      <c r="M2340" s="913"/>
      <c r="N2340" s="512"/>
      <c r="O2340" s="512"/>
      <c r="P2340" s="512"/>
      <c r="Q2340" s="512"/>
      <c r="R2340" s="512"/>
      <c r="S2340" s="512"/>
      <c r="T2340" s="512"/>
      <c r="U2340" s="512"/>
      <c r="V2340" s="512"/>
      <c r="W2340" s="512"/>
    </row>
    <row r="2341" s="800" customFormat="1" ht="17" customHeight="1" spans="1:23">
      <c r="A2341" s="818" t="s">
        <v>1735</v>
      </c>
      <c r="B2341" s="942" t="s">
        <v>1923</v>
      </c>
      <c r="C2341" s="946" t="s">
        <v>1825</v>
      </c>
      <c r="D2341" s="439">
        <v>1</v>
      </c>
      <c r="E2341" s="281"/>
      <c r="F2341" s="915">
        <v>45972</v>
      </c>
      <c r="G2341" s="915" t="s">
        <v>1920</v>
      </c>
      <c r="H2341" s="937"/>
      <c r="I2341" s="913"/>
      <c r="J2341" s="913" t="s">
        <v>207</v>
      </c>
      <c r="K2341" s="818" t="s">
        <v>19</v>
      </c>
      <c r="L2341" s="182"/>
      <c r="M2341" s="913"/>
      <c r="N2341" s="512"/>
      <c r="O2341" s="512"/>
      <c r="P2341" s="512"/>
      <c r="Q2341" s="512"/>
      <c r="R2341" s="512"/>
      <c r="S2341" s="512"/>
      <c r="T2341" s="512"/>
      <c r="U2341" s="512"/>
      <c r="V2341" s="512"/>
      <c r="W2341" s="512"/>
    </row>
    <row r="2342" s="800" customFormat="1" ht="17" customHeight="1" spans="1:23">
      <c r="A2342" s="818" t="s">
        <v>1735</v>
      </c>
      <c r="B2342" s="942" t="s">
        <v>1923</v>
      </c>
      <c r="C2342" s="946" t="s">
        <v>1826</v>
      </c>
      <c r="D2342" s="439">
        <v>1</v>
      </c>
      <c r="E2342" s="281"/>
      <c r="F2342" s="915">
        <v>45972</v>
      </c>
      <c r="G2342" s="915" t="s">
        <v>1920</v>
      </c>
      <c r="H2342" s="937"/>
      <c r="I2342" s="913"/>
      <c r="J2342" s="913" t="s">
        <v>207</v>
      </c>
      <c r="K2342" s="818" t="s">
        <v>19</v>
      </c>
      <c r="L2342" s="182"/>
      <c r="M2342" s="913"/>
      <c r="N2342" s="512"/>
      <c r="O2342" s="512"/>
      <c r="P2342" s="512"/>
      <c r="Q2342" s="512"/>
      <c r="R2342" s="512"/>
      <c r="S2342" s="512"/>
      <c r="T2342" s="512"/>
      <c r="U2342" s="512"/>
      <c r="V2342" s="512"/>
      <c r="W2342" s="512"/>
    </row>
    <row r="2343" s="800" customFormat="1" ht="17" customHeight="1" spans="1:23">
      <c r="A2343" s="818" t="s">
        <v>1735</v>
      </c>
      <c r="B2343" s="942" t="s">
        <v>1923</v>
      </c>
      <c r="C2343" s="946" t="s">
        <v>1827</v>
      </c>
      <c r="D2343" s="439">
        <v>6</v>
      </c>
      <c r="E2343" s="281"/>
      <c r="F2343" s="915">
        <v>45972</v>
      </c>
      <c r="G2343" s="915" t="s">
        <v>1920</v>
      </c>
      <c r="H2343" s="937"/>
      <c r="I2343" s="913"/>
      <c r="J2343" s="913" t="s">
        <v>207</v>
      </c>
      <c r="K2343" s="818" t="s">
        <v>19</v>
      </c>
      <c r="L2343" s="182"/>
      <c r="M2343" s="913"/>
      <c r="N2343" s="512"/>
      <c r="O2343" s="512"/>
      <c r="P2343" s="512"/>
      <c r="Q2343" s="512"/>
      <c r="R2343" s="512"/>
      <c r="S2343" s="512"/>
      <c r="T2343" s="512"/>
      <c r="U2343" s="512"/>
      <c r="V2343" s="512"/>
      <c r="W2343" s="512"/>
    </row>
    <row r="2344" s="800" customFormat="1" ht="17" customHeight="1" spans="1:23">
      <c r="A2344" s="818" t="s">
        <v>1735</v>
      </c>
      <c r="B2344" s="942" t="s">
        <v>1923</v>
      </c>
      <c r="C2344" s="946" t="s">
        <v>1828</v>
      </c>
      <c r="D2344" s="439">
        <v>6</v>
      </c>
      <c r="E2344" s="281"/>
      <c r="F2344" s="915">
        <v>45972</v>
      </c>
      <c r="G2344" s="915" t="s">
        <v>1920</v>
      </c>
      <c r="H2344" s="937"/>
      <c r="I2344" s="913"/>
      <c r="J2344" s="913" t="s">
        <v>207</v>
      </c>
      <c r="K2344" s="818" t="s">
        <v>19</v>
      </c>
      <c r="L2344" s="182"/>
      <c r="M2344" s="913"/>
      <c r="N2344" s="512"/>
      <c r="O2344" s="512"/>
      <c r="P2344" s="512"/>
      <c r="Q2344" s="512"/>
      <c r="R2344" s="512"/>
      <c r="S2344" s="512"/>
      <c r="T2344" s="512"/>
      <c r="U2344" s="512"/>
      <c r="V2344" s="512"/>
      <c r="W2344" s="512"/>
    </row>
    <row r="2345" s="800" customFormat="1" ht="17" customHeight="1" spans="1:23">
      <c r="A2345" s="818" t="s">
        <v>1735</v>
      </c>
      <c r="B2345" s="942" t="s">
        <v>1923</v>
      </c>
      <c r="C2345" s="946" t="s">
        <v>1833</v>
      </c>
      <c r="D2345" s="439">
        <v>1</v>
      </c>
      <c r="E2345" s="281"/>
      <c r="F2345" s="915">
        <v>45972</v>
      </c>
      <c r="G2345" s="915" t="s">
        <v>1920</v>
      </c>
      <c r="H2345" s="937"/>
      <c r="I2345" s="913"/>
      <c r="J2345" s="913" t="s">
        <v>207</v>
      </c>
      <c r="K2345" s="818" t="s">
        <v>19</v>
      </c>
      <c r="L2345" s="182"/>
      <c r="M2345" s="913"/>
      <c r="N2345" s="512"/>
      <c r="O2345" s="512"/>
      <c r="P2345" s="512"/>
      <c r="Q2345" s="512"/>
      <c r="R2345" s="512"/>
      <c r="S2345" s="512"/>
      <c r="T2345" s="512"/>
      <c r="U2345" s="512"/>
      <c r="V2345" s="512"/>
      <c r="W2345" s="512"/>
    </row>
    <row r="2346" s="800" customFormat="1" ht="17" customHeight="1" spans="1:23">
      <c r="A2346" s="818" t="s">
        <v>1735</v>
      </c>
      <c r="B2346" s="942" t="s">
        <v>1923</v>
      </c>
      <c r="C2346" s="946" t="s">
        <v>1834</v>
      </c>
      <c r="D2346" s="439">
        <v>1</v>
      </c>
      <c r="E2346" s="281"/>
      <c r="F2346" s="915">
        <v>45972</v>
      </c>
      <c r="G2346" s="915" t="s">
        <v>1920</v>
      </c>
      <c r="H2346" s="937"/>
      <c r="I2346" s="913"/>
      <c r="J2346" s="913" t="s">
        <v>207</v>
      </c>
      <c r="K2346" s="818" t="s">
        <v>19</v>
      </c>
      <c r="L2346" s="182"/>
      <c r="M2346" s="913"/>
      <c r="N2346" s="512"/>
      <c r="O2346" s="512"/>
      <c r="P2346" s="512"/>
      <c r="Q2346" s="512"/>
      <c r="R2346" s="512"/>
      <c r="S2346" s="512"/>
      <c r="T2346" s="512"/>
      <c r="U2346" s="512"/>
      <c r="V2346" s="512"/>
      <c r="W2346" s="512"/>
    </row>
    <row r="2347" s="800" customFormat="1" ht="17" customHeight="1" spans="1:23">
      <c r="A2347" s="818" t="s">
        <v>1735</v>
      </c>
      <c r="B2347" s="942" t="s">
        <v>1923</v>
      </c>
      <c r="C2347" s="946" t="s">
        <v>1771</v>
      </c>
      <c r="D2347" s="439">
        <v>3</v>
      </c>
      <c r="E2347" s="281"/>
      <c r="F2347" s="915">
        <v>45972</v>
      </c>
      <c r="G2347" s="915" t="s">
        <v>1920</v>
      </c>
      <c r="H2347" s="937"/>
      <c r="I2347" s="913"/>
      <c r="J2347" s="913" t="s">
        <v>207</v>
      </c>
      <c r="K2347" s="818" t="s">
        <v>19</v>
      </c>
      <c r="L2347" s="182"/>
      <c r="M2347" s="913"/>
      <c r="N2347" s="512"/>
      <c r="O2347" s="512"/>
      <c r="P2347" s="512"/>
      <c r="Q2347" s="512"/>
      <c r="R2347" s="512"/>
      <c r="S2347" s="512"/>
      <c r="T2347" s="512"/>
      <c r="U2347" s="512"/>
      <c r="V2347" s="512"/>
      <c r="W2347" s="512"/>
    </row>
    <row r="2348" s="800" customFormat="1" ht="17" customHeight="1" spans="1:23">
      <c r="A2348" s="818" t="s">
        <v>1735</v>
      </c>
      <c r="B2348" s="942" t="s">
        <v>1923</v>
      </c>
      <c r="C2348" s="946" t="s">
        <v>1835</v>
      </c>
      <c r="D2348" s="439">
        <v>3</v>
      </c>
      <c r="E2348" s="281"/>
      <c r="F2348" s="915">
        <v>45972</v>
      </c>
      <c r="G2348" s="915" t="s">
        <v>1920</v>
      </c>
      <c r="H2348" s="937"/>
      <c r="I2348" s="913"/>
      <c r="J2348" s="913" t="s">
        <v>207</v>
      </c>
      <c r="K2348" s="818" t="s">
        <v>19</v>
      </c>
      <c r="L2348" s="182"/>
      <c r="M2348" s="913"/>
      <c r="N2348" s="512"/>
      <c r="O2348" s="512"/>
      <c r="P2348" s="512"/>
      <c r="Q2348" s="512"/>
      <c r="R2348" s="512"/>
      <c r="S2348" s="512"/>
      <c r="T2348" s="512"/>
      <c r="U2348" s="512"/>
      <c r="V2348" s="512"/>
      <c r="W2348" s="512"/>
    </row>
    <row r="2349" s="800" customFormat="1" ht="17" customHeight="1" spans="1:23">
      <c r="A2349" s="818" t="s">
        <v>1735</v>
      </c>
      <c r="B2349" s="942" t="s">
        <v>1923</v>
      </c>
      <c r="C2349" s="946" t="s">
        <v>1836</v>
      </c>
      <c r="D2349" s="439">
        <v>9</v>
      </c>
      <c r="E2349" s="281"/>
      <c r="F2349" s="915">
        <v>45972</v>
      </c>
      <c r="G2349" s="915" t="s">
        <v>1920</v>
      </c>
      <c r="H2349" s="937"/>
      <c r="I2349" s="913"/>
      <c r="J2349" s="913" t="s">
        <v>207</v>
      </c>
      <c r="K2349" s="818" t="s">
        <v>19</v>
      </c>
      <c r="L2349" s="182"/>
      <c r="M2349" s="913"/>
      <c r="N2349" s="512"/>
      <c r="O2349" s="512"/>
      <c r="P2349" s="512"/>
      <c r="Q2349" s="512"/>
      <c r="R2349" s="512"/>
      <c r="S2349" s="512"/>
      <c r="T2349" s="512"/>
      <c r="U2349" s="512"/>
      <c r="V2349" s="512"/>
      <c r="W2349" s="512"/>
    </row>
    <row r="2350" s="800" customFormat="1" ht="17" customHeight="1" spans="1:23">
      <c r="A2350" s="818" t="s">
        <v>1735</v>
      </c>
      <c r="B2350" s="942" t="s">
        <v>1923</v>
      </c>
      <c r="C2350" s="946" t="s">
        <v>1837</v>
      </c>
      <c r="D2350" s="439">
        <v>9</v>
      </c>
      <c r="E2350" s="281"/>
      <c r="F2350" s="915">
        <v>45972</v>
      </c>
      <c r="G2350" s="915" t="s">
        <v>1920</v>
      </c>
      <c r="H2350" s="937"/>
      <c r="I2350" s="913"/>
      <c r="J2350" s="913" t="s">
        <v>207</v>
      </c>
      <c r="K2350" s="818" t="s">
        <v>19</v>
      </c>
      <c r="L2350" s="182"/>
      <c r="M2350" s="913"/>
      <c r="N2350" s="512"/>
      <c r="O2350" s="512"/>
      <c r="P2350" s="512"/>
      <c r="Q2350" s="512"/>
      <c r="R2350" s="512"/>
      <c r="S2350" s="512"/>
      <c r="T2350" s="512"/>
      <c r="U2350" s="512"/>
      <c r="V2350" s="512"/>
      <c r="W2350" s="512"/>
    </row>
    <row r="2351" s="800" customFormat="1" ht="17" customHeight="1" spans="1:23">
      <c r="A2351" s="818" t="s">
        <v>1735</v>
      </c>
      <c r="B2351" s="942" t="s">
        <v>1923</v>
      </c>
      <c r="C2351" s="914" t="s">
        <v>1780</v>
      </c>
      <c r="D2351" s="439">
        <v>7</v>
      </c>
      <c r="E2351" s="281"/>
      <c r="F2351" s="915">
        <v>45972</v>
      </c>
      <c r="G2351" s="915" t="s">
        <v>1920</v>
      </c>
      <c r="H2351" s="937"/>
      <c r="I2351" s="913"/>
      <c r="J2351" s="913" t="s">
        <v>207</v>
      </c>
      <c r="K2351" s="818" t="s">
        <v>19</v>
      </c>
      <c r="L2351" s="182"/>
      <c r="M2351" s="913"/>
      <c r="N2351" s="512"/>
      <c r="O2351" s="512"/>
      <c r="P2351" s="512"/>
      <c r="Q2351" s="512"/>
      <c r="R2351" s="512"/>
      <c r="S2351" s="512"/>
      <c r="T2351" s="512"/>
      <c r="U2351" s="512"/>
      <c r="V2351" s="512"/>
      <c r="W2351" s="512"/>
    </row>
    <row r="2352" s="800" customFormat="1" ht="17" customHeight="1" spans="1:23">
      <c r="A2352" s="818" t="s">
        <v>1735</v>
      </c>
      <c r="B2352" s="942" t="s">
        <v>1923</v>
      </c>
      <c r="C2352" s="914" t="s">
        <v>1781</v>
      </c>
      <c r="D2352" s="439">
        <v>7</v>
      </c>
      <c r="E2352" s="281"/>
      <c r="F2352" s="915">
        <v>45972</v>
      </c>
      <c r="G2352" s="915" t="s">
        <v>1920</v>
      </c>
      <c r="H2352" s="937"/>
      <c r="I2352" s="913"/>
      <c r="J2352" s="913" t="s">
        <v>207</v>
      </c>
      <c r="K2352" s="818" t="s">
        <v>19</v>
      </c>
      <c r="L2352" s="182"/>
      <c r="M2352" s="913"/>
      <c r="N2352" s="512"/>
      <c r="O2352" s="512"/>
      <c r="P2352" s="512"/>
      <c r="Q2352" s="512"/>
      <c r="R2352" s="512"/>
      <c r="S2352" s="512"/>
      <c r="T2352" s="512"/>
      <c r="U2352" s="512"/>
      <c r="V2352" s="512"/>
      <c r="W2352" s="512"/>
    </row>
    <row r="2353" s="800" customFormat="1" ht="17" customHeight="1" spans="1:23">
      <c r="A2353" s="818" t="s">
        <v>1735</v>
      </c>
      <c r="B2353" s="942" t="s">
        <v>1923</v>
      </c>
      <c r="C2353" s="946" t="s">
        <v>1782</v>
      </c>
      <c r="D2353" s="439">
        <v>1</v>
      </c>
      <c r="E2353" s="281"/>
      <c r="F2353" s="915">
        <v>45972</v>
      </c>
      <c r="G2353" s="915" t="s">
        <v>1920</v>
      </c>
      <c r="H2353" s="937"/>
      <c r="I2353" s="913"/>
      <c r="J2353" s="913" t="s">
        <v>207</v>
      </c>
      <c r="K2353" s="818" t="s">
        <v>19</v>
      </c>
      <c r="L2353" s="182"/>
      <c r="M2353" s="913"/>
      <c r="N2353" s="512"/>
      <c r="O2353" s="512"/>
      <c r="P2353" s="512"/>
      <c r="Q2353" s="512"/>
      <c r="R2353" s="512"/>
      <c r="S2353" s="512"/>
      <c r="T2353" s="512"/>
      <c r="U2353" s="512"/>
      <c r="V2353" s="512"/>
      <c r="W2353" s="512"/>
    </row>
    <row r="2354" s="800" customFormat="1" ht="17" customHeight="1" spans="1:23">
      <c r="A2354" s="818" t="s">
        <v>1735</v>
      </c>
      <c r="B2354" s="942" t="s">
        <v>1923</v>
      </c>
      <c r="C2354" s="946" t="s">
        <v>1783</v>
      </c>
      <c r="D2354" s="439">
        <v>1</v>
      </c>
      <c r="E2354" s="281"/>
      <c r="F2354" s="915">
        <v>45972</v>
      </c>
      <c r="G2354" s="915" t="s">
        <v>1920</v>
      </c>
      <c r="H2354" s="937"/>
      <c r="I2354" s="913"/>
      <c r="J2354" s="913" t="s">
        <v>207</v>
      </c>
      <c r="K2354" s="818" t="s">
        <v>19</v>
      </c>
      <c r="L2354" s="182"/>
      <c r="M2354" s="913"/>
      <c r="N2354" s="512"/>
      <c r="O2354" s="512"/>
      <c r="P2354" s="512"/>
      <c r="Q2354" s="512"/>
      <c r="R2354" s="512"/>
      <c r="S2354" s="512"/>
      <c r="T2354" s="512"/>
      <c r="U2354" s="512"/>
      <c r="V2354" s="512"/>
      <c r="W2354" s="512"/>
    </row>
    <row r="2355" s="800" customFormat="1" ht="17" customHeight="1" spans="1:23">
      <c r="A2355" s="818" t="s">
        <v>1735</v>
      </c>
      <c r="B2355" s="942" t="s">
        <v>1923</v>
      </c>
      <c r="C2355" s="914" t="s">
        <v>1784</v>
      </c>
      <c r="D2355" s="439">
        <v>1</v>
      </c>
      <c r="E2355" s="281"/>
      <c r="F2355" s="915">
        <v>45972</v>
      </c>
      <c r="G2355" s="915" t="s">
        <v>1920</v>
      </c>
      <c r="H2355" s="937"/>
      <c r="I2355" s="913"/>
      <c r="J2355" s="913" t="s">
        <v>207</v>
      </c>
      <c r="K2355" s="818" t="s">
        <v>19</v>
      </c>
      <c r="L2355" s="182"/>
      <c r="M2355" s="913"/>
      <c r="N2355" s="512"/>
      <c r="O2355" s="512"/>
      <c r="P2355" s="512"/>
      <c r="Q2355" s="512"/>
      <c r="R2355" s="512"/>
      <c r="S2355" s="512"/>
      <c r="T2355" s="512"/>
      <c r="U2355" s="512"/>
      <c r="V2355" s="512"/>
      <c r="W2355" s="512"/>
    </row>
    <row r="2356" s="800" customFormat="1" ht="17" customHeight="1" spans="1:23">
      <c r="A2356" s="818" t="s">
        <v>1735</v>
      </c>
      <c r="B2356" s="942" t="s">
        <v>1923</v>
      </c>
      <c r="C2356" s="946" t="s">
        <v>1785</v>
      </c>
      <c r="D2356" s="439">
        <v>1</v>
      </c>
      <c r="E2356" s="281"/>
      <c r="F2356" s="915">
        <v>45972</v>
      </c>
      <c r="G2356" s="915" t="s">
        <v>1920</v>
      </c>
      <c r="H2356" s="937"/>
      <c r="I2356" s="913"/>
      <c r="J2356" s="913" t="s">
        <v>207</v>
      </c>
      <c r="K2356" s="818" t="s">
        <v>19</v>
      </c>
      <c r="L2356" s="182"/>
      <c r="M2356" s="913"/>
      <c r="N2356" s="512"/>
      <c r="O2356" s="512"/>
      <c r="P2356" s="512"/>
      <c r="Q2356" s="512"/>
      <c r="R2356" s="512"/>
      <c r="S2356" s="512"/>
      <c r="T2356" s="512"/>
      <c r="U2356" s="512"/>
      <c r="V2356" s="512"/>
      <c r="W2356" s="512"/>
    </row>
    <row r="2357" s="800" customFormat="1" ht="17" customHeight="1" spans="1:23">
      <c r="A2357" s="818" t="s">
        <v>1735</v>
      </c>
      <c r="B2357" s="942" t="s">
        <v>1923</v>
      </c>
      <c r="C2357" s="946" t="s">
        <v>1786</v>
      </c>
      <c r="D2357" s="439">
        <v>1</v>
      </c>
      <c r="E2357" s="281"/>
      <c r="F2357" s="915">
        <v>45972</v>
      </c>
      <c r="G2357" s="915" t="s">
        <v>1920</v>
      </c>
      <c r="H2357" s="937"/>
      <c r="I2357" s="913"/>
      <c r="J2357" s="913" t="s">
        <v>207</v>
      </c>
      <c r="K2357" s="818" t="s">
        <v>19</v>
      </c>
      <c r="L2357" s="182"/>
      <c r="M2357" s="913"/>
      <c r="N2357" s="512"/>
      <c r="O2357" s="512"/>
      <c r="P2357" s="512"/>
      <c r="Q2357" s="512"/>
      <c r="R2357" s="512"/>
      <c r="S2357" s="512"/>
      <c r="T2357" s="512"/>
      <c r="U2357" s="512"/>
      <c r="V2357" s="512"/>
      <c r="W2357" s="512"/>
    </row>
    <row r="2358" s="800" customFormat="1" ht="17.25" customHeight="1" spans="1:23">
      <c r="A2358" s="818" t="s">
        <v>1927</v>
      </c>
      <c r="B2358" s="942" t="s">
        <v>1923</v>
      </c>
      <c r="C2358" s="946" t="s">
        <v>1787</v>
      </c>
      <c r="D2358" s="439">
        <v>1</v>
      </c>
      <c r="E2358" s="281"/>
      <c r="F2358" s="915">
        <v>45972</v>
      </c>
      <c r="G2358" s="915" t="s">
        <v>1920</v>
      </c>
      <c r="H2358" s="937"/>
      <c r="I2358" s="913"/>
      <c r="J2358" s="913" t="s">
        <v>207</v>
      </c>
      <c r="K2358" s="818" t="s">
        <v>19</v>
      </c>
      <c r="L2358" s="182"/>
      <c r="M2358" s="913"/>
      <c r="N2358" s="512"/>
      <c r="O2358" s="512"/>
      <c r="P2358" s="512"/>
      <c r="Q2358" s="512"/>
      <c r="R2358" s="512"/>
      <c r="S2358" s="512"/>
      <c r="T2358" s="512"/>
      <c r="U2358" s="512"/>
      <c r="V2358" s="512"/>
      <c r="W2358" s="512"/>
    </row>
    <row r="2359" ht="19" customHeight="1" spans="1:23">
      <c r="A2359" s="460" t="s">
        <v>1928</v>
      </c>
      <c r="B2359" s="1408" t="s">
        <v>1929</v>
      </c>
      <c r="C2359" s="925" t="s">
        <v>1930</v>
      </c>
      <c r="D2359" s="439">
        <v>3</v>
      </c>
      <c r="E2359" s="914" t="s">
        <v>1931</v>
      </c>
      <c r="F2359" s="1417">
        <v>45925</v>
      </c>
      <c r="G2359" s="899" t="s">
        <v>1920</v>
      </c>
      <c r="H2359" s="899"/>
      <c r="I2359" s="933"/>
      <c r="J2359" s="1419" t="s">
        <v>18</v>
      </c>
      <c r="K2359" s="1407" t="s">
        <v>147</v>
      </c>
      <c r="L2359" s="1410"/>
      <c r="M2359" s="933"/>
      <c r="N2359" s="1154"/>
      <c r="O2359" s="1154"/>
      <c r="P2359" s="1154"/>
      <c r="Q2359" s="1154"/>
      <c r="R2359" s="1154"/>
      <c r="S2359" s="1154"/>
      <c r="T2359" s="1154"/>
      <c r="U2359" s="1154"/>
      <c r="V2359" s="1154"/>
      <c r="W2359" s="1154"/>
    </row>
    <row r="2360" ht="19" customHeight="1" spans="1:23">
      <c r="A2360" s="460" t="s">
        <v>1928</v>
      </c>
      <c r="B2360" s="1408" t="s">
        <v>1929</v>
      </c>
      <c r="C2360" s="925" t="s">
        <v>1932</v>
      </c>
      <c r="D2360" s="439">
        <v>2</v>
      </c>
      <c r="E2360" s="69"/>
      <c r="F2360" s="1417">
        <v>45925</v>
      </c>
      <c r="G2360" s="899" t="s">
        <v>1920</v>
      </c>
      <c r="H2360" s="899"/>
      <c r="I2360" s="933"/>
      <c r="J2360" s="1419" t="s">
        <v>18</v>
      </c>
      <c r="K2360" s="1407" t="s">
        <v>147</v>
      </c>
      <c r="L2360" s="1410"/>
      <c r="M2360" s="933"/>
      <c r="N2360" s="1154"/>
      <c r="O2360" s="1154"/>
      <c r="P2360" s="1154"/>
      <c r="Q2360" s="1154"/>
      <c r="R2360" s="1154"/>
      <c r="S2360" s="1154"/>
      <c r="T2360" s="1154"/>
      <c r="U2360" s="1154"/>
      <c r="V2360" s="1154"/>
      <c r="W2360" s="1154"/>
    </row>
    <row r="2361" ht="19" customHeight="1" spans="1:23">
      <c r="A2361" s="460" t="s">
        <v>1928</v>
      </c>
      <c r="B2361" s="1408" t="s">
        <v>1929</v>
      </c>
      <c r="C2361" s="925" t="s">
        <v>1933</v>
      </c>
      <c r="D2361" s="439">
        <v>4</v>
      </c>
      <c r="E2361" s="69"/>
      <c r="F2361" s="1417">
        <v>45925</v>
      </c>
      <c r="G2361" s="899" t="s">
        <v>1920</v>
      </c>
      <c r="H2361" s="899"/>
      <c r="I2361" s="933"/>
      <c r="J2361" s="1419" t="s">
        <v>18</v>
      </c>
      <c r="K2361" s="1407" t="s">
        <v>147</v>
      </c>
      <c r="L2361" s="1410"/>
      <c r="M2361" s="933"/>
      <c r="N2361" s="1154"/>
      <c r="O2361" s="1154"/>
      <c r="P2361" s="1154"/>
      <c r="Q2361" s="1154"/>
      <c r="R2361" s="1154"/>
      <c r="S2361" s="1154"/>
      <c r="T2361" s="1154"/>
      <c r="U2361" s="1154"/>
      <c r="V2361" s="1154"/>
      <c r="W2361" s="1154"/>
    </row>
    <row r="2362" ht="19" customHeight="1" spans="1:23">
      <c r="A2362" s="460" t="s">
        <v>1928</v>
      </c>
      <c r="B2362" s="1408" t="s">
        <v>1929</v>
      </c>
      <c r="C2362" s="925" t="s">
        <v>475</v>
      </c>
      <c r="D2362" s="439">
        <v>1</v>
      </c>
      <c r="E2362" s="69"/>
      <c r="F2362" s="1417">
        <v>45925</v>
      </c>
      <c r="G2362" s="899" t="s">
        <v>1920</v>
      </c>
      <c r="H2362" s="899"/>
      <c r="I2362" s="933"/>
      <c r="J2362" s="1419" t="s">
        <v>18</v>
      </c>
      <c r="K2362" s="1407" t="s">
        <v>147</v>
      </c>
      <c r="L2362" s="1410"/>
      <c r="M2362" s="933"/>
      <c r="N2362" s="1154"/>
      <c r="O2362" s="1154"/>
      <c r="P2362" s="1154"/>
      <c r="Q2362" s="1154"/>
      <c r="R2362" s="1154"/>
      <c r="S2362" s="1154"/>
      <c r="T2362" s="1154"/>
      <c r="U2362" s="1154"/>
      <c r="V2362" s="1154"/>
      <c r="W2362" s="1154"/>
    </row>
    <row r="2363" ht="19" customHeight="1" spans="1:23">
      <c r="A2363" s="460" t="s">
        <v>1928</v>
      </c>
      <c r="B2363" s="1408" t="s">
        <v>1929</v>
      </c>
      <c r="C2363" s="925" t="s">
        <v>1934</v>
      </c>
      <c r="D2363" s="439">
        <v>1</v>
      </c>
      <c r="E2363" s="69"/>
      <c r="F2363" s="1417">
        <v>45925</v>
      </c>
      <c r="G2363" s="899" t="s">
        <v>1920</v>
      </c>
      <c r="H2363" s="899"/>
      <c r="I2363" s="933"/>
      <c r="J2363" s="1419" t="s">
        <v>18</v>
      </c>
      <c r="K2363" s="1407" t="s">
        <v>147</v>
      </c>
      <c r="L2363" s="1410"/>
      <c r="M2363" s="933"/>
      <c r="N2363" s="1154"/>
      <c r="O2363" s="1154"/>
      <c r="P2363" s="1154"/>
      <c r="Q2363" s="1154"/>
      <c r="R2363" s="1154"/>
      <c r="S2363" s="1154"/>
      <c r="T2363" s="1154"/>
      <c r="U2363" s="1154"/>
      <c r="V2363" s="1154"/>
      <c r="W2363" s="1154"/>
    </row>
    <row r="2364" ht="19" customHeight="1" spans="1:23">
      <c r="A2364" s="460" t="s">
        <v>1928</v>
      </c>
      <c r="B2364" s="1408" t="s">
        <v>1929</v>
      </c>
      <c r="C2364" s="925" t="s">
        <v>129</v>
      </c>
      <c r="D2364" s="439">
        <v>35</v>
      </c>
      <c r="E2364" s="69"/>
      <c r="F2364" s="1417">
        <v>45925</v>
      </c>
      <c r="G2364" s="899" t="s">
        <v>1920</v>
      </c>
      <c r="H2364" s="899"/>
      <c r="I2364" s="933"/>
      <c r="J2364" s="1419" t="s">
        <v>18</v>
      </c>
      <c r="K2364" s="1407" t="s">
        <v>147</v>
      </c>
      <c r="L2364" s="1410"/>
      <c r="M2364" s="933"/>
      <c r="N2364" s="1154"/>
      <c r="O2364" s="1154"/>
      <c r="P2364" s="1154"/>
      <c r="Q2364" s="1154"/>
      <c r="R2364" s="1154"/>
      <c r="S2364" s="1154"/>
      <c r="T2364" s="1154"/>
      <c r="U2364" s="1154"/>
      <c r="V2364" s="1154"/>
      <c r="W2364" s="1154"/>
    </row>
    <row r="2365" ht="19" customHeight="1" spans="1:23">
      <c r="A2365" s="460" t="s">
        <v>1928</v>
      </c>
      <c r="B2365" s="1408" t="s">
        <v>1929</v>
      </c>
      <c r="C2365" s="925" t="s">
        <v>135</v>
      </c>
      <c r="D2365" s="439">
        <v>8</v>
      </c>
      <c r="E2365" s="69"/>
      <c r="F2365" s="1417">
        <v>45925</v>
      </c>
      <c r="G2365" s="899" t="s">
        <v>1920</v>
      </c>
      <c r="H2365" s="899"/>
      <c r="I2365" s="933"/>
      <c r="J2365" s="1419" t="s">
        <v>18</v>
      </c>
      <c r="K2365" s="1407" t="s">
        <v>147</v>
      </c>
      <c r="L2365" s="1410"/>
      <c r="M2365" s="933"/>
      <c r="N2365" s="1154"/>
      <c r="O2365" s="1154"/>
      <c r="P2365" s="1154"/>
      <c r="Q2365" s="1154"/>
      <c r="R2365" s="1154"/>
      <c r="S2365" s="1154"/>
      <c r="T2365" s="1154"/>
      <c r="U2365" s="1154"/>
      <c r="V2365" s="1154"/>
      <c r="W2365" s="1154"/>
    </row>
    <row r="2366" ht="19" customHeight="1" spans="1:23">
      <c r="A2366" s="460" t="s">
        <v>1928</v>
      </c>
      <c r="B2366" s="1408" t="s">
        <v>1929</v>
      </c>
      <c r="C2366" s="925" t="s">
        <v>1741</v>
      </c>
      <c r="D2366" s="439">
        <v>200</v>
      </c>
      <c r="E2366" s="69"/>
      <c r="F2366" s="1417">
        <v>45925</v>
      </c>
      <c r="G2366" s="899" t="s">
        <v>1920</v>
      </c>
      <c r="H2366" s="899"/>
      <c r="I2366" s="933"/>
      <c r="J2366" s="1419" t="s">
        <v>18</v>
      </c>
      <c r="K2366" s="1407" t="s">
        <v>147</v>
      </c>
      <c r="L2366" s="1410"/>
      <c r="M2366" s="933"/>
      <c r="N2366" s="1154"/>
      <c r="O2366" s="1154"/>
      <c r="P2366" s="1154"/>
      <c r="Q2366" s="1154"/>
      <c r="R2366" s="1154"/>
      <c r="S2366" s="1154"/>
      <c r="T2366" s="1154"/>
      <c r="U2366" s="1154"/>
      <c r="V2366" s="1154"/>
      <c r="W2366" s="1154"/>
    </row>
    <row r="2367" ht="19" customHeight="1" spans="1:23">
      <c r="A2367" s="460" t="s">
        <v>1928</v>
      </c>
      <c r="B2367" s="1408" t="s">
        <v>1929</v>
      </c>
      <c r="C2367" s="925" t="s">
        <v>1878</v>
      </c>
      <c r="D2367" s="439">
        <v>48</v>
      </c>
      <c r="E2367" s="69"/>
      <c r="F2367" s="1417">
        <v>45925</v>
      </c>
      <c r="G2367" s="899" t="s">
        <v>1920</v>
      </c>
      <c r="H2367" s="899"/>
      <c r="I2367" s="933"/>
      <c r="J2367" s="1419" t="s">
        <v>18</v>
      </c>
      <c r="K2367" s="1407" t="s">
        <v>147</v>
      </c>
      <c r="L2367" s="1410"/>
      <c r="M2367" s="933"/>
      <c r="N2367" s="1154"/>
      <c r="O2367" s="1154"/>
      <c r="P2367" s="1154"/>
      <c r="Q2367" s="1154"/>
      <c r="R2367" s="1154"/>
      <c r="S2367" s="1154"/>
      <c r="T2367" s="1154"/>
      <c r="U2367" s="1154"/>
      <c r="V2367" s="1154"/>
      <c r="W2367" s="1154"/>
    </row>
    <row r="2368" ht="20" customHeight="1" spans="1:23">
      <c r="A2368" s="460" t="s">
        <v>1928</v>
      </c>
      <c r="B2368" s="1408" t="s">
        <v>1935</v>
      </c>
      <c r="C2368" s="925" t="s">
        <v>1741</v>
      </c>
      <c r="D2368" s="439">
        <v>100</v>
      </c>
      <c r="E2368" s="914" t="s">
        <v>1936</v>
      </c>
      <c r="F2368" s="1417">
        <v>45925</v>
      </c>
      <c r="G2368" s="899" t="s">
        <v>1920</v>
      </c>
      <c r="H2368" s="899"/>
      <c r="I2368" s="933"/>
      <c r="J2368" s="1419" t="s">
        <v>18</v>
      </c>
      <c r="K2368" s="1407" t="s">
        <v>147</v>
      </c>
      <c r="L2368" s="1410"/>
      <c r="M2368" s="933"/>
      <c r="N2368" s="1154"/>
      <c r="O2368" s="1154"/>
      <c r="P2368" s="1154"/>
      <c r="Q2368" s="1154"/>
      <c r="R2368" s="1154"/>
      <c r="S2368" s="1154"/>
      <c r="T2368" s="1154"/>
      <c r="U2368" s="1154"/>
      <c r="V2368" s="1154"/>
      <c r="W2368" s="1154"/>
    </row>
    <row r="2369" ht="20" customHeight="1" spans="1:23">
      <c r="A2369" s="460" t="s">
        <v>1928</v>
      </c>
      <c r="B2369" s="1408" t="s">
        <v>1935</v>
      </c>
      <c r="C2369" s="925" t="s">
        <v>1723</v>
      </c>
      <c r="D2369" s="439">
        <v>160</v>
      </c>
      <c r="E2369" s="69"/>
      <c r="F2369" s="1417">
        <v>45925</v>
      </c>
      <c r="G2369" s="899" t="s">
        <v>1920</v>
      </c>
      <c r="H2369" s="899"/>
      <c r="I2369" s="933"/>
      <c r="J2369" s="1419" t="s">
        <v>18</v>
      </c>
      <c r="K2369" s="1407" t="s">
        <v>147</v>
      </c>
      <c r="L2369" s="1410"/>
      <c r="M2369" s="933"/>
      <c r="N2369" s="1154"/>
      <c r="O2369" s="1154"/>
      <c r="P2369" s="1154"/>
      <c r="Q2369" s="1154"/>
      <c r="R2369" s="1154"/>
      <c r="S2369" s="1154"/>
      <c r="T2369" s="1154"/>
      <c r="U2369" s="1154"/>
      <c r="V2369" s="1154"/>
      <c r="W2369" s="1154"/>
    </row>
    <row r="2370" ht="20" customHeight="1" spans="1:23">
      <c r="A2370" s="460" t="s">
        <v>1928</v>
      </c>
      <c r="B2370" s="1408" t="s">
        <v>1935</v>
      </c>
      <c r="C2370" s="925" t="s">
        <v>1878</v>
      </c>
      <c r="D2370" s="439">
        <v>48</v>
      </c>
      <c r="E2370" s="69"/>
      <c r="F2370" s="1417">
        <v>45925</v>
      </c>
      <c r="G2370" s="899" t="s">
        <v>1920</v>
      </c>
      <c r="H2370" s="899"/>
      <c r="I2370" s="933"/>
      <c r="J2370" s="1419" t="s">
        <v>18</v>
      </c>
      <c r="K2370" s="1407" t="s">
        <v>147</v>
      </c>
      <c r="L2370" s="1410"/>
      <c r="M2370" s="933"/>
      <c r="N2370" s="1154"/>
      <c r="O2370" s="1154"/>
      <c r="P2370" s="1154"/>
      <c r="Q2370" s="1154"/>
      <c r="R2370" s="1154"/>
      <c r="S2370" s="1154"/>
      <c r="T2370" s="1154"/>
      <c r="U2370" s="1154"/>
      <c r="V2370" s="1154"/>
      <c r="W2370" s="1154"/>
    </row>
    <row r="2371" ht="20" customHeight="1" spans="1:23">
      <c r="A2371" s="460" t="s">
        <v>1928</v>
      </c>
      <c r="B2371" s="1408" t="s">
        <v>1937</v>
      </c>
      <c r="C2371" s="925" t="s">
        <v>1723</v>
      </c>
      <c r="D2371" s="439">
        <v>260</v>
      </c>
      <c r="E2371" s="914" t="s">
        <v>1938</v>
      </c>
      <c r="F2371" s="1417">
        <v>45925</v>
      </c>
      <c r="G2371" s="899" t="s">
        <v>1920</v>
      </c>
      <c r="H2371" s="899"/>
      <c r="I2371" s="933"/>
      <c r="J2371" s="1419" t="s">
        <v>18</v>
      </c>
      <c r="K2371" s="1407" t="s">
        <v>147</v>
      </c>
      <c r="L2371" s="1410"/>
      <c r="M2371" s="933"/>
      <c r="N2371" s="1154"/>
      <c r="O2371" s="1154"/>
      <c r="P2371" s="1154"/>
      <c r="Q2371" s="1154"/>
      <c r="R2371" s="1154"/>
      <c r="S2371" s="1154"/>
      <c r="T2371" s="1154"/>
      <c r="U2371" s="1154"/>
      <c r="V2371" s="1154"/>
      <c r="W2371" s="1154"/>
    </row>
    <row r="2372" ht="20" customHeight="1" spans="1:23">
      <c r="A2372" s="460" t="s">
        <v>1928</v>
      </c>
      <c r="B2372" s="1408" t="s">
        <v>1937</v>
      </c>
      <c r="C2372" s="925" t="s">
        <v>1878</v>
      </c>
      <c r="D2372" s="439">
        <v>48</v>
      </c>
      <c r="E2372" s="69"/>
      <c r="F2372" s="1417">
        <v>45925</v>
      </c>
      <c r="G2372" s="899" t="s">
        <v>1920</v>
      </c>
      <c r="H2372" s="899"/>
      <c r="I2372" s="933"/>
      <c r="J2372" s="1419" t="s">
        <v>18</v>
      </c>
      <c r="K2372" s="1407" t="s">
        <v>147</v>
      </c>
      <c r="L2372" s="1410"/>
      <c r="M2372" s="933"/>
      <c r="N2372" s="1154"/>
      <c r="O2372" s="1154"/>
      <c r="P2372" s="1154"/>
      <c r="Q2372" s="1154"/>
      <c r="R2372" s="1154"/>
      <c r="S2372" s="1154"/>
      <c r="T2372" s="1154"/>
      <c r="U2372" s="1154"/>
      <c r="V2372" s="1154"/>
      <c r="W2372" s="1154"/>
    </row>
    <row r="2373" ht="20" customHeight="1" spans="1:23">
      <c r="A2373" s="460" t="s">
        <v>1928</v>
      </c>
      <c r="B2373" s="1408" t="s">
        <v>1939</v>
      </c>
      <c r="C2373" s="925" t="s">
        <v>1723</v>
      </c>
      <c r="D2373" s="439">
        <v>80</v>
      </c>
      <c r="E2373" s="914" t="s">
        <v>1940</v>
      </c>
      <c r="F2373" s="1417">
        <v>45925</v>
      </c>
      <c r="G2373" s="899" t="s">
        <v>1920</v>
      </c>
      <c r="H2373" s="899"/>
      <c r="I2373" s="933"/>
      <c r="J2373" s="1419" t="s">
        <v>18</v>
      </c>
      <c r="K2373" s="1407" t="s">
        <v>147</v>
      </c>
      <c r="L2373" s="1410"/>
      <c r="M2373" s="933"/>
      <c r="N2373" s="1154"/>
      <c r="O2373" s="1154"/>
      <c r="P2373" s="1154"/>
      <c r="Q2373" s="1154"/>
      <c r="R2373" s="1154"/>
      <c r="S2373" s="1154"/>
      <c r="T2373" s="1154"/>
      <c r="U2373" s="1154"/>
      <c r="V2373" s="1154"/>
      <c r="W2373" s="1154"/>
    </row>
    <row r="2374" ht="20" customHeight="1" spans="1:23">
      <c r="A2374" s="460" t="s">
        <v>1928</v>
      </c>
      <c r="B2374" s="1408" t="s">
        <v>1939</v>
      </c>
      <c r="C2374" s="925" t="s">
        <v>1747</v>
      </c>
      <c r="D2374" s="439">
        <v>130</v>
      </c>
      <c r="E2374" s="69"/>
      <c r="F2374" s="1417">
        <v>45925</v>
      </c>
      <c r="G2374" s="899" t="s">
        <v>1920</v>
      </c>
      <c r="H2374" s="899"/>
      <c r="I2374" s="933"/>
      <c r="J2374" s="1419" t="s">
        <v>18</v>
      </c>
      <c r="K2374" s="1407" t="s">
        <v>147</v>
      </c>
      <c r="L2374" s="1410"/>
      <c r="M2374" s="933"/>
      <c r="N2374" s="1154"/>
      <c r="O2374" s="1154"/>
      <c r="P2374" s="1154"/>
      <c r="Q2374" s="1154"/>
      <c r="R2374" s="1154"/>
      <c r="S2374" s="1154"/>
      <c r="T2374" s="1154"/>
      <c r="U2374" s="1154"/>
      <c r="V2374" s="1154"/>
      <c r="W2374" s="1154"/>
    </row>
    <row r="2375" ht="20" customHeight="1" spans="1:23">
      <c r="A2375" s="460" t="s">
        <v>1928</v>
      </c>
      <c r="B2375" s="1408" t="s">
        <v>1939</v>
      </c>
      <c r="C2375" s="925" t="s">
        <v>1878</v>
      </c>
      <c r="D2375" s="439">
        <v>48</v>
      </c>
      <c r="E2375" s="69"/>
      <c r="F2375" s="1417">
        <v>45925</v>
      </c>
      <c r="G2375" s="899" t="s">
        <v>1920</v>
      </c>
      <c r="H2375" s="899"/>
      <c r="I2375" s="933"/>
      <c r="J2375" s="1419" t="s">
        <v>18</v>
      </c>
      <c r="K2375" s="1407" t="s">
        <v>147</v>
      </c>
      <c r="L2375" s="1410"/>
      <c r="M2375" s="933"/>
      <c r="N2375" s="1154"/>
      <c r="O2375" s="1154"/>
      <c r="P2375" s="1154"/>
      <c r="Q2375" s="1154"/>
      <c r="R2375" s="1154"/>
      <c r="S2375" s="1154"/>
      <c r="T2375" s="1154"/>
      <c r="U2375" s="1154"/>
      <c r="V2375" s="1154"/>
      <c r="W2375" s="1154"/>
    </row>
    <row r="2376" ht="20" customHeight="1" spans="1:23">
      <c r="A2376" s="460" t="s">
        <v>1928</v>
      </c>
      <c r="B2376" s="1408" t="s">
        <v>1941</v>
      </c>
      <c r="C2376" s="925" t="s">
        <v>1747</v>
      </c>
      <c r="D2376" s="439">
        <v>170</v>
      </c>
      <c r="E2376" s="914" t="s">
        <v>1942</v>
      </c>
      <c r="F2376" s="1417">
        <v>45925</v>
      </c>
      <c r="G2376" s="899" t="s">
        <v>1920</v>
      </c>
      <c r="H2376" s="899"/>
      <c r="I2376" s="933"/>
      <c r="J2376" s="1419" t="s">
        <v>18</v>
      </c>
      <c r="K2376" s="1407" t="s">
        <v>147</v>
      </c>
      <c r="L2376" s="1410"/>
      <c r="M2376" s="933"/>
      <c r="N2376" s="1154"/>
      <c r="O2376" s="1154"/>
      <c r="P2376" s="1154"/>
      <c r="Q2376" s="1154"/>
      <c r="R2376" s="1154"/>
      <c r="S2376" s="1154"/>
      <c r="T2376" s="1154"/>
      <c r="U2376" s="1154"/>
      <c r="V2376" s="1154"/>
      <c r="W2376" s="1154"/>
    </row>
    <row r="2377" ht="20" customHeight="1" spans="1:23">
      <c r="A2377" s="460" t="s">
        <v>1928</v>
      </c>
      <c r="B2377" s="1408" t="s">
        <v>1941</v>
      </c>
      <c r="C2377" s="925" t="s">
        <v>1878</v>
      </c>
      <c r="D2377" s="439">
        <v>48</v>
      </c>
      <c r="E2377" s="69"/>
      <c r="F2377" s="1417">
        <v>45925</v>
      </c>
      <c r="G2377" s="899" t="s">
        <v>1920</v>
      </c>
      <c r="H2377" s="899"/>
      <c r="I2377" s="933"/>
      <c r="J2377" s="1419" t="s">
        <v>18</v>
      </c>
      <c r="K2377" s="1407" t="s">
        <v>147</v>
      </c>
      <c r="L2377" s="1410"/>
      <c r="M2377" s="933"/>
      <c r="N2377" s="1154"/>
      <c r="O2377" s="1154"/>
      <c r="P2377" s="1154"/>
      <c r="Q2377" s="1154"/>
      <c r="R2377" s="1154"/>
      <c r="S2377" s="1154"/>
      <c r="T2377" s="1154"/>
      <c r="U2377" s="1154"/>
      <c r="V2377" s="1154"/>
      <c r="W2377" s="1154"/>
    </row>
    <row r="2378" ht="20" customHeight="1" spans="1:23">
      <c r="A2378" s="460" t="s">
        <v>1928</v>
      </c>
      <c r="B2378" s="1408" t="s">
        <v>1943</v>
      </c>
      <c r="C2378" s="925" t="s">
        <v>1775</v>
      </c>
      <c r="D2378" s="439">
        <v>100</v>
      </c>
      <c r="E2378" s="914" t="s">
        <v>1944</v>
      </c>
      <c r="F2378" s="1417">
        <v>45925</v>
      </c>
      <c r="G2378" s="899" t="s">
        <v>1920</v>
      </c>
      <c r="H2378" s="899"/>
      <c r="I2378" s="933"/>
      <c r="J2378" s="1419" t="s">
        <v>18</v>
      </c>
      <c r="K2378" s="1407" t="s">
        <v>147</v>
      </c>
      <c r="L2378" s="1410"/>
      <c r="M2378" s="933"/>
      <c r="N2378" s="1154"/>
      <c r="O2378" s="1154"/>
      <c r="P2378" s="1154"/>
      <c r="Q2378" s="1154"/>
      <c r="R2378" s="1154"/>
      <c r="S2378" s="1154"/>
      <c r="T2378" s="1154"/>
      <c r="U2378" s="1154"/>
      <c r="V2378" s="1154"/>
      <c r="W2378" s="1154"/>
    </row>
    <row r="2379" ht="20" customHeight="1" spans="1:23">
      <c r="A2379" s="460" t="s">
        <v>1928</v>
      </c>
      <c r="B2379" s="1408" t="s">
        <v>1943</v>
      </c>
      <c r="C2379" s="925" t="s">
        <v>1878</v>
      </c>
      <c r="D2379" s="439">
        <v>48</v>
      </c>
      <c r="E2379" s="69"/>
      <c r="F2379" s="1417">
        <v>45925</v>
      </c>
      <c r="G2379" s="899" t="s">
        <v>1920</v>
      </c>
      <c r="H2379" s="899"/>
      <c r="I2379" s="933"/>
      <c r="J2379" s="1419" t="s">
        <v>18</v>
      </c>
      <c r="K2379" s="1407" t="s">
        <v>147</v>
      </c>
      <c r="L2379" s="1410"/>
      <c r="M2379" s="933"/>
      <c r="N2379" s="1154"/>
      <c r="O2379" s="1154"/>
      <c r="P2379" s="1154"/>
      <c r="Q2379" s="1154"/>
      <c r="R2379" s="1154"/>
      <c r="S2379" s="1154"/>
      <c r="T2379" s="1154"/>
      <c r="U2379" s="1154"/>
      <c r="V2379" s="1154"/>
      <c r="W2379" s="1154"/>
    </row>
    <row r="2380" ht="20" customHeight="1" spans="1:23">
      <c r="A2380" s="460" t="s">
        <v>1928</v>
      </c>
      <c r="B2380" s="1408" t="s">
        <v>1945</v>
      </c>
      <c r="C2380" s="925" t="s">
        <v>1775</v>
      </c>
      <c r="D2380" s="439">
        <v>100</v>
      </c>
      <c r="E2380" s="914" t="s">
        <v>1946</v>
      </c>
      <c r="F2380" s="1417">
        <v>45925</v>
      </c>
      <c r="G2380" s="899" t="s">
        <v>1920</v>
      </c>
      <c r="H2380" s="899"/>
      <c r="I2380" s="933"/>
      <c r="J2380" s="1419" t="s">
        <v>18</v>
      </c>
      <c r="K2380" s="1407" t="s">
        <v>147</v>
      </c>
      <c r="L2380" s="1410"/>
      <c r="M2380" s="933"/>
      <c r="N2380" s="1154"/>
      <c r="O2380" s="1154"/>
      <c r="P2380" s="1154"/>
      <c r="Q2380" s="1154"/>
      <c r="R2380" s="1154"/>
      <c r="S2380" s="1154"/>
      <c r="T2380" s="1154"/>
      <c r="U2380" s="1154"/>
      <c r="V2380" s="1154"/>
      <c r="W2380" s="1154"/>
    </row>
    <row r="2381" ht="20" customHeight="1" spans="1:23">
      <c r="A2381" s="460" t="s">
        <v>1928</v>
      </c>
      <c r="B2381" s="1408" t="s">
        <v>1945</v>
      </c>
      <c r="C2381" s="925" t="s">
        <v>1784</v>
      </c>
      <c r="D2381" s="439">
        <v>27</v>
      </c>
      <c r="E2381" s="69"/>
      <c r="F2381" s="1417">
        <v>45925</v>
      </c>
      <c r="G2381" s="899" t="s">
        <v>1920</v>
      </c>
      <c r="H2381" s="899"/>
      <c r="I2381" s="933"/>
      <c r="J2381" s="1419" t="s">
        <v>18</v>
      </c>
      <c r="K2381" s="1407" t="s">
        <v>147</v>
      </c>
      <c r="L2381" s="1410"/>
      <c r="M2381" s="933"/>
      <c r="N2381" s="1154"/>
      <c r="O2381" s="1154"/>
      <c r="P2381" s="1154"/>
      <c r="Q2381" s="1154"/>
      <c r="R2381" s="1154"/>
      <c r="S2381" s="1154"/>
      <c r="T2381" s="1154"/>
      <c r="U2381" s="1154"/>
      <c r="V2381" s="1154"/>
      <c r="W2381" s="1154"/>
    </row>
    <row r="2382" ht="20" customHeight="1" spans="1:23">
      <c r="A2382" s="460" t="s">
        <v>1928</v>
      </c>
      <c r="B2382" s="1408" t="s">
        <v>1945</v>
      </c>
      <c r="C2382" s="925" t="s">
        <v>1785</v>
      </c>
      <c r="D2382" s="439">
        <v>27</v>
      </c>
      <c r="E2382" s="69"/>
      <c r="F2382" s="1417">
        <v>45925</v>
      </c>
      <c r="G2382" s="899" t="s">
        <v>1920</v>
      </c>
      <c r="H2382" s="899"/>
      <c r="I2382" s="933"/>
      <c r="J2382" s="1419" t="s">
        <v>18</v>
      </c>
      <c r="K2382" s="1407" t="s">
        <v>147</v>
      </c>
      <c r="L2382" s="1410"/>
      <c r="M2382" s="933"/>
      <c r="N2382" s="1154"/>
      <c r="O2382" s="1154"/>
      <c r="P2382" s="1154"/>
      <c r="Q2382" s="1154"/>
      <c r="R2382" s="1154"/>
      <c r="S2382" s="1154"/>
      <c r="T2382" s="1154"/>
      <c r="U2382" s="1154"/>
      <c r="V2382" s="1154"/>
      <c r="W2382" s="1154"/>
    </row>
    <row r="2383" ht="17" customHeight="1" spans="1:23">
      <c r="A2383" s="460" t="s">
        <v>1928</v>
      </c>
      <c r="B2383" s="1408" t="s">
        <v>1947</v>
      </c>
      <c r="C2383" s="925" t="s">
        <v>52</v>
      </c>
      <c r="D2383" s="439">
        <v>27</v>
      </c>
      <c r="E2383" s="817" t="s">
        <v>1948</v>
      </c>
      <c r="F2383" s="1417">
        <v>45925</v>
      </c>
      <c r="G2383" s="899" t="s">
        <v>1920</v>
      </c>
      <c r="H2383" s="899"/>
      <c r="I2383" s="933"/>
      <c r="J2383" s="933" t="s">
        <v>39</v>
      </c>
      <c r="K2383" s="460" t="s">
        <v>147</v>
      </c>
      <c r="L2383" s="1410"/>
      <c r="M2383" s="1431" t="s">
        <v>1949</v>
      </c>
      <c r="N2383" s="1154"/>
      <c r="O2383" s="1154"/>
      <c r="P2383" s="1154"/>
      <c r="Q2383" s="1154"/>
      <c r="R2383" s="1154"/>
      <c r="S2383" s="1154"/>
      <c r="T2383" s="1154"/>
      <c r="U2383" s="1154"/>
      <c r="V2383" s="1154"/>
      <c r="W2383" s="1154"/>
    </row>
    <row r="2384" ht="17" customHeight="1" spans="1:23">
      <c r="A2384" s="460" t="s">
        <v>1928</v>
      </c>
      <c r="B2384" s="1408" t="s">
        <v>1947</v>
      </c>
      <c r="C2384" s="925" t="s">
        <v>36</v>
      </c>
      <c r="D2384" s="439">
        <v>37</v>
      </c>
      <c r="E2384" s="817"/>
      <c r="F2384" s="1417">
        <v>45925</v>
      </c>
      <c r="G2384" s="899" t="s">
        <v>1920</v>
      </c>
      <c r="H2384" s="899"/>
      <c r="I2384" s="933"/>
      <c r="J2384" s="819" t="s">
        <v>39</v>
      </c>
      <c r="K2384" s="819" t="s">
        <v>147</v>
      </c>
      <c r="L2384" s="1410"/>
      <c r="M2384" s="933"/>
      <c r="N2384" s="1154"/>
      <c r="O2384" s="1154"/>
      <c r="P2384" s="1154"/>
      <c r="Q2384" s="1154"/>
      <c r="R2384" s="1154"/>
      <c r="S2384" s="1154"/>
      <c r="T2384" s="1154"/>
      <c r="U2384" s="1154"/>
      <c r="V2384" s="1154"/>
      <c r="W2384" s="1154"/>
    </row>
    <row r="2385" ht="17" customHeight="1" spans="1:23">
      <c r="A2385" s="460" t="s">
        <v>1928</v>
      </c>
      <c r="B2385" s="1408" t="s">
        <v>1947</v>
      </c>
      <c r="C2385" s="925" t="s">
        <v>45</v>
      </c>
      <c r="D2385" s="439">
        <v>6</v>
      </c>
      <c r="E2385" s="817"/>
      <c r="F2385" s="1417">
        <v>45925</v>
      </c>
      <c r="G2385" s="899" t="s">
        <v>1920</v>
      </c>
      <c r="H2385" s="899"/>
      <c r="I2385" s="933"/>
      <c r="J2385" s="819" t="s">
        <v>39</v>
      </c>
      <c r="K2385" s="819" t="s">
        <v>147</v>
      </c>
      <c r="L2385" s="1410"/>
      <c r="M2385" s="933"/>
      <c r="N2385" s="1154"/>
      <c r="O2385" s="1154"/>
      <c r="P2385" s="1154"/>
      <c r="Q2385" s="1154"/>
      <c r="R2385" s="1154"/>
      <c r="S2385" s="1154"/>
      <c r="T2385" s="1154"/>
      <c r="U2385" s="1154"/>
      <c r="V2385" s="1154"/>
      <c r="W2385" s="1154"/>
    </row>
    <row r="2386" ht="17" customHeight="1" spans="1:23">
      <c r="A2386" s="460" t="s">
        <v>1928</v>
      </c>
      <c r="B2386" s="1408" t="s">
        <v>1947</v>
      </c>
      <c r="C2386" s="925" t="s">
        <v>47</v>
      </c>
      <c r="D2386" s="439">
        <v>18</v>
      </c>
      <c r="E2386" s="817"/>
      <c r="F2386" s="1417">
        <v>45925</v>
      </c>
      <c r="G2386" s="899" t="s">
        <v>1920</v>
      </c>
      <c r="H2386" s="899"/>
      <c r="I2386" s="933"/>
      <c r="J2386" s="819" t="s">
        <v>39</v>
      </c>
      <c r="K2386" s="819" t="s">
        <v>147</v>
      </c>
      <c r="L2386" s="1410"/>
      <c r="M2386" s="933"/>
      <c r="N2386" s="1154"/>
      <c r="O2386" s="1154"/>
      <c r="P2386" s="1154"/>
      <c r="Q2386" s="1154"/>
      <c r="R2386" s="1154"/>
      <c r="S2386" s="1154"/>
      <c r="T2386" s="1154"/>
      <c r="U2386" s="1154"/>
      <c r="V2386" s="1154"/>
      <c r="W2386" s="1154"/>
    </row>
    <row r="2387" ht="17" customHeight="1" spans="1:23">
      <c r="A2387" s="460" t="s">
        <v>1928</v>
      </c>
      <c r="B2387" s="1408" t="s">
        <v>1947</v>
      </c>
      <c r="C2387" s="925" t="s">
        <v>729</v>
      </c>
      <c r="D2387" s="439">
        <v>7</v>
      </c>
      <c r="E2387" s="817"/>
      <c r="F2387" s="1417">
        <v>45925</v>
      </c>
      <c r="G2387" s="899" t="s">
        <v>1920</v>
      </c>
      <c r="H2387" s="899"/>
      <c r="I2387" s="933"/>
      <c r="J2387" s="819" t="s">
        <v>39</v>
      </c>
      <c r="K2387" s="819" t="s">
        <v>147</v>
      </c>
      <c r="L2387" s="1410"/>
      <c r="M2387" s="933"/>
      <c r="N2387" s="1154"/>
      <c r="O2387" s="1154"/>
      <c r="P2387" s="1154"/>
      <c r="Q2387" s="1154"/>
      <c r="R2387" s="1154"/>
      <c r="S2387" s="1154"/>
      <c r="T2387" s="1154"/>
      <c r="U2387" s="1154"/>
      <c r="V2387" s="1154"/>
      <c r="W2387" s="1154"/>
    </row>
    <row r="2388" ht="17" customHeight="1" spans="1:23">
      <c r="A2388" s="460" t="s">
        <v>1928</v>
      </c>
      <c r="B2388" s="1408" t="s">
        <v>1947</v>
      </c>
      <c r="C2388" s="925" t="s">
        <v>57</v>
      </c>
      <c r="D2388" s="439">
        <v>1</v>
      </c>
      <c r="E2388" s="817"/>
      <c r="F2388" s="1417">
        <v>45925</v>
      </c>
      <c r="G2388" s="899" t="s">
        <v>1920</v>
      </c>
      <c r="H2388" s="899"/>
      <c r="I2388" s="933"/>
      <c r="J2388" s="819" t="s">
        <v>39</v>
      </c>
      <c r="K2388" s="819" t="s">
        <v>147</v>
      </c>
      <c r="L2388" s="1410"/>
      <c r="M2388" s="933"/>
      <c r="N2388" s="1154"/>
      <c r="O2388" s="1154"/>
      <c r="P2388" s="1154"/>
      <c r="Q2388" s="1154"/>
      <c r="R2388" s="1154"/>
      <c r="S2388" s="1154"/>
      <c r="T2388" s="1154"/>
      <c r="U2388" s="1154"/>
      <c r="V2388" s="1154"/>
      <c r="W2388" s="1154"/>
    </row>
    <row r="2389" ht="17" customHeight="1" spans="1:23">
      <c r="A2389" s="460" t="s">
        <v>1928</v>
      </c>
      <c r="B2389" s="1408" t="s">
        <v>1947</v>
      </c>
      <c r="C2389" s="1420" t="s">
        <v>1561</v>
      </c>
      <c r="D2389" s="439">
        <v>10</v>
      </c>
      <c r="E2389" s="817"/>
      <c r="F2389" s="1417">
        <v>45925</v>
      </c>
      <c r="G2389" s="899" t="s">
        <v>1920</v>
      </c>
      <c r="H2389" s="899"/>
      <c r="I2389" s="933"/>
      <c r="J2389" s="819" t="s">
        <v>39</v>
      </c>
      <c r="K2389" s="819" t="s">
        <v>147</v>
      </c>
      <c r="L2389" s="1410"/>
      <c r="M2389" s="933"/>
      <c r="N2389" s="1154"/>
      <c r="O2389" s="1154"/>
      <c r="P2389" s="1154"/>
      <c r="Q2389" s="1154"/>
      <c r="R2389" s="1154"/>
      <c r="S2389" s="1154"/>
      <c r="T2389" s="1154"/>
      <c r="U2389" s="1154"/>
      <c r="V2389" s="1154"/>
      <c r="W2389" s="1154"/>
    </row>
    <row r="2390" ht="17" customHeight="1" spans="1:23">
      <c r="A2390" s="460" t="s">
        <v>1928</v>
      </c>
      <c r="B2390" s="1408" t="s">
        <v>1947</v>
      </c>
      <c r="C2390" s="1420" t="s">
        <v>903</v>
      </c>
      <c r="D2390" s="439">
        <v>10</v>
      </c>
      <c r="E2390" s="817"/>
      <c r="F2390" s="1417">
        <v>45925</v>
      </c>
      <c r="G2390" s="899" t="s">
        <v>1920</v>
      </c>
      <c r="H2390" s="899"/>
      <c r="I2390" s="933"/>
      <c r="J2390" s="819" t="s">
        <v>39</v>
      </c>
      <c r="K2390" s="819" t="s">
        <v>147</v>
      </c>
      <c r="L2390" s="1410"/>
      <c r="M2390" s="933"/>
      <c r="N2390" s="1154"/>
      <c r="O2390" s="1154"/>
      <c r="P2390" s="1154"/>
      <c r="Q2390" s="1154"/>
      <c r="R2390" s="1154"/>
      <c r="S2390" s="1154"/>
      <c r="T2390" s="1154"/>
      <c r="U2390" s="1154"/>
      <c r="V2390" s="1154"/>
      <c r="W2390" s="1154"/>
    </row>
    <row r="2391" ht="17" customHeight="1" spans="1:23">
      <c r="A2391" s="460" t="s">
        <v>1928</v>
      </c>
      <c r="B2391" s="1408" t="s">
        <v>1947</v>
      </c>
      <c r="C2391" s="1420" t="s">
        <v>901</v>
      </c>
      <c r="D2391" s="439">
        <v>10</v>
      </c>
      <c r="E2391" s="817"/>
      <c r="F2391" s="1417">
        <v>45925</v>
      </c>
      <c r="G2391" s="899" t="s">
        <v>1920</v>
      </c>
      <c r="H2391" s="899"/>
      <c r="I2391" s="933"/>
      <c r="J2391" s="819" t="s">
        <v>39</v>
      </c>
      <c r="K2391" s="819" t="s">
        <v>147</v>
      </c>
      <c r="L2391" s="1410"/>
      <c r="M2391" s="933"/>
      <c r="N2391" s="1154"/>
      <c r="O2391" s="1154"/>
      <c r="P2391" s="1154"/>
      <c r="Q2391" s="1154"/>
      <c r="R2391" s="1154"/>
      <c r="S2391" s="1154"/>
      <c r="T2391" s="1154"/>
      <c r="U2391" s="1154"/>
      <c r="V2391" s="1154"/>
      <c r="W2391" s="1154"/>
    </row>
    <row r="2392" ht="17" customHeight="1" spans="1:23">
      <c r="A2392" s="460" t="s">
        <v>1928</v>
      </c>
      <c r="B2392" s="1408" t="s">
        <v>1947</v>
      </c>
      <c r="C2392" s="819" t="s">
        <v>757</v>
      </c>
      <c r="D2392" s="439">
        <v>10</v>
      </c>
      <c r="E2392" s="817"/>
      <c r="F2392" s="1417">
        <v>45925</v>
      </c>
      <c r="G2392" s="899" t="s">
        <v>1920</v>
      </c>
      <c r="H2392" s="899"/>
      <c r="I2392" s="933"/>
      <c r="J2392" s="819" t="s">
        <v>39</v>
      </c>
      <c r="K2392" s="819" t="s">
        <v>147</v>
      </c>
      <c r="L2392" s="1410"/>
      <c r="M2392" s="933"/>
      <c r="N2392" s="1154"/>
      <c r="O2392" s="1154"/>
      <c r="P2392" s="1154"/>
      <c r="Q2392" s="1154"/>
      <c r="R2392" s="1154"/>
      <c r="S2392" s="1154"/>
      <c r="T2392" s="1154"/>
      <c r="U2392" s="1154"/>
      <c r="V2392" s="1154"/>
      <c r="W2392" s="1154"/>
    </row>
    <row r="2393" ht="17" customHeight="1" spans="1:23">
      <c r="A2393" s="460" t="s">
        <v>1928</v>
      </c>
      <c r="B2393" s="1408" t="s">
        <v>1947</v>
      </c>
      <c r="C2393" s="925" t="s">
        <v>1771</v>
      </c>
      <c r="D2393" s="439">
        <v>5</v>
      </c>
      <c r="E2393" s="817"/>
      <c r="F2393" s="1417">
        <v>45925</v>
      </c>
      <c r="G2393" s="899" t="s">
        <v>1920</v>
      </c>
      <c r="H2393" s="899"/>
      <c r="I2393" s="933"/>
      <c r="J2393" s="819" t="s">
        <v>39</v>
      </c>
      <c r="K2393" s="819" t="s">
        <v>147</v>
      </c>
      <c r="L2393" s="1410"/>
      <c r="M2393" s="933"/>
      <c r="N2393" s="1154"/>
      <c r="O2393" s="1154"/>
      <c r="P2393" s="1154"/>
      <c r="Q2393" s="1154"/>
      <c r="R2393" s="1154"/>
      <c r="S2393" s="1154"/>
      <c r="T2393" s="1154"/>
      <c r="U2393" s="1154"/>
      <c r="V2393" s="1154"/>
      <c r="W2393" s="1154"/>
    </row>
    <row r="2394" ht="17" customHeight="1" spans="1:23">
      <c r="A2394" s="460" t="s">
        <v>1928</v>
      </c>
      <c r="B2394" s="1408" t="s">
        <v>1947</v>
      </c>
      <c r="C2394" s="925" t="s">
        <v>1835</v>
      </c>
      <c r="D2394" s="439">
        <v>5</v>
      </c>
      <c r="E2394" s="817"/>
      <c r="F2394" s="1417">
        <v>45925</v>
      </c>
      <c r="G2394" s="899" t="s">
        <v>1920</v>
      </c>
      <c r="H2394" s="899"/>
      <c r="I2394" s="933"/>
      <c r="J2394" s="819" t="s">
        <v>39</v>
      </c>
      <c r="K2394" s="819" t="s">
        <v>147</v>
      </c>
      <c r="L2394" s="1410"/>
      <c r="M2394" s="933"/>
      <c r="N2394" s="1154"/>
      <c r="O2394" s="1154"/>
      <c r="P2394" s="1154"/>
      <c r="Q2394" s="1154"/>
      <c r="R2394" s="1154"/>
      <c r="S2394" s="1154"/>
      <c r="T2394" s="1154"/>
      <c r="U2394" s="1154"/>
      <c r="V2394" s="1154"/>
      <c r="W2394" s="1154"/>
    </row>
    <row r="2395" ht="17" customHeight="1" spans="1:23">
      <c r="A2395" s="460" t="s">
        <v>1928</v>
      </c>
      <c r="B2395" s="1408" t="s">
        <v>1947</v>
      </c>
      <c r="C2395" s="925" t="s">
        <v>1836</v>
      </c>
      <c r="D2395" s="439">
        <v>5</v>
      </c>
      <c r="E2395" s="817"/>
      <c r="F2395" s="1417">
        <v>45925</v>
      </c>
      <c r="G2395" s="899" t="s">
        <v>1920</v>
      </c>
      <c r="H2395" s="899"/>
      <c r="I2395" s="933"/>
      <c r="J2395" s="819" t="s">
        <v>39</v>
      </c>
      <c r="K2395" s="819" t="s">
        <v>147</v>
      </c>
      <c r="L2395" s="1410"/>
      <c r="M2395" s="933"/>
      <c r="N2395" s="1154"/>
      <c r="O2395" s="1154"/>
      <c r="P2395" s="1154"/>
      <c r="Q2395" s="1154"/>
      <c r="R2395" s="1154"/>
      <c r="S2395" s="1154"/>
      <c r="T2395" s="1154"/>
      <c r="U2395" s="1154"/>
      <c r="V2395" s="1154"/>
      <c r="W2395" s="1154"/>
    </row>
    <row r="2396" ht="17" customHeight="1" spans="1:23">
      <c r="A2396" s="460" t="s">
        <v>1928</v>
      </c>
      <c r="B2396" s="1408" t="s">
        <v>1947</v>
      </c>
      <c r="C2396" s="925" t="s">
        <v>1837</v>
      </c>
      <c r="D2396" s="439">
        <v>5</v>
      </c>
      <c r="E2396" s="817"/>
      <c r="F2396" s="1417">
        <v>45925</v>
      </c>
      <c r="G2396" s="899" t="s">
        <v>1920</v>
      </c>
      <c r="H2396" s="899"/>
      <c r="I2396" s="933"/>
      <c r="J2396" s="819" t="s">
        <v>39</v>
      </c>
      <c r="K2396" s="819" t="s">
        <v>147</v>
      </c>
      <c r="L2396" s="1410"/>
      <c r="M2396" s="933"/>
      <c r="N2396" s="1154"/>
      <c r="O2396" s="1154"/>
      <c r="P2396" s="1154"/>
      <c r="Q2396" s="1154"/>
      <c r="R2396" s="1154"/>
      <c r="S2396" s="1154"/>
      <c r="T2396" s="1154"/>
      <c r="U2396" s="1154"/>
      <c r="V2396" s="1154"/>
      <c r="W2396" s="1154"/>
    </row>
    <row r="2397" ht="17" customHeight="1" spans="1:23">
      <c r="A2397" s="460" t="s">
        <v>1928</v>
      </c>
      <c r="B2397" s="1408" t="s">
        <v>1947</v>
      </c>
      <c r="C2397" s="925" t="s">
        <v>1784</v>
      </c>
      <c r="D2397" s="439">
        <v>15</v>
      </c>
      <c r="E2397" s="817"/>
      <c r="F2397" s="1417">
        <v>45925</v>
      </c>
      <c r="G2397" s="899" t="s">
        <v>1920</v>
      </c>
      <c r="H2397" s="899"/>
      <c r="I2397" s="933"/>
      <c r="J2397" s="819" t="s">
        <v>39</v>
      </c>
      <c r="K2397" s="819" t="s">
        <v>147</v>
      </c>
      <c r="L2397" s="1410"/>
      <c r="M2397" s="933"/>
      <c r="N2397" s="1154"/>
      <c r="O2397" s="1154"/>
      <c r="P2397" s="1154"/>
      <c r="Q2397" s="1154"/>
      <c r="R2397" s="1154"/>
      <c r="S2397" s="1154"/>
      <c r="T2397" s="1154"/>
      <c r="U2397" s="1154"/>
      <c r="V2397" s="1154"/>
      <c r="W2397" s="1154"/>
    </row>
    <row r="2398" ht="17" customHeight="1" spans="1:23">
      <c r="A2398" s="460" t="s">
        <v>1928</v>
      </c>
      <c r="B2398" s="1408" t="s">
        <v>1947</v>
      </c>
      <c r="C2398" s="925" t="s">
        <v>1785</v>
      </c>
      <c r="D2398" s="439">
        <v>15</v>
      </c>
      <c r="E2398" s="817"/>
      <c r="F2398" s="1417">
        <v>45925</v>
      </c>
      <c r="G2398" s="899" t="s">
        <v>1920</v>
      </c>
      <c r="H2398" s="899"/>
      <c r="I2398" s="933"/>
      <c r="J2398" s="819" t="s">
        <v>39</v>
      </c>
      <c r="K2398" s="819" t="s">
        <v>147</v>
      </c>
      <c r="L2398" s="1410"/>
      <c r="M2398" s="933"/>
      <c r="N2398" s="1154"/>
      <c r="O2398" s="1154"/>
      <c r="P2398" s="1154"/>
      <c r="Q2398" s="1154"/>
      <c r="R2398" s="1154"/>
      <c r="S2398" s="1154"/>
      <c r="T2398" s="1154"/>
      <c r="U2398" s="1154"/>
      <c r="V2398" s="1154"/>
      <c r="W2398" s="1154"/>
    </row>
    <row r="2399" s="178" customFormat="1" ht="16.5" customHeight="1" spans="1:23">
      <c r="A2399" s="1421" t="s">
        <v>1280</v>
      </c>
      <c r="B2399" s="1422" t="s">
        <v>1950</v>
      </c>
      <c r="C2399" s="1423" t="s">
        <v>111</v>
      </c>
      <c r="D2399" s="1424">
        <v>73</v>
      </c>
      <c r="E2399" s="922" t="s">
        <v>1951</v>
      </c>
      <c r="F2399" s="926">
        <v>45964</v>
      </c>
      <c r="G2399" s="1425" t="s">
        <v>1952</v>
      </c>
      <c r="H2399" s="937"/>
      <c r="I2399" s="1432"/>
      <c r="J2399" s="1433" t="s">
        <v>39</v>
      </c>
      <c r="K2399" s="1432" t="s">
        <v>107</v>
      </c>
      <c r="L2399" s="1434"/>
      <c r="M2399" s="1432" t="s">
        <v>1953</v>
      </c>
      <c r="N2399" s="512"/>
      <c r="O2399" s="512"/>
      <c r="P2399" s="512"/>
      <c r="Q2399" s="512"/>
      <c r="R2399" s="512"/>
      <c r="S2399" s="512"/>
      <c r="T2399" s="512"/>
      <c r="U2399" s="512"/>
      <c r="V2399" s="512"/>
      <c r="W2399" s="512"/>
    </row>
    <row r="2400" s="178" customFormat="1" ht="16.5" customHeight="1" spans="1:23">
      <c r="A2400" s="1421" t="s">
        <v>1280</v>
      </c>
      <c r="B2400" s="1422" t="s">
        <v>1950</v>
      </c>
      <c r="C2400" s="1423" t="s">
        <v>112</v>
      </c>
      <c r="D2400" s="1424">
        <v>73</v>
      </c>
      <c r="E2400" s="922"/>
      <c r="F2400" s="926">
        <v>45964</v>
      </c>
      <c r="G2400" s="1425" t="s">
        <v>1952</v>
      </c>
      <c r="H2400" s="937"/>
      <c r="I2400" s="1432"/>
      <c r="J2400" s="1433" t="s">
        <v>39</v>
      </c>
      <c r="K2400" s="1432" t="s">
        <v>107</v>
      </c>
      <c r="L2400" s="1434"/>
      <c r="M2400" s="1432" t="s">
        <v>1954</v>
      </c>
      <c r="N2400" s="512"/>
      <c r="O2400" s="512"/>
      <c r="P2400" s="512"/>
      <c r="Q2400" s="512"/>
      <c r="R2400" s="512"/>
      <c r="S2400" s="512"/>
      <c r="T2400" s="512"/>
      <c r="U2400" s="512"/>
      <c r="V2400" s="512"/>
      <c r="W2400" s="512"/>
    </row>
    <row r="2401" s="178" customFormat="1" ht="16.5" customHeight="1" spans="1:23">
      <c r="A2401" s="1421" t="s">
        <v>1280</v>
      </c>
      <c r="B2401" s="1422" t="s">
        <v>1950</v>
      </c>
      <c r="C2401" s="1423" t="s">
        <v>114</v>
      </c>
      <c r="D2401" s="1424">
        <v>23</v>
      </c>
      <c r="E2401" s="922"/>
      <c r="F2401" s="926">
        <v>45964</v>
      </c>
      <c r="G2401" s="1425" t="s">
        <v>1952</v>
      </c>
      <c r="H2401" s="937"/>
      <c r="I2401" s="1432"/>
      <c r="J2401" s="1433" t="s">
        <v>39</v>
      </c>
      <c r="K2401" s="1432" t="s">
        <v>107</v>
      </c>
      <c r="L2401" s="1434"/>
      <c r="M2401" s="1432"/>
      <c r="N2401" s="512"/>
      <c r="O2401" s="512"/>
      <c r="P2401" s="512"/>
      <c r="Q2401" s="512"/>
      <c r="R2401" s="512"/>
      <c r="S2401" s="512"/>
      <c r="T2401" s="512"/>
      <c r="U2401" s="512"/>
      <c r="V2401" s="512"/>
      <c r="W2401" s="512"/>
    </row>
    <row r="2402" s="178" customFormat="1" ht="16.5" customHeight="1" spans="1:23">
      <c r="A2402" s="1421" t="s">
        <v>1280</v>
      </c>
      <c r="B2402" s="1422" t="s">
        <v>1950</v>
      </c>
      <c r="C2402" s="1423" t="s">
        <v>115</v>
      </c>
      <c r="D2402" s="1424">
        <v>23</v>
      </c>
      <c r="E2402" s="922"/>
      <c r="F2402" s="926">
        <v>45964</v>
      </c>
      <c r="G2402" s="1425" t="s">
        <v>1952</v>
      </c>
      <c r="H2402" s="937"/>
      <c r="I2402" s="1432"/>
      <c r="J2402" s="1433" t="s">
        <v>39</v>
      </c>
      <c r="K2402" s="1432" t="s">
        <v>107</v>
      </c>
      <c r="L2402" s="1434"/>
      <c r="M2402" s="1432"/>
      <c r="N2402" s="512"/>
      <c r="O2402" s="512"/>
      <c r="P2402" s="512"/>
      <c r="Q2402" s="512"/>
      <c r="R2402" s="512"/>
      <c r="S2402" s="512"/>
      <c r="T2402" s="512"/>
      <c r="U2402" s="512"/>
      <c r="V2402" s="512"/>
      <c r="W2402" s="512"/>
    </row>
    <row r="2403" s="178" customFormat="1" ht="16.5" customHeight="1" spans="1:23">
      <c r="A2403" s="1421" t="s">
        <v>1280</v>
      </c>
      <c r="B2403" s="1422" t="s">
        <v>1950</v>
      </c>
      <c r="C2403" s="1423" t="s">
        <v>116</v>
      </c>
      <c r="D2403" s="1424">
        <v>38</v>
      </c>
      <c r="E2403" s="922"/>
      <c r="F2403" s="926">
        <v>45964</v>
      </c>
      <c r="G2403" s="1425" t="s">
        <v>1952</v>
      </c>
      <c r="H2403" s="937"/>
      <c r="I2403" s="1432"/>
      <c r="J2403" s="1433" t="s">
        <v>39</v>
      </c>
      <c r="K2403" s="1432" t="s">
        <v>107</v>
      </c>
      <c r="L2403" s="1434"/>
      <c r="M2403" s="1432"/>
      <c r="N2403" s="512"/>
      <c r="O2403" s="512"/>
      <c r="P2403" s="512"/>
      <c r="Q2403" s="512"/>
      <c r="R2403" s="512"/>
      <c r="S2403" s="512"/>
      <c r="T2403" s="512"/>
      <c r="U2403" s="512"/>
      <c r="V2403" s="512"/>
      <c r="W2403" s="512"/>
    </row>
    <row r="2404" s="178" customFormat="1" ht="16.5" customHeight="1" spans="1:23">
      <c r="A2404" s="1421" t="s">
        <v>1280</v>
      </c>
      <c r="B2404" s="1422" t="s">
        <v>1950</v>
      </c>
      <c r="C2404" s="1423" t="s">
        <v>117</v>
      </c>
      <c r="D2404" s="1424">
        <v>38</v>
      </c>
      <c r="E2404" s="922"/>
      <c r="F2404" s="926">
        <v>45964</v>
      </c>
      <c r="G2404" s="1425" t="s">
        <v>1952</v>
      </c>
      <c r="H2404" s="937"/>
      <c r="I2404" s="1432"/>
      <c r="J2404" s="1433" t="s">
        <v>39</v>
      </c>
      <c r="K2404" s="1432" t="s">
        <v>107</v>
      </c>
      <c r="L2404" s="1434"/>
      <c r="M2404" s="1432"/>
      <c r="N2404" s="512"/>
      <c r="O2404" s="512"/>
      <c r="P2404" s="512"/>
      <c r="Q2404" s="512"/>
      <c r="R2404" s="512"/>
      <c r="S2404" s="512"/>
      <c r="T2404" s="512"/>
      <c r="U2404" s="512"/>
      <c r="V2404" s="512"/>
      <c r="W2404" s="512"/>
    </row>
    <row r="2405" s="178" customFormat="1" ht="16.5" customHeight="1" spans="1:23">
      <c r="A2405" s="1421" t="s">
        <v>1280</v>
      </c>
      <c r="B2405" s="1422" t="s">
        <v>1950</v>
      </c>
      <c r="C2405" s="1423" t="s">
        <v>118</v>
      </c>
      <c r="D2405" s="1424">
        <v>29</v>
      </c>
      <c r="E2405" s="922"/>
      <c r="F2405" s="926">
        <v>45964</v>
      </c>
      <c r="G2405" s="1425" t="s">
        <v>1952</v>
      </c>
      <c r="H2405" s="937"/>
      <c r="I2405" s="1432"/>
      <c r="J2405" s="1433" t="s">
        <v>39</v>
      </c>
      <c r="K2405" s="1432" t="s">
        <v>107</v>
      </c>
      <c r="L2405" s="1434"/>
      <c r="M2405" s="1432"/>
      <c r="N2405" s="512"/>
      <c r="O2405" s="512"/>
      <c r="P2405" s="512"/>
      <c r="Q2405" s="512"/>
      <c r="R2405" s="512"/>
      <c r="S2405" s="512"/>
      <c r="T2405" s="512"/>
      <c r="U2405" s="512"/>
      <c r="V2405" s="512"/>
      <c r="W2405" s="512"/>
    </row>
    <row r="2406" s="178" customFormat="1" ht="16.5" customHeight="1" spans="1:23">
      <c r="A2406" s="1421" t="s">
        <v>1280</v>
      </c>
      <c r="B2406" s="1422" t="s">
        <v>1950</v>
      </c>
      <c r="C2406" s="1423" t="s">
        <v>119</v>
      </c>
      <c r="D2406" s="1424">
        <v>29</v>
      </c>
      <c r="E2406" s="922"/>
      <c r="F2406" s="926">
        <v>45964</v>
      </c>
      <c r="G2406" s="1425" t="s">
        <v>1952</v>
      </c>
      <c r="H2406" s="937"/>
      <c r="I2406" s="1432"/>
      <c r="J2406" s="1433" t="s">
        <v>39</v>
      </c>
      <c r="K2406" s="1432" t="s">
        <v>107</v>
      </c>
      <c r="L2406" s="1434"/>
      <c r="M2406" s="1432"/>
      <c r="N2406" s="512"/>
      <c r="O2406" s="512"/>
      <c r="P2406" s="512"/>
      <c r="Q2406" s="512"/>
      <c r="R2406" s="512"/>
      <c r="S2406" s="512"/>
      <c r="T2406" s="512"/>
      <c r="U2406" s="512"/>
      <c r="V2406" s="512"/>
      <c r="W2406" s="512"/>
    </row>
    <row r="2407" s="178" customFormat="1" ht="16.5" customHeight="1" spans="1:23">
      <c r="A2407" s="1421" t="s">
        <v>1280</v>
      </c>
      <c r="B2407" s="1422" t="s">
        <v>1950</v>
      </c>
      <c r="C2407" s="1423" t="s">
        <v>120</v>
      </c>
      <c r="D2407" s="1424">
        <v>9</v>
      </c>
      <c r="E2407" s="922"/>
      <c r="F2407" s="926">
        <v>45964</v>
      </c>
      <c r="G2407" s="1425" t="s">
        <v>1952</v>
      </c>
      <c r="H2407" s="937"/>
      <c r="I2407" s="1432"/>
      <c r="J2407" s="1433" t="s">
        <v>39</v>
      </c>
      <c r="K2407" s="1432" t="s">
        <v>107</v>
      </c>
      <c r="L2407" s="1434"/>
      <c r="M2407" s="1432"/>
      <c r="N2407" s="512"/>
      <c r="O2407" s="512"/>
      <c r="P2407" s="512"/>
      <c r="Q2407" s="512"/>
      <c r="R2407" s="512"/>
      <c r="S2407" s="512"/>
      <c r="T2407" s="512"/>
      <c r="U2407" s="512"/>
      <c r="V2407" s="512"/>
      <c r="W2407" s="512"/>
    </row>
    <row r="2408" s="178" customFormat="1" ht="16.5" customHeight="1" spans="1:23">
      <c r="A2408" s="1426" t="s">
        <v>1280</v>
      </c>
      <c r="B2408" s="1427" t="s">
        <v>1950</v>
      </c>
      <c r="C2408" s="1428" t="s">
        <v>121</v>
      </c>
      <c r="D2408" s="1429">
        <v>9</v>
      </c>
      <c r="E2408" s="922"/>
      <c r="F2408" s="926">
        <v>45964</v>
      </c>
      <c r="G2408" s="1430" t="s">
        <v>1952</v>
      </c>
      <c r="H2408" s="963"/>
      <c r="I2408" s="1435"/>
      <c r="J2408" s="1436" t="s">
        <v>39</v>
      </c>
      <c r="K2408" s="1435" t="s">
        <v>107</v>
      </c>
      <c r="L2408" s="1437"/>
      <c r="M2408" s="1435"/>
      <c r="N2408" s="512"/>
      <c r="O2408" s="512"/>
      <c r="P2408" s="512"/>
      <c r="Q2408" s="512"/>
      <c r="R2408" s="512"/>
      <c r="S2408" s="512"/>
      <c r="T2408" s="512"/>
      <c r="U2408" s="512"/>
      <c r="V2408" s="512"/>
      <c r="W2408" s="512"/>
    </row>
    <row r="2409" ht="16.5" customHeight="1" spans="1:13">
      <c r="A2409" s="460" t="s">
        <v>1874</v>
      </c>
      <c r="B2409" s="1408" t="s">
        <v>1955</v>
      </c>
      <c r="C2409" s="1388" t="s">
        <v>1741</v>
      </c>
      <c r="D2409" s="439">
        <v>20</v>
      </c>
      <c r="E2409" s="942" t="s">
        <v>1956</v>
      </c>
      <c r="F2409" s="898"/>
      <c r="G2409" s="898" t="s">
        <v>1957</v>
      </c>
      <c r="H2409" s="899"/>
      <c r="I2409" s="933"/>
      <c r="J2409" s="1407" t="s">
        <v>18</v>
      </c>
      <c r="K2409" s="1407" t="s">
        <v>147</v>
      </c>
      <c r="L2409" s="1410"/>
      <c r="M2409" s="933" t="s">
        <v>1958</v>
      </c>
    </row>
    <row r="2410" ht="16.5" customHeight="1" spans="1:13">
      <c r="A2410" s="460" t="s">
        <v>1874</v>
      </c>
      <c r="B2410" s="942" t="s">
        <v>1955</v>
      </c>
      <c r="C2410" s="1388" t="s">
        <v>1742</v>
      </c>
      <c r="D2410" s="439">
        <v>20</v>
      </c>
      <c r="E2410" s="420"/>
      <c r="F2410" s="915"/>
      <c r="G2410" s="915" t="s">
        <v>1957</v>
      </c>
      <c r="H2410" s="899"/>
      <c r="I2410" s="933"/>
      <c r="J2410" s="1407" t="s">
        <v>18</v>
      </c>
      <c r="K2410" s="1407" t="s">
        <v>147</v>
      </c>
      <c r="L2410" s="1410"/>
      <c r="M2410" s="933"/>
    </row>
    <row r="2411" ht="16.5" customHeight="1" spans="1:13">
      <c r="A2411" s="460" t="s">
        <v>1874</v>
      </c>
      <c r="B2411" s="942" t="s">
        <v>1955</v>
      </c>
      <c r="C2411" s="1388" t="s">
        <v>1723</v>
      </c>
      <c r="D2411" s="439">
        <v>30</v>
      </c>
      <c r="E2411" s="420"/>
      <c r="F2411" s="915"/>
      <c r="G2411" s="915" t="s">
        <v>1957</v>
      </c>
      <c r="H2411" s="899"/>
      <c r="I2411" s="933"/>
      <c r="J2411" s="1407" t="s">
        <v>18</v>
      </c>
      <c r="K2411" s="1407" t="s">
        <v>147</v>
      </c>
      <c r="L2411" s="1410"/>
      <c r="M2411" s="933"/>
    </row>
    <row r="2412" ht="16.5" customHeight="1" spans="1:13">
      <c r="A2412" s="460" t="s">
        <v>1874</v>
      </c>
      <c r="B2412" s="942" t="s">
        <v>1955</v>
      </c>
      <c r="C2412" s="1388" t="s">
        <v>1725</v>
      </c>
      <c r="D2412" s="439">
        <v>30</v>
      </c>
      <c r="E2412" s="420"/>
      <c r="F2412" s="915"/>
      <c r="G2412" s="915" t="s">
        <v>1957</v>
      </c>
      <c r="H2412" s="899"/>
      <c r="I2412" s="933"/>
      <c r="J2412" s="1407" t="s">
        <v>18</v>
      </c>
      <c r="K2412" s="1407" t="s">
        <v>147</v>
      </c>
      <c r="L2412" s="1410"/>
      <c r="M2412" s="933"/>
    </row>
    <row r="2413" ht="16.5" customHeight="1" spans="1:13">
      <c r="A2413" s="460" t="s">
        <v>1874</v>
      </c>
      <c r="B2413" s="942" t="s">
        <v>1955</v>
      </c>
      <c r="C2413" s="1388" t="s">
        <v>1747</v>
      </c>
      <c r="D2413" s="439">
        <v>25</v>
      </c>
      <c r="E2413" s="420"/>
      <c r="F2413" s="915"/>
      <c r="G2413" s="915" t="s">
        <v>1957</v>
      </c>
      <c r="H2413" s="899"/>
      <c r="I2413" s="933"/>
      <c r="J2413" s="1407" t="s">
        <v>18</v>
      </c>
      <c r="K2413" s="1407" t="s">
        <v>147</v>
      </c>
      <c r="L2413" s="1410"/>
      <c r="M2413" s="933"/>
    </row>
    <row r="2414" ht="16.5" customHeight="1" spans="1:13">
      <c r="A2414" s="460" t="s">
        <v>1874</v>
      </c>
      <c r="B2414" s="942" t="s">
        <v>1955</v>
      </c>
      <c r="C2414" s="1388" t="s">
        <v>1748</v>
      </c>
      <c r="D2414" s="439">
        <v>25</v>
      </c>
      <c r="E2414" s="420"/>
      <c r="F2414" s="915"/>
      <c r="G2414" s="915" t="s">
        <v>1957</v>
      </c>
      <c r="H2414" s="899"/>
      <c r="I2414" s="933"/>
      <c r="J2414" s="1407" t="s">
        <v>18</v>
      </c>
      <c r="K2414" s="1407" t="s">
        <v>147</v>
      </c>
      <c r="L2414" s="1410"/>
      <c r="M2414" s="933"/>
    </row>
    <row r="2415" ht="16.5" customHeight="1" spans="1:13">
      <c r="A2415" s="460" t="s">
        <v>1874</v>
      </c>
      <c r="B2415" s="942" t="s">
        <v>1955</v>
      </c>
      <c r="C2415" s="1388" t="s">
        <v>1878</v>
      </c>
      <c r="D2415" s="439">
        <v>48</v>
      </c>
      <c r="E2415" s="420"/>
      <c r="F2415" s="915"/>
      <c r="G2415" s="915" t="s">
        <v>1957</v>
      </c>
      <c r="H2415" s="899"/>
      <c r="I2415" s="933"/>
      <c r="J2415" s="1407" t="s">
        <v>18</v>
      </c>
      <c r="K2415" s="1407" t="s">
        <v>147</v>
      </c>
      <c r="L2415" s="1410"/>
      <c r="M2415" s="933"/>
    </row>
    <row r="2416" ht="16.5" customHeight="1" spans="1:13">
      <c r="A2416" s="460" t="s">
        <v>1874</v>
      </c>
      <c r="B2416" s="942" t="s">
        <v>1959</v>
      </c>
      <c r="C2416" s="1388" t="s">
        <v>1741</v>
      </c>
      <c r="D2416" s="439">
        <v>20</v>
      </c>
      <c r="E2416" s="942" t="s">
        <v>1960</v>
      </c>
      <c r="F2416" s="915"/>
      <c r="G2416" s="915" t="s">
        <v>1957</v>
      </c>
      <c r="H2416" s="899"/>
      <c r="I2416" s="933"/>
      <c r="J2416" s="1407" t="s">
        <v>18</v>
      </c>
      <c r="K2416" s="1407" t="s">
        <v>147</v>
      </c>
      <c r="L2416" s="1410"/>
      <c r="M2416" s="933" t="s">
        <v>1961</v>
      </c>
    </row>
    <row r="2417" ht="16.5" customHeight="1" spans="1:13">
      <c r="A2417" s="460" t="s">
        <v>1874</v>
      </c>
      <c r="B2417" s="942" t="s">
        <v>1959</v>
      </c>
      <c r="C2417" s="1388" t="s">
        <v>1742</v>
      </c>
      <c r="D2417" s="439">
        <v>20</v>
      </c>
      <c r="E2417" s="420"/>
      <c r="F2417" s="915"/>
      <c r="G2417" s="915" t="s">
        <v>1957</v>
      </c>
      <c r="H2417" s="899"/>
      <c r="I2417" s="933"/>
      <c r="J2417" s="1407" t="s">
        <v>18</v>
      </c>
      <c r="K2417" s="1407" t="s">
        <v>147</v>
      </c>
      <c r="L2417" s="1410"/>
      <c r="M2417" s="933"/>
    </row>
    <row r="2418" ht="16.5" customHeight="1" spans="1:13">
      <c r="A2418" s="460" t="s">
        <v>1874</v>
      </c>
      <c r="B2418" s="942" t="s">
        <v>1959</v>
      </c>
      <c r="C2418" s="1388" t="s">
        <v>1723</v>
      </c>
      <c r="D2418" s="439">
        <v>30</v>
      </c>
      <c r="E2418" s="420"/>
      <c r="F2418" s="915"/>
      <c r="G2418" s="915" t="s">
        <v>1957</v>
      </c>
      <c r="H2418" s="899"/>
      <c r="I2418" s="933"/>
      <c r="J2418" s="1407" t="s">
        <v>18</v>
      </c>
      <c r="K2418" s="1407" t="s">
        <v>147</v>
      </c>
      <c r="L2418" s="1410"/>
      <c r="M2418" s="933"/>
    </row>
    <row r="2419" ht="16.5" customHeight="1" spans="1:13">
      <c r="A2419" s="460" t="s">
        <v>1874</v>
      </c>
      <c r="B2419" s="942" t="s">
        <v>1959</v>
      </c>
      <c r="C2419" s="1388" t="s">
        <v>1725</v>
      </c>
      <c r="D2419" s="439">
        <v>30</v>
      </c>
      <c r="E2419" s="420"/>
      <c r="F2419" s="915"/>
      <c r="G2419" s="915" t="s">
        <v>1957</v>
      </c>
      <c r="H2419" s="899"/>
      <c r="I2419" s="933"/>
      <c r="J2419" s="1407" t="s">
        <v>18</v>
      </c>
      <c r="K2419" s="1407" t="s">
        <v>147</v>
      </c>
      <c r="L2419" s="1410"/>
      <c r="M2419" s="933"/>
    </row>
    <row r="2420" ht="16.5" customHeight="1" spans="1:13">
      <c r="A2420" s="460" t="s">
        <v>1874</v>
      </c>
      <c r="B2420" s="942" t="s">
        <v>1959</v>
      </c>
      <c r="C2420" s="1388" t="s">
        <v>1747</v>
      </c>
      <c r="D2420" s="439">
        <v>25</v>
      </c>
      <c r="E2420" s="420"/>
      <c r="F2420" s="915"/>
      <c r="G2420" s="915" t="s">
        <v>1957</v>
      </c>
      <c r="H2420" s="899"/>
      <c r="I2420" s="933"/>
      <c r="J2420" s="1407" t="s">
        <v>18</v>
      </c>
      <c r="K2420" s="1407" t="s">
        <v>147</v>
      </c>
      <c r="L2420" s="1410"/>
      <c r="M2420" s="933"/>
    </row>
    <row r="2421" ht="16.5" customHeight="1" spans="1:13">
      <c r="A2421" s="460" t="s">
        <v>1874</v>
      </c>
      <c r="B2421" s="942" t="s">
        <v>1959</v>
      </c>
      <c r="C2421" s="1388" t="s">
        <v>1748</v>
      </c>
      <c r="D2421" s="439">
        <v>25</v>
      </c>
      <c r="E2421" s="420"/>
      <c r="F2421" s="915"/>
      <c r="G2421" s="915" t="s">
        <v>1957</v>
      </c>
      <c r="H2421" s="899"/>
      <c r="I2421" s="933"/>
      <c r="J2421" s="1407" t="s">
        <v>18</v>
      </c>
      <c r="K2421" s="1407" t="s">
        <v>147</v>
      </c>
      <c r="L2421" s="1410"/>
      <c r="M2421" s="933"/>
    </row>
    <row r="2422" ht="16.5" customHeight="1" spans="1:13">
      <c r="A2422" s="460" t="s">
        <v>1874</v>
      </c>
      <c r="B2422" s="942" t="s">
        <v>1959</v>
      </c>
      <c r="C2422" s="1388" t="s">
        <v>1878</v>
      </c>
      <c r="D2422" s="439">
        <v>48</v>
      </c>
      <c r="E2422" s="420"/>
      <c r="F2422" s="915"/>
      <c r="G2422" s="915" t="s">
        <v>1957</v>
      </c>
      <c r="H2422" s="899"/>
      <c r="I2422" s="933"/>
      <c r="J2422" s="1407" t="s">
        <v>18</v>
      </c>
      <c r="K2422" s="1407" t="s">
        <v>147</v>
      </c>
      <c r="L2422" s="1410"/>
      <c r="M2422" s="933"/>
    </row>
    <row r="2423" ht="16.5" customHeight="1" spans="1:13">
      <c r="A2423" s="460" t="s">
        <v>1874</v>
      </c>
      <c r="B2423" s="1408" t="s">
        <v>1962</v>
      </c>
      <c r="C2423" s="1388" t="s">
        <v>1741</v>
      </c>
      <c r="D2423" s="439">
        <v>20</v>
      </c>
      <c r="E2423" s="942" t="s">
        <v>1963</v>
      </c>
      <c r="F2423" s="915"/>
      <c r="G2423" s="915" t="s">
        <v>1957</v>
      </c>
      <c r="H2423" s="899"/>
      <c r="I2423" s="933"/>
      <c r="J2423" s="1407" t="s">
        <v>18</v>
      </c>
      <c r="K2423" s="1407" t="s">
        <v>147</v>
      </c>
      <c r="L2423" s="1410"/>
      <c r="M2423" s="933" t="s">
        <v>1964</v>
      </c>
    </row>
    <row r="2424" ht="16.5" customHeight="1" spans="1:13">
      <c r="A2424" s="460" t="s">
        <v>1874</v>
      </c>
      <c r="B2424" s="942" t="s">
        <v>1962</v>
      </c>
      <c r="C2424" s="1388" t="s">
        <v>1742</v>
      </c>
      <c r="D2424" s="439">
        <v>20</v>
      </c>
      <c r="E2424" s="397"/>
      <c r="F2424" s="915"/>
      <c r="G2424" s="915" t="s">
        <v>1957</v>
      </c>
      <c r="H2424" s="899"/>
      <c r="I2424" s="933"/>
      <c r="J2424" s="1407" t="s">
        <v>18</v>
      </c>
      <c r="K2424" s="1407" t="s">
        <v>147</v>
      </c>
      <c r="L2424" s="1410"/>
      <c r="M2424" s="933"/>
    </row>
    <row r="2425" ht="16.5" customHeight="1" spans="1:13">
      <c r="A2425" s="460" t="s">
        <v>1874</v>
      </c>
      <c r="B2425" s="942" t="s">
        <v>1962</v>
      </c>
      <c r="C2425" s="1388" t="s">
        <v>1723</v>
      </c>
      <c r="D2425" s="439">
        <v>30</v>
      </c>
      <c r="E2425" s="397"/>
      <c r="F2425" s="915"/>
      <c r="G2425" s="915" t="s">
        <v>1957</v>
      </c>
      <c r="H2425" s="899"/>
      <c r="I2425" s="933"/>
      <c r="J2425" s="1407" t="s">
        <v>18</v>
      </c>
      <c r="K2425" s="1407" t="s">
        <v>147</v>
      </c>
      <c r="L2425" s="1410"/>
      <c r="M2425" s="933"/>
    </row>
    <row r="2426" ht="16.5" customHeight="1" spans="1:13">
      <c r="A2426" s="460" t="s">
        <v>1874</v>
      </c>
      <c r="B2426" s="942" t="s">
        <v>1962</v>
      </c>
      <c r="C2426" s="1388" t="s">
        <v>1725</v>
      </c>
      <c r="D2426" s="439">
        <v>30</v>
      </c>
      <c r="E2426" s="397"/>
      <c r="F2426" s="915"/>
      <c r="G2426" s="915" t="s">
        <v>1957</v>
      </c>
      <c r="H2426" s="899"/>
      <c r="I2426" s="933"/>
      <c r="J2426" s="1407" t="s">
        <v>18</v>
      </c>
      <c r="K2426" s="1407" t="s">
        <v>147</v>
      </c>
      <c r="L2426" s="1410"/>
      <c r="M2426" s="933"/>
    </row>
    <row r="2427" ht="16.5" customHeight="1" spans="1:13">
      <c r="A2427" s="460" t="s">
        <v>1874</v>
      </c>
      <c r="B2427" s="942" t="s">
        <v>1962</v>
      </c>
      <c r="C2427" s="1388" t="s">
        <v>1747</v>
      </c>
      <c r="D2427" s="439">
        <v>25</v>
      </c>
      <c r="E2427" s="397"/>
      <c r="F2427" s="915"/>
      <c r="G2427" s="915" t="s">
        <v>1957</v>
      </c>
      <c r="H2427" s="899"/>
      <c r="I2427" s="933"/>
      <c r="J2427" s="1407" t="s">
        <v>18</v>
      </c>
      <c r="K2427" s="1407" t="s">
        <v>147</v>
      </c>
      <c r="L2427" s="1410"/>
      <c r="M2427" s="933"/>
    </row>
    <row r="2428" ht="16.5" customHeight="1" spans="1:13">
      <c r="A2428" s="460" t="s">
        <v>1874</v>
      </c>
      <c r="B2428" s="942" t="s">
        <v>1962</v>
      </c>
      <c r="C2428" s="1388" t="s">
        <v>1748</v>
      </c>
      <c r="D2428" s="439">
        <v>25</v>
      </c>
      <c r="E2428" s="397"/>
      <c r="F2428" s="915"/>
      <c r="G2428" s="915" t="s">
        <v>1957</v>
      </c>
      <c r="H2428" s="899"/>
      <c r="I2428" s="933"/>
      <c r="J2428" s="1407" t="s">
        <v>18</v>
      </c>
      <c r="K2428" s="1407" t="s">
        <v>147</v>
      </c>
      <c r="L2428" s="1410"/>
      <c r="M2428" s="933"/>
    </row>
    <row r="2429" ht="16.5" customHeight="1" spans="1:13">
      <c r="A2429" s="460" t="s">
        <v>1874</v>
      </c>
      <c r="B2429" s="942" t="s">
        <v>1962</v>
      </c>
      <c r="C2429" s="1388" t="s">
        <v>1878</v>
      </c>
      <c r="D2429" s="439">
        <v>48</v>
      </c>
      <c r="E2429" s="397"/>
      <c r="F2429" s="915"/>
      <c r="G2429" s="915" t="s">
        <v>1957</v>
      </c>
      <c r="H2429" s="899"/>
      <c r="I2429" s="933"/>
      <c r="J2429" s="1407" t="s">
        <v>18</v>
      </c>
      <c r="K2429" s="1407" t="s">
        <v>147</v>
      </c>
      <c r="L2429" s="1410"/>
      <c r="M2429" s="933"/>
    </row>
    <row r="2430" ht="16.5" customHeight="1" spans="1:13">
      <c r="A2430" s="460" t="s">
        <v>1874</v>
      </c>
      <c r="B2430" s="1408" t="s">
        <v>1965</v>
      </c>
      <c r="C2430" s="1388" t="s">
        <v>1741</v>
      </c>
      <c r="D2430" s="439">
        <v>20</v>
      </c>
      <c r="E2430" s="942" t="s">
        <v>1966</v>
      </c>
      <c r="F2430" s="915"/>
      <c r="G2430" s="915" t="s">
        <v>1957</v>
      </c>
      <c r="H2430" s="899"/>
      <c r="I2430" s="933"/>
      <c r="J2430" s="1407" t="s">
        <v>18</v>
      </c>
      <c r="K2430" s="1407" t="s">
        <v>147</v>
      </c>
      <c r="L2430" s="1410"/>
      <c r="M2430" s="933" t="s">
        <v>1967</v>
      </c>
    </row>
    <row r="2431" ht="16.5" customHeight="1" spans="1:13">
      <c r="A2431" s="460" t="s">
        <v>1874</v>
      </c>
      <c r="B2431" s="942" t="s">
        <v>1965</v>
      </c>
      <c r="C2431" s="1388" t="s">
        <v>1742</v>
      </c>
      <c r="D2431" s="439">
        <v>20</v>
      </c>
      <c r="E2431" s="397"/>
      <c r="F2431" s="915"/>
      <c r="G2431" s="915" t="s">
        <v>1957</v>
      </c>
      <c r="H2431" s="899"/>
      <c r="I2431" s="933"/>
      <c r="J2431" s="1407" t="s">
        <v>18</v>
      </c>
      <c r="K2431" s="1407" t="s">
        <v>147</v>
      </c>
      <c r="L2431" s="1410"/>
      <c r="M2431" s="933"/>
    </row>
    <row r="2432" ht="16.5" customHeight="1" spans="1:13">
      <c r="A2432" s="460" t="s">
        <v>1874</v>
      </c>
      <c r="B2432" s="942" t="s">
        <v>1965</v>
      </c>
      <c r="C2432" s="1388" t="s">
        <v>1723</v>
      </c>
      <c r="D2432" s="439">
        <v>30</v>
      </c>
      <c r="E2432" s="397"/>
      <c r="F2432" s="915"/>
      <c r="G2432" s="915" t="s">
        <v>1957</v>
      </c>
      <c r="H2432" s="899"/>
      <c r="I2432" s="933"/>
      <c r="J2432" s="1407" t="s">
        <v>18</v>
      </c>
      <c r="K2432" s="1407" t="s">
        <v>147</v>
      </c>
      <c r="L2432" s="1410"/>
      <c r="M2432" s="933"/>
    </row>
    <row r="2433" ht="16.5" customHeight="1" spans="1:13">
      <c r="A2433" s="460" t="s">
        <v>1874</v>
      </c>
      <c r="B2433" s="942" t="s">
        <v>1965</v>
      </c>
      <c r="C2433" s="1388" t="s">
        <v>1725</v>
      </c>
      <c r="D2433" s="439">
        <v>30</v>
      </c>
      <c r="E2433" s="397"/>
      <c r="F2433" s="915"/>
      <c r="G2433" s="915" t="s">
        <v>1957</v>
      </c>
      <c r="H2433" s="899"/>
      <c r="I2433" s="933"/>
      <c r="J2433" s="1407" t="s">
        <v>18</v>
      </c>
      <c r="K2433" s="1407" t="s">
        <v>147</v>
      </c>
      <c r="L2433" s="1410"/>
      <c r="M2433" s="933"/>
    </row>
    <row r="2434" ht="16.5" customHeight="1" spans="1:13">
      <c r="A2434" s="460" t="s">
        <v>1874</v>
      </c>
      <c r="B2434" s="942" t="s">
        <v>1965</v>
      </c>
      <c r="C2434" s="1388" t="s">
        <v>1747</v>
      </c>
      <c r="D2434" s="439">
        <v>25</v>
      </c>
      <c r="E2434" s="397"/>
      <c r="F2434" s="915"/>
      <c r="G2434" s="915" t="s">
        <v>1957</v>
      </c>
      <c r="H2434" s="899"/>
      <c r="I2434" s="933"/>
      <c r="J2434" s="1407" t="s">
        <v>18</v>
      </c>
      <c r="K2434" s="1407" t="s">
        <v>147</v>
      </c>
      <c r="L2434" s="1410"/>
      <c r="M2434" s="933"/>
    </row>
    <row r="2435" ht="16.5" customHeight="1" spans="1:13">
      <c r="A2435" s="460" t="s">
        <v>1874</v>
      </c>
      <c r="B2435" s="942" t="s">
        <v>1965</v>
      </c>
      <c r="C2435" s="1388" t="s">
        <v>1748</v>
      </c>
      <c r="D2435" s="439">
        <v>25</v>
      </c>
      <c r="E2435" s="397"/>
      <c r="F2435" s="915"/>
      <c r="G2435" s="915" t="s">
        <v>1957</v>
      </c>
      <c r="H2435" s="899"/>
      <c r="I2435" s="933"/>
      <c r="J2435" s="1407" t="s">
        <v>18</v>
      </c>
      <c r="K2435" s="1407" t="s">
        <v>147</v>
      </c>
      <c r="L2435" s="1410"/>
      <c r="M2435" s="933"/>
    </row>
    <row r="2436" ht="16.5" customHeight="1" spans="1:13">
      <c r="A2436" s="460" t="s">
        <v>1874</v>
      </c>
      <c r="B2436" s="942" t="s">
        <v>1965</v>
      </c>
      <c r="C2436" s="1388" t="s">
        <v>1878</v>
      </c>
      <c r="D2436" s="439">
        <v>48</v>
      </c>
      <c r="E2436" s="397"/>
      <c r="F2436" s="915"/>
      <c r="G2436" s="915" t="s">
        <v>1957</v>
      </c>
      <c r="H2436" s="899"/>
      <c r="I2436" s="933"/>
      <c r="J2436" s="1407" t="s">
        <v>18</v>
      </c>
      <c r="K2436" s="1407" t="s">
        <v>147</v>
      </c>
      <c r="L2436" s="1410"/>
      <c r="M2436" s="933"/>
    </row>
    <row r="2437" ht="16.5" customHeight="1" spans="1:13">
      <c r="A2437" s="460" t="s">
        <v>1874</v>
      </c>
      <c r="B2437" s="1408" t="s">
        <v>1968</v>
      </c>
      <c r="C2437" s="1388" t="s">
        <v>1741</v>
      </c>
      <c r="D2437" s="439">
        <v>20</v>
      </c>
      <c r="E2437" s="942" t="s">
        <v>1969</v>
      </c>
      <c r="F2437" s="915"/>
      <c r="G2437" s="915" t="s">
        <v>1957</v>
      </c>
      <c r="H2437" s="899"/>
      <c r="I2437" s="933"/>
      <c r="J2437" s="1407" t="s">
        <v>18</v>
      </c>
      <c r="K2437" s="1407" t="s">
        <v>147</v>
      </c>
      <c r="L2437" s="1410"/>
      <c r="M2437" s="933" t="s">
        <v>1970</v>
      </c>
    </row>
    <row r="2438" ht="16.5" customHeight="1" spans="1:13">
      <c r="A2438" s="460" t="s">
        <v>1874</v>
      </c>
      <c r="B2438" s="942" t="s">
        <v>1968</v>
      </c>
      <c r="C2438" s="1388" t="s">
        <v>1742</v>
      </c>
      <c r="D2438" s="439">
        <v>20</v>
      </c>
      <c r="E2438" s="397"/>
      <c r="F2438" s="915"/>
      <c r="G2438" s="915" t="s">
        <v>1957</v>
      </c>
      <c r="H2438" s="899"/>
      <c r="I2438" s="933"/>
      <c r="J2438" s="1407" t="s">
        <v>18</v>
      </c>
      <c r="K2438" s="1407" t="s">
        <v>147</v>
      </c>
      <c r="L2438" s="1410"/>
      <c r="M2438" s="933"/>
    </row>
    <row r="2439" ht="16.5" customHeight="1" spans="1:13">
      <c r="A2439" s="460" t="s">
        <v>1874</v>
      </c>
      <c r="B2439" s="942" t="s">
        <v>1968</v>
      </c>
      <c r="C2439" s="1388" t="s">
        <v>1723</v>
      </c>
      <c r="D2439" s="439">
        <v>30</v>
      </c>
      <c r="E2439" s="397"/>
      <c r="F2439" s="915"/>
      <c r="G2439" s="915" t="s">
        <v>1957</v>
      </c>
      <c r="H2439" s="899"/>
      <c r="I2439" s="933"/>
      <c r="J2439" s="1407" t="s">
        <v>18</v>
      </c>
      <c r="K2439" s="1407" t="s">
        <v>147</v>
      </c>
      <c r="L2439" s="1410"/>
      <c r="M2439" s="933"/>
    </row>
    <row r="2440" ht="16.5" customHeight="1" spans="1:13">
      <c r="A2440" s="460" t="s">
        <v>1874</v>
      </c>
      <c r="B2440" s="942" t="s">
        <v>1968</v>
      </c>
      <c r="C2440" s="1388" t="s">
        <v>1725</v>
      </c>
      <c r="D2440" s="439">
        <v>30</v>
      </c>
      <c r="E2440" s="397"/>
      <c r="F2440" s="915"/>
      <c r="G2440" s="915" t="s">
        <v>1957</v>
      </c>
      <c r="H2440" s="899"/>
      <c r="I2440" s="933"/>
      <c r="J2440" s="1407" t="s">
        <v>18</v>
      </c>
      <c r="K2440" s="1407" t="s">
        <v>147</v>
      </c>
      <c r="L2440" s="1410"/>
      <c r="M2440" s="933"/>
    </row>
    <row r="2441" ht="16.5" customHeight="1" spans="1:13">
      <c r="A2441" s="460" t="s">
        <v>1874</v>
      </c>
      <c r="B2441" s="942" t="s">
        <v>1968</v>
      </c>
      <c r="C2441" s="1388" t="s">
        <v>1747</v>
      </c>
      <c r="D2441" s="439">
        <v>25</v>
      </c>
      <c r="E2441" s="397"/>
      <c r="F2441" s="915"/>
      <c r="G2441" s="915" t="s">
        <v>1957</v>
      </c>
      <c r="H2441" s="899"/>
      <c r="I2441" s="933"/>
      <c r="J2441" s="1407" t="s">
        <v>18</v>
      </c>
      <c r="K2441" s="1407" t="s">
        <v>147</v>
      </c>
      <c r="L2441" s="1410"/>
      <c r="M2441" s="933"/>
    </row>
    <row r="2442" ht="16.5" customHeight="1" spans="1:13">
      <c r="A2442" s="460" t="s">
        <v>1874</v>
      </c>
      <c r="B2442" s="942" t="s">
        <v>1968</v>
      </c>
      <c r="C2442" s="1388" t="s">
        <v>1748</v>
      </c>
      <c r="D2442" s="439">
        <v>25</v>
      </c>
      <c r="E2442" s="397"/>
      <c r="F2442" s="915"/>
      <c r="G2442" s="915" t="s">
        <v>1957</v>
      </c>
      <c r="H2442" s="899"/>
      <c r="I2442" s="933"/>
      <c r="J2442" s="1407" t="s">
        <v>18</v>
      </c>
      <c r="K2442" s="1407" t="s">
        <v>147</v>
      </c>
      <c r="L2442" s="1410"/>
      <c r="M2442" s="933"/>
    </row>
    <row r="2443" ht="16.5" customHeight="1" spans="1:13">
      <c r="A2443" s="460" t="s">
        <v>1874</v>
      </c>
      <c r="B2443" s="942" t="s">
        <v>1968</v>
      </c>
      <c r="C2443" s="1388" t="s">
        <v>1878</v>
      </c>
      <c r="D2443" s="439">
        <v>48</v>
      </c>
      <c r="E2443" s="397"/>
      <c r="F2443" s="915"/>
      <c r="G2443" s="915" t="s">
        <v>1957</v>
      </c>
      <c r="H2443" s="899"/>
      <c r="I2443" s="933"/>
      <c r="J2443" s="1407" t="s">
        <v>18</v>
      </c>
      <c r="K2443" s="1407" t="s">
        <v>147</v>
      </c>
      <c r="L2443" s="1410"/>
      <c r="M2443" s="933"/>
    </row>
    <row r="2444" ht="16.5" customHeight="1" spans="1:13">
      <c r="A2444" s="460" t="s">
        <v>1874</v>
      </c>
      <c r="B2444" s="1408" t="s">
        <v>1971</v>
      </c>
      <c r="C2444" s="1388" t="s">
        <v>1741</v>
      </c>
      <c r="D2444" s="439">
        <v>20</v>
      </c>
      <c r="E2444" s="942" t="s">
        <v>1972</v>
      </c>
      <c r="F2444" s="915"/>
      <c r="G2444" s="915" t="s">
        <v>1957</v>
      </c>
      <c r="H2444" s="899"/>
      <c r="I2444" s="933"/>
      <c r="J2444" s="1407" t="s">
        <v>18</v>
      </c>
      <c r="K2444" s="1407" t="s">
        <v>147</v>
      </c>
      <c r="L2444" s="1410"/>
      <c r="M2444" s="933" t="s">
        <v>1973</v>
      </c>
    </row>
    <row r="2445" ht="16.5" customHeight="1" spans="1:13">
      <c r="A2445" s="460" t="s">
        <v>1874</v>
      </c>
      <c r="B2445" s="942" t="s">
        <v>1971</v>
      </c>
      <c r="C2445" s="1388" t="s">
        <v>1742</v>
      </c>
      <c r="D2445" s="439">
        <v>20</v>
      </c>
      <c r="E2445" s="397"/>
      <c r="F2445" s="915"/>
      <c r="G2445" s="915" t="s">
        <v>1957</v>
      </c>
      <c r="H2445" s="899"/>
      <c r="I2445" s="933"/>
      <c r="J2445" s="1407" t="s">
        <v>18</v>
      </c>
      <c r="K2445" s="1407" t="s">
        <v>147</v>
      </c>
      <c r="L2445" s="1410"/>
      <c r="M2445" s="933"/>
    </row>
    <row r="2446" ht="16.5" customHeight="1" spans="1:13">
      <c r="A2446" s="460" t="s">
        <v>1874</v>
      </c>
      <c r="B2446" s="942" t="s">
        <v>1971</v>
      </c>
      <c r="C2446" s="1388" t="s">
        <v>1723</v>
      </c>
      <c r="D2446" s="439">
        <v>30</v>
      </c>
      <c r="E2446" s="397"/>
      <c r="F2446" s="915"/>
      <c r="G2446" s="915" t="s">
        <v>1957</v>
      </c>
      <c r="H2446" s="899"/>
      <c r="I2446" s="933"/>
      <c r="J2446" s="1407" t="s">
        <v>18</v>
      </c>
      <c r="K2446" s="1407" t="s">
        <v>147</v>
      </c>
      <c r="L2446" s="1410"/>
      <c r="M2446" s="933"/>
    </row>
    <row r="2447" ht="16.5" customHeight="1" spans="1:13">
      <c r="A2447" s="460" t="s">
        <v>1874</v>
      </c>
      <c r="B2447" s="942" t="s">
        <v>1971</v>
      </c>
      <c r="C2447" s="1388" t="s">
        <v>1725</v>
      </c>
      <c r="D2447" s="439">
        <v>30</v>
      </c>
      <c r="E2447" s="397"/>
      <c r="F2447" s="915"/>
      <c r="G2447" s="915" t="s">
        <v>1957</v>
      </c>
      <c r="H2447" s="899"/>
      <c r="I2447" s="933"/>
      <c r="J2447" s="1407" t="s">
        <v>18</v>
      </c>
      <c r="K2447" s="1407" t="s">
        <v>147</v>
      </c>
      <c r="L2447" s="1410"/>
      <c r="M2447" s="933"/>
    </row>
    <row r="2448" ht="16.5" customHeight="1" spans="1:13">
      <c r="A2448" s="460" t="s">
        <v>1874</v>
      </c>
      <c r="B2448" s="942" t="s">
        <v>1971</v>
      </c>
      <c r="C2448" s="1388" t="s">
        <v>1747</v>
      </c>
      <c r="D2448" s="439">
        <v>25</v>
      </c>
      <c r="E2448" s="397"/>
      <c r="F2448" s="915"/>
      <c r="G2448" s="915" t="s">
        <v>1957</v>
      </c>
      <c r="H2448" s="899"/>
      <c r="I2448" s="933"/>
      <c r="J2448" s="1407" t="s">
        <v>18</v>
      </c>
      <c r="K2448" s="1407" t="s">
        <v>147</v>
      </c>
      <c r="L2448" s="1410"/>
      <c r="M2448" s="933"/>
    </row>
    <row r="2449" ht="16.5" customHeight="1" spans="1:13">
      <c r="A2449" s="460" t="s">
        <v>1874</v>
      </c>
      <c r="B2449" s="942" t="s">
        <v>1971</v>
      </c>
      <c r="C2449" s="1388" t="s">
        <v>1748</v>
      </c>
      <c r="D2449" s="439">
        <v>25</v>
      </c>
      <c r="E2449" s="397"/>
      <c r="F2449" s="915"/>
      <c r="G2449" s="915" t="s">
        <v>1957</v>
      </c>
      <c r="H2449" s="899"/>
      <c r="I2449" s="933"/>
      <c r="J2449" s="1407" t="s">
        <v>18</v>
      </c>
      <c r="K2449" s="1407" t="s">
        <v>147</v>
      </c>
      <c r="L2449" s="1410"/>
      <c r="M2449" s="933"/>
    </row>
    <row r="2450" ht="16.5" customHeight="1" spans="1:13">
      <c r="A2450" s="460" t="s">
        <v>1874</v>
      </c>
      <c r="B2450" s="942" t="s">
        <v>1971</v>
      </c>
      <c r="C2450" s="1388" t="s">
        <v>1878</v>
      </c>
      <c r="D2450" s="439">
        <v>48</v>
      </c>
      <c r="E2450" s="397"/>
      <c r="F2450" s="915"/>
      <c r="G2450" s="915" t="s">
        <v>1957</v>
      </c>
      <c r="H2450" s="899"/>
      <c r="I2450" s="933"/>
      <c r="J2450" s="1407" t="s">
        <v>18</v>
      </c>
      <c r="K2450" s="1407" t="s">
        <v>147</v>
      </c>
      <c r="L2450" s="1410"/>
      <c r="M2450" s="933"/>
    </row>
    <row r="2451" ht="16.5" customHeight="1" spans="1:13">
      <c r="A2451" s="460" t="s">
        <v>1874</v>
      </c>
      <c r="B2451" s="1408" t="s">
        <v>1974</v>
      </c>
      <c r="C2451" s="1388" t="s">
        <v>1741</v>
      </c>
      <c r="D2451" s="439">
        <v>20</v>
      </c>
      <c r="E2451" s="942" t="s">
        <v>1975</v>
      </c>
      <c r="F2451" s="915"/>
      <c r="G2451" s="915" t="s">
        <v>1957</v>
      </c>
      <c r="H2451" s="899"/>
      <c r="I2451" s="933"/>
      <c r="J2451" s="1407" t="s">
        <v>18</v>
      </c>
      <c r="K2451" s="1407" t="s">
        <v>147</v>
      </c>
      <c r="L2451" s="1410"/>
      <c r="M2451" s="933" t="s">
        <v>1976</v>
      </c>
    </row>
    <row r="2452" ht="16.5" customHeight="1" spans="1:13">
      <c r="A2452" s="460" t="s">
        <v>1874</v>
      </c>
      <c r="B2452" s="942" t="s">
        <v>1974</v>
      </c>
      <c r="C2452" s="1388" t="s">
        <v>1742</v>
      </c>
      <c r="D2452" s="439">
        <v>20</v>
      </c>
      <c r="E2452" s="397"/>
      <c r="F2452" s="915"/>
      <c r="G2452" s="915" t="s">
        <v>1957</v>
      </c>
      <c r="H2452" s="899"/>
      <c r="I2452" s="933"/>
      <c r="J2452" s="1407" t="s">
        <v>18</v>
      </c>
      <c r="K2452" s="1407" t="s">
        <v>147</v>
      </c>
      <c r="L2452" s="1410"/>
      <c r="M2452" s="933"/>
    </row>
    <row r="2453" ht="16.5" customHeight="1" spans="1:13">
      <c r="A2453" s="460" t="s">
        <v>1874</v>
      </c>
      <c r="B2453" s="942" t="s">
        <v>1974</v>
      </c>
      <c r="C2453" s="1388" t="s">
        <v>1723</v>
      </c>
      <c r="D2453" s="439">
        <v>30</v>
      </c>
      <c r="E2453" s="397"/>
      <c r="F2453" s="915"/>
      <c r="G2453" s="915" t="s">
        <v>1957</v>
      </c>
      <c r="H2453" s="899"/>
      <c r="I2453" s="933"/>
      <c r="J2453" s="1407" t="s">
        <v>18</v>
      </c>
      <c r="K2453" s="1407" t="s">
        <v>147</v>
      </c>
      <c r="L2453" s="1410"/>
      <c r="M2453" s="933"/>
    </row>
    <row r="2454" ht="16.5" customHeight="1" spans="1:13">
      <c r="A2454" s="460" t="s">
        <v>1874</v>
      </c>
      <c r="B2454" s="942" t="s">
        <v>1974</v>
      </c>
      <c r="C2454" s="1388" t="s">
        <v>1725</v>
      </c>
      <c r="D2454" s="439">
        <v>30</v>
      </c>
      <c r="E2454" s="397"/>
      <c r="F2454" s="915"/>
      <c r="G2454" s="915" t="s">
        <v>1957</v>
      </c>
      <c r="H2454" s="899"/>
      <c r="I2454" s="933"/>
      <c r="J2454" s="1407" t="s">
        <v>18</v>
      </c>
      <c r="K2454" s="1407" t="s">
        <v>147</v>
      </c>
      <c r="L2454" s="1410"/>
      <c r="M2454" s="933"/>
    </row>
    <row r="2455" ht="16.5" customHeight="1" spans="1:13">
      <c r="A2455" s="460" t="s">
        <v>1874</v>
      </c>
      <c r="B2455" s="942" t="s">
        <v>1974</v>
      </c>
      <c r="C2455" s="1388" t="s">
        <v>1747</v>
      </c>
      <c r="D2455" s="439">
        <v>25</v>
      </c>
      <c r="E2455" s="397"/>
      <c r="F2455" s="915"/>
      <c r="G2455" s="915" t="s">
        <v>1957</v>
      </c>
      <c r="H2455" s="899"/>
      <c r="I2455" s="933"/>
      <c r="J2455" s="1407" t="s">
        <v>18</v>
      </c>
      <c r="K2455" s="1407" t="s">
        <v>147</v>
      </c>
      <c r="L2455" s="1410"/>
      <c r="M2455" s="933"/>
    </row>
    <row r="2456" ht="16.5" customHeight="1" spans="1:13">
      <c r="A2456" s="460" t="s">
        <v>1874</v>
      </c>
      <c r="B2456" s="942" t="s">
        <v>1974</v>
      </c>
      <c r="C2456" s="1388" t="s">
        <v>1748</v>
      </c>
      <c r="D2456" s="439">
        <v>25</v>
      </c>
      <c r="E2456" s="397"/>
      <c r="F2456" s="915"/>
      <c r="G2456" s="915" t="s">
        <v>1957</v>
      </c>
      <c r="H2456" s="899"/>
      <c r="I2456" s="933"/>
      <c r="J2456" s="1407" t="s">
        <v>18</v>
      </c>
      <c r="K2456" s="1407" t="s">
        <v>147</v>
      </c>
      <c r="L2456" s="1410"/>
      <c r="M2456" s="933"/>
    </row>
    <row r="2457" ht="16.5" customHeight="1" spans="1:13">
      <c r="A2457" s="460" t="s">
        <v>1874</v>
      </c>
      <c r="B2457" s="942" t="s">
        <v>1974</v>
      </c>
      <c r="C2457" s="1388" t="s">
        <v>1878</v>
      </c>
      <c r="D2457" s="439">
        <v>48</v>
      </c>
      <c r="E2457" s="397"/>
      <c r="F2457" s="915"/>
      <c r="G2457" s="915" t="s">
        <v>1957</v>
      </c>
      <c r="H2457" s="899"/>
      <c r="I2457" s="933"/>
      <c r="J2457" s="1407" t="s">
        <v>18</v>
      </c>
      <c r="K2457" s="1407" t="s">
        <v>147</v>
      </c>
      <c r="L2457" s="1410"/>
      <c r="M2457" s="933"/>
    </row>
    <row r="2458" s="178" customFormat="1" customHeight="1" spans="1:23">
      <c r="A2458" s="1438" t="s">
        <v>736</v>
      </c>
      <c r="B2458" s="1127" t="s">
        <v>1977</v>
      </c>
      <c r="C2458" s="1127" t="s">
        <v>104</v>
      </c>
      <c r="D2458" s="1439">
        <v>38</v>
      </c>
      <c r="E2458" s="1440" t="s">
        <v>1978</v>
      </c>
      <c r="F2458" s="943">
        <v>45992</v>
      </c>
      <c r="G2458" s="943" t="s">
        <v>1979</v>
      </c>
      <c r="H2458" s="1441"/>
      <c r="I2458" s="1443"/>
      <c r="J2458" s="933" t="s">
        <v>207</v>
      </c>
      <c r="K2458" s="933" t="s">
        <v>107</v>
      </c>
      <c r="L2458" s="1410"/>
      <c r="M2458" s="913" t="s">
        <v>1980</v>
      </c>
      <c r="N2458" s="203"/>
      <c r="O2458" s="512"/>
      <c r="P2458" s="512"/>
      <c r="Q2458" s="512"/>
      <c r="R2458" s="512"/>
      <c r="S2458" s="512"/>
      <c r="T2458" s="512"/>
      <c r="U2458" s="512"/>
      <c r="V2458" s="512"/>
      <c r="W2458" s="512"/>
    </row>
    <row r="2459" s="178" customFormat="1" customHeight="1" spans="1:23">
      <c r="A2459" s="1438" t="s">
        <v>736</v>
      </c>
      <c r="B2459" s="1127" t="s">
        <v>1977</v>
      </c>
      <c r="C2459" s="1127" t="s">
        <v>109</v>
      </c>
      <c r="D2459" s="1439">
        <v>38</v>
      </c>
      <c r="E2459" s="988"/>
      <c r="F2459" s="943">
        <v>45992</v>
      </c>
      <c r="G2459" s="943" t="s">
        <v>1979</v>
      </c>
      <c r="H2459" s="1441"/>
      <c r="I2459" s="1443"/>
      <c r="J2459" s="933" t="s">
        <v>207</v>
      </c>
      <c r="K2459" s="933" t="s">
        <v>107</v>
      </c>
      <c r="L2459" s="1410"/>
      <c r="M2459" s="933" t="s">
        <v>1981</v>
      </c>
      <c r="N2459" s="203"/>
      <c r="O2459" s="512"/>
      <c r="P2459" s="512"/>
      <c r="Q2459" s="512"/>
      <c r="R2459" s="512"/>
      <c r="S2459" s="512"/>
      <c r="T2459" s="512"/>
      <c r="U2459" s="512"/>
      <c r="V2459" s="512"/>
      <c r="W2459" s="512"/>
    </row>
    <row r="2460" s="178" customFormat="1" ht="15.75" customHeight="1" spans="1:23">
      <c r="A2460" s="1438" t="s">
        <v>736</v>
      </c>
      <c r="B2460" s="1127" t="s">
        <v>1977</v>
      </c>
      <c r="C2460" s="1127" t="s">
        <v>111</v>
      </c>
      <c r="D2460" s="1439">
        <v>138</v>
      </c>
      <c r="E2460" s="988"/>
      <c r="F2460" s="943">
        <v>45992</v>
      </c>
      <c r="G2460" s="943" t="s">
        <v>1979</v>
      </c>
      <c r="H2460" s="1441"/>
      <c r="I2460" s="1443"/>
      <c r="J2460" s="933" t="s">
        <v>207</v>
      </c>
      <c r="K2460" s="933" t="s">
        <v>107</v>
      </c>
      <c r="L2460" s="1410"/>
      <c r="M2460" s="1444" t="s">
        <v>1613</v>
      </c>
      <c r="N2460" s="203"/>
      <c r="O2460" s="512"/>
      <c r="P2460" s="512"/>
      <c r="Q2460" s="512"/>
      <c r="R2460" s="512"/>
      <c r="S2460" s="512"/>
      <c r="T2460" s="512"/>
      <c r="U2460" s="512"/>
      <c r="V2460" s="512"/>
      <c r="W2460" s="512"/>
    </row>
    <row r="2461" s="178" customFormat="1" ht="15.4" customHeight="1" spans="1:23">
      <c r="A2461" s="1438" t="s">
        <v>736</v>
      </c>
      <c r="B2461" s="976" t="s">
        <v>1977</v>
      </c>
      <c r="C2461" s="1127" t="s">
        <v>112</v>
      </c>
      <c r="D2461" s="1439">
        <v>138</v>
      </c>
      <c r="E2461" s="988"/>
      <c r="F2461" s="943">
        <v>45992</v>
      </c>
      <c r="G2461" s="943" t="s">
        <v>1979</v>
      </c>
      <c r="H2461" s="1441"/>
      <c r="I2461" s="1443"/>
      <c r="J2461" s="933" t="s">
        <v>207</v>
      </c>
      <c r="K2461" s="933" t="s">
        <v>107</v>
      </c>
      <c r="L2461" s="1410"/>
      <c r="M2461" s="1444"/>
      <c r="N2461" s="203"/>
      <c r="O2461" s="512"/>
      <c r="P2461" s="512"/>
      <c r="Q2461" s="512"/>
      <c r="R2461" s="512"/>
      <c r="S2461" s="512"/>
      <c r="T2461" s="512"/>
      <c r="U2461" s="512"/>
      <c r="V2461" s="512"/>
      <c r="W2461" s="512"/>
    </row>
    <row r="2462" s="178" customFormat="1" ht="15.4" customHeight="1" spans="1:23">
      <c r="A2462" s="1438" t="s">
        <v>736</v>
      </c>
      <c r="B2462" s="1127" t="s">
        <v>1977</v>
      </c>
      <c r="C2462" s="1127" t="s">
        <v>114</v>
      </c>
      <c r="D2462" s="1439">
        <v>18</v>
      </c>
      <c r="E2462" s="988"/>
      <c r="F2462" s="943">
        <v>45992</v>
      </c>
      <c r="G2462" s="943" t="s">
        <v>1979</v>
      </c>
      <c r="H2462" s="1441"/>
      <c r="I2462" s="1443"/>
      <c r="J2462" s="933" t="s">
        <v>207</v>
      </c>
      <c r="K2462" s="933" t="s">
        <v>107</v>
      </c>
      <c r="L2462" s="1410"/>
      <c r="M2462" s="933"/>
      <c r="N2462" s="203"/>
      <c r="O2462" s="512"/>
      <c r="P2462" s="512"/>
      <c r="Q2462" s="512"/>
      <c r="R2462" s="512"/>
      <c r="S2462" s="512"/>
      <c r="T2462" s="512"/>
      <c r="U2462" s="512"/>
      <c r="V2462" s="512"/>
      <c r="W2462" s="512"/>
    </row>
    <row r="2463" s="178" customFormat="1" ht="15.4" customHeight="1" spans="1:23">
      <c r="A2463" s="1438" t="s">
        <v>736</v>
      </c>
      <c r="B2463" s="1127" t="s">
        <v>1977</v>
      </c>
      <c r="C2463" s="1127" t="s">
        <v>115</v>
      </c>
      <c r="D2463" s="1439">
        <v>18</v>
      </c>
      <c r="E2463" s="988"/>
      <c r="F2463" s="943">
        <v>45992</v>
      </c>
      <c r="G2463" s="943" t="s">
        <v>1979</v>
      </c>
      <c r="H2463" s="1441"/>
      <c r="I2463" s="1443"/>
      <c r="J2463" s="933" t="s">
        <v>207</v>
      </c>
      <c r="K2463" s="933" t="s">
        <v>107</v>
      </c>
      <c r="L2463" s="1410"/>
      <c r="M2463" s="933"/>
      <c r="N2463" s="203"/>
      <c r="O2463" s="512"/>
      <c r="P2463" s="512"/>
      <c r="Q2463" s="512"/>
      <c r="R2463" s="512"/>
      <c r="S2463" s="512"/>
      <c r="T2463" s="512"/>
      <c r="U2463" s="512"/>
      <c r="V2463" s="512"/>
      <c r="W2463" s="512"/>
    </row>
    <row r="2464" s="178" customFormat="1" ht="15.4" customHeight="1" spans="1:23">
      <c r="A2464" s="1438" t="s">
        <v>736</v>
      </c>
      <c r="B2464" s="1127" t="s">
        <v>1977</v>
      </c>
      <c r="C2464" s="1127" t="s">
        <v>116</v>
      </c>
      <c r="D2464" s="1439">
        <v>18</v>
      </c>
      <c r="E2464" s="988"/>
      <c r="F2464" s="943">
        <v>45992</v>
      </c>
      <c r="G2464" s="943" t="s">
        <v>1979</v>
      </c>
      <c r="H2464" s="1441"/>
      <c r="I2464" s="1443"/>
      <c r="J2464" s="933" t="s">
        <v>207</v>
      </c>
      <c r="K2464" s="933" t="s">
        <v>107</v>
      </c>
      <c r="L2464" s="1410"/>
      <c r="M2464" s="933"/>
      <c r="N2464" s="203"/>
      <c r="O2464" s="512"/>
      <c r="P2464" s="512"/>
      <c r="Q2464" s="512"/>
      <c r="R2464" s="512"/>
      <c r="S2464" s="512"/>
      <c r="T2464" s="512"/>
      <c r="U2464" s="512"/>
      <c r="V2464" s="512"/>
      <c r="W2464" s="512"/>
    </row>
    <row r="2465" s="178" customFormat="1" ht="15.4" customHeight="1" spans="1:23">
      <c r="A2465" s="1438" t="s">
        <v>736</v>
      </c>
      <c r="B2465" s="1127" t="s">
        <v>1977</v>
      </c>
      <c r="C2465" s="1127" t="s">
        <v>117</v>
      </c>
      <c r="D2465" s="1439">
        <v>18</v>
      </c>
      <c r="E2465" s="988"/>
      <c r="F2465" s="943">
        <v>45992</v>
      </c>
      <c r="G2465" s="943" t="s">
        <v>1979</v>
      </c>
      <c r="H2465" s="899"/>
      <c r="I2465" s="1443"/>
      <c r="J2465" s="933" t="s">
        <v>207</v>
      </c>
      <c r="K2465" s="933" t="s">
        <v>107</v>
      </c>
      <c r="L2465" s="1410"/>
      <c r="M2465" s="933"/>
      <c r="N2465" s="203"/>
      <c r="O2465" s="512"/>
      <c r="P2465" s="512"/>
      <c r="Q2465" s="512"/>
      <c r="R2465" s="512"/>
      <c r="S2465" s="512"/>
      <c r="T2465" s="512"/>
      <c r="U2465" s="512"/>
      <c r="V2465" s="512"/>
      <c r="W2465" s="512"/>
    </row>
    <row r="2466" s="178" customFormat="1" ht="15.4" customHeight="1" spans="1:23">
      <c r="A2466" s="1438" t="s">
        <v>736</v>
      </c>
      <c r="B2466" s="1127" t="s">
        <v>1977</v>
      </c>
      <c r="C2466" s="1127" t="s">
        <v>118</v>
      </c>
      <c r="D2466" s="1439">
        <v>8</v>
      </c>
      <c r="E2466" s="988"/>
      <c r="F2466" s="943">
        <v>45992</v>
      </c>
      <c r="G2466" s="943" t="s">
        <v>1979</v>
      </c>
      <c r="H2466" s="899"/>
      <c r="I2466" s="1443"/>
      <c r="J2466" s="933" t="s">
        <v>207</v>
      </c>
      <c r="K2466" s="933" t="s">
        <v>107</v>
      </c>
      <c r="L2466" s="1410"/>
      <c r="M2466" s="933"/>
      <c r="N2466" s="203"/>
      <c r="O2466" s="512"/>
      <c r="P2466" s="512"/>
      <c r="Q2466" s="512"/>
      <c r="R2466" s="512"/>
      <c r="S2466" s="512"/>
      <c r="T2466" s="512"/>
      <c r="U2466" s="512"/>
      <c r="V2466" s="512"/>
      <c r="W2466" s="512"/>
    </row>
    <row r="2467" s="178" customFormat="1" ht="15.4" customHeight="1" spans="1:23">
      <c r="A2467" s="1438" t="s">
        <v>736</v>
      </c>
      <c r="B2467" s="1127" t="s">
        <v>1977</v>
      </c>
      <c r="C2467" s="1127" t="s">
        <v>119</v>
      </c>
      <c r="D2467" s="1439">
        <v>8</v>
      </c>
      <c r="E2467" s="988"/>
      <c r="F2467" s="943">
        <v>45992</v>
      </c>
      <c r="G2467" s="943" t="s">
        <v>1979</v>
      </c>
      <c r="H2467" s="899"/>
      <c r="I2467" s="1443"/>
      <c r="J2467" s="1445" t="s">
        <v>207</v>
      </c>
      <c r="K2467" s="933" t="s">
        <v>107</v>
      </c>
      <c r="L2467" s="1410"/>
      <c r="M2467" s="933"/>
      <c r="N2467" s="203"/>
      <c r="O2467" s="512"/>
      <c r="P2467" s="512"/>
      <c r="Q2467" s="512"/>
      <c r="R2467" s="512"/>
      <c r="S2467" s="512"/>
      <c r="T2467" s="512"/>
      <c r="U2467" s="512"/>
      <c r="V2467" s="512"/>
      <c r="W2467" s="512"/>
    </row>
    <row r="2468" ht="17" customHeight="1" spans="1:23">
      <c r="A2468" s="460" t="s">
        <v>1982</v>
      </c>
      <c r="B2468" s="1408" t="s">
        <v>1983</v>
      </c>
      <c r="C2468" s="925" t="s">
        <v>1819</v>
      </c>
      <c r="D2468" s="439">
        <v>90</v>
      </c>
      <c r="E2468" s="1408" t="s">
        <v>1984</v>
      </c>
      <c r="F2468" s="1441">
        <v>45981</v>
      </c>
      <c r="G2468" s="1441" t="s">
        <v>1979</v>
      </c>
      <c r="H2468" s="899"/>
      <c r="I2468" s="933"/>
      <c r="J2468" s="933" t="s">
        <v>207</v>
      </c>
      <c r="K2468" s="959" t="s">
        <v>19</v>
      </c>
      <c r="L2468" s="1410"/>
      <c r="M2468" s="933" t="s">
        <v>1985</v>
      </c>
      <c r="N2468" s="1154"/>
      <c r="O2468" s="1154"/>
      <c r="P2468" s="1154"/>
      <c r="Q2468" s="1154"/>
      <c r="R2468" s="1154"/>
      <c r="S2468" s="1154"/>
      <c r="T2468" s="1154"/>
      <c r="U2468" s="1154"/>
      <c r="V2468" s="1154"/>
      <c r="W2468" s="1154"/>
    </row>
    <row r="2469" ht="17" customHeight="1" spans="1:23">
      <c r="A2469" s="460" t="s">
        <v>1982</v>
      </c>
      <c r="B2469" s="1408" t="s">
        <v>1983</v>
      </c>
      <c r="C2469" s="925" t="s">
        <v>1820</v>
      </c>
      <c r="D2469" s="439">
        <v>90</v>
      </c>
      <c r="E2469" s="281"/>
      <c r="F2469" s="1441">
        <v>45981</v>
      </c>
      <c r="G2469" s="1441" t="s">
        <v>1979</v>
      </c>
      <c r="H2469" s="899"/>
      <c r="I2469" s="933"/>
      <c r="J2469" s="933" t="s">
        <v>207</v>
      </c>
      <c r="K2469" s="959" t="s">
        <v>19</v>
      </c>
      <c r="L2469" s="1410"/>
      <c r="M2469" s="933" t="s">
        <v>1986</v>
      </c>
      <c r="N2469" s="1154"/>
      <c r="O2469" s="1154"/>
      <c r="P2469" s="1154"/>
      <c r="Q2469" s="1154"/>
      <c r="R2469" s="1154"/>
      <c r="S2469" s="1154"/>
      <c r="T2469" s="1154"/>
      <c r="U2469" s="1154"/>
      <c r="V2469" s="1154"/>
      <c r="W2469" s="1154"/>
    </row>
    <row r="2470" ht="17" customHeight="1" spans="1:23">
      <c r="A2470" s="460" t="s">
        <v>1982</v>
      </c>
      <c r="B2470" s="1408" t="s">
        <v>1983</v>
      </c>
      <c r="C2470" s="925" t="s">
        <v>1821</v>
      </c>
      <c r="D2470" s="439">
        <v>35</v>
      </c>
      <c r="E2470" s="281"/>
      <c r="F2470" s="1441">
        <v>45981</v>
      </c>
      <c r="G2470" s="1441" t="s">
        <v>1979</v>
      </c>
      <c r="H2470" s="899"/>
      <c r="I2470" s="933"/>
      <c r="J2470" s="933" t="s">
        <v>207</v>
      </c>
      <c r="K2470" s="959" t="s">
        <v>19</v>
      </c>
      <c r="L2470" s="1410"/>
      <c r="M2470" s="933"/>
      <c r="N2470" s="1154"/>
      <c r="O2470" s="1154"/>
      <c r="P2470" s="1154"/>
      <c r="Q2470" s="1154"/>
      <c r="R2470" s="1154"/>
      <c r="S2470" s="1154"/>
      <c r="T2470" s="1154"/>
      <c r="U2470" s="1154"/>
      <c r="V2470" s="1154"/>
      <c r="W2470" s="1154"/>
    </row>
    <row r="2471" ht="17" customHeight="1" spans="1:23">
      <c r="A2471" s="460" t="s">
        <v>1982</v>
      </c>
      <c r="B2471" s="1408" t="s">
        <v>1983</v>
      </c>
      <c r="C2471" s="925" t="s">
        <v>1822</v>
      </c>
      <c r="D2471" s="439">
        <v>35</v>
      </c>
      <c r="E2471" s="281"/>
      <c r="F2471" s="1441">
        <v>45981</v>
      </c>
      <c r="G2471" s="1441" t="s">
        <v>1979</v>
      </c>
      <c r="H2471" s="899"/>
      <c r="I2471" s="933"/>
      <c r="J2471" s="933" t="s">
        <v>207</v>
      </c>
      <c r="K2471" s="959" t="s">
        <v>19</v>
      </c>
      <c r="L2471" s="1410"/>
      <c r="M2471" s="933"/>
      <c r="N2471" s="1154"/>
      <c r="O2471" s="1154"/>
      <c r="P2471" s="1154"/>
      <c r="Q2471" s="1154"/>
      <c r="R2471" s="1154"/>
      <c r="S2471" s="1154"/>
      <c r="T2471" s="1154"/>
      <c r="U2471" s="1154"/>
      <c r="V2471" s="1154"/>
      <c r="W2471" s="1154"/>
    </row>
    <row r="2472" ht="17" customHeight="1" spans="1:23">
      <c r="A2472" s="460" t="s">
        <v>1982</v>
      </c>
      <c r="B2472" s="1408" t="s">
        <v>1983</v>
      </c>
      <c r="C2472" s="925" t="s">
        <v>1823</v>
      </c>
      <c r="D2472" s="439">
        <v>25</v>
      </c>
      <c r="E2472" s="281"/>
      <c r="F2472" s="1441">
        <v>45981</v>
      </c>
      <c r="G2472" s="1441" t="s">
        <v>1979</v>
      </c>
      <c r="H2472" s="899"/>
      <c r="I2472" s="933"/>
      <c r="J2472" s="933" t="s">
        <v>207</v>
      </c>
      <c r="K2472" s="959" t="s">
        <v>19</v>
      </c>
      <c r="L2472" s="1410"/>
      <c r="M2472" s="933"/>
      <c r="N2472" s="1154"/>
      <c r="O2472" s="1154"/>
      <c r="P2472" s="1154"/>
      <c r="Q2472" s="1154"/>
      <c r="R2472" s="1154"/>
      <c r="S2472" s="1154"/>
      <c r="T2472" s="1154"/>
      <c r="U2472" s="1154"/>
      <c r="V2472" s="1154"/>
      <c r="W2472" s="1154"/>
    </row>
    <row r="2473" ht="17" customHeight="1" spans="1:23">
      <c r="A2473" s="460" t="s">
        <v>1982</v>
      </c>
      <c r="B2473" s="1408" t="s">
        <v>1983</v>
      </c>
      <c r="C2473" s="925" t="s">
        <v>1824</v>
      </c>
      <c r="D2473" s="439">
        <v>25</v>
      </c>
      <c r="E2473" s="281"/>
      <c r="F2473" s="1441">
        <v>45981</v>
      </c>
      <c r="G2473" s="1441" t="s">
        <v>1979</v>
      </c>
      <c r="H2473" s="899"/>
      <c r="I2473" s="933"/>
      <c r="J2473" s="933" t="s">
        <v>207</v>
      </c>
      <c r="K2473" s="959" t="s">
        <v>19</v>
      </c>
      <c r="L2473" s="1410"/>
      <c r="M2473" s="933"/>
      <c r="N2473" s="1154"/>
      <c r="O2473" s="1154"/>
      <c r="P2473" s="1154"/>
      <c r="Q2473" s="1154"/>
      <c r="R2473" s="1154"/>
      <c r="S2473" s="1154"/>
      <c r="T2473" s="1154"/>
      <c r="U2473" s="1154"/>
      <c r="V2473" s="1154"/>
      <c r="W2473" s="1154"/>
    </row>
    <row r="2474" ht="17" customHeight="1" spans="1:23">
      <c r="A2474" s="460" t="s">
        <v>1982</v>
      </c>
      <c r="B2474" s="1408" t="s">
        <v>1983</v>
      </c>
      <c r="C2474" s="925" t="s">
        <v>1827</v>
      </c>
      <c r="D2474" s="439">
        <v>35</v>
      </c>
      <c r="E2474" s="281"/>
      <c r="F2474" s="1441">
        <v>45981</v>
      </c>
      <c r="G2474" s="1441" t="s">
        <v>1979</v>
      </c>
      <c r="H2474" s="899"/>
      <c r="I2474" s="933"/>
      <c r="J2474" s="933" t="s">
        <v>207</v>
      </c>
      <c r="K2474" s="959" t="s">
        <v>19</v>
      </c>
      <c r="L2474" s="1410"/>
      <c r="M2474" s="933"/>
      <c r="N2474" s="1154"/>
      <c r="O2474" s="1154"/>
      <c r="P2474" s="1154"/>
      <c r="Q2474" s="1154"/>
      <c r="R2474" s="1154"/>
      <c r="S2474" s="1154"/>
      <c r="T2474" s="1154"/>
      <c r="U2474" s="1154"/>
      <c r="V2474" s="1154"/>
      <c r="W2474" s="1154"/>
    </row>
    <row r="2475" ht="17" customHeight="1" spans="1:23">
      <c r="A2475" s="462" t="s">
        <v>1982</v>
      </c>
      <c r="B2475" s="1408" t="s">
        <v>1983</v>
      </c>
      <c r="C2475" s="1442" t="s">
        <v>1828</v>
      </c>
      <c r="D2475" s="443">
        <v>35</v>
      </c>
      <c r="E2475" s="281"/>
      <c r="F2475" s="1441">
        <v>45981</v>
      </c>
      <c r="G2475" s="1441" t="s">
        <v>1979</v>
      </c>
      <c r="H2475" s="938"/>
      <c r="I2475" s="959"/>
      <c r="J2475" s="959" t="s">
        <v>207</v>
      </c>
      <c r="K2475" s="959" t="s">
        <v>19</v>
      </c>
      <c r="L2475" s="1446"/>
      <c r="M2475" s="959"/>
      <c r="N2475" s="1154"/>
      <c r="O2475" s="1154"/>
      <c r="P2475" s="1154"/>
      <c r="Q2475" s="1154"/>
      <c r="R2475" s="1154"/>
      <c r="S2475" s="1154"/>
      <c r="T2475" s="1154"/>
      <c r="U2475" s="1154"/>
      <c r="V2475" s="1154"/>
      <c r="W2475" s="1154"/>
    </row>
    <row r="2476" ht="20" customHeight="1" spans="1:23">
      <c r="A2476" s="460" t="s">
        <v>1928</v>
      </c>
      <c r="B2476" s="1408" t="s">
        <v>1987</v>
      </c>
      <c r="C2476" s="925" t="s">
        <v>129</v>
      </c>
      <c r="D2476" s="439">
        <v>21</v>
      </c>
      <c r="E2476" s="914" t="s">
        <v>1988</v>
      </c>
      <c r="F2476" s="899">
        <v>45945</v>
      </c>
      <c r="G2476" s="899" t="s">
        <v>1979</v>
      </c>
      <c r="H2476" s="899"/>
      <c r="I2476" s="933"/>
      <c r="J2476" s="1419" t="s">
        <v>18</v>
      </c>
      <c r="K2476" s="1407" t="s">
        <v>147</v>
      </c>
      <c r="L2476" s="1410"/>
      <c r="M2476" s="933"/>
      <c r="N2476" s="1154"/>
      <c r="O2476" s="1154"/>
      <c r="P2476" s="1154"/>
      <c r="Q2476" s="1154"/>
      <c r="R2476" s="1154"/>
      <c r="S2476" s="1154"/>
      <c r="T2476" s="1154"/>
      <c r="U2476" s="1154"/>
      <c r="V2476" s="1154"/>
      <c r="W2476" s="1154"/>
    </row>
    <row r="2477" ht="20" customHeight="1" spans="1:23">
      <c r="A2477" s="460" t="s">
        <v>1928</v>
      </c>
      <c r="B2477" s="1408" t="s">
        <v>1987</v>
      </c>
      <c r="C2477" s="925" t="s">
        <v>1737</v>
      </c>
      <c r="D2477" s="439">
        <v>50</v>
      </c>
      <c r="E2477" s="281"/>
      <c r="F2477" s="899">
        <v>45945</v>
      </c>
      <c r="G2477" s="899" t="s">
        <v>1979</v>
      </c>
      <c r="H2477" s="899"/>
      <c r="I2477" s="933"/>
      <c r="J2477" s="1419" t="s">
        <v>18</v>
      </c>
      <c r="K2477" s="1407" t="s">
        <v>147</v>
      </c>
      <c r="L2477" s="1410"/>
      <c r="M2477" s="933"/>
      <c r="N2477" s="1154"/>
      <c r="O2477" s="1154"/>
      <c r="P2477" s="1154"/>
      <c r="Q2477" s="1154"/>
      <c r="R2477" s="1154"/>
      <c r="S2477" s="1154"/>
      <c r="T2477" s="1154"/>
      <c r="U2477" s="1154"/>
      <c r="V2477" s="1154"/>
      <c r="W2477" s="1154"/>
    </row>
    <row r="2478" ht="20" customHeight="1" spans="1:23">
      <c r="A2478" s="460" t="s">
        <v>1928</v>
      </c>
      <c r="B2478" s="1408" t="s">
        <v>1987</v>
      </c>
      <c r="C2478" s="925" t="s">
        <v>1740</v>
      </c>
      <c r="D2478" s="439">
        <v>50</v>
      </c>
      <c r="E2478" s="281"/>
      <c r="F2478" s="899">
        <v>45945</v>
      </c>
      <c r="G2478" s="899" t="s">
        <v>1979</v>
      </c>
      <c r="H2478" s="899"/>
      <c r="I2478" s="933"/>
      <c r="J2478" s="1419" t="s">
        <v>18</v>
      </c>
      <c r="K2478" s="1407" t="s">
        <v>147</v>
      </c>
      <c r="L2478" s="1410"/>
      <c r="M2478" s="933"/>
      <c r="N2478" s="1154"/>
      <c r="O2478" s="1154"/>
      <c r="P2478" s="1154"/>
      <c r="Q2478" s="1154"/>
      <c r="R2478" s="1154"/>
      <c r="S2478" s="1154"/>
      <c r="T2478" s="1154"/>
      <c r="U2478" s="1154"/>
      <c r="V2478" s="1154"/>
      <c r="W2478" s="1154"/>
    </row>
    <row r="2479" ht="20" customHeight="1" spans="1:23">
      <c r="A2479" s="460" t="s">
        <v>1928</v>
      </c>
      <c r="B2479" s="1408" t="s">
        <v>1987</v>
      </c>
      <c r="C2479" s="925" t="s">
        <v>1741</v>
      </c>
      <c r="D2479" s="439">
        <v>80</v>
      </c>
      <c r="E2479" s="281"/>
      <c r="F2479" s="899">
        <v>45945</v>
      </c>
      <c r="G2479" s="899" t="s">
        <v>1979</v>
      </c>
      <c r="H2479" s="899"/>
      <c r="I2479" s="933"/>
      <c r="J2479" s="1419" t="s">
        <v>18</v>
      </c>
      <c r="K2479" s="1407" t="s">
        <v>147</v>
      </c>
      <c r="L2479" s="1410"/>
      <c r="M2479" s="933"/>
      <c r="N2479" s="1154"/>
      <c r="O2479" s="1154"/>
      <c r="P2479" s="1154"/>
      <c r="Q2479" s="1154"/>
      <c r="R2479" s="1154"/>
      <c r="S2479" s="1154"/>
      <c r="T2479" s="1154"/>
      <c r="U2479" s="1154"/>
      <c r="V2479" s="1154"/>
      <c r="W2479" s="1154"/>
    </row>
    <row r="2480" ht="20" customHeight="1" spans="1:23">
      <c r="A2480" s="460" t="s">
        <v>1928</v>
      </c>
      <c r="B2480" s="1408" t="s">
        <v>1987</v>
      </c>
      <c r="C2480" s="925" t="s">
        <v>1878</v>
      </c>
      <c r="D2480" s="439">
        <v>48</v>
      </c>
      <c r="E2480" s="281"/>
      <c r="F2480" s="899">
        <v>45945</v>
      </c>
      <c r="G2480" s="899" t="s">
        <v>1979</v>
      </c>
      <c r="H2480" s="899"/>
      <c r="I2480" s="933"/>
      <c r="J2480" s="1419" t="s">
        <v>18</v>
      </c>
      <c r="K2480" s="1407" t="s">
        <v>147</v>
      </c>
      <c r="L2480" s="1410"/>
      <c r="M2480" s="933"/>
      <c r="N2480" s="1154"/>
      <c r="O2480" s="1154"/>
      <c r="P2480" s="1154"/>
      <c r="Q2480" s="1154"/>
      <c r="R2480" s="1154"/>
      <c r="S2480" s="1154"/>
      <c r="T2480" s="1154"/>
      <c r="U2480" s="1154"/>
      <c r="V2480" s="1154"/>
      <c r="W2480" s="1154"/>
    </row>
    <row r="2481" ht="20" customHeight="1" spans="1:23">
      <c r="A2481" s="460" t="s">
        <v>1928</v>
      </c>
      <c r="B2481" s="1408" t="s">
        <v>1989</v>
      </c>
      <c r="C2481" s="925" t="s">
        <v>1741</v>
      </c>
      <c r="D2481" s="439">
        <v>220</v>
      </c>
      <c r="E2481" s="914" t="s">
        <v>1990</v>
      </c>
      <c r="F2481" s="899">
        <v>45945</v>
      </c>
      <c r="G2481" s="899" t="s">
        <v>1979</v>
      </c>
      <c r="H2481" s="899"/>
      <c r="I2481" s="933"/>
      <c r="J2481" s="1419" t="s">
        <v>18</v>
      </c>
      <c r="K2481" s="1407" t="s">
        <v>147</v>
      </c>
      <c r="L2481" s="1410"/>
      <c r="M2481" s="933"/>
      <c r="N2481" s="1154"/>
      <c r="O2481" s="1154"/>
      <c r="P2481" s="1154"/>
      <c r="Q2481" s="1154"/>
      <c r="R2481" s="1154"/>
      <c r="S2481" s="1154"/>
      <c r="T2481" s="1154"/>
      <c r="U2481" s="1154"/>
      <c r="V2481" s="1154"/>
      <c r="W2481" s="1154"/>
    </row>
    <row r="2482" ht="20" customHeight="1" spans="1:23">
      <c r="A2482" s="460" t="s">
        <v>1928</v>
      </c>
      <c r="B2482" s="1408" t="s">
        <v>1989</v>
      </c>
      <c r="C2482" s="925" t="s">
        <v>1723</v>
      </c>
      <c r="D2482" s="439">
        <v>40</v>
      </c>
      <c r="E2482" s="281"/>
      <c r="F2482" s="899">
        <v>45945</v>
      </c>
      <c r="G2482" s="899" t="s">
        <v>1979</v>
      </c>
      <c r="H2482" s="899"/>
      <c r="I2482" s="933"/>
      <c r="J2482" s="1419" t="s">
        <v>18</v>
      </c>
      <c r="K2482" s="1407" t="s">
        <v>147</v>
      </c>
      <c r="L2482" s="1410"/>
      <c r="M2482" s="933"/>
      <c r="N2482" s="1154"/>
      <c r="O2482" s="1154"/>
      <c r="P2482" s="1154"/>
      <c r="Q2482" s="1154"/>
      <c r="R2482" s="1154"/>
      <c r="S2482" s="1154"/>
      <c r="T2482" s="1154"/>
      <c r="U2482" s="1154"/>
      <c r="V2482" s="1154"/>
      <c r="W2482" s="1154"/>
    </row>
    <row r="2483" ht="20" customHeight="1" spans="1:23">
      <c r="A2483" s="460" t="s">
        <v>1928</v>
      </c>
      <c r="B2483" s="1408" t="s">
        <v>1989</v>
      </c>
      <c r="C2483" s="925" t="s">
        <v>1878</v>
      </c>
      <c r="D2483" s="439">
        <v>48</v>
      </c>
      <c r="E2483" s="281"/>
      <c r="F2483" s="899">
        <v>45945</v>
      </c>
      <c r="G2483" s="899" t="s">
        <v>1979</v>
      </c>
      <c r="H2483" s="899"/>
      <c r="I2483" s="933"/>
      <c r="J2483" s="1419" t="s">
        <v>18</v>
      </c>
      <c r="K2483" s="1407" t="s">
        <v>147</v>
      </c>
      <c r="L2483" s="1410"/>
      <c r="M2483" s="933"/>
      <c r="N2483" s="1154"/>
      <c r="O2483" s="1154"/>
      <c r="P2483" s="1154"/>
      <c r="Q2483" s="1154"/>
      <c r="R2483" s="1154"/>
      <c r="S2483" s="1154"/>
      <c r="T2483" s="1154"/>
      <c r="U2483" s="1154"/>
      <c r="V2483" s="1154"/>
      <c r="W2483" s="1154"/>
    </row>
    <row r="2484" ht="20" customHeight="1" spans="1:23">
      <c r="A2484" s="460" t="s">
        <v>1928</v>
      </c>
      <c r="B2484" s="1408" t="s">
        <v>1991</v>
      </c>
      <c r="C2484" s="925" t="s">
        <v>1723</v>
      </c>
      <c r="D2484" s="439">
        <v>260</v>
      </c>
      <c r="E2484" s="914" t="s">
        <v>1992</v>
      </c>
      <c r="F2484" s="899">
        <v>45945</v>
      </c>
      <c r="G2484" s="899" t="s">
        <v>1979</v>
      </c>
      <c r="H2484" s="899"/>
      <c r="I2484" s="933"/>
      <c r="J2484" s="1419" t="s">
        <v>18</v>
      </c>
      <c r="K2484" s="1407" t="s">
        <v>147</v>
      </c>
      <c r="L2484" s="1410"/>
      <c r="M2484" s="933"/>
      <c r="N2484" s="1154"/>
      <c r="O2484" s="1154"/>
      <c r="P2484" s="1154"/>
      <c r="Q2484" s="1154"/>
      <c r="R2484" s="1154"/>
      <c r="S2484" s="1154"/>
      <c r="T2484" s="1154"/>
      <c r="U2484" s="1154"/>
      <c r="V2484" s="1154"/>
      <c r="W2484" s="1154"/>
    </row>
    <row r="2485" ht="20" customHeight="1" spans="1:23">
      <c r="A2485" s="460" t="s">
        <v>1928</v>
      </c>
      <c r="B2485" s="1408" t="s">
        <v>1991</v>
      </c>
      <c r="C2485" s="925" t="s">
        <v>1878</v>
      </c>
      <c r="D2485" s="439">
        <v>48</v>
      </c>
      <c r="E2485" s="281"/>
      <c r="F2485" s="899">
        <v>45945</v>
      </c>
      <c r="G2485" s="899" t="s">
        <v>1979</v>
      </c>
      <c r="H2485" s="899"/>
      <c r="I2485" s="933"/>
      <c r="J2485" s="1419" t="s">
        <v>18</v>
      </c>
      <c r="K2485" s="1407" t="s">
        <v>147</v>
      </c>
      <c r="L2485" s="1410"/>
      <c r="M2485" s="933"/>
      <c r="N2485" s="1154"/>
      <c r="O2485" s="1154"/>
      <c r="P2485" s="1154"/>
      <c r="Q2485" s="1154"/>
      <c r="R2485" s="1154"/>
      <c r="S2485" s="1154"/>
      <c r="T2485" s="1154"/>
      <c r="U2485" s="1154"/>
      <c r="V2485" s="1154"/>
      <c r="W2485" s="1154"/>
    </row>
    <row r="2486" ht="20" customHeight="1" spans="1:23">
      <c r="A2486" s="460" t="s">
        <v>1928</v>
      </c>
      <c r="B2486" s="1408" t="s">
        <v>1993</v>
      </c>
      <c r="C2486" s="925" t="s">
        <v>1723</v>
      </c>
      <c r="D2486" s="439">
        <v>200</v>
      </c>
      <c r="E2486" s="914" t="s">
        <v>1994</v>
      </c>
      <c r="F2486" s="899">
        <v>45945</v>
      </c>
      <c r="G2486" s="899" t="s">
        <v>1979</v>
      </c>
      <c r="H2486" s="899"/>
      <c r="I2486" s="933"/>
      <c r="J2486" s="1419" t="s">
        <v>18</v>
      </c>
      <c r="K2486" s="1407" t="s">
        <v>147</v>
      </c>
      <c r="L2486" s="1410"/>
      <c r="M2486" s="933"/>
      <c r="N2486" s="1154"/>
      <c r="O2486" s="1154"/>
      <c r="P2486" s="1154"/>
      <c r="Q2486" s="1154"/>
      <c r="R2486" s="1154"/>
      <c r="S2486" s="1154"/>
      <c r="T2486" s="1154"/>
      <c r="U2486" s="1154"/>
      <c r="V2486" s="1154"/>
      <c r="W2486" s="1154"/>
    </row>
    <row r="2487" ht="20" customHeight="1" spans="1:23">
      <c r="A2487" s="460" t="s">
        <v>1928</v>
      </c>
      <c r="B2487" s="1408" t="s">
        <v>1993</v>
      </c>
      <c r="C2487" s="925" t="s">
        <v>1747</v>
      </c>
      <c r="D2487" s="439">
        <v>10</v>
      </c>
      <c r="E2487" s="281"/>
      <c r="F2487" s="899">
        <v>45945</v>
      </c>
      <c r="G2487" s="899" t="s">
        <v>1979</v>
      </c>
      <c r="H2487" s="899"/>
      <c r="I2487" s="933"/>
      <c r="J2487" s="1419" t="s">
        <v>18</v>
      </c>
      <c r="K2487" s="1407" t="s">
        <v>147</v>
      </c>
      <c r="L2487" s="1410"/>
      <c r="M2487" s="933"/>
      <c r="N2487" s="1154"/>
      <c r="O2487" s="1154"/>
      <c r="P2487" s="1154"/>
      <c r="Q2487" s="1154"/>
      <c r="R2487" s="1154"/>
      <c r="S2487" s="1154"/>
      <c r="T2487" s="1154"/>
      <c r="U2487" s="1154"/>
      <c r="V2487" s="1154"/>
      <c r="W2487" s="1154"/>
    </row>
    <row r="2488" ht="20" customHeight="1" spans="1:23">
      <c r="A2488" s="460" t="s">
        <v>1928</v>
      </c>
      <c r="B2488" s="1408" t="s">
        <v>1993</v>
      </c>
      <c r="C2488" s="925" t="s">
        <v>1748</v>
      </c>
      <c r="D2488" s="439">
        <v>10</v>
      </c>
      <c r="E2488" s="281"/>
      <c r="F2488" s="899">
        <v>45945</v>
      </c>
      <c r="G2488" s="899" t="s">
        <v>1979</v>
      </c>
      <c r="H2488" s="899"/>
      <c r="I2488" s="933"/>
      <c r="J2488" s="1419" t="s">
        <v>18</v>
      </c>
      <c r="K2488" s="1407" t="s">
        <v>147</v>
      </c>
      <c r="L2488" s="1410"/>
      <c r="M2488" s="933"/>
      <c r="N2488" s="1154"/>
      <c r="O2488" s="1154"/>
      <c r="P2488" s="1154"/>
      <c r="Q2488" s="1154"/>
      <c r="R2488" s="1154"/>
      <c r="S2488" s="1154"/>
      <c r="T2488" s="1154"/>
      <c r="U2488" s="1154"/>
      <c r="V2488" s="1154"/>
      <c r="W2488" s="1154"/>
    </row>
    <row r="2489" ht="20" customHeight="1" spans="1:23">
      <c r="A2489" s="460" t="s">
        <v>1928</v>
      </c>
      <c r="B2489" s="1408" t="s">
        <v>1993</v>
      </c>
      <c r="C2489" s="925" t="s">
        <v>1878</v>
      </c>
      <c r="D2489" s="439">
        <v>48</v>
      </c>
      <c r="E2489" s="281"/>
      <c r="F2489" s="899">
        <v>45945</v>
      </c>
      <c r="G2489" s="899" t="s">
        <v>1979</v>
      </c>
      <c r="H2489" s="899"/>
      <c r="I2489" s="933"/>
      <c r="J2489" s="1419" t="s">
        <v>18</v>
      </c>
      <c r="K2489" s="1407" t="s">
        <v>147</v>
      </c>
      <c r="L2489" s="1410"/>
      <c r="M2489" s="933"/>
      <c r="N2489" s="1154"/>
      <c r="O2489" s="1154"/>
      <c r="P2489" s="1154"/>
      <c r="Q2489" s="1154"/>
      <c r="R2489" s="1154"/>
      <c r="S2489" s="1154"/>
      <c r="T2489" s="1154"/>
      <c r="U2489" s="1154"/>
      <c r="V2489" s="1154"/>
      <c r="W2489" s="1154"/>
    </row>
    <row r="2490" ht="20" customHeight="1" spans="1:23">
      <c r="A2490" s="460" t="s">
        <v>1928</v>
      </c>
      <c r="B2490" s="1408" t="s">
        <v>1995</v>
      </c>
      <c r="C2490" s="925" t="s">
        <v>1747</v>
      </c>
      <c r="D2490" s="439">
        <v>50</v>
      </c>
      <c r="E2490" s="914" t="s">
        <v>1996</v>
      </c>
      <c r="F2490" s="899">
        <v>45945</v>
      </c>
      <c r="G2490" s="899" t="s">
        <v>1979</v>
      </c>
      <c r="H2490" s="899"/>
      <c r="I2490" s="933"/>
      <c r="J2490" s="1419" t="s">
        <v>18</v>
      </c>
      <c r="K2490" s="1407" t="s">
        <v>147</v>
      </c>
      <c r="L2490" s="1410"/>
      <c r="M2490" s="933"/>
      <c r="N2490" s="1154"/>
      <c r="O2490" s="1154"/>
      <c r="P2490" s="1154"/>
      <c r="Q2490" s="1154"/>
      <c r="R2490" s="1154"/>
      <c r="S2490" s="1154"/>
      <c r="T2490" s="1154"/>
      <c r="U2490" s="1154"/>
      <c r="V2490" s="1154"/>
      <c r="W2490" s="1154"/>
    </row>
    <row r="2491" ht="20" customHeight="1" spans="1:23">
      <c r="A2491" s="460" t="s">
        <v>1928</v>
      </c>
      <c r="B2491" s="1408" t="s">
        <v>1995</v>
      </c>
      <c r="C2491" s="925" t="s">
        <v>1748</v>
      </c>
      <c r="D2491" s="439">
        <v>50</v>
      </c>
      <c r="E2491" s="281"/>
      <c r="F2491" s="899">
        <v>45945</v>
      </c>
      <c r="G2491" s="899" t="s">
        <v>1979</v>
      </c>
      <c r="H2491" s="899"/>
      <c r="I2491" s="933"/>
      <c r="J2491" s="1419" t="s">
        <v>18</v>
      </c>
      <c r="K2491" s="1407" t="s">
        <v>147</v>
      </c>
      <c r="L2491" s="1410"/>
      <c r="M2491" s="933"/>
      <c r="N2491" s="1154"/>
      <c r="O2491" s="1154"/>
      <c r="P2491" s="1154"/>
      <c r="Q2491" s="1154"/>
      <c r="R2491" s="1154"/>
      <c r="S2491" s="1154"/>
      <c r="T2491" s="1154"/>
      <c r="U2491" s="1154"/>
      <c r="V2491" s="1154"/>
      <c r="W2491" s="1154"/>
    </row>
    <row r="2492" ht="20" customHeight="1" spans="1:23">
      <c r="A2492" s="460" t="s">
        <v>1928</v>
      </c>
      <c r="B2492" s="1408" t="s">
        <v>1995</v>
      </c>
      <c r="C2492" s="925" t="s">
        <v>1878</v>
      </c>
      <c r="D2492" s="439">
        <v>48</v>
      </c>
      <c r="E2492" s="281"/>
      <c r="F2492" s="899">
        <v>45945</v>
      </c>
      <c r="G2492" s="899" t="s">
        <v>1979</v>
      </c>
      <c r="H2492" s="899"/>
      <c r="I2492" s="933"/>
      <c r="J2492" s="1419" t="s">
        <v>18</v>
      </c>
      <c r="K2492" s="1407" t="s">
        <v>147</v>
      </c>
      <c r="L2492" s="1410"/>
      <c r="M2492" s="933"/>
      <c r="N2492" s="1154"/>
      <c r="O2492" s="1154"/>
      <c r="P2492" s="1154"/>
      <c r="Q2492" s="1154"/>
      <c r="R2492" s="1154"/>
      <c r="S2492" s="1154"/>
      <c r="T2492" s="1154"/>
      <c r="U2492" s="1154"/>
      <c r="V2492" s="1154"/>
      <c r="W2492" s="1154"/>
    </row>
    <row r="2493" ht="20" customHeight="1" spans="1:23">
      <c r="A2493" s="460" t="s">
        <v>1928</v>
      </c>
      <c r="B2493" s="1408" t="s">
        <v>1997</v>
      </c>
      <c r="C2493" s="925" t="s">
        <v>1747</v>
      </c>
      <c r="D2493" s="439">
        <v>80</v>
      </c>
      <c r="E2493" s="914" t="s">
        <v>1998</v>
      </c>
      <c r="F2493" s="899">
        <v>45945</v>
      </c>
      <c r="G2493" s="899" t="s">
        <v>1979</v>
      </c>
      <c r="H2493" s="899"/>
      <c r="I2493" s="933"/>
      <c r="J2493" s="1419" t="s">
        <v>18</v>
      </c>
      <c r="K2493" s="1407" t="s">
        <v>147</v>
      </c>
      <c r="L2493" s="1410"/>
      <c r="M2493" s="933"/>
      <c r="N2493" s="1154"/>
      <c r="O2493" s="1154"/>
      <c r="P2493" s="1154"/>
      <c r="Q2493" s="1154"/>
      <c r="R2493" s="1154"/>
      <c r="S2493" s="1154"/>
      <c r="T2493" s="1154"/>
      <c r="U2493" s="1154"/>
      <c r="V2493" s="1154"/>
      <c r="W2493" s="1154"/>
    </row>
    <row r="2494" ht="20" customHeight="1" spans="1:23">
      <c r="A2494" s="460" t="s">
        <v>1928</v>
      </c>
      <c r="B2494" s="1408" t="s">
        <v>1997</v>
      </c>
      <c r="C2494" s="925" t="s">
        <v>1748</v>
      </c>
      <c r="D2494" s="439">
        <v>40</v>
      </c>
      <c r="E2494" s="281"/>
      <c r="F2494" s="899">
        <v>45945</v>
      </c>
      <c r="G2494" s="899" t="s">
        <v>1979</v>
      </c>
      <c r="H2494" s="899"/>
      <c r="I2494" s="933"/>
      <c r="J2494" s="1419" t="s">
        <v>18</v>
      </c>
      <c r="K2494" s="1407" t="s">
        <v>147</v>
      </c>
      <c r="L2494" s="1410"/>
      <c r="M2494" s="933"/>
      <c r="N2494" s="1154"/>
      <c r="O2494" s="1154"/>
      <c r="P2494" s="1154"/>
      <c r="Q2494" s="1154"/>
      <c r="R2494" s="1154"/>
      <c r="S2494" s="1154"/>
      <c r="T2494" s="1154"/>
      <c r="U2494" s="1154"/>
      <c r="V2494" s="1154"/>
      <c r="W2494" s="1154"/>
    </row>
    <row r="2495" ht="20" customHeight="1" spans="1:23">
      <c r="A2495" s="460" t="s">
        <v>1928</v>
      </c>
      <c r="B2495" s="1408" t="s">
        <v>1997</v>
      </c>
      <c r="C2495" s="925" t="s">
        <v>1878</v>
      </c>
      <c r="D2495" s="439">
        <v>48</v>
      </c>
      <c r="E2495" s="281"/>
      <c r="F2495" s="899">
        <v>45945</v>
      </c>
      <c r="G2495" s="899" t="s">
        <v>1979</v>
      </c>
      <c r="H2495" s="899"/>
      <c r="I2495" s="933"/>
      <c r="J2495" s="1419" t="s">
        <v>18</v>
      </c>
      <c r="K2495" s="1407" t="s">
        <v>147</v>
      </c>
      <c r="L2495" s="1410"/>
      <c r="M2495" s="933"/>
      <c r="N2495" s="1154"/>
      <c r="O2495" s="1154"/>
      <c r="P2495" s="1154"/>
      <c r="Q2495" s="1154"/>
      <c r="R2495" s="1154"/>
      <c r="S2495" s="1154"/>
      <c r="T2495" s="1154"/>
      <c r="U2495" s="1154"/>
      <c r="V2495" s="1154"/>
      <c r="W2495" s="1154"/>
    </row>
    <row r="2496" ht="20" customHeight="1" spans="1:23">
      <c r="A2496" s="460" t="s">
        <v>1928</v>
      </c>
      <c r="B2496" s="1408" t="s">
        <v>1999</v>
      </c>
      <c r="C2496" s="925" t="s">
        <v>1747</v>
      </c>
      <c r="D2496" s="439">
        <v>160</v>
      </c>
      <c r="E2496" s="914" t="s">
        <v>2000</v>
      </c>
      <c r="F2496" s="899">
        <v>45945</v>
      </c>
      <c r="G2496" s="899" t="s">
        <v>1979</v>
      </c>
      <c r="H2496" s="899"/>
      <c r="I2496" s="933"/>
      <c r="J2496" s="1419" t="s">
        <v>18</v>
      </c>
      <c r="K2496" s="1407" t="s">
        <v>147</v>
      </c>
      <c r="L2496" s="1410"/>
      <c r="M2496" s="933"/>
      <c r="N2496" s="1154"/>
      <c r="O2496" s="1154"/>
      <c r="P2496" s="1154"/>
      <c r="Q2496" s="1154"/>
      <c r="R2496" s="1154"/>
      <c r="S2496" s="1154"/>
      <c r="T2496" s="1154"/>
      <c r="U2496" s="1154"/>
      <c r="V2496" s="1154"/>
      <c r="W2496" s="1154"/>
    </row>
    <row r="2497" ht="20" customHeight="1" spans="1:23">
      <c r="A2497" s="460" t="s">
        <v>1928</v>
      </c>
      <c r="B2497" s="1408" t="s">
        <v>1999</v>
      </c>
      <c r="C2497" s="925" t="s">
        <v>1769</v>
      </c>
      <c r="D2497" s="439">
        <v>50</v>
      </c>
      <c r="E2497" s="281"/>
      <c r="F2497" s="899">
        <v>45945</v>
      </c>
      <c r="G2497" s="899" t="s">
        <v>1979</v>
      </c>
      <c r="H2497" s="899"/>
      <c r="I2497" s="933"/>
      <c r="J2497" s="1419" t="s">
        <v>18</v>
      </c>
      <c r="K2497" s="1407" t="s">
        <v>147</v>
      </c>
      <c r="L2497" s="1410"/>
      <c r="M2497" s="933"/>
      <c r="N2497" s="1154"/>
      <c r="O2497" s="1154"/>
      <c r="P2497" s="1154"/>
      <c r="Q2497" s="1154"/>
      <c r="R2497" s="1154"/>
      <c r="S2497" s="1154"/>
      <c r="T2497" s="1154"/>
      <c r="U2497" s="1154"/>
      <c r="V2497" s="1154"/>
      <c r="W2497" s="1154"/>
    </row>
    <row r="2498" ht="20" customHeight="1" spans="1:23">
      <c r="A2498" s="460" t="s">
        <v>1928</v>
      </c>
      <c r="B2498" s="1408" t="s">
        <v>1999</v>
      </c>
      <c r="C2498" s="925" t="s">
        <v>1770</v>
      </c>
      <c r="D2498" s="439">
        <v>50</v>
      </c>
      <c r="E2498" s="69"/>
      <c r="F2498" s="899">
        <v>45945</v>
      </c>
      <c r="G2498" s="899" t="s">
        <v>1979</v>
      </c>
      <c r="H2498" s="899"/>
      <c r="I2498" s="933"/>
      <c r="J2498" s="1419" t="s">
        <v>18</v>
      </c>
      <c r="K2498" s="1407" t="s">
        <v>147</v>
      </c>
      <c r="L2498" s="1410"/>
      <c r="M2498" s="933"/>
      <c r="N2498" s="1154"/>
      <c r="O2498" s="1154"/>
      <c r="P2498" s="1154"/>
      <c r="Q2498" s="1154"/>
      <c r="R2498" s="1154"/>
      <c r="S2498" s="1154"/>
      <c r="T2498" s="1154"/>
      <c r="U2498" s="1154"/>
      <c r="V2498" s="1154"/>
      <c r="W2498" s="1154"/>
    </row>
    <row r="2499" ht="20" customHeight="1" spans="1:23">
      <c r="A2499" s="460" t="s">
        <v>1928</v>
      </c>
      <c r="B2499" s="1408" t="s">
        <v>1999</v>
      </c>
      <c r="C2499" s="925" t="s">
        <v>1775</v>
      </c>
      <c r="D2499" s="439">
        <v>25</v>
      </c>
      <c r="E2499" s="281"/>
      <c r="F2499" s="899">
        <v>45945</v>
      </c>
      <c r="G2499" s="899" t="s">
        <v>1979</v>
      </c>
      <c r="H2499" s="899"/>
      <c r="I2499" s="933"/>
      <c r="J2499" s="1419" t="s">
        <v>18</v>
      </c>
      <c r="K2499" s="1407" t="s">
        <v>147</v>
      </c>
      <c r="L2499" s="1410"/>
      <c r="M2499" s="933"/>
      <c r="N2499" s="1154"/>
      <c r="O2499" s="1154"/>
      <c r="P2499" s="1154"/>
      <c r="Q2499" s="1154"/>
      <c r="R2499" s="1154"/>
      <c r="S2499" s="1154"/>
      <c r="T2499" s="1154"/>
      <c r="U2499" s="1154"/>
      <c r="V2499" s="1154"/>
      <c r="W2499" s="1154"/>
    </row>
    <row r="2500" ht="20" customHeight="1" spans="1:23">
      <c r="A2500" s="460" t="s">
        <v>1928</v>
      </c>
      <c r="B2500" s="1408" t="s">
        <v>1999</v>
      </c>
      <c r="C2500" s="925" t="s">
        <v>1776</v>
      </c>
      <c r="D2500" s="439">
        <v>25</v>
      </c>
      <c r="E2500" s="281"/>
      <c r="F2500" s="899">
        <v>45945</v>
      </c>
      <c r="G2500" s="899" t="s">
        <v>1979</v>
      </c>
      <c r="H2500" s="899"/>
      <c r="I2500" s="933"/>
      <c r="J2500" s="1419" t="s">
        <v>18</v>
      </c>
      <c r="K2500" s="1407" t="s">
        <v>147</v>
      </c>
      <c r="L2500" s="1410"/>
      <c r="M2500" s="933"/>
      <c r="N2500" s="1154"/>
      <c r="O2500" s="1154"/>
      <c r="P2500" s="1154"/>
      <c r="Q2500" s="1154"/>
      <c r="R2500" s="1154"/>
      <c r="S2500" s="1154"/>
      <c r="T2500" s="1154"/>
      <c r="U2500" s="1154"/>
      <c r="V2500" s="1154"/>
      <c r="W2500" s="1154"/>
    </row>
    <row r="2501" ht="20" customHeight="1" spans="1:23">
      <c r="A2501" s="460" t="s">
        <v>1928</v>
      </c>
      <c r="B2501" s="1408" t="s">
        <v>2001</v>
      </c>
      <c r="C2501" s="925" t="s">
        <v>1775</v>
      </c>
      <c r="D2501" s="439">
        <v>75</v>
      </c>
      <c r="E2501" s="914" t="s">
        <v>2002</v>
      </c>
      <c r="F2501" s="899">
        <v>45945</v>
      </c>
      <c r="G2501" s="899" t="s">
        <v>1979</v>
      </c>
      <c r="H2501" s="899"/>
      <c r="I2501" s="933"/>
      <c r="J2501" s="1419" t="s">
        <v>18</v>
      </c>
      <c r="K2501" s="1407" t="s">
        <v>147</v>
      </c>
      <c r="L2501" s="1410"/>
      <c r="M2501" s="933"/>
      <c r="N2501" s="1154"/>
      <c r="O2501" s="1154"/>
      <c r="P2501" s="1154"/>
      <c r="Q2501" s="1154"/>
      <c r="R2501" s="1154"/>
      <c r="S2501" s="1154"/>
      <c r="T2501" s="1154"/>
      <c r="U2501" s="1154"/>
      <c r="V2501" s="1154"/>
      <c r="W2501" s="1154"/>
    </row>
    <row r="2502" ht="20" customHeight="1" spans="1:23">
      <c r="A2502" s="460" t="s">
        <v>1928</v>
      </c>
      <c r="B2502" s="1408" t="s">
        <v>2001</v>
      </c>
      <c r="C2502" s="925" t="s">
        <v>1776</v>
      </c>
      <c r="D2502" s="439">
        <v>25</v>
      </c>
      <c r="E2502" s="281"/>
      <c r="F2502" s="899">
        <v>45945</v>
      </c>
      <c r="G2502" s="899" t="s">
        <v>1979</v>
      </c>
      <c r="H2502" s="899"/>
      <c r="I2502" s="933"/>
      <c r="J2502" s="1419" t="s">
        <v>18</v>
      </c>
      <c r="K2502" s="1407" t="s">
        <v>147</v>
      </c>
      <c r="L2502" s="1410"/>
      <c r="M2502" s="933"/>
      <c r="N2502" s="1154"/>
      <c r="O2502" s="1154"/>
      <c r="P2502" s="1154"/>
      <c r="Q2502" s="1154"/>
      <c r="R2502" s="1154"/>
      <c r="S2502" s="1154"/>
      <c r="T2502" s="1154"/>
      <c r="U2502" s="1154"/>
      <c r="V2502" s="1154"/>
      <c r="W2502" s="1154"/>
    </row>
    <row r="2503" ht="20" customHeight="1" spans="1:23">
      <c r="A2503" s="460" t="s">
        <v>1928</v>
      </c>
      <c r="B2503" s="1408" t="s">
        <v>2001</v>
      </c>
      <c r="C2503" s="925" t="s">
        <v>1782</v>
      </c>
      <c r="D2503" s="439">
        <v>20</v>
      </c>
      <c r="E2503" s="281"/>
      <c r="F2503" s="899">
        <v>45945</v>
      </c>
      <c r="G2503" s="899" t="s">
        <v>1979</v>
      </c>
      <c r="H2503" s="899"/>
      <c r="I2503" s="933"/>
      <c r="J2503" s="1419" t="s">
        <v>18</v>
      </c>
      <c r="K2503" s="1407" t="s">
        <v>147</v>
      </c>
      <c r="L2503" s="1410"/>
      <c r="M2503" s="933"/>
      <c r="N2503" s="1154"/>
      <c r="O2503" s="1154"/>
      <c r="P2503" s="1154"/>
      <c r="Q2503" s="1154"/>
      <c r="R2503" s="1154"/>
      <c r="S2503" s="1154"/>
      <c r="T2503" s="1154"/>
      <c r="U2503" s="1154"/>
      <c r="V2503" s="1154"/>
      <c r="W2503" s="1154"/>
    </row>
    <row r="2504" ht="20" customHeight="1" spans="1:23">
      <c r="A2504" s="460" t="s">
        <v>1928</v>
      </c>
      <c r="B2504" s="1408" t="s">
        <v>2001</v>
      </c>
      <c r="C2504" s="925" t="s">
        <v>1783</v>
      </c>
      <c r="D2504" s="439">
        <v>20</v>
      </c>
      <c r="E2504" s="281"/>
      <c r="F2504" s="899">
        <v>45945</v>
      </c>
      <c r="G2504" s="899" t="s">
        <v>1979</v>
      </c>
      <c r="H2504" s="899"/>
      <c r="I2504" s="933"/>
      <c r="J2504" s="1419" t="s">
        <v>18</v>
      </c>
      <c r="K2504" s="1407" t="s">
        <v>147</v>
      </c>
      <c r="L2504" s="1410"/>
      <c r="M2504" s="933"/>
      <c r="N2504" s="1154"/>
      <c r="O2504" s="1154"/>
      <c r="P2504" s="1154"/>
      <c r="Q2504" s="1154"/>
      <c r="R2504" s="1154"/>
      <c r="S2504" s="1154"/>
      <c r="T2504" s="1154"/>
      <c r="U2504" s="1154"/>
      <c r="V2504" s="1154"/>
      <c r="W2504" s="1154"/>
    </row>
    <row r="2505" ht="20" customHeight="1" spans="1:23">
      <c r="A2505" s="460" t="s">
        <v>1928</v>
      </c>
      <c r="B2505" s="1408" t="s">
        <v>2003</v>
      </c>
      <c r="C2505" s="925" t="s">
        <v>2004</v>
      </c>
      <c r="D2505" s="439">
        <v>10</v>
      </c>
      <c r="E2505" s="817" t="s">
        <v>2005</v>
      </c>
      <c r="F2505" s="899">
        <v>45945</v>
      </c>
      <c r="G2505" s="899" t="s">
        <v>1979</v>
      </c>
      <c r="H2505" s="899"/>
      <c r="I2505" s="933"/>
      <c r="J2505" s="1419" t="s">
        <v>18</v>
      </c>
      <c r="K2505" s="1407" t="s">
        <v>147</v>
      </c>
      <c r="L2505" s="1410"/>
      <c r="M2505" s="933"/>
      <c r="N2505" s="1154"/>
      <c r="O2505" s="1154"/>
      <c r="P2505" s="1154"/>
      <c r="Q2505" s="1154"/>
      <c r="R2505" s="1154"/>
      <c r="S2505" s="1154"/>
      <c r="T2505" s="1154"/>
      <c r="U2505" s="1154"/>
      <c r="V2505" s="1154"/>
      <c r="W2505" s="1154"/>
    </row>
    <row r="2506" ht="20" customHeight="1" spans="1:23">
      <c r="A2506" s="460" t="s">
        <v>1928</v>
      </c>
      <c r="B2506" s="1408" t="s">
        <v>2003</v>
      </c>
      <c r="C2506" s="1420" t="s">
        <v>1561</v>
      </c>
      <c r="D2506" s="439">
        <v>10</v>
      </c>
      <c r="E2506" s="817"/>
      <c r="F2506" s="899">
        <v>45945</v>
      </c>
      <c r="G2506" s="899" t="s">
        <v>1979</v>
      </c>
      <c r="H2506" s="899"/>
      <c r="I2506" s="933"/>
      <c r="J2506" s="1419" t="s">
        <v>18</v>
      </c>
      <c r="K2506" s="1407" t="s">
        <v>147</v>
      </c>
      <c r="L2506" s="1410"/>
      <c r="M2506" s="933"/>
      <c r="N2506" s="1154"/>
      <c r="O2506" s="1154"/>
      <c r="P2506" s="1154"/>
      <c r="Q2506" s="1154"/>
      <c r="R2506" s="1154"/>
      <c r="S2506" s="1154"/>
      <c r="T2506" s="1154"/>
      <c r="U2506" s="1154"/>
      <c r="V2506" s="1154"/>
      <c r="W2506" s="1154"/>
    </row>
    <row r="2507" ht="20" customHeight="1" spans="1:23">
      <c r="A2507" s="460" t="s">
        <v>1928</v>
      </c>
      <c r="B2507" s="1408" t="s">
        <v>2003</v>
      </c>
      <c r="C2507" s="1420" t="s">
        <v>903</v>
      </c>
      <c r="D2507" s="439">
        <v>10</v>
      </c>
      <c r="E2507" s="817"/>
      <c r="F2507" s="899">
        <v>45945</v>
      </c>
      <c r="G2507" s="899" t="s">
        <v>1979</v>
      </c>
      <c r="H2507" s="899"/>
      <c r="I2507" s="933"/>
      <c r="J2507" s="1419" t="s">
        <v>18</v>
      </c>
      <c r="K2507" s="1407" t="s">
        <v>147</v>
      </c>
      <c r="L2507" s="1410"/>
      <c r="M2507" s="933"/>
      <c r="N2507" s="1154"/>
      <c r="O2507" s="1154"/>
      <c r="P2507" s="1154"/>
      <c r="Q2507" s="1154"/>
      <c r="R2507" s="1154"/>
      <c r="S2507" s="1154"/>
      <c r="T2507" s="1154"/>
      <c r="U2507" s="1154"/>
      <c r="V2507" s="1154"/>
      <c r="W2507" s="1154"/>
    </row>
    <row r="2508" ht="20" customHeight="1" spans="1:23">
      <c r="A2508" s="460" t="s">
        <v>1928</v>
      </c>
      <c r="B2508" s="1408" t="s">
        <v>2003</v>
      </c>
      <c r="C2508" s="1420" t="s">
        <v>901</v>
      </c>
      <c r="D2508" s="439">
        <v>10</v>
      </c>
      <c r="E2508" s="817"/>
      <c r="F2508" s="899">
        <v>45945</v>
      </c>
      <c r="G2508" s="899" t="s">
        <v>1979</v>
      </c>
      <c r="H2508" s="899"/>
      <c r="I2508" s="933"/>
      <c r="J2508" s="1419" t="s">
        <v>18</v>
      </c>
      <c r="K2508" s="1407" t="s">
        <v>147</v>
      </c>
      <c r="L2508" s="1410"/>
      <c r="M2508" s="933"/>
      <c r="N2508" s="1154"/>
      <c r="O2508" s="1154"/>
      <c r="P2508" s="1154"/>
      <c r="Q2508" s="1154"/>
      <c r="R2508" s="1154"/>
      <c r="S2508" s="1154"/>
      <c r="T2508" s="1154"/>
      <c r="U2508" s="1154"/>
      <c r="V2508" s="1154"/>
      <c r="W2508" s="1154"/>
    </row>
    <row r="2509" ht="20" customHeight="1" spans="1:23">
      <c r="A2509" s="460" t="s">
        <v>1928</v>
      </c>
      <c r="B2509" s="1408" t="s">
        <v>2003</v>
      </c>
      <c r="C2509" s="819" t="s">
        <v>757</v>
      </c>
      <c r="D2509" s="439">
        <v>10</v>
      </c>
      <c r="E2509" s="817"/>
      <c r="F2509" s="899">
        <v>45945</v>
      </c>
      <c r="G2509" s="899" t="s">
        <v>1979</v>
      </c>
      <c r="H2509" s="899"/>
      <c r="I2509" s="933"/>
      <c r="J2509" s="1419" t="s">
        <v>18</v>
      </c>
      <c r="K2509" s="1407" t="s">
        <v>147</v>
      </c>
      <c r="L2509" s="1410"/>
      <c r="M2509" s="933"/>
      <c r="N2509" s="1154"/>
      <c r="O2509" s="1154"/>
      <c r="P2509" s="1154"/>
      <c r="Q2509" s="1154"/>
      <c r="R2509" s="1154"/>
      <c r="S2509" s="1154"/>
      <c r="T2509" s="1154"/>
      <c r="U2509" s="1154"/>
      <c r="V2509" s="1154"/>
      <c r="W2509" s="1154"/>
    </row>
    <row r="2510" ht="20" customHeight="1" spans="1:23">
      <c r="A2510" s="460" t="s">
        <v>1928</v>
      </c>
      <c r="B2510" s="1408" t="s">
        <v>2006</v>
      </c>
      <c r="C2510" s="925" t="s">
        <v>1741</v>
      </c>
      <c r="D2510" s="439">
        <v>100</v>
      </c>
      <c r="E2510" s="914" t="s">
        <v>2007</v>
      </c>
      <c r="F2510" s="899">
        <v>45945</v>
      </c>
      <c r="G2510" s="899" t="s">
        <v>1979</v>
      </c>
      <c r="H2510" s="899"/>
      <c r="I2510" s="933"/>
      <c r="J2510" s="819" t="s">
        <v>39</v>
      </c>
      <c r="K2510" s="819" t="s">
        <v>147</v>
      </c>
      <c r="L2510" s="1410"/>
      <c r="M2510" s="933"/>
      <c r="N2510" s="1154"/>
      <c r="O2510" s="1154"/>
      <c r="P2510" s="1154"/>
      <c r="Q2510" s="1154"/>
      <c r="R2510" s="1154"/>
      <c r="S2510" s="1154"/>
      <c r="T2510" s="1154"/>
      <c r="U2510" s="1154"/>
      <c r="V2510" s="1154"/>
      <c r="W2510" s="1154"/>
    </row>
    <row r="2511" ht="20" customHeight="1" spans="1:23">
      <c r="A2511" s="460" t="s">
        <v>1928</v>
      </c>
      <c r="B2511" s="1408" t="s">
        <v>2006</v>
      </c>
      <c r="C2511" s="925" t="s">
        <v>1742</v>
      </c>
      <c r="D2511" s="439">
        <v>100</v>
      </c>
      <c r="E2511" s="281"/>
      <c r="F2511" s="899">
        <v>45945</v>
      </c>
      <c r="G2511" s="899" t="s">
        <v>1979</v>
      </c>
      <c r="H2511" s="899"/>
      <c r="I2511" s="933"/>
      <c r="J2511" s="819" t="s">
        <v>39</v>
      </c>
      <c r="K2511" s="819" t="s">
        <v>147</v>
      </c>
      <c r="L2511" s="1410"/>
      <c r="M2511" s="933"/>
      <c r="N2511" s="1154"/>
      <c r="O2511" s="1154"/>
      <c r="P2511" s="1154"/>
      <c r="Q2511" s="1154"/>
      <c r="R2511" s="1154"/>
      <c r="S2511" s="1154"/>
      <c r="T2511" s="1154"/>
      <c r="U2511" s="1154"/>
      <c r="V2511" s="1154"/>
      <c r="W2511" s="1154"/>
    </row>
    <row r="2512" ht="20" customHeight="1" spans="1:23">
      <c r="A2512" s="460" t="s">
        <v>1928</v>
      </c>
      <c r="B2512" s="1408" t="s">
        <v>2006</v>
      </c>
      <c r="C2512" s="925" t="s">
        <v>1723</v>
      </c>
      <c r="D2512" s="439">
        <v>50</v>
      </c>
      <c r="E2512" s="281"/>
      <c r="F2512" s="899">
        <v>45945</v>
      </c>
      <c r="G2512" s="899" t="s">
        <v>1979</v>
      </c>
      <c r="H2512" s="899"/>
      <c r="I2512" s="933"/>
      <c r="J2512" s="819" t="s">
        <v>39</v>
      </c>
      <c r="K2512" s="819" t="s">
        <v>147</v>
      </c>
      <c r="L2512" s="1410"/>
      <c r="M2512" s="933"/>
      <c r="N2512" s="1154"/>
      <c r="O2512" s="1154"/>
      <c r="P2512" s="1154"/>
      <c r="Q2512" s="1154"/>
      <c r="R2512" s="1154"/>
      <c r="S2512" s="1154"/>
      <c r="T2512" s="1154"/>
      <c r="U2512" s="1154"/>
      <c r="V2512" s="1154"/>
      <c r="W2512" s="1154"/>
    </row>
    <row r="2513" ht="20" customHeight="1" spans="1:23">
      <c r="A2513" s="460" t="s">
        <v>1928</v>
      </c>
      <c r="B2513" s="1408" t="s">
        <v>2006</v>
      </c>
      <c r="C2513" s="925" t="s">
        <v>1725</v>
      </c>
      <c r="D2513" s="439">
        <v>50</v>
      </c>
      <c r="E2513" s="281"/>
      <c r="F2513" s="899">
        <v>45945</v>
      </c>
      <c r="G2513" s="899" t="s">
        <v>1979</v>
      </c>
      <c r="H2513" s="899"/>
      <c r="I2513" s="933"/>
      <c r="J2513" s="819" t="s">
        <v>39</v>
      </c>
      <c r="K2513" s="819" t="s">
        <v>147</v>
      </c>
      <c r="L2513" s="1410"/>
      <c r="M2513" s="933"/>
      <c r="N2513" s="1154"/>
      <c r="O2513" s="1154"/>
      <c r="P2513" s="1154"/>
      <c r="Q2513" s="1154"/>
      <c r="R2513" s="1154"/>
      <c r="S2513" s="1154"/>
      <c r="T2513" s="1154"/>
      <c r="U2513" s="1154"/>
      <c r="V2513" s="1154"/>
      <c r="W2513" s="1154"/>
    </row>
    <row r="2514" ht="20" customHeight="1" spans="1:23">
      <c r="A2514" s="460" t="s">
        <v>1928</v>
      </c>
      <c r="B2514" s="1408" t="s">
        <v>2006</v>
      </c>
      <c r="C2514" s="925" t="s">
        <v>1747</v>
      </c>
      <c r="D2514" s="439">
        <v>48</v>
      </c>
      <c r="E2514" s="281"/>
      <c r="F2514" s="899">
        <v>45945</v>
      </c>
      <c r="G2514" s="899" t="s">
        <v>1979</v>
      </c>
      <c r="H2514" s="899"/>
      <c r="I2514" s="933"/>
      <c r="J2514" s="819" t="s">
        <v>39</v>
      </c>
      <c r="K2514" s="819" t="s">
        <v>147</v>
      </c>
      <c r="L2514" s="1410"/>
      <c r="M2514" s="933"/>
      <c r="N2514" s="1154"/>
      <c r="O2514" s="1154"/>
      <c r="P2514" s="1154"/>
      <c r="Q2514" s="1154"/>
      <c r="R2514" s="1154"/>
      <c r="S2514" s="1154"/>
      <c r="T2514" s="1154"/>
      <c r="U2514" s="1154"/>
      <c r="V2514" s="1154"/>
      <c r="W2514" s="1154"/>
    </row>
    <row r="2515" ht="20" customHeight="1" spans="1:23">
      <c r="A2515" s="460" t="s">
        <v>1928</v>
      </c>
      <c r="B2515" s="1408" t="s">
        <v>2006</v>
      </c>
      <c r="C2515" s="925" t="s">
        <v>1748</v>
      </c>
      <c r="D2515" s="439">
        <v>48</v>
      </c>
      <c r="E2515" s="281"/>
      <c r="F2515" s="899">
        <v>45945</v>
      </c>
      <c r="G2515" s="899" t="s">
        <v>1979</v>
      </c>
      <c r="H2515" s="899"/>
      <c r="I2515" s="933"/>
      <c r="J2515" s="819" t="s">
        <v>39</v>
      </c>
      <c r="K2515" s="819" t="s">
        <v>147</v>
      </c>
      <c r="L2515" s="1410"/>
      <c r="M2515" s="933"/>
      <c r="N2515" s="1154"/>
      <c r="O2515" s="1154"/>
      <c r="P2515" s="1154"/>
      <c r="Q2515" s="1154"/>
      <c r="R2515" s="1154"/>
      <c r="S2515" s="1154"/>
      <c r="T2515" s="1154"/>
      <c r="U2515" s="1154"/>
      <c r="V2515" s="1154"/>
      <c r="W2515" s="1154"/>
    </row>
    <row r="2516" ht="20" customHeight="1" spans="1:23">
      <c r="A2516" s="460" t="s">
        <v>1928</v>
      </c>
      <c r="B2516" s="1408" t="s">
        <v>2008</v>
      </c>
      <c r="C2516" s="925" t="s">
        <v>1747</v>
      </c>
      <c r="D2516" s="439">
        <v>52</v>
      </c>
      <c r="E2516" s="914" t="s">
        <v>2009</v>
      </c>
      <c r="F2516" s="899">
        <v>45945</v>
      </c>
      <c r="G2516" s="899" t="s">
        <v>1979</v>
      </c>
      <c r="H2516" s="899"/>
      <c r="I2516" s="933"/>
      <c r="J2516" s="819" t="s">
        <v>39</v>
      </c>
      <c r="K2516" s="819" t="s">
        <v>147</v>
      </c>
      <c r="L2516" s="1410"/>
      <c r="M2516" s="933"/>
      <c r="N2516" s="1154"/>
      <c r="O2516" s="1154"/>
      <c r="P2516" s="1154"/>
      <c r="Q2516" s="1154"/>
      <c r="R2516" s="1154"/>
      <c r="S2516" s="1154"/>
      <c r="T2516" s="1154"/>
      <c r="U2516" s="1154"/>
      <c r="V2516" s="1154"/>
      <c r="W2516" s="1154"/>
    </row>
    <row r="2517" ht="20" customHeight="1" spans="1:23">
      <c r="A2517" s="460" t="s">
        <v>1928</v>
      </c>
      <c r="B2517" s="1408" t="s">
        <v>2008</v>
      </c>
      <c r="C2517" s="925" t="s">
        <v>1748</v>
      </c>
      <c r="D2517" s="439">
        <v>52</v>
      </c>
      <c r="E2517" s="281"/>
      <c r="F2517" s="899">
        <v>45945</v>
      </c>
      <c r="G2517" s="899" t="s">
        <v>1979</v>
      </c>
      <c r="H2517" s="899"/>
      <c r="I2517" s="933"/>
      <c r="J2517" s="819" t="s">
        <v>39</v>
      </c>
      <c r="K2517" s="819" t="s">
        <v>147</v>
      </c>
      <c r="L2517" s="1410"/>
      <c r="M2517" s="933"/>
      <c r="N2517" s="1154"/>
      <c r="O2517" s="1154"/>
      <c r="P2517" s="1154"/>
      <c r="Q2517" s="1154"/>
      <c r="R2517" s="1154"/>
      <c r="S2517" s="1154"/>
      <c r="T2517" s="1154"/>
      <c r="U2517" s="1154"/>
      <c r="V2517" s="1154"/>
      <c r="W2517" s="1154"/>
    </row>
    <row r="2518" ht="20" customHeight="1" spans="1:23">
      <c r="A2518" s="460" t="s">
        <v>1928</v>
      </c>
      <c r="B2518" s="1408" t="s">
        <v>2008</v>
      </c>
      <c r="C2518" s="925" t="s">
        <v>1769</v>
      </c>
      <c r="D2518" s="439">
        <v>80</v>
      </c>
      <c r="E2518" s="281"/>
      <c r="F2518" s="899">
        <v>45945</v>
      </c>
      <c r="G2518" s="899" t="s">
        <v>1979</v>
      </c>
      <c r="H2518" s="899"/>
      <c r="I2518" s="933"/>
      <c r="J2518" s="819" t="s">
        <v>39</v>
      </c>
      <c r="K2518" s="819" t="s">
        <v>147</v>
      </c>
      <c r="L2518" s="1410"/>
      <c r="M2518" s="933"/>
      <c r="N2518" s="1154"/>
      <c r="O2518" s="1154"/>
      <c r="P2518" s="1154"/>
      <c r="Q2518" s="1154"/>
      <c r="R2518" s="1154"/>
      <c r="S2518" s="1154"/>
      <c r="T2518" s="1154"/>
      <c r="U2518" s="1154"/>
      <c r="V2518" s="1154"/>
      <c r="W2518" s="1154"/>
    </row>
    <row r="2519" ht="20" customHeight="1" spans="1:23">
      <c r="A2519" s="462" t="s">
        <v>1928</v>
      </c>
      <c r="B2519" s="1408" t="s">
        <v>2008</v>
      </c>
      <c r="C2519" s="1442" t="s">
        <v>1770</v>
      </c>
      <c r="D2519" s="443">
        <v>80</v>
      </c>
      <c r="E2519" s="368"/>
      <c r="F2519" s="899">
        <v>45945</v>
      </c>
      <c r="G2519" s="899" t="s">
        <v>1979</v>
      </c>
      <c r="H2519" s="899"/>
      <c r="I2519" s="933"/>
      <c r="J2519" s="819" t="s">
        <v>39</v>
      </c>
      <c r="K2519" s="819" t="s">
        <v>147</v>
      </c>
      <c r="L2519" s="1410"/>
      <c r="M2519" s="933"/>
      <c r="N2519" s="1154"/>
      <c r="O2519" s="1154"/>
      <c r="P2519" s="1154"/>
      <c r="Q2519" s="1154"/>
      <c r="R2519" s="1154"/>
      <c r="S2519" s="1154"/>
      <c r="T2519" s="1154"/>
      <c r="U2519" s="1154"/>
      <c r="V2519" s="1154"/>
      <c r="W2519" s="1154"/>
    </row>
    <row r="2520" ht="20" customHeight="1" spans="1:23">
      <c r="A2520" s="460" t="s">
        <v>1928</v>
      </c>
      <c r="B2520" s="1408" t="s">
        <v>2010</v>
      </c>
      <c r="C2520" s="925" t="s">
        <v>1741</v>
      </c>
      <c r="D2520" s="439">
        <v>30</v>
      </c>
      <c r="E2520" s="914" t="s">
        <v>2011</v>
      </c>
      <c r="F2520" s="1441">
        <v>45945</v>
      </c>
      <c r="G2520" s="899" t="s">
        <v>1979</v>
      </c>
      <c r="H2520" s="899"/>
      <c r="I2520" s="933"/>
      <c r="J2520" s="819" t="s">
        <v>39</v>
      </c>
      <c r="K2520" s="819" t="s">
        <v>147</v>
      </c>
      <c r="L2520" s="1410"/>
      <c r="M2520" s="933"/>
      <c r="N2520" s="1154"/>
      <c r="O2520" s="1154"/>
      <c r="P2520" s="1154"/>
      <c r="Q2520" s="1154"/>
      <c r="R2520" s="1154"/>
      <c r="S2520" s="1154"/>
      <c r="T2520" s="1154"/>
      <c r="U2520" s="1154"/>
      <c r="V2520" s="1154"/>
      <c r="W2520" s="1154"/>
    </row>
    <row r="2521" ht="20" customHeight="1" spans="1:23">
      <c r="A2521" s="460" t="s">
        <v>1928</v>
      </c>
      <c r="B2521" s="1408" t="s">
        <v>2010</v>
      </c>
      <c r="C2521" s="925" t="s">
        <v>1742</v>
      </c>
      <c r="D2521" s="439">
        <v>30</v>
      </c>
      <c r="E2521" s="281"/>
      <c r="F2521" s="1441">
        <v>45945</v>
      </c>
      <c r="G2521" s="899" t="s">
        <v>1979</v>
      </c>
      <c r="H2521" s="899"/>
      <c r="I2521" s="933"/>
      <c r="J2521" s="819" t="s">
        <v>39</v>
      </c>
      <c r="K2521" s="819" t="s">
        <v>147</v>
      </c>
      <c r="L2521" s="1410"/>
      <c r="M2521" s="933"/>
      <c r="N2521" s="1154"/>
      <c r="O2521" s="1154"/>
      <c r="P2521" s="1154"/>
      <c r="Q2521" s="1154"/>
      <c r="R2521" s="1154"/>
      <c r="S2521" s="1154"/>
      <c r="T2521" s="1154"/>
      <c r="U2521" s="1154"/>
      <c r="V2521" s="1154"/>
      <c r="W2521" s="1154"/>
    </row>
    <row r="2522" ht="20" customHeight="1" spans="1:23">
      <c r="A2522" s="460" t="s">
        <v>1928</v>
      </c>
      <c r="B2522" s="1408" t="s">
        <v>2010</v>
      </c>
      <c r="C2522" s="925" t="s">
        <v>1723</v>
      </c>
      <c r="D2522" s="439">
        <v>25</v>
      </c>
      <c r="E2522" s="281"/>
      <c r="F2522" s="1441">
        <v>45945</v>
      </c>
      <c r="G2522" s="899" t="s">
        <v>1979</v>
      </c>
      <c r="H2522" s="899"/>
      <c r="I2522" s="933"/>
      <c r="J2522" s="819" t="s">
        <v>39</v>
      </c>
      <c r="K2522" s="819" t="s">
        <v>147</v>
      </c>
      <c r="L2522" s="1410"/>
      <c r="M2522" s="933"/>
      <c r="N2522" s="1154"/>
      <c r="O2522" s="1154"/>
      <c r="P2522" s="1154"/>
      <c r="Q2522" s="1154"/>
      <c r="R2522" s="1154"/>
      <c r="S2522" s="1154"/>
      <c r="T2522" s="1154"/>
      <c r="U2522" s="1154"/>
      <c r="V2522" s="1154"/>
      <c r="W2522" s="1154"/>
    </row>
    <row r="2523" ht="20" customHeight="1" spans="1:23">
      <c r="A2523" s="460" t="s">
        <v>1928</v>
      </c>
      <c r="B2523" s="1408" t="s">
        <v>2010</v>
      </c>
      <c r="C2523" s="925" t="s">
        <v>1725</v>
      </c>
      <c r="D2523" s="439">
        <v>25</v>
      </c>
      <c r="E2523" s="281"/>
      <c r="F2523" s="1441">
        <v>45945</v>
      </c>
      <c r="G2523" s="899" t="s">
        <v>1979</v>
      </c>
      <c r="H2523" s="899"/>
      <c r="I2523" s="933"/>
      <c r="J2523" s="819" t="s">
        <v>39</v>
      </c>
      <c r="K2523" s="819" t="s">
        <v>147</v>
      </c>
      <c r="L2523" s="1410"/>
      <c r="M2523" s="933"/>
      <c r="N2523" s="1154"/>
      <c r="O2523" s="1154"/>
      <c r="P2523" s="1154"/>
      <c r="Q2523" s="1154"/>
      <c r="R2523" s="1154"/>
      <c r="S2523" s="1154"/>
      <c r="T2523" s="1154"/>
      <c r="U2523" s="1154"/>
      <c r="V2523" s="1154"/>
      <c r="W2523" s="1154"/>
    </row>
    <row r="2524" ht="20" customHeight="1" spans="1:23">
      <c r="A2524" s="460" t="s">
        <v>1928</v>
      </c>
      <c r="B2524" s="1408" t="s">
        <v>2010</v>
      </c>
      <c r="C2524" s="925" t="s">
        <v>1769</v>
      </c>
      <c r="D2524" s="439">
        <v>20</v>
      </c>
      <c r="E2524" s="281"/>
      <c r="F2524" s="1441">
        <v>45945</v>
      </c>
      <c r="G2524" s="899" t="s">
        <v>1979</v>
      </c>
      <c r="H2524" s="899"/>
      <c r="I2524" s="933"/>
      <c r="J2524" s="819" t="s">
        <v>39</v>
      </c>
      <c r="K2524" s="819" t="s">
        <v>147</v>
      </c>
      <c r="L2524" s="1410"/>
      <c r="M2524" s="933"/>
      <c r="N2524" s="1154"/>
      <c r="O2524" s="1154"/>
      <c r="P2524" s="1154"/>
      <c r="Q2524" s="1154"/>
      <c r="R2524" s="1154"/>
      <c r="S2524" s="1154"/>
      <c r="T2524" s="1154"/>
      <c r="U2524" s="1154"/>
      <c r="V2524" s="1154"/>
      <c r="W2524" s="1154"/>
    </row>
    <row r="2525" ht="20" customHeight="1" spans="1:23">
      <c r="A2525" s="460" t="s">
        <v>1928</v>
      </c>
      <c r="B2525" s="1408" t="s">
        <v>2010</v>
      </c>
      <c r="C2525" s="925" t="s">
        <v>1770</v>
      </c>
      <c r="D2525" s="439">
        <v>20</v>
      </c>
      <c r="E2525" s="281"/>
      <c r="F2525" s="1441">
        <v>45945</v>
      </c>
      <c r="G2525" s="899" t="s">
        <v>1979</v>
      </c>
      <c r="H2525" s="899"/>
      <c r="I2525" s="933"/>
      <c r="J2525" s="819" t="s">
        <v>39</v>
      </c>
      <c r="K2525" s="819" t="s">
        <v>147</v>
      </c>
      <c r="L2525" s="1410"/>
      <c r="M2525" s="933"/>
      <c r="N2525" s="1154"/>
      <c r="O2525" s="1154"/>
      <c r="P2525" s="1154"/>
      <c r="Q2525" s="1154"/>
      <c r="R2525" s="1154"/>
      <c r="S2525" s="1154"/>
      <c r="T2525" s="1154"/>
      <c r="U2525" s="1154"/>
      <c r="V2525" s="1154"/>
      <c r="W2525" s="1154"/>
    </row>
    <row r="2526" ht="20" customHeight="1" spans="1:23">
      <c r="A2526" s="460" t="s">
        <v>1928</v>
      </c>
      <c r="B2526" s="1408" t="s">
        <v>2010</v>
      </c>
      <c r="C2526" s="925" t="s">
        <v>1775</v>
      </c>
      <c r="D2526" s="439">
        <v>30</v>
      </c>
      <c r="E2526" s="281"/>
      <c r="F2526" s="1441">
        <v>45945</v>
      </c>
      <c r="G2526" s="899" t="s">
        <v>1979</v>
      </c>
      <c r="H2526" s="899"/>
      <c r="I2526" s="933"/>
      <c r="J2526" s="819" t="s">
        <v>39</v>
      </c>
      <c r="K2526" s="819" t="s">
        <v>147</v>
      </c>
      <c r="L2526" s="1410"/>
      <c r="M2526" s="933"/>
      <c r="N2526" s="1154"/>
      <c r="O2526" s="1154"/>
      <c r="P2526" s="1154"/>
      <c r="Q2526" s="1154"/>
      <c r="R2526" s="1154"/>
      <c r="S2526" s="1154"/>
      <c r="T2526" s="1154"/>
      <c r="U2526" s="1154"/>
      <c r="V2526" s="1154"/>
      <c r="W2526" s="1154"/>
    </row>
    <row r="2527" ht="20" customHeight="1" spans="1:23">
      <c r="A2527" s="460" t="s">
        <v>1928</v>
      </c>
      <c r="B2527" s="1408" t="s">
        <v>2010</v>
      </c>
      <c r="C2527" s="925" t="s">
        <v>1776</v>
      </c>
      <c r="D2527" s="439">
        <v>30</v>
      </c>
      <c r="E2527" s="281"/>
      <c r="F2527" s="1441">
        <v>45945</v>
      </c>
      <c r="G2527" s="899" t="s">
        <v>1979</v>
      </c>
      <c r="H2527" s="899"/>
      <c r="I2527" s="933"/>
      <c r="J2527" s="819" t="s">
        <v>39</v>
      </c>
      <c r="K2527" s="819" t="s">
        <v>147</v>
      </c>
      <c r="L2527" s="1410"/>
      <c r="M2527" s="933"/>
      <c r="N2527" s="1154"/>
      <c r="O2527" s="1154"/>
      <c r="P2527" s="1154"/>
      <c r="Q2527" s="1154"/>
      <c r="R2527" s="1154"/>
      <c r="S2527" s="1154"/>
      <c r="T2527" s="1154"/>
      <c r="U2527" s="1154"/>
      <c r="V2527" s="1154"/>
      <c r="W2527" s="1154"/>
    </row>
    <row r="2528" ht="20" customHeight="1" spans="1:23">
      <c r="A2528" s="460" t="s">
        <v>1928</v>
      </c>
      <c r="B2528" s="1408" t="s">
        <v>2010</v>
      </c>
      <c r="C2528" s="925" t="s">
        <v>1784</v>
      </c>
      <c r="D2528" s="439">
        <v>10</v>
      </c>
      <c r="E2528" s="281"/>
      <c r="F2528" s="1441">
        <v>45945</v>
      </c>
      <c r="G2528" s="899" t="s">
        <v>1979</v>
      </c>
      <c r="H2528" s="899"/>
      <c r="I2528" s="933"/>
      <c r="J2528" s="819" t="s">
        <v>39</v>
      </c>
      <c r="K2528" s="819" t="s">
        <v>147</v>
      </c>
      <c r="L2528" s="1410"/>
      <c r="M2528" s="933"/>
      <c r="N2528" s="1154"/>
      <c r="O2528" s="1154"/>
      <c r="P2528" s="1154"/>
      <c r="Q2528" s="1154"/>
      <c r="R2528" s="1154"/>
      <c r="S2528" s="1154"/>
      <c r="T2528" s="1154"/>
      <c r="U2528" s="1154"/>
      <c r="V2528" s="1154"/>
      <c r="W2528" s="1154"/>
    </row>
    <row r="2529" ht="20" customHeight="1" spans="1:23">
      <c r="A2529" s="460" t="s">
        <v>1928</v>
      </c>
      <c r="B2529" s="1408" t="s">
        <v>2010</v>
      </c>
      <c r="C2529" s="925" t="s">
        <v>1785</v>
      </c>
      <c r="D2529" s="439">
        <v>10</v>
      </c>
      <c r="E2529" s="281"/>
      <c r="F2529" s="1441">
        <v>45945</v>
      </c>
      <c r="G2529" s="899" t="s">
        <v>1979</v>
      </c>
      <c r="H2529" s="899"/>
      <c r="I2529" s="933"/>
      <c r="J2529" s="819" t="s">
        <v>39</v>
      </c>
      <c r="K2529" s="819" t="s">
        <v>147</v>
      </c>
      <c r="L2529" s="1410"/>
      <c r="M2529" s="933"/>
      <c r="N2529" s="1154"/>
      <c r="O2529" s="1154"/>
      <c r="P2529" s="1154"/>
      <c r="Q2529" s="1154"/>
      <c r="R2529" s="1154"/>
      <c r="S2529" s="1154"/>
      <c r="T2529" s="1154"/>
      <c r="U2529" s="1154"/>
      <c r="V2529" s="1154"/>
      <c r="W2529" s="1154"/>
    </row>
    <row r="2530" ht="17" customHeight="1" spans="1:23">
      <c r="A2530" s="818" t="s">
        <v>1735</v>
      </c>
      <c r="B2530" s="942" t="s">
        <v>2012</v>
      </c>
      <c r="C2530" s="914" t="s">
        <v>1813</v>
      </c>
      <c r="D2530" s="439">
        <v>8</v>
      </c>
      <c r="E2530" s="914" t="s">
        <v>2013</v>
      </c>
      <c r="F2530" s="915">
        <v>45993</v>
      </c>
      <c r="G2530" s="915" t="s">
        <v>2014</v>
      </c>
      <c r="H2530" s="937"/>
      <c r="I2530" s="913"/>
      <c r="J2530" s="1418" t="s">
        <v>215</v>
      </c>
      <c r="K2530" s="1418" t="s">
        <v>19</v>
      </c>
      <c r="L2530" s="955"/>
      <c r="M2530" s="819" t="s">
        <v>2015</v>
      </c>
      <c r="N2530" s="1154"/>
      <c r="O2530" s="1154"/>
      <c r="P2530" s="1154"/>
      <c r="Q2530" s="1154"/>
      <c r="R2530" s="1154"/>
      <c r="S2530" s="1154"/>
      <c r="T2530" s="1154"/>
      <c r="U2530" s="1154"/>
      <c r="V2530" s="1154"/>
      <c r="W2530" s="1154"/>
    </row>
    <row r="2531" ht="17" customHeight="1" spans="1:23">
      <c r="A2531" s="818" t="s">
        <v>1735</v>
      </c>
      <c r="B2531" s="942" t="s">
        <v>2012</v>
      </c>
      <c r="C2531" s="914" t="s">
        <v>1817</v>
      </c>
      <c r="D2531" s="439">
        <v>8</v>
      </c>
      <c r="E2531" s="69"/>
      <c r="F2531" s="915">
        <v>45993</v>
      </c>
      <c r="G2531" s="915" t="s">
        <v>2014</v>
      </c>
      <c r="H2531" s="937"/>
      <c r="I2531" s="913"/>
      <c r="J2531" s="1418" t="s">
        <v>215</v>
      </c>
      <c r="K2531" s="1418" t="s">
        <v>19</v>
      </c>
      <c r="L2531" s="955"/>
      <c r="M2531" s="913" t="s">
        <v>2016</v>
      </c>
      <c r="N2531" s="1154"/>
      <c r="O2531" s="1154"/>
      <c r="P2531" s="1154"/>
      <c r="Q2531" s="1154"/>
      <c r="R2531" s="1154"/>
      <c r="S2531" s="1154"/>
      <c r="T2531" s="1154"/>
      <c r="U2531" s="1154"/>
      <c r="V2531" s="1154"/>
      <c r="W2531" s="1154"/>
    </row>
    <row r="2532" ht="17" customHeight="1" spans="1:23">
      <c r="A2532" s="818" t="s">
        <v>1735</v>
      </c>
      <c r="B2532" s="942" t="s">
        <v>2012</v>
      </c>
      <c r="C2532" s="946" t="s">
        <v>1819</v>
      </c>
      <c r="D2532" s="439">
        <v>8</v>
      </c>
      <c r="E2532" s="69"/>
      <c r="F2532" s="915">
        <v>45993</v>
      </c>
      <c r="G2532" s="915" t="s">
        <v>2014</v>
      </c>
      <c r="H2532" s="937"/>
      <c r="I2532" s="913"/>
      <c r="J2532" s="1418" t="s">
        <v>215</v>
      </c>
      <c r="K2532" s="1418" t="s">
        <v>19</v>
      </c>
      <c r="L2532" s="955"/>
      <c r="M2532" s="913"/>
      <c r="N2532" s="1154"/>
      <c r="O2532" s="1154"/>
      <c r="P2532" s="1154"/>
      <c r="Q2532" s="1154"/>
      <c r="R2532" s="1154"/>
      <c r="S2532" s="1154"/>
      <c r="T2532" s="1154"/>
      <c r="U2532" s="1154"/>
      <c r="V2532" s="1154"/>
      <c r="W2532" s="1154"/>
    </row>
    <row r="2533" ht="17" customHeight="1" spans="1:23">
      <c r="A2533" s="818" t="s">
        <v>1735</v>
      </c>
      <c r="B2533" s="942" t="s">
        <v>2012</v>
      </c>
      <c r="C2533" s="946" t="s">
        <v>1820</v>
      </c>
      <c r="D2533" s="439">
        <v>8</v>
      </c>
      <c r="E2533" s="69"/>
      <c r="F2533" s="915">
        <v>45993</v>
      </c>
      <c r="G2533" s="915" t="s">
        <v>2014</v>
      </c>
      <c r="H2533" s="937"/>
      <c r="I2533" s="913"/>
      <c r="J2533" s="1418" t="s">
        <v>215</v>
      </c>
      <c r="K2533" s="1418" t="s">
        <v>19</v>
      </c>
      <c r="L2533" s="955"/>
      <c r="M2533" s="913"/>
      <c r="N2533" s="1154"/>
      <c r="O2533" s="1154"/>
      <c r="P2533" s="1154"/>
      <c r="Q2533" s="1154"/>
      <c r="R2533" s="1154"/>
      <c r="S2533" s="1154"/>
      <c r="T2533" s="1154"/>
      <c r="U2533" s="1154"/>
      <c r="V2533" s="1154"/>
      <c r="W2533" s="1154"/>
    </row>
    <row r="2534" ht="17" customHeight="1" spans="1:23">
      <c r="A2534" s="818" t="s">
        <v>1735</v>
      </c>
      <c r="B2534" s="942" t="s">
        <v>2012</v>
      </c>
      <c r="C2534" s="946" t="s">
        <v>1821</v>
      </c>
      <c r="D2534" s="439">
        <v>15</v>
      </c>
      <c r="E2534" s="69"/>
      <c r="F2534" s="915">
        <v>45993</v>
      </c>
      <c r="G2534" s="915" t="s">
        <v>2014</v>
      </c>
      <c r="H2534" s="937"/>
      <c r="I2534" s="913"/>
      <c r="J2534" s="1418" t="s">
        <v>215</v>
      </c>
      <c r="K2534" s="1418" t="s">
        <v>19</v>
      </c>
      <c r="L2534" s="955"/>
      <c r="M2534" s="913"/>
      <c r="N2534" s="1154"/>
      <c r="O2534" s="1154"/>
      <c r="P2534" s="1154"/>
      <c r="Q2534" s="1154"/>
      <c r="R2534" s="1154"/>
      <c r="S2534" s="1154"/>
      <c r="T2534" s="1154"/>
      <c r="U2534" s="1154"/>
      <c r="V2534" s="1154"/>
      <c r="W2534" s="1154"/>
    </row>
    <row r="2535" ht="17" customHeight="1" spans="1:23">
      <c r="A2535" s="818" t="s">
        <v>1735</v>
      </c>
      <c r="B2535" s="942" t="s">
        <v>2012</v>
      </c>
      <c r="C2535" s="946" t="s">
        <v>1822</v>
      </c>
      <c r="D2535" s="439">
        <v>15</v>
      </c>
      <c r="E2535" s="69"/>
      <c r="F2535" s="915">
        <v>45993</v>
      </c>
      <c r="G2535" s="915" t="s">
        <v>2014</v>
      </c>
      <c r="H2535" s="937"/>
      <c r="I2535" s="913"/>
      <c r="J2535" s="1418" t="s">
        <v>215</v>
      </c>
      <c r="K2535" s="1418" t="s">
        <v>19</v>
      </c>
      <c r="L2535" s="955"/>
      <c r="M2535" s="913"/>
      <c r="N2535" s="1154"/>
      <c r="O2535" s="1154"/>
      <c r="P2535" s="1154"/>
      <c r="Q2535" s="1154"/>
      <c r="R2535" s="1154"/>
      <c r="S2535" s="1154"/>
      <c r="T2535" s="1154"/>
      <c r="U2535" s="1154"/>
      <c r="V2535" s="1154"/>
      <c r="W2535" s="1154"/>
    </row>
    <row r="2536" ht="17" customHeight="1" spans="1:23">
      <c r="A2536" s="818" t="s">
        <v>1735</v>
      </c>
      <c r="B2536" s="942" t="s">
        <v>2012</v>
      </c>
      <c r="C2536" s="946" t="s">
        <v>1823</v>
      </c>
      <c r="D2536" s="439">
        <v>25</v>
      </c>
      <c r="E2536" s="69"/>
      <c r="F2536" s="915">
        <v>45993</v>
      </c>
      <c r="G2536" s="915" t="s">
        <v>2014</v>
      </c>
      <c r="H2536" s="937"/>
      <c r="I2536" s="913"/>
      <c r="J2536" s="1418" t="s">
        <v>215</v>
      </c>
      <c r="K2536" s="1418" t="s">
        <v>19</v>
      </c>
      <c r="L2536" s="955"/>
      <c r="M2536" s="913"/>
      <c r="N2536" s="1154"/>
      <c r="O2536" s="1154"/>
      <c r="P2536" s="1154"/>
      <c r="Q2536" s="1154"/>
      <c r="R2536" s="1154"/>
      <c r="S2536" s="1154"/>
      <c r="T2536" s="1154"/>
      <c r="U2536" s="1154"/>
      <c r="V2536" s="1154"/>
      <c r="W2536" s="1154"/>
    </row>
    <row r="2537" ht="17" customHeight="1" spans="1:23">
      <c r="A2537" s="818" t="s">
        <v>1735</v>
      </c>
      <c r="B2537" s="942" t="s">
        <v>2012</v>
      </c>
      <c r="C2537" s="946" t="s">
        <v>1824</v>
      </c>
      <c r="D2537" s="439">
        <v>25</v>
      </c>
      <c r="E2537" s="69"/>
      <c r="F2537" s="915">
        <v>45993</v>
      </c>
      <c r="G2537" s="915" t="s">
        <v>2014</v>
      </c>
      <c r="H2537" s="937"/>
      <c r="I2537" s="913"/>
      <c r="J2537" s="1418" t="s">
        <v>215</v>
      </c>
      <c r="K2537" s="1418" t="s">
        <v>19</v>
      </c>
      <c r="L2537" s="955"/>
      <c r="M2537" s="913"/>
      <c r="N2537" s="1154"/>
      <c r="O2537" s="1154"/>
      <c r="P2537" s="1154"/>
      <c r="Q2537" s="1154"/>
      <c r="R2537" s="1154"/>
      <c r="S2537" s="1154"/>
      <c r="T2537" s="1154"/>
      <c r="U2537" s="1154"/>
      <c r="V2537" s="1154"/>
      <c r="W2537" s="1154"/>
    </row>
    <row r="2538" ht="17" customHeight="1" spans="1:23">
      <c r="A2538" s="818" t="s">
        <v>1735</v>
      </c>
      <c r="B2538" s="942" t="s">
        <v>2012</v>
      </c>
      <c r="C2538" s="946" t="s">
        <v>1827</v>
      </c>
      <c r="D2538" s="439">
        <v>8</v>
      </c>
      <c r="E2538" s="69"/>
      <c r="F2538" s="915">
        <v>45993</v>
      </c>
      <c r="G2538" s="915" t="s">
        <v>2014</v>
      </c>
      <c r="H2538" s="937"/>
      <c r="I2538" s="913"/>
      <c r="J2538" s="1418" t="s">
        <v>215</v>
      </c>
      <c r="K2538" s="1418" t="s">
        <v>19</v>
      </c>
      <c r="L2538" s="955"/>
      <c r="M2538" s="913"/>
      <c r="N2538" s="1154"/>
      <c r="O2538" s="1154"/>
      <c r="P2538" s="1154"/>
      <c r="Q2538" s="1154"/>
      <c r="R2538" s="1154"/>
      <c r="S2538" s="1154"/>
      <c r="T2538" s="1154"/>
      <c r="U2538" s="1154"/>
      <c r="V2538" s="1154"/>
      <c r="W2538" s="1154"/>
    </row>
    <row r="2539" ht="17" customHeight="1" spans="1:23">
      <c r="A2539" s="818" t="s">
        <v>1735</v>
      </c>
      <c r="B2539" s="942" t="s">
        <v>2012</v>
      </c>
      <c r="C2539" s="946" t="s">
        <v>1828</v>
      </c>
      <c r="D2539" s="439">
        <v>8</v>
      </c>
      <c r="E2539" s="69"/>
      <c r="F2539" s="915">
        <v>45993</v>
      </c>
      <c r="G2539" s="915" t="s">
        <v>2014</v>
      </c>
      <c r="H2539" s="937"/>
      <c r="I2539" s="913"/>
      <c r="J2539" s="1418" t="s">
        <v>215</v>
      </c>
      <c r="K2539" s="1418" t="s">
        <v>19</v>
      </c>
      <c r="L2539" s="955"/>
      <c r="M2539" s="913"/>
      <c r="N2539" s="1154"/>
      <c r="O2539" s="1154"/>
      <c r="P2539" s="1154"/>
      <c r="Q2539" s="1154"/>
      <c r="R2539" s="1154"/>
      <c r="S2539" s="1154"/>
      <c r="T2539" s="1154"/>
      <c r="U2539" s="1154"/>
      <c r="V2539" s="1154"/>
      <c r="W2539" s="1154"/>
    </row>
    <row r="2540" ht="17" customHeight="1" spans="1:23">
      <c r="A2540" s="818" t="s">
        <v>1735</v>
      </c>
      <c r="B2540" s="942" t="s">
        <v>2012</v>
      </c>
      <c r="C2540" s="946" t="s">
        <v>1771</v>
      </c>
      <c r="D2540" s="439">
        <v>12</v>
      </c>
      <c r="E2540" s="69"/>
      <c r="F2540" s="915">
        <v>45993</v>
      </c>
      <c r="G2540" s="915" t="s">
        <v>2014</v>
      </c>
      <c r="H2540" s="937"/>
      <c r="I2540" s="913"/>
      <c r="J2540" s="1418" t="s">
        <v>215</v>
      </c>
      <c r="K2540" s="1418" t="s">
        <v>19</v>
      </c>
      <c r="L2540" s="955"/>
      <c r="M2540" s="913"/>
      <c r="N2540" s="1154"/>
      <c r="O2540" s="1154"/>
      <c r="P2540" s="1154"/>
      <c r="Q2540" s="1154"/>
      <c r="R2540" s="1154"/>
      <c r="S2540" s="1154"/>
      <c r="T2540" s="1154"/>
      <c r="U2540" s="1154"/>
      <c r="V2540" s="1154"/>
      <c r="W2540" s="1154"/>
    </row>
    <row r="2541" ht="17" customHeight="1" spans="1:23">
      <c r="A2541" s="818" t="s">
        <v>1735</v>
      </c>
      <c r="B2541" s="942" t="s">
        <v>2012</v>
      </c>
      <c r="C2541" s="946" t="s">
        <v>1835</v>
      </c>
      <c r="D2541" s="439">
        <v>12</v>
      </c>
      <c r="E2541" s="69"/>
      <c r="F2541" s="915">
        <v>45993</v>
      </c>
      <c r="G2541" s="915" t="s">
        <v>2014</v>
      </c>
      <c r="H2541" s="937"/>
      <c r="I2541" s="913"/>
      <c r="J2541" s="1418" t="s">
        <v>215</v>
      </c>
      <c r="K2541" s="1418" t="s">
        <v>19</v>
      </c>
      <c r="L2541" s="955"/>
      <c r="M2541" s="913"/>
      <c r="N2541" s="1154"/>
      <c r="O2541" s="1154"/>
      <c r="P2541" s="1154"/>
      <c r="Q2541" s="1154"/>
      <c r="R2541" s="1154"/>
      <c r="S2541" s="1154"/>
      <c r="T2541" s="1154"/>
      <c r="U2541" s="1154"/>
      <c r="V2541" s="1154"/>
      <c r="W2541" s="1154"/>
    </row>
    <row r="2542" ht="17" customHeight="1" spans="1:23">
      <c r="A2542" s="818" t="s">
        <v>1735</v>
      </c>
      <c r="B2542" s="942" t="s">
        <v>2012</v>
      </c>
      <c r="C2542" s="946" t="s">
        <v>1836</v>
      </c>
      <c r="D2542" s="439">
        <v>9</v>
      </c>
      <c r="E2542" s="69"/>
      <c r="F2542" s="915">
        <v>45993</v>
      </c>
      <c r="G2542" s="915" t="s">
        <v>2014</v>
      </c>
      <c r="H2542" s="937"/>
      <c r="I2542" s="913"/>
      <c r="J2542" s="1418" t="s">
        <v>215</v>
      </c>
      <c r="K2542" s="1418" t="s">
        <v>19</v>
      </c>
      <c r="L2542" s="955"/>
      <c r="M2542" s="913"/>
      <c r="N2542" s="1154"/>
      <c r="O2542" s="1154"/>
      <c r="P2542" s="1154"/>
      <c r="Q2542" s="1154"/>
      <c r="R2542" s="1154"/>
      <c r="S2542" s="1154"/>
      <c r="T2542" s="1154"/>
      <c r="U2542" s="1154"/>
      <c r="V2542" s="1154"/>
      <c r="W2542" s="1154"/>
    </row>
    <row r="2543" ht="17" customHeight="1" spans="1:23">
      <c r="A2543" s="818" t="s">
        <v>1735</v>
      </c>
      <c r="B2543" s="942" t="s">
        <v>2012</v>
      </c>
      <c r="C2543" s="946" t="s">
        <v>1837</v>
      </c>
      <c r="D2543" s="439">
        <v>9</v>
      </c>
      <c r="E2543" s="69"/>
      <c r="F2543" s="915">
        <v>45993</v>
      </c>
      <c r="G2543" s="915" t="s">
        <v>2014</v>
      </c>
      <c r="H2543" s="937"/>
      <c r="I2543" s="913"/>
      <c r="J2543" s="1418" t="s">
        <v>215</v>
      </c>
      <c r="K2543" s="1418" t="s">
        <v>19</v>
      </c>
      <c r="L2543" s="955"/>
      <c r="M2543" s="913"/>
      <c r="N2543" s="1154"/>
      <c r="O2543" s="1154"/>
      <c r="P2543" s="1154"/>
      <c r="Q2543" s="1154"/>
      <c r="R2543" s="1154"/>
      <c r="S2543" s="1154"/>
      <c r="T2543" s="1154"/>
      <c r="U2543" s="1154"/>
      <c r="V2543" s="1154"/>
      <c r="W2543" s="1154"/>
    </row>
    <row r="2544" ht="17" customHeight="1" spans="1:23">
      <c r="A2544" s="818" t="s">
        <v>1735</v>
      </c>
      <c r="B2544" s="942" t="s">
        <v>2012</v>
      </c>
      <c r="C2544" s="914" t="s">
        <v>1780</v>
      </c>
      <c r="D2544" s="439">
        <v>2</v>
      </c>
      <c r="E2544" s="69"/>
      <c r="F2544" s="915">
        <v>45993</v>
      </c>
      <c r="G2544" s="915" t="s">
        <v>2014</v>
      </c>
      <c r="H2544" s="937"/>
      <c r="I2544" s="913"/>
      <c r="J2544" s="1418" t="s">
        <v>215</v>
      </c>
      <c r="K2544" s="1418" t="s">
        <v>19</v>
      </c>
      <c r="L2544" s="955"/>
      <c r="M2544" s="913"/>
      <c r="N2544" s="1154"/>
      <c r="O2544" s="1154"/>
      <c r="P2544" s="1154"/>
      <c r="Q2544" s="1154"/>
      <c r="R2544" s="1154"/>
      <c r="S2544" s="1154"/>
      <c r="T2544" s="1154"/>
      <c r="U2544" s="1154"/>
      <c r="V2544" s="1154"/>
      <c r="W2544" s="1154"/>
    </row>
    <row r="2545" ht="17" customHeight="1" spans="1:23">
      <c r="A2545" s="818" t="s">
        <v>1735</v>
      </c>
      <c r="B2545" s="942" t="s">
        <v>2012</v>
      </c>
      <c r="C2545" s="914" t="s">
        <v>1781</v>
      </c>
      <c r="D2545" s="439">
        <v>2</v>
      </c>
      <c r="E2545" s="69"/>
      <c r="F2545" s="915">
        <v>45993</v>
      </c>
      <c r="G2545" s="915" t="s">
        <v>2014</v>
      </c>
      <c r="H2545" s="937"/>
      <c r="I2545" s="913"/>
      <c r="J2545" s="1418" t="s">
        <v>215</v>
      </c>
      <c r="K2545" s="1418" t="s">
        <v>19</v>
      </c>
      <c r="L2545" s="955"/>
      <c r="M2545" s="913"/>
      <c r="N2545" s="1154"/>
      <c r="O2545" s="1154"/>
      <c r="P2545" s="1154"/>
      <c r="Q2545" s="1154"/>
      <c r="R2545" s="1154"/>
      <c r="S2545" s="1154"/>
      <c r="T2545" s="1154"/>
      <c r="U2545" s="1154"/>
      <c r="V2545" s="1154"/>
      <c r="W2545" s="1154"/>
    </row>
    <row r="2546" ht="17" customHeight="1" spans="1:23">
      <c r="A2546" s="818" t="s">
        <v>1735</v>
      </c>
      <c r="B2546" s="942" t="s">
        <v>2012</v>
      </c>
      <c r="C2546" s="946" t="s">
        <v>1782</v>
      </c>
      <c r="D2546" s="439">
        <v>15</v>
      </c>
      <c r="E2546" s="69"/>
      <c r="F2546" s="915">
        <v>45993</v>
      </c>
      <c r="G2546" s="915" t="s">
        <v>2014</v>
      </c>
      <c r="H2546" s="937"/>
      <c r="I2546" s="913"/>
      <c r="J2546" s="1418" t="s">
        <v>215</v>
      </c>
      <c r="K2546" s="1418" t="s">
        <v>19</v>
      </c>
      <c r="L2546" s="955"/>
      <c r="M2546" s="913"/>
      <c r="N2546" s="1154"/>
      <c r="O2546" s="1154"/>
      <c r="P2546" s="1154"/>
      <c r="Q2546" s="1154"/>
      <c r="R2546" s="1154"/>
      <c r="S2546" s="1154"/>
      <c r="T2546" s="1154"/>
      <c r="U2546" s="1154"/>
      <c r="V2546" s="1154"/>
      <c r="W2546" s="1154"/>
    </row>
    <row r="2547" ht="17" customHeight="1" spans="1:23">
      <c r="A2547" s="818" t="s">
        <v>1735</v>
      </c>
      <c r="B2547" s="942" t="s">
        <v>2012</v>
      </c>
      <c r="C2547" s="946" t="s">
        <v>1783</v>
      </c>
      <c r="D2547" s="439">
        <v>15</v>
      </c>
      <c r="E2547" s="69"/>
      <c r="F2547" s="915">
        <v>45993</v>
      </c>
      <c r="G2547" s="915" t="s">
        <v>2014</v>
      </c>
      <c r="H2547" s="937"/>
      <c r="I2547" s="913"/>
      <c r="J2547" s="1418" t="s">
        <v>215</v>
      </c>
      <c r="K2547" s="1418" t="s">
        <v>19</v>
      </c>
      <c r="L2547" s="955"/>
      <c r="M2547" s="913"/>
      <c r="N2547" s="1154"/>
      <c r="O2547" s="1154"/>
      <c r="P2547" s="1154"/>
      <c r="Q2547" s="1154"/>
      <c r="R2547" s="1154"/>
      <c r="S2547" s="1154"/>
      <c r="T2547" s="1154"/>
      <c r="U2547" s="1154"/>
      <c r="V2547" s="1154"/>
      <c r="W2547" s="1154"/>
    </row>
    <row r="2548" ht="17" customHeight="1" spans="1:23">
      <c r="A2548" s="818" t="s">
        <v>1735</v>
      </c>
      <c r="B2548" s="942" t="s">
        <v>2012</v>
      </c>
      <c r="C2548" s="914" t="s">
        <v>1784</v>
      </c>
      <c r="D2548" s="439">
        <v>2</v>
      </c>
      <c r="E2548" s="69"/>
      <c r="F2548" s="915">
        <v>45993</v>
      </c>
      <c r="G2548" s="915" t="s">
        <v>2014</v>
      </c>
      <c r="H2548" s="937"/>
      <c r="I2548" s="913"/>
      <c r="J2548" s="1418" t="s">
        <v>215</v>
      </c>
      <c r="K2548" s="1418" t="s">
        <v>19</v>
      </c>
      <c r="L2548" s="955"/>
      <c r="M2548" s="913"/>
      <c r="N2548" s="1154"/>
      <c r="O2548" s="1154"/>
      <c r="P2548" s="1154"/>
      <c r="Q2548" s="1154"/>
      <c r="R2548" s="1154"/>
      <c r="S2548" s="1154"/>
      <c r="T2548" s="1154"/>
      <c r="U2548" s="1154"/>
      <c r="V2548" s="1154"/>
      <c r="W2548" s="1154"/>
    </row>
    <row r="2549" ht="17" customHeight="1" spans="1:23">
      <c r="A2549" s="818" t="s">
        <v>1735</v>
      </c>
      <c r="B2549" s="942" t="s">
        <v>2012</v>
      </c>
      <c r="C2549" s="946" t="s">
        <v>1785</v>
      </c>
      <c r="D2549" s="439">
        <v>2</v>
      </c>
      <c r="E2549" s="69"/>
      <c r="F2549" s="915">
        <v>45993</v>
      </c>
      <c r="G2549" s="915" t="s">
        <v>2014</v>
      </c>
      <c r="H2549" s="937"/>
      <c r="I2549" s="913"/>
      <c r="J2549" s="1418" t="s">
        <v>215</v>
      </c>
      <c r="K2549" s="1418" t="s">
        <v>19</v>
      </c>
      <c r="L2549" s="955"/>
      <c r="M2549" s="913"/>
      <c r="N2549" s="1154"/>
      <c r="O2549" s="1154"/>
      <c r="P2549" s="1154"/>
      <c r="Q2549" s="1154"/>
      <c r="R2549" s="1154"/>
      <c r="S2549" s="1154"/>
      <c r="T2549" s="1154"/>
      <c r="U2549" s="1154"/>
      <c r="V2549" s="1154"/>
      <c r="W2549" s="1154"/>
    </row>
    <row r="2550" ht="17" customHeight="1" spans="1:23">
      <c r="A2550" s="818" t="s">
        <v>1735</v>
      </c>
      <c r="B2550" s="942" t="s">
        <v>2012</v>
      </c>
      <c r="C2550" s="946" t="s">
        <v>1786</v>
      </c>
      <c r="D2550" s="439">
        <v>2</v>
      </c>
      <c r="E2550" s="69"/>
      <c r="F2550" s="915">
        <v>45993</v>
      </c>
      <c r="G2550" s="915" t="s">
        <v>2014</v>
      </c>
      <c r="H2550" s="937"/>
      <c r="I2550" s="913"/>
      <c r="J2550" s="1418" t="s">
        <v>215</v>
      </c>
      <c r="K2550" s="1418" t="s">
        <v>19</v>
      </c>
      <c r="L2550" s="955"/>
      <c r="M2550" s="913"/>
      <c r="N2550" s="1154"/>
      <c r="O2550" s="1154"/>
      <c r="P2550" s="1154"/>
      <c r="Q2550" s="1154"/>
      <c r="R2550" s="1154"/>
      <c r="S2550" s="1154"/>
      <c r="T2550" s="1154"/>
      <c r="U2550" s="1154"/>
      <c r="V2550" s="1154"/>
      <c r="W2550" s="1154"/>
    </row>
    <row r="2551" ht="17" customHeight="1" spans="1:23">
      <c r="A2551" s="818" t="s">
        <v>1735</v>
      </c>
      <c r="B2551" s="942" t="s">
        <v>2012</v>
      </c>
      <c r="C2551" s="966" t="s">
        <v>1787</v>
      </c>
      <c r="D2551" s="443">
        <v>2</v>
      </c>
      <c r="E2551" s="69"/>
      <c r="F2551" s="915">
        <v>45993</v>
      </c>
      <c r="G2551" s="1389" t="s">
        <v>2014</v>
      </c>
      <c r="H2551" s="963"/>
      <c r="I2551" s="961"/>
      <c r="J2551" s="1403" t="s">
        <v>215</v>
      </c>
      <c r="K2551" s="1403" t="s">
        <v>19</v>
      </c>
      <c r="L2551" s="445"/>
      <c r="M2551" s="961"/>
      <c r="N2551" s="1154"/>
      <c r="O2551" s="1154"/>
      <c r="P2551" s="1154"/>
      <c r="Q2551" s="1154"/>
      <c r="R2551" s="1154"/>
      <c r="S2551" s="1154"/>
      <c r="T2551" s="1154"/>
      <c r="U2551" s="1154"/>
      <c r="V2551" s="1154"/>
      <c r="W2551" s="1154"/>
    </row>
    <row r="2552" ht="17" customHeight="1" spans="1:23">
      <c r="A2552" s="460" t="s">
        <v>1982</v>
      </c>
      <c r="B2552" s="1408" t="s">
        <v>2017</v>
      </c>
      <c r="C2552" s="925" t="s">
        <v>1819</v>
      </c>
      <c r="D2552" s="439">
        <v>60</v>
      </c>
      <c r="E2552" s="1408" t="s">
        <v>2018</v>
      </c>
      <c r="F2552" s="1441">
        <v>45997</v>
      </c>
      <c r="G2552" s="1441" t="s">
        <v>2019</v>
      </c>
      <c r="H2552" s="899"/>
      <c r="I2552" s="933"/>
      <c r="J2552" s="933" t="s">
        <v>207</v>
      </c>
      <c r="K2552" s="933" t="s">
        <v>19</v>
      </c>
      <c r="L2552" s="1410"/>
      <c r="M2552" s="933" t="s">
        <v>2020</v>
      </c>
      <c r="N2552" s="1154"/>
      <c r="O2552" s="1154"/>
      <c r="P2552" s="1154"/>
      <c r="Q2552" s="1154"/>
      <c r="R2552" s="1154"/>
      <c r="S2552" s="1154"/>
      <c r="T2552" s="1154"/>
      <c r="U2552" s="1154"/>
      <c r="V2552" s="1154"/>
      <c r="W2552" s="1154"/>
    </row>
    <row r="2553" ht="17" customHeight="1" spans="1:23">
      <c r="A2553" s="460" t="s">
        <v>1982</v>
      </c>
      <c r="B2553" s="1408" t="s">
        <v>2017</v>
      </c>
      <c r="C2553" s="925" t="s">
        <v>1820</v>
      </c>
      <c r="D2553" s="439">
        <v>60</v>
      </c>
      <c r="E2553" s="281"/>
      <c r="F2553" s="1441">
        <v>45997</v>
      </c>
      <c r="G2553" s="1441" t="s">
        <v>2019</v>
      </c>
      <c r="H2553" s="899"/>
      <c r="I2553" s="933"/>
      <c r="J2553" s="933" t="s">
        <v>207</v>
      </c>
      <c r="K2553" s="933" t="s">
        <v>19</v>
      </c>
      <c r="L2553" s="1410"/>
      <c r="M2553" s="460" t="s">
        <v>2021</v>
      </c>
      <c r="N2553" s="1154"/>
      <c r="O2553" s="1154"/>
      <c r="P2553" s="1154"/>
      <c r="Q2553" s="1154"/>
      <c r="R2553" s="1154"/>
      <c r="S2553" s="1154"/>
      <c r="T2553" s="1154"/>
      <c r="U2553" s="1154"/>
      <c r="V2553" s="1154"/>
      <c r="W2553" s="1154"/>
    </row>
    <row r="2554" ht="17" customHeight="1" spans="1:23">
      <c r="A2554" s="460" t="s">
        <v>1982</v>
      </c>
      <c r="B2554" s="1408" t="s">
        <v>2017</v>
      </c>
      <c r="C2554" s="925" t="s">
        <v>1827</v>
      </c>
      <c r="D2554" s="439">
        <v>50</v>
      </c>
      <c r="E2554" s="281"/>
      <c r="F2554" s="1441">
        <v>45997</v>
      </c>
      <c r="G2554" s="1441" t="s">
        <v>2019</v>
      </c>
      <c r="H2554" s="899"/>
      <c r="I2554" s="933"/>
      <c r="J2554" s="933" t="s">
        <v>207</v>
      </c>
      <c r="K2554" s="933" t="s">
        <v>19</v>
      </c>
      <c r="L2554" s="1410"/>
      <c r="M2554" s="460"/>
      <c r="N2554" s="1154"/>
      <c r="O2554" s="1154"/>
      <c r="P2554" s="1154"/>
      <c r="Q2554" s="1154"/>
      <c r="R2554" s="1154"/>
      <c r="S2554" s="1154"/>
      <c r="T2554" s="1154"/>
      <c r="U2554" s="1154"/>
      <c r="V2554" s="1154"/>
      <c r="W2554" s="1154"/>
    </row>
    <row r="2555" ht="17" customHeight="1" spans="1:23">
      <c r="A2555" s="460" t="s">
        <v>1982</v>
      </c>
      <c r="B2555" s="1408" t="s">
        <v>2017</v>
      </c>
      <c r="C2555" s="925" t="s">
        <v>1828</v>
      </c>
      <c r="D2555" s="439">
        <v>50</v>
      </c>
      <c r="E2555" s="281"/>
      <c r="F2555" s="1441">
        <v>45997</v>
      </c>
      <c r="G2555" s="1441" t="s">
        <v>2019</v>
      </c>
      <c r="H2555" s="899"/>
      <c r="I2555" s="933"/>
      <c r="J2555" s="933" t="s">
        <v>207</v>
      </c>
      <c r="K2555" s="933" t="s">
        <v>19</v>
      </c>
      <c r="L2555" s="1410"/>
      <c r="M2555" s="460"/>
      <c r="N2555" s="1154"/>
      <c r="O2555" s="1154"/>
      <c r="P2555" s="1154"/>
      <c r="Q2555" s="1154"/>
      <c r="R2555" s="1154"/>
      <c r="S2555" s="1154"/>
      <c r="T2555" s="1154"/>
      <c r="U2555" s="1154"/>
      <c r="V2555" s="1154"/>
      <c r="W2555" s="1154"/>
    </row>
    <row r="2556" ht="17" customHeight="1" spans="1:23">
      <c r="A2556" s="460" t="s">
        <v>1982</v>
      </c>
      <c r="B2556" s="1408" t="s">
        <v>2017</v>
      </c>
      <c r="C2556" s="925" t="s">
        <v>1833</v>
      </c>
      <c r="D2556" s="439">
        <v>7</v>
      </c>
      <c r="E2556" s="281"/>
      <c r="F2556" s="1441">
        <v>45997</v>
      </c>
      <c r="G2556" s="1441" t="s">
        <v>2019</v>
      </c>
      <c r="H2556" s="899"/>
      <c r="I2556" s="933"/>
      <c r="J2556" s="933" t="s">
        <v>207</v>
      </c>
      <c r="K2556" s="933" t="s">
        <v>19</v>
      </c>
      <c r="L2556" s="1410"/>
      <c r="M2556" s="460"/>
      <c r="N2556" s="1154"/>
      <c r="O2556" s="1154"/>
      <c r="P2556" s="1154"/>
      <c r="Q2556" s="1154"/>
      <c r="R2556" s="1154"/>
      <c r="S2556" s="1154"/>
      <c r="T2556" s="1154"/>
      <c r="U2556" s="1154"/>
      <c r="V2556" s="1154"/>
      <c r="W2556" s="1154"/>
    </row>
    <row r="2557" ht="17" customHeight="1" spans="1:23">
      <c r="A2557" s="460" t="s">
        <v>1982</v>
      </c>
      <c r="B2557" s="1408" t="s">
        <v>2017</v>
      </c>
      <c r="C2557" s="925" t="s">
        <v>1834</v>
      </c>
      <c r="D2557" s="439">
        <v>7</v>
      </c>
      <c r="E2557" s="281"/>
      <c r="F2557" s="1441">
        <v>45997</v>
      </c>
      <c r="G2557" s="1441" t="s">
        <v>2019</v>
      </c>
      <c r="H2557" s="899"/>
      <c r="I2557" s="933"/>
      <c r="J2557" s="933" t="s">
        <v>207</v>
      </c>
      <c r="K2557" s="933" t="s">
        <v>19</v>
      </c>
      <c r="L2557" s="1410"/>
      <c r="M2557" s="460"/>
      <c r="N2557" s="1154"/>
      <c r="O2557" s="1154"/>
      <c r="P2557" s="1154"/>
      <c r="Q2557" s="1154"/>
      <c r="R2557" s="1154"/>
      <c r="S2557" s="1154"/>
      <c r="T2557" s="1154"/>
      <c r="U2557" s="1154"/>
      <c r="V2557" s="1154"/>
      <c r="W2557" s="1154"/>
    </row>
    <row r="2558" ht="17" customHeight="1" spans="1:23">
      <c r="A2558" s="460" t="s">
        <v>1982</v>
      </c>
      <c r="B2558" s="1408" t="s">
        <v>2017</v>
      </c>
      <c r="C2558" s="819" t="s">
        <v>1780</v>
      </c>
      <c r="D2558" s="439">
        <v>13</v>
      </c>
      <c r="E2558" s="281"/>
      <c r="F2558" s="1441">
        <v>45997</v>
      </c>
      <c r="G2558" s="1441" t="s">
        <v>2019</v>
      </c>
      <c r="H2558" s="899"/>
      <c r="I2558" s="933"/>
      <c r="J2558" s="933" t="s">
        <v>207</v>
      </c>
      <c r="K2558" s="933" t="s">
        <v>19</v>
      </c>
      <c r="L2558" s="1410"/>
      <c r="M2558" s="460"/>
      <c r="N2558" s="1154"/>
      <c r="O2558" s="1154"/>
      <c r="P2558" s="1154"/>
      <c r="Q2558" s="1154"/>
      <c r="R2558" s="1154"/>
      <c r="S2558" s="1154"/>
      <c r="T2558" s="1154"/>
      <c r="U2558" s="1154"/>
      <c r="V2558" s="1154"/>
      <c r="W2558" s="1154"/>
    </row>
    <row r="2559" ht="17" customHeight="1" spans="1:23">
      <c r="A2559" s="460" t="s">
        <v>1982</v>
      </c>
      <c r="B2559" s="1408" t="s">
        <v>2017</v>
      </c>
      <c r="C2559" s="819" t="s">
        <v>1781</v>
      </c>
      <c r="D2559" s="439">
        <v>13</v>
      </c>
      <c r="E2559" s="281"/>
      <c r="F2559" s="1441">
        <v>45997</v>
      </c>
      <c r="G2559" s="1441" t="s">
        <v>2019</v>
      </c>
      <c r="H2559" s="899"/>
      <c r="I2559" s="933"/>
      <c r="J2559" s="933" t="s">
        <v>207</v>
      </c>
      <c r="K2559" s="933" t="s">
        <v>19</v>
      </c>
      <c r="L2559" s="1410"/>
      <c r="M2559" s="460"/>
      <c r="N2559" s="1154"/>
      <c r="O2559" s="1154"/>
      <c r="P2559" s="1154"/>
      <c r="Q2559" s="1154"/>
      <c r="R2559" s="1154"/>
      <c r="S2559" s="1154"/>
      <c r="T2559" s="1154"/>
      <c r="U2559" s="1154"/>
      <c r="V2559" s="1154"/>
      <c r="W2559" s="1154"/>
    </row>
    <row r="2560" ht="17" customHeight="1" spans="1:23">
      <c r="A2560" s="460" t="s">
        <v>1982</v>
      </c>
      <c r="B2560" s="1408" t="s">
        <v>2017</v>
      </c>
      <c r="C2560" s="925" t="s">
        <v>1782</v>
      </c>
      <c r="D2560" s="439">
        <v>5</v>
      </c>
      <c r="E2560" s="281"/>
      <c r="F2560" s="1441">
        <v>45997</v>
      </c>
      <c r="G2560" s="1441" t="s">
        <v>2019</v>
      </c>
      <c r="H2560" s="899"/>
      <c r="I2560" s="933"/>
      <c r="J2560" s="933" t="s">
        <v>207</v>
      </c>
      <c r="K2560" s="933" t="s">
        <v>19</v>
      </c>
      <c r="L2560" s="1410"/>
      <c r="M2560" s="460"/>
      <c r="N2560" s="1154"/>
      <c r="O2560" s="1154"/>
      <c r="P2560" s="1154"/>
      <c r="Q2560" s="1154"/>
      <c r="R2560" s="1154"/>
      <c r="S2560" s="1154"/>
      <c r="T2560" s="1154"/>
      <c r="U2560" s="1154"/>
      <c r="V2560" s="1154"/>
      <c r="W2560" s="1154"/>
    </row>
    <row r="2561" ht="17" customHeight="1" spans="1:23">
      <c r="A2561" s="460" t="s">
        <v>1982</v>
      </c>
      <c r="B2561" s="1408" t="s">
        <v>2017</v>
      </c>
      <c r="C2561" s="925" t="s">
        <v>1783</v>
      </c>
      <c r="D2561" s="439">
        <v>5</v>
      </c>
      <c r="E2561" s="281"/>
      <c r="F2561" s="1441">
        <v>45997</v>
      </c>
      <c r="G2561" s="1441" t="s">
        <v>2019</v>
      </c>
      <c r="H2561" s="899"/>
      <c r="I2561" s="933"/>
      <c r="J2561" s="933" t="s">
        <v>207</v>
      </c>
      <c r="K2561" s="933" t="s">
        <v>19</v>
      </c>
      <c r="L2561" s="1410"/>
      <c r="M2561" s="460"/>
      <c r="N2561" s="1154"/>
      <c r="O2561" s="1154"/>
      <c r="P2561" s="1154"/>
      <c r="Q2561" s="1154"/>
      <c r="R2561" s="1154"/>
      <c r="S2561" s="1154"/>
      <c r="T2561" s="1154"/>
      <c r="U2561" s="1154"/>
      <c r="V2561" s="1154"/>
      <c r="W2561" s="1154"/>
    </row>
    <row r="2562" ht="17" customHeight="1" spans="1:23">
      <c r="A2562" s="460" t="s">
        <v>1982</v>
      </c>
      <c r="B2562" s="1408" t="s">
        <v>2017</v>
      </c>
      <c r="C2562" s="925" t="s">
        <v>1786</v>
      </c>
      <c r="D2562" s="439">
        <v>1</v>
      </c>
      <c r="E2562" s="281"/>
      <c r="F2562" s="1441">
        <v>45997</v>
      </c>
      <c r="G2562" s="1441" t="s">
        <v>2019</v>
      </c>
      <c r="H2562" s="899"/>
      <c r="I2562" s="933"/>
      <c r="J2562" s="933" t="s">
        <v>207</v>
      </c>
      <c r="K2562" s="933" t="s">
        <v>19</v>
      </c>
      <c r="L2562" s="1410"/>
      <c r="M2562" s="460"/>
      <c r="N2562" s="1154"/>
      <c r="O2562" s="1154"/>
      <c r="P2562" s="1154"/>
      <c r="Q2562" s="1154"/>
      <c r="R2562" s="1154"/>
      <c r="S2562" s="1154"/>
      <c r="T2562" s="1154"/>
      <c r="U2562" s="1154"/>
      <c r="V2562" s="1154"/>
      <c r="W2562" s="1154"/>
    </row>
    <row r="2563" ht="17" customHeight="1" spans="1:23">
      <c r="A2563" s="460" t="s">
        <v>1982</v>
      </c>
      <c r="B2563" s="1408" t="s">
        <v>2017</v>
      </c>
      <c r="C2563" s="925" t="s">
        <v>1787</v>
      </c>
      <c r="D2563" s="439">
        <v>1</v>
      </c>
      <c r="E2563" s="281"/>
      <c r="F2563" s="1441">
        <v>45997</v>
      </c>
      <c r="G2563" s="1441" t="s">
        <v>2019</v>
      </c>
      <c r="H2563" s="899"/>
      <c r="I2563" s="933"/>
      <c r="J2563" s="933" t="s">
        <v>207</v>
      </c>
      <c r="K2563" s="933" t="s">
        <v>19</v>
      </c>
      <c r="L2563" s="1410"/>
      <c r="M2563" s="460"/>
      <c r="N2563" s="1154"/>
      <c r="O2563" s="1154"/>
      <c r="P2563" s="1154"/>
      <c r="Q2563" s="1154"/>
      <c r="R2563" s="1154"/>
      <c r="S2563" s="1154"/>
      <c r="T2563" s="1154"/>
      <c r="U2563" s="1154"/>
      <c r="V2563" s="1154"/>
      <c r="W2563" s="1154"/>
    </row>
    <row r="2564" ht="16.5" customHeight="1" spans="1:13">
      <c r="A2564" s="1407" t="s">
        <v>1982</v>
      </c>
      <c r="B2564" s="1408" t="s">
        <v>2022</v>
      </c>
      <c r="C2564" s="925" t="s">
        <v>1819</v>
      </c>
      <c r="D2564" s="439">
        <v>10</v>
      </c>
      <c r="E2564" s="988" t="s">
        <v>2023</v>
      </c>
      <c r="F2564" s="1441">
        <v>45997</v>
      </c>
      <c r="G2564" s="1441" t="s">
        <v>2024</v>
      </c>
      <c r="H2564" s="899"/>
      <c r="I2564" s="933"/>
      <c r="J2564" s="933" t="s">
        <v>215</v>
      </c>
      <c r="K2564" s="933" t="s">
        <v>19</v>
      </c>
      <c r="L2564" s="1410"/>
      <c r="M2564" s="819" t="s">
        <v>2025</v>
      </c>
    </row>
    <row r="2565" ht="16.5" customHeight="1" spans="1:13">
      <c r="A2565" s="460" t="s">
        <v>1982</v>
      </c>
      <c r="B2565" s="1408" t="s">
        <v>2022</v>
      </c>
      <c r="C2565" s="925" t="s">
        <v>1820</v>
      </c>
      <c r="D2565" s="439">
        <v>10</v>
      </c>
      <c r="E2565" s="281"/>
      <c r="F2565" s="1441">
        <v>45997</v>
      </c>
      <c r="G2565" s="1441" t="s">
        <v>2024</v>
      </c>
      <c r="H2565" s="899"/>
      <c r="I2565" s="933"/>
      <c r="J2565" s="933" t="s">
        <v>215</v>
      </c>
      <c r="K2565" s="933" t="s">
        <v>19</v>
      </c>
      <c r="L2565" s="1410"/>
      <c r="M2565" s="933" t="s">
        <v>2026</v>
      </c>
    </row>
    <row r="2566" ht="16.5" customHeight="1" spans="1:13">
      <c r="A2566" s="460" t="s">
        <v>1982</v>
      </c>
      <c r="B2566" s="1408" t="s">
        <v>2022</v>
      </c>
      <c r="C2566" s="925" t="s">
        <v>1821</v>
      </c>
      <c r="D2566" s="439">
        <v>15</v>
      </c>
      <c r="E2566" s="281"/>
      <c r="F2566" s="1441">
        <v>45997</v>
      </c>
      <c r="G2566" s="1441" t="s">
        <v>2024</v>
      </c>
      <c r="H2566" s="899"/>
      <c r="I2566" s="933"/>
      <c r="J2566" s="933" t="s">
        <v>215</v>
      </c>
      <c r="K2566" s="933" t="s">
        <v>19</v>
      </c>
      <c r="L2566" s="1410"/>
      <c r="M2566" s="933"/>
    </row>
    <row r="2567" ht="16.5" customHeight="1" spans="1:13">
      <c r="A2567" s="460" t="s">
        <v>1982</v>
      </c>
      <c r="B2567" s="1408" t="s">
        <v>2022</v>
      </c>
      <c r="C2567" s="925" t="s">
        <v>1822</v>
      </c>
      <c r="D2567" s="439">
        <v>15</v>
      </c>
      <c r="E2567" s="281"/>
      <c r="F2567" s="1441">
        <v>45997</v>
      </c>
      <c r="G2567" s="1441" t="s">
        <v>2024</v>
      </c>
      <c r="H2567" s="899"/>
      <c r="I2567" s="933"/>
      <c r="J2567" s="933" t="s">
        <v>215</v>
      </c>
      <c r="K2567" s="933" t="s">
        <v>19</v>
      </c>
      <c r="L2567" s="1410"/>
      <c r="M2567" s="933"/>
    </row>
    <row r="2568" ht="16.5" customHeight="1" spans="1:13">
      <c r="A2568" s="460" t="s">
        <v>1982</v>
      </c>
      <c r="B2568" s="1408" t="s">
        <v>2022</v>
      </c>
      <c r="C2568" s="925" t="s">
        <v>1823</v>
      </c>
      <c r="D2568" s="439">
        <v>35</v>
      </c>
      <c r="E2568" s="281"/>
      <c r="F2568" s="1441">
        <v>45997</v>
      </c>
      <c r="G2568" s="1441" t="s">
        <v>2024</v>
      </c>
      <c r="H2568" s="899"/>
      <c r="I2568" s="933"/>
      <c r="J2568" s="933" t="s">
        <v>215</v>
      </c>
      <c r="K2568" s="933" t="s">
        <v>19</v>
      </c>
      <c r="L2568" s="1410"/>
      <c r="M2568" s="933"/>
    </row>
    <row r="2569" ht="16.5" customHeight="1" spans="1:13">
      <c r="A2569" s="460" t="s">
        <v>1982</v>
      </c>
      <c r="B2569" s="1408" t="s">
        <v>2022</v>
      </c>
      <c r="C2569" s="925" t="s">
        <v>1824</v>
      </c>
      <c r="D2569" s="439">
        <v>35</v>
      </c>
      <c r="E2569" s="281"/>
      <c r="F2569" s="1441">
        <v>45997</v>
      </c>
      <c r="G2569" s="1441" t="s">
        <v>2024</v>
      </c>
      <c r="H2569" s="899"/>
      <c r="I2569" s="933"/>
      <c r="J2569" s="933" t="s">
        <v>215</v>
      </c>
      <c r="K2569" s="933" t="s">
        <v>19</v>
      </c>
      <c r="L2569" s="1410"/>
      <c r="M2569" s="933"/>
    </row>
    <row r="2570" ht="16.5" customHeight="1" spans="1:13">
      <c r="A2570" s="460" t="s">
        <v>1982</v>
      </c>
      <c r="B2570" s="1408" t="s">
        <v>2022</v>
      </c>
      <c r="C2570" s="925" t="s">
        <v>1825</v>
      </c>
      <c r="D2570" s="439">
        <v>5</v>
      </c>
      <c r="E2570" s="281"/>
      <c r="F2570" s="1441">
        <v>45997</v>
      </c>
      <c r="G2570" s="1441" t="s">
        <v>2024</v>
      </c>
      <c r="H2570" s="899"/>
      <c r="I2570" s="933"/>
      <c r="J2570" s="933" t="s">
        <v>215</v>
      </c>
      <c r="K2570" s="933" t="s">
        <v>19</v>
      </c>
      <c r="L2570" s="1410"/>
      <c r="M2570" s="933"/>
    </row>
    <row r="2571" ht="16.5" customHeight="1" spans="1:13">
      <c r="A2571" s="460" t="s">
        <v>1982</v>
      </c>
      <c r="B2571" s="1408" t="s">
        <v>2022</v>
      </c>
      <c r="C2571" s="925" t="s">
        <v>1826</v>
      </c>
      <c r="D2571" s="439">
        <v>5</v>
      </c>
      <c r="E2571" s="281"/>
      <c r="F2571" s="1441">
        <v>45997</v>
      </c>
      <c r="G2571" s="1441" t="s">
        <v>2024</v>
      </c>
      <c r="H2571" s="899"/>
      <c r="I2571" s="933"/>
      <c r="J2571" s="933" t="s">
        <v>215</v>
      </c>
      <c r="K2571" s="933" t="s">
        <v>19</v>
      </c>
      <c r="L2571" s="1410"/>
      <c r="M2571" s="933"/>
    </row>
    <row r="2572" ht="16.5" customHeight="1" spans="1:13">
      <c r="A2572" s="460" t="s">
        <v>1982</v>
      </c>
      <c r="B2572" s="1408" t="s">
        <v>2022</v>
      </c>
      <c r="C2572" s="925" t="s">
        <v>1827</v>
      </c>
      <c r="D2572" s="439">
        <v>5</v>
      </c>
      <c r="E2572" s="281"/>
      <c r="F2572" s="1441">
        <v>45997</v>
      </c>
      <c r="G2572" s="1441" t="s">
        <v>2024</v>
      </c>
      <c r="H2572" s="899"/>
      <c r="I2572" s="933"/>
      <c r="J2572" s="933" t="s">
        <v>215</v>
      </c>
      <c r="K2572" s="933" t="s">
        <v>19</v>
      </c>
      <c r="L2572" s="1410"/>
      <c r="M2572" s="933"/>
    </row>
    <row r="2573" ht="16.5" customHeight="1" spans="1:13">
      <c r="A2573" s="460" t="s">
        <v>1982</v>
      </c>
      <c r="B2573" s="1408" t="s">
        <v>2022</v>
      </c>
      <c r="C2573" s="925" t="s">
        <v>1828</v>
      </c>
      <c r="D2573" s="439">
        <v>5</v>
      </c>
      <c r="E2573" s="281"/>
      <c r="F2573" s="1441">
        <v>45997</v>
      </c>
      <c r="G2573" s="1441" t="s">
        <v>2024</v>
      </c>
      <c r="H2573" s="899"/>
      <c r="I2573" s="933"/>
      <c r="J2573" s="933" t="s">
        <v>215</v>
      </c>
      <c r="K2573" s="933" t="s">
        <v>19</v>
      </c>
      <c r="L2573" s="1410"/>
      <c r="M2573" s="933"/>
    </row>
    <row r="2574" ht="16.5" customHeight="1" spans="1:13">
      <c r="A2574" s="460" t="s">
        <v>1982</v>
      </c>
      <c r="B2574" s="1408" t="s">
        <v>2022</v>
      </c>
      <c r="C2574" s="925" t="s">
        <v>1833</v>
      </c>
      <c r="D2574" s="439">
        <v>5</v>
      </c>
      <c r="E2574" s="281"/>
      <c r="F2574" s="1441">
        <v>45997</v>
      </c>
      <c r="G2574" s="1441" t="s">
        <v>2024</v>
      </c>
      <c r="H2574" s="899"/>
      <c r="I2574" s="933"/>
      <c r="J2574" s="933" t="s">
        <v>215</v>
      </c>
      <c r="K2574" s="933" t="s">
        <v>19</v>
      </c>
      <c r="L2574" s="1410"/>
      <c r="M2574" s="933"/>
    </row>
    <row r="2575" ht="16.5" customHeight="1" spans="1:13">
      <c r="A2575" s="460" t="s">
        <v>1982</v>
      </c>
      <c r="B2575" s="1408" t="s">
        <v>2022</v>
      </c>
      <c r="C2575" s="925" t="s">
        <v>1834</v>
      </c>
      <c r="D2575" s="439">
        <v>5</v>
      </c>
      <c r="E2575" s="281"/>
      <c r="F2575" s="1441">
        <v>45997</v>
      </c>
      <c r="G2575" s="1441" t="s">
        <v>2024</v>
      </c>
      <c r="H2575" s="899"/>
      <c r="I2575" s="933"/>
      <c r="J2575" s="933" t="s">
        <v>215</v>
      </c>
      <c r="K2575" s="933" t="s">
        <v>19</v>
      </c>
      <c r="L2575" s="1410"/>
      <c r="M2575" s="933"/>
    </row>
    <row r="2576" ht="16.5" customHeight="1" spans="1:13">
      <c r="A2576" s="460" t="s">
        <v>1982</v>
      </c>
      <c r="B2576" s="1408" t="s">
        <v>2022</v>
      </c>
      <c r="C2576" s="925" t="s">
        <v>1771</v>
      </c>
      <c r="D2576" s="439">
        <v>10</v>
      </c>
      <c r="E2576" s="281"/>
      <c r="F2576" s="1441">
        <v>45997</v>
      </c>
      <c r="G2576" s="1441" t="s">
        <v>2024</v>
      </c>
      <c r="H2576" s="899"/>
      <c r="I2576" s="933"/>
      <c r="J2576" s="933" t="s">
        <v>215</v>
      </c>
      <c r="K2576" s="933" t="s">
        <v>19</v>
      </c>
      <c r="L2576" s="1410"/>
      <c r="M2576" s="933"/>
    </row>
    <row r="2577" ht="16.5" customHeight="1" spans="1:13">
      <c r="A2577" s="460" t="s">
        <v>1982</v>
      </c>
      <c r="B2577" s="1408" t="s">
        <v>2022</v>
      </c>
      <c r="C2577" s="925" t="s">
        <v>1835</v>
      </c>
      <c r="D2577" s="439">
        <v>10</v>
      </c>
      <c r="E2577" s="281"/>
      <c r="F2577" s="1441">
        <v>45997</v>
      </c>
      <c r="G2577" s="1441" t="s">
        <v>2024</v>
      </c>
      <c r="H2577" s="899"/>
      <c r="I2577" s="933"/>
      <c r="J2577" s="933" t="s">
        <v>215</v>
      </c>
      <c r="K2577" s="933" t="s">
        <v>19</v>
      </c>
      <c r="L2577" s="1410"/>
      <c r="M2577" s="933"/>
    </row>
    <row r="2578" ht="16.5" customHeight="1" spans="1:13">
      <c r="A2578" s="460" t="s">
        <v>1982</v>
      </c>
      <c r="B2578" s="1408" t="s">
        <v>2022</v>
      </c>
      <c r="C2578" s="925" t="s">
        <v>1836</v>
      </c>
      <c r="D2578" s="439">
        <v>4</v>
      </c>
      <c r="E2578" s="281"/>
      <c r="F2578" s="1441">
        <v>45997</v>
      </c>
      <c r="G2578" s="1441" t="s">
        <v>2024</v>
      </c>
      <c r="H2578" s="899"/>
      <c r="I2578" s="933"/>
      <c r="J2578" s="933" t="s">
        <v>215</v>
      </c>
      <c r="K2578" s="933" t="s">
        <v>19</v>
      </c>
      <c r="L2578" s="1410"/>
      <c r="M2578" s="933"/>
    </row>
    <row r="2579" ht="16.5" customHeight="1" spans="1:13">
      <c r="A2579" s="460" t="s">
        <v>1982</v>
      </c>
      <c r="B2579" s="1408" t="s">
        <v>2022</v>
      </c>
      <c r="C2579" s="925" t="s">
        <v>1837</v>
      </c>
      <c r="D2579" s="439">
        <v>4</v>
      </c>
      <c r="E2579" s="281"/>
      <c r="F2579" s="1441">
        <v>45997</v>
      </c>
      <c r="G2579" s="1441" t="s">
        <v>2024</v>
      </c>
      <c r="H2579" s="899"/>
      <c r="I2579" s="933"/>
      <c r="J2579" s="933" t="s">
        <v>215</v>
      </c>
      <c r="K2579" s="933" t="s">
        <v>19</v>
      </c>
      <c r="L2579" s="1410"/>
      <c r="M2579" s="933"/>
    </row>
    <row r="2580" ht="16.5" customHeight="1" spans="1:13">
      <c r="A2580" s="460" t="s">
        <v>1982</v>
      </c>
      <c r="B2580" s="1408" t="s">
        <v>2022</v>
      </c>
      <c r="C2580" s="925" t="s">
        <v>1780</v>
      </c>
      <c r="D2580" s="439">
        <v>12</v>
      </c>
      <c r="E2580" s="281"/>
      <c r="F2580" s="1441">
        <v>45997</v>
      </c>
      <c r="G2580" s="1441" t="s">
        <v>2024</v>
      </c>
      <c r="H2580" s="899"/>
      <c r="I2580" s="933"/>
      <c r="J2580" s="933" t="s">
        <v>215</v>
      </c>
      <c r="K2580" s="933" t="s">
        <v>19</v>
      </c>
      <c r="L2580" s="1410"/>
      <c r="M2580" s="933"/>
    </row>
    <row r="2581" ht="16.5" customHeight="1" spans="1:13">
      <c r="A2581" s="460" t="s">
        <v>1982</v>
      </c>
      <c r="B2581" s="1408" t="s">
        <v>2022</v>
      </c>
      <c r="C2581" s="925" t="s">
        <v>1781</v>
      </c>
      <c r="D2581" s="439">
        <v>12</v>
      </c>
      <c r="E2581" s="281"/>
      <c r="F2581" s="1441">
        <v>45997</v>
      </c>
      <c r="G2581" s="1441" t="s">
        <v>2024</v>
      </c>
      <c r="H2581" s="899"/>
      <c r="I2581" s="933"/>
      <c r="J2581" s="933" t="s">
        <v>215</v>
      </c>
      <c r="K2581" s="933" t="s">
        <v>19</v>
      </c>
      <c r="L2581" s="1410"/>
      <c r="M2581" s="933"/>
    </row>
    <row r="2582" ht="16.5" customHeight="1" spans="1:13">
      <c r="A2582" s="460" t="s">
        <v>1982</v>
      </c>
      <c r="B2582" s="1408" t="s">
        <v>2022</v>
      </c>
      <c r="C2582" s="925" t="s">
        <v>1782</v>
      </c>
      <c r="D2582" s="439">
        <v>12</v>
      </c>
      <c r="E2582" s="281"/>
      <c r="F2582" s="1441">
        <v>45997</v>
      </c>
      <c r="G2582" s="1441" t="s">
        <v>2024</v>
      </c>
      <c r="H2582" s="899"/>
      <c r="I2582" s="933"/>
      <c r="J2582" s="933" t="s">
        <v>215</v>
      </c>
      <c r="K2582" s="933" t="s">
        <v>19</v>
      </c>
      <c r="L2582" s="1410"/>
      <c r="M2582" s="933"/>
    </row>
    <row r="2583" ht="16.5" customHeight="1" spans="1:13">
      <c r="A2583" s="462" t="s">
        <v>1982</v>
      </c>
      <c r="B2583" s="1408" t="s">
        <v>2022</v>
      </c>
      <c r="C2583" s="1442" t="s">
        <v>1783</v>
      </c>
      <c r="D2583" s="443">
        <v>12</v>
      </c>
      <c r="E2583" s="281"/>
      <c r="F2583" s="1441">
        <v>45997</v>
      </c>
      <c r="G2583" s="1447" t="s">
        <v>2024</v>
      </c>
      <c r="H2583" s="938"/>
      <c r="I2583" s="959"/>
      <c r="J2583" s="959" t="s">
        <v>215</v>
      </c>
      <c r="K2583" s="959" t="s">
        <v>19</v>
      </c>
      <c r="L2583" s="1446"/>
      <c r="M2583" s="959"/>
    </row>
    <row r="2584" ht="16.5" customHeight="1" spans="1:13">
      <c r="A2584" s="460" t="s">
        <v>1982</v>
      </c>
      <c r="B2584" s="1408" t="s">
        <v>2027</v>
      </c>
      <c r="C2584" s="925" t="s">
        <v>1819</v>
      </c>
      <c r="D2584" s="439">
        <v>100</v>
      </c>
      <c r="E2584" s="1124" t="s">
        <v>2028</v>
      </c>
      <c r="F2584" s="1441">
        <v>46007</v>
      </c>
      <c r="G2584" s="1441" t="s">
        <v>2029</v>
      </c>
      <c r="H2584" s="899"/>
      <c r="I2584" s="933"/>
      <c r="J2584" s="933" t="s">
        <v>207</v>
      </c>
      <c r="K2584" s="933" t="s">
        <v>19</v>
      </c>
      <c r="L2584" s="1410"/>
      <c r="M2584" s="933" t="s">
        <v>2030</v>
      </c>
    </row>
    <row r="2585" ht="16.5" customHeight="1" spans="1:13">
      <c r="A2585" s="460" t="s">
        <v>1982</v>
      </c>
      <c r="B2585" s="1408" t="s">
        <v>2027</v>
      </c>
      <c r="C2585" s="925" t="s">
        <v>1820</v>
      </c>
      <c r="D2585" s="439">
        <v>100</v>
      </c>
      <c r="E2585" s="281"/>
      <c r="F2585" s="1441">
        <v>46007</v>
      </c>
      <c r="G2585" s="1441" t="s">
        <v>2029</v>
      </c>
      <c r="H2585" s="899"/>
      <c r="I2585" s="933"/>
      <c r="J2585" s="933" t="s">
        <v>207</v>
      </c>
      <c r="K2585" s="933" t="s">
        <v>19</v>
      </c>
      <c r="L2585" s="1410"/>
      <c r="M2585" s="1407" t="s">
        <v>2031</v>
      </c>
    </row>
    <row r="2586" ht="16.5" customHeight="1" spans="1:13">
      <c r="A2586" s="460" t="s">
        <v>1982</v>
      </c>
      <c r="B2586" s="1408" t="s">
        <v>2027</v>
      </c>
      <c r="C2586" s="925" t="s">
        <v>1821</v>
      </c>
      <c r="D2586" s="439">
        <v>50</v>
      </c>
      <c r="E2586" s="281"/>
      <c r="F2586" s="1441">
        <v>46007</v>
      </c>
      <c r="G2586" s="1441" t="s">
        <v>2029</v>
      </c>
      <c r="H2586" s="899"/>
      <c r="I2586" s="933"/>
      <c r="J2586" s="933" t="s">
        <v>207</v>
      </c>
      <c r="K2586" s="933" t="s">
        <v>19</v>
      </c>
      <c r="L2586" s="1410"/>
      <c r="M2586" s="1407"/>
    </row>
    <row r="2587" ht="16.5" customHeight="1" spans="1:13">
      <c r="A2587" s="460" t="s">
        <v>1982</v>
      </c>
      <c r="B2587" s="1408" t="s">
        <v>2027</v>
      </c>
      <c r="C2587" s="925" t="s">
        <v>1822</v>
      </c>
      <c r="D2587" s="439">
        <v>50</v>
      </c>
      <c r="E2587" s="281"/>
      <c r="F2587" s="1441">
        <v>46007</v>
      </c>
      <c r="G2587" s="1441" t="s">
        <v>2029</v>
      </c>
      <c r="H2587" s="899"/>
      <c r="I2587" s="933"/>
      <c r="J2587" s="933" t="s">
        <v>207</v>
      </c>
      <c r="K2587" s="933" t="s">
        <v>19</v>
      </c>
      <c r="L2587" s="1410"/>
      <c r="M2587" s="1407"/>
    </row>
    <row r="2588" ht="16.5" customHeight="1" spans="1:13">
      <c r="A2588" s="460" t="s">
        <v>1982</v>
      </c>
      <c r="B2588" s="1408" t="s">
        <v>2027</v>
      </c>
      <c r="C2588" s="925" t="s">
        <v>1823</v>
      </c>
      <c r="D2588" s="439">
        <v>22</v>
      </c>
      <c r="E2588" s="281"/>
      <c r="F2588" s="1441">
        <v>46007</v>
      </c>
      <c r="G2588" s="1441" t="s">
        <v>2029</v>
      </c>
      <c r="H2588" s="899"/>
      <c r="I2588" s="933"/>
      <c r="J2588" s="933" t="s">
        <v>207</v>
      </c>
      <c r="K2588" s="933" t="s">
        <v>19</v>
      </c>
      <c r="L2588" s="1410"/>
      <c r="M2588" s="1407"/>
    </row>
    <row r="2589" ht="16.5" customHeight="1" spans="1:13">
      <c r="A2589" s="460" t="s">
        <v>1982</v>
      </c>
      <c r="B2589" s="1408" t="s">
        <v>2027</v>
      </c>
      <c r="C2589" s="925" t="s">
        <v>1824</v>
      </c>
      <c r="D2589" s="439">
        <v>22</v>
      </c>
      <c r="E2589" s="281"/>
      <c r="F2589" s="1441">
        <v>46007</v>
      </c>
      <c r="G2589" s="1441" t="s">
        <v>2029</v>
      </c>
      <c r="H2589" s="899"/>
      <c r="I2589" s="933"/>
      <c r="J2589" s="933" t="s">
        <v>207</v>
      </c>
      <c r="K2589" s="933" t="s">
        <v>19</v>
      </c>
      <c r="L2589" s="1410"/>
      <c r="M2589" s="1407"/>
    </row>
    <row r="2590" ht="16.5" customHeight="1" spans="1:13">
      <c r="A2590" s="460" t="s">
        <v>1982</v>
      </c>
      <c r="B2590" s="1408" t="s">
        <v>2027</v>
      </c>
      <c r="C2590" s="925" t="s">
        <v>1827</v>
      </c>
      <c r="D2590" s="439">
        <v>20</v>
      </c>
      <c r="E2590" s="281"/>
      <c r="F2590" s="1441">
        <v>46007</v>
      </c>
      <c r="G2590" s="1441" t="s">
        <v>2029</v>
      </c>
      <c r="H2590" s="899"/>
      <c r="I2590" s="933"/>
      <c r="J2590" s="933" t="s">
        <v>207</v>
      </c>
      <c r="K2590" s="933" t="s">
        <v>19</v>
      </c>
      <c r="L2590" s="1410"/>
      <c r="M2590" s="1407"/>
    </row>
    <row r="2591" ht="16.5" customHeight="1" spans="1:13">
      <c r="A2591" s="460" t="s">
        <v>1982</v>
      </c>
      <c r="B2591" s="1408" t="s">
        <v>2027</v>
      </c>
      <c r="C2591" s="925" t="s">
        <v>1828</v>
      </c>
      <c r="D2591" s="439">
        <v>20</v>
      </c>
      <c r="E2591" s="281"/>
      <c r="F2591" s="1441">
        <v>46007</v>
      </c>
      <c r="G2591" s="1441" t="s">
        <v>2029</v>
      </c>
      <c r="H2591" s="899"/>
      <c r="I2591" s="933"/>
      <c r="J2591" s="933" t="s">
        <v>207</v>
      </c>
      <c r="K2591" s="933" t="s">
        <v>19</v>
      </c>
      <c r="L2591" s="1410"/>
      <c r="M2591" s="1407"/>
    </row>
    <row r="2592" ht="16.5" customHeight="1" spans="1:13">
      <c r="A2592" s="460" t="s">
        <v>1982</v>
      </c>
      <c r="B2592" s="1408" t="s">
        <v>2027</v>
      </c>
      <c r="C2592" s="925" t="s">
        <v>1833</v>
      </c>
      <c r="D2592" s="439">
        <v>4</v>
      </c>
      <c r="E2592" s="281"/>
      <c r="F2592" s="1441">
        <v>46007</v>
      </c>
      <c r="G2592" s="1441" t="s">
        <v>2029</v>
      </c>
      <c r="H2592" s="899"/>
      <c r="I2592" s="933"/>
      <c r="J2592" s="933" t="s">
        <v>207</v>
      </c>
      <c r="K2592" s="933" t="s">
        <v>19</v>
      </c>
      <c r="L2592" s="1410"/>
      <c r="M2592" s="1407"/>
    </row>
    <row r="2593" ht="16.5" customHeight="1" spans="1:13">
      <c r="A2593" s="462" t="s">
        <v>1982</v>
      </c>
      <c r="B2593" s="1448" t="s">
        <v>2027</v>
      </c>
      <c r="C2593" s="1442" t="s">
        <v>1834</v>
      </c>
      <c r="D2593" s="443">
        <v>4</v>
      </c>
      <c r="E2593" s="368"/>
      <c r="F2593" s="1447">
        <v>46007</v>
      </c>
      <c r="G2593" s="1447" t="s">
        <v>2029</v>
      </c>
      <c r="H2593" s="938"/>
      <c r="I2593" s="959"/>
      <c r="J2593" s="959" t="s">
        <v>207</v>
      </c>
      <c r="K2593" s="959" t="s">
        <v>19</v>
      </c>
      <c r="L2593" s="1446"/>
      <c r="M2593" s="1455"/>
    </row>
    <row r="2594" s="178" customFormat="1" ht="16.5" customHeight="1" spans="1:23">
      <c r="A2594" s="1421" t="s">
        <v>1280</v>
      </c>
      <c r="B2594" s="1449" t="s">
        <v>2032</v>
      </c>
      <c r="C2594" s="1450" t="s">
        <v>111</v>
      </c>
      <c r="D2594" s="1451">
        <v>73</v>
      </c>
      <c r="E2594" s="1452" t="s">
        <v>2033</v>
      </c>
      <c r="F2594" s="1453">
        <v>45993</v>
      </c>
      <c r="G2594" s="1453" t="s">
        <v>2034</v>
      </c>
      <c r="H2594" s="1454"/>
      <c r="I2594" s="1456"/>
      <c r="J2594" s="1457" t="s">
        <v>39</v>
      </c>
      <c r="K2594" s="1432" t="s">
        <v>107</v>
      </c>
      <c r="L2594" s="1458"/>
      <c r="M2594" s="1456" t="s">
        <v>2035</v>
      </c>
      <c r="N2594" s="203"/>
      <c r="O2594" s="512"/>
      <c r="P2594" s="512"/>
      <c r="Q2594" s="512"/>
      <c r="R2594" s="512"/>
      <c r="S2594" s="512"/>
      <c r="T2594" s="512"/>
      <c r="U2594" s="512"/>
      <c r="V2594" s="512"/>
      <c r="W2594" s="512"/>
    </row>
    <row r="2595" s="178" customFormat="1" ht="16.5" customHeight="1" spans="1:23">
      <c r="A2595" s="1421" t="s">
        <v>1280</v>
      </c>
      <c r="B2595" s="1449" t="s">
        <v>2032</v>
      </c>
      <c r="C2595" s="1450" t="s">
        <v>112</v>
      </c>
      <c r="D2595" s="1451">
        <v>73</v>
      </c>
      <c r="E2595" s="1449"/>
      <c r="F2595" s="1453">
        <v>45993</v>
      </c>
      <c r="G2595" s="1453" t="s">
        <v>2034</v>
      </c>
      <c r="H2595" s="1454"/>
      <c r="I2595" s="1456"/>
      <c r="J2595" s="1457" t="s">
        <v>39</v>
      </c>
      <c r="K2595" s="1432" t="s">
        <v>107</v>
      </c>
      <c r="L2595" s="1458"/>
      <c r="M2595" s="1456" t="s">
        <v>2036</v>
      </c>
      <c r="N2595" s="203"/>
      <c r="O2595" s="512"/>
      <c r="P2595" s="512"/>
      <c r="Q2595" s="512"/>
      <c r="R2595" s="512"/>
      <c r="S2595" s="512"/>
      <c r="T2595" s="512"/>
      <c r="U2595" s="512"/>
      <c r="V2595" s="512"/>
      <c r="W2595" s="512"/>
    </row>
    <row r="2596" s="178" customFormat="1" ht="16.5" customHeight="1" spans="1:23">
      <c r="A2596" s="1421" t="s">
        <v>1280</v>
      </c>
      <c r="B2596" s="1449" t="s">
        <v>2032</v>
      </c>
      <c r="C2596" s="1450" t="s">
        <v>114</v>
      </c>
      <c r="D2596" s="1451">
        <v>23</v>
      </c>
      <c r="E2596" s="1449"/>
      <c r="F2596" s="1453">
        <v>45993</v>
      </c>
      <c r="G2596" s="1453" t="s">
        <v>2034</v>
      </c>
      <c r="H2596" s="1454"/>
      <c r="I2596" s="1456"/>
      <c r="J2596" s="1457" t="s">
        <v>39</v>
      </c>
      <c r="K2596" s="1432" t="s">
        <v>107</v>
      </c>
      <c r="L2596" s="1458"/>
      <c r="M2596" s="1456"/>
      <c r="N2596" s="203"/>
      <c r="O2596" s="512"/>
      <c r="P2596" s="512"/>
      <c r="Q2596" s="512"/>
      <c r="R2596" s="512"/>
      <c r="S2596" s="512"/>
      <c r="T2596" s="512"/>
      <c r="U2596" s="512"/>
      <c r="V2596" s="512"/>
      <c r="W2596" s="512"/>
    </row>
    <row r="2597" s="178" customFormat="1" ht="16.5" customHeight="1" spans="1:23">
      <c r="A2597" s="1421" t="s">
        <v>1280</v>
      </c>
      <c r="B2597" s="1449" t="s">
        <v>2032</v>
      </c>
      <c r="C2597" s="1450" t="s">
        <v>115</v>
      </c>
      <c r="D2597" s="1451">
        <v>23</v>
      </c>
      <c r="E2597" s="1449"/>
      <c r="F2597" s="1453">
        <v>45993</v>
      </c>
      <c r="G2597" s="1453" t="s">
        <v>2034</v>
      </c>
      <c r="H2597" s="1454"/>
      <c r="I2597" s="1456"/>
      <c r="J2597" s="1457" t="s">
        <v>39</v>
      </c>
      <c r="K2597" s="1432" t="s">
        <v>107</v>
      </c>
      <c r="L2597" s="1458"/>
      <c r="M2597" s="1456"/>
      <c r="N2597" s="203"/>
      <c r="O2597" s="512"/>
      <c r="P2597" s="512"/>
      <c r="Q2597" s="512"/>
      <c r="R2597" s="512"/>
      <c r="S2597" s="512"/>
      <c r="T2597" s="512"/>
      <c r="U2597" s="512"/>
      <c r="V2597" s="512"/>
      <c r="W2597" s="512"/>
    </row>
    <row r="2598" s="178" customFormat="1" ht="16.5" customHeight="1" spans="1:23">
      <c r="A2598" s="1421" t="s">
        <v>1280</v>
      </c>
      <c r="B2598" s="1449" t="s">
        <v>2032</v>
      </c>
      <c r="C2598" s="1450" t="s">
        <v>116</v>
      </c>
      <c r="D2598" s="1451">
        <v>38</v>
      </c>
      <c r="E2598" s="1449"/>
      <c r="F2598" s="1453">
        <v>45993</v>
      </c>
      <c r="G2598" s="1453" t="s">
        <v>2034</v>
      </c>
      <c r="H2598" s="1454"/>
      <c r="I2598" s="1456"/>
      <c r="J2598" s="1457" t="s">
        <v>39</v>
      </c>
      <c r="K2598" s="1432" t="s">
        <v>107</v>
      </c>
      <c r="L2598" s="1458"/>
      <c r="M2598" s="1456"/>
      <c r="N2598" s="203"/>
      <c r="O2598" s="512"/>
      <c r="P2598" s="512"/>
      <c r="Q2598" s="512"/>
      <c r="R2598" s="512"/>
      <c r="S2598" s="512"/>
      <c r="T2598" s="512"/>
      <c r="U2598" s="512"/>
      <c r="V2598" s="512"/>
      <c r="W2598" s="512"/>
    </row>
    <row r="2599" s="178" customFormat="1" ht="16.5" customHeight="1" spans="1:23">
      <c r="A2599" s="1421" t="s">
        <v>1280</v>
      </c>
      <c r="B2599" s="1449" t="s">
        <v>2032</v>
      </c>
      <c r="C2599" s="1450" t="s">
        <v>117</v>
      </c>
      <c r="D2599" s="1451">
        <v>38</v>
      </c>
      <c r="E2599" s="1449"/>
      <c r="F2599" s="1453">
        <v>45993</v>
      </c>
      <c r="G2599" s="1453" t="s">
        <v>2034</v>
      </c>
      <c r="H2599" s="1454"/>
      <c r="I2599" s="1456"/>
      <c r="J2599" s="1457" t="s">
        <v>39</v>
      </c>
      <c r="K2599" s="1432" t="s">
        <v>107</v>
      </c>
      <c r="L2599" s="1458"/>
      <c r="M2599" s="1456"/>
      <c r="N2599" s="203"/>
      <c r="O2599" s="512"/>
      <c r="P2599" s="512"/>
      <c r="Q2599" s="512"/>
      <c r="R2599" s="512"/>
      <c r="S2599" s="512"/>
      <c r="T2599" s="512"/>
      <c r="U2599" s="512"/>
      <c r="V2599" s="512"/>
      <c r="W2599" s="512"/>
    </row>
    <row r="2600" s="178" customFormat="1" ht="16.5" customHeight="1" spans="1:23">
      <c r="A2600" s="1421" t="s">
        <v>1280</v>
      </c>
      <c r="B2600" s="1449" t="s">
        <v>2032</v>
      </c>
      <c r="C2600" s="1450" t="s">
        <v>118</v>
      </c>
      <c r="D2600" s="1451">
        <v>29</v>
      </c>
      <c r="E2600" s="1449"/>
      <c r="F2600" s="1453">
        <v>45993</v>
      </c>
      <c r="G2600" s="1453" t="s">
        <v>2034</v>
      </c>
      <c r="H2600" s="1454"/>
      <c r="I2600" s="1456"/>
      <c r="J2600" s="1457" t="s">
        <v>39</v>
      </c>
      <c r="K2600" s="1432" t="s">
        <v>107</v>
      </c>
      <c r="L2600" s="1458"/>
      <c r="M2600" s="1456"/>
      <c r="N2600" s="203"/>
      <c r="O2600" s="512"/>
      <c r="P2600" s="512"/>
      <c r="Q2600" s="512"/>
      <c r="R2600" s="512"/>
      <c r="S2600" s="512"/>
      <c r="T2600" s="512"/>
      <c r="U2600" s="512"/>
      <c r="V2600" s="512"/>
      <c r="W2600" s="512"/>
    </row>
    <row r="2601" s="178" customFormat="1" ht="16.5" customHeight="1" spans="1:23">
      <c r="A2601" s="1421" t="s">
        <v>1280</v>
      </c>
      <c r="B2601" s="1449" t="s">
        <v>2032</v>
      </c>
      <c r="C2601" s="1450" t="s">
        <v>119</v>
      </c>
      <c r="D2601" s="1451">
        <v>29</v>
      </c>
      <c r="E2601" s="1449"/>
      <c r="F2601" s="1453">
        <v>45993</v>
      </c>
      <c r="G2601" s="1453" t="s">
        <v>2034</v>
      </c>
      <c r="H2601" s="1454"/>
      <c r="I2601" s="1456"/>
      <c r="J2601" s="1457" t="s">
        <v>39</v>
      </c>
      <c r="K2601" s="1432" t="s">
        <v>107</v>
      </c>
      <c r="L2601" s="1458"/>
      <c r="M2601" s="1456"/>
      <c r="N2601" s="203"/>
      <c r="O2601" s="512"/>
      <c r="P2601" s="512"/>
      <c r="Q2601" s="512"/>
      <c r="R2601" s="512"/>
      <c r="S2601" s="512"/>
      <c r="T2601" s="512"/>
      <c r="U2601" s="512"/>
      <c r="V2601" s="512"/>
      <c r="W2601" s="512"/>
    </row>
    <row r="2602" s="178" customFormat="1" ht="16.5" customHeight="1" spans="1:23">
      <c r="A2602" s="1421" t="s">
        <v>1280</v>
      </c>
      <c r="B2602" s="1449" t="s">
        <v>2032</v>
      </c>
      <c r="C2602" s="1450" t="s">
        <v>120</v>
      </c>
      <c r="D2602" s="1451">
        <v>9</v>
      </c>
      <c r="E2602" s="1449"/>
      <c r="F2602" s="1453">
        <v>45993</v>
      </c>
      <c r="G2602" s="1453" t="s">
        <v>2034</v>
      </c>
      <c r="H2602" s="1454"/>
      <c r="I2602" s="1456"/>
      <c r="J2602" s="1457" t="s">
        <v>39</v>
      </c>
      <c r="K2602" s="1432" t="s">
        <v>107</v>
      </c>
      <c r="L2602" s="1458"/>
      <c r="M2602" s="1456"/>
      <c r="N2602" s="203"/>
      <c r="O2602" s="512"/>
      <c r="P2602" s="512"/>
      <c r="Q2602" s="512"/>
      <c r="R2602" s="512"/>
      <c r="S2602" s="512"/>
      <c r="T2602" s="512"/>
      <c r="U2602" s="512"/>
      <c r="V2602" s="512"/>
      <c r="W2602" s="512"/>
    </row>
    <row r="2603" s="178" customFormat="1" ht="16.5" customHeight="1" spans="1:23">
      <c r="A2603" s="1421" t="s">
        <v>1280</v>
      </c>
      <c r="B2603" s="1449" t="s">
        <v>2032</v>
      </c>
      <c r="C2603" s="1450" t="s">
        <v>121</v>
      </c>
      <c r="D2603" s="1451">
        <v>9</v>
      </c>
      <c r="E2603" s="1449"/>
      <c r="F2603" s="1453">
        <v>45993</v>
      </c>
      <c r="G2603" s="1453" t="s">
        <v>2034</v>
      </c>
      <c r="H2603" s="1454"/>
      <c r="I2603" s="1456"/>
      <c r="J2603" s="1457" t="s">
        <v>39</v>
      </c>
      <c r="K2603" s="1432" t="s">
        <v>107</v>
      </c>
      <c r="L2603" s="1458"/>
      <c r="M2603" s="1456"/>
      <c r="N2603" s="203"/>
      <c r="O2603" s="512"/>
      <c r="P2603" s="512"/>
      <c r="Q2603" s="512"/>
      <c r="R2603" s="512"/>
      <c r="S2603" s="512"/>
      <c r="T2603" s="512"/>
      <c r="U2603" s="512"/>
      <c r="V2603" s="512"/>
      <c r="W2603" s="512"/>
    </row>
  </sheetData>
  <autoFilter xmlns:etc="http://www.wps.cn/officeDocument/2017/etCustomData" ref="A1:M2603" etc:filterBottomFollowUsedRange="0">
    <extLst/>
  </autoFilter>
  <mergeCells count="374">
    <mergeCell ref="E2:E13"/>
    <mergeCell ref="E14:E25"/>
    <mergeCell ref="E26:E41"/>
    <mergeCell ref="E42:E47"/>
    <mergeCell ref="E48:E51"/>
    <mergeCell ref="E52:E54"/>
    <mergeCell ref="E55:E58"/>
    <mergeCell ref="E59:E62"/>
    <mergeCell ref="E63:E67"/>
    <mergeCell ref="E68:E71"/>
    <mergeCell ref="E72:E83"/>
    <mergeCell ref="E84:E95"/>
    <mergeCell ref="E96:E109"/>
    <mergeCell ref="E110:E119"/>
    <mergeCell ref="E120:E131"/>
    <mergeCell ref="E132:E143"/>
    <mergeCell ref="E144:E148"/>
    <mergeCell ref="E149:E152"/>
    <mergeCell ref="E153:E155"/>
    <mergeCell ref="E156:E157"/>
    <mergeCell ref="E158:E159"/>
    <mergeCell ref="E160:E161"/>
    <mergeCell ref="E162:E164"/>
    <mergeCell ref="E165:E169"/>
    <mergeCell ref="E170:E174"/>
    <mergeCell ref="E175:E179"/>
    <mergeCell ref="E180:E182"/>
    <mergeCell ref="E183:E196"/>
    <mergeCell ref="E197:E206"/>
    <mergeCell ref="E207:E218"/>
    <mergeCell ref="E219:E222"/>
    <mergeCell ref="E223:E229"/>
    <mergeCell ref="E230:E241"/>
    <mergeCell ref="E242:E253"/>
    <mergeCell ref="E254:E271"/>
    <mergeCell ref="E272:E283"/>
    <mergeCell ref="E284:E289"/>
    <mergeCell ref="E290:E292"/>
    <mergeCell ref="E293:E304"/>
    <mergeCell ref="E305:E318"/>
    <mergeCell ref="E319:E328"/>
    <mergeCell ref="E329:E340"/>
    <mergeCell ref="E341:E358"/>
    <mergeCell ref="E359:E370"/>
    <mergeCell ref="E371:E384"/>
    <mergeCell ref="E385:E396"/>
    <mergeCell ref="E397:E398"/>
    <mergeCell ref="E399:E400"/>
    <mergeCell ref="E401:E403"/>
    <mergeCell ref="E406:E415"/>
    <mergeCell ref="E416:E427"/>
    <mergeCell ref="E428:E441"/>
    <mergeCell ref="E442:E444"/>
    <mergeCell ref="E445:E448"/>
    <mergeCell ref="E450:E463"/>
    <mergeCell ref="E464:E467"/>
    <mergeCell ref="E468:E472"/>
    <mergeCell ref="E473:E475"/>
    <mergeCell ref="E476:E485"/>
    <mergeCell ref="E486:E491"/>
    <mergeCell ref="E492:E497"/>
    <mergeCell ref="E498:E503"/>
    <mergeCell ref="E504:E509"/>
    <mergeCell ref="E511:E513"/>
    <mergeCell ref="E514:E519"/>
    <mergeCell ref="E520:E525"/>
    <mergeCell ref="E526:E531"/>
    <mergeCell ref="E532:E537"/>
    <mergeCell ref="E538:E543"/>
    <mergeCell ref="E544:E549"/>
    <mergeCell ref="E550:E555"/>
    <mergeCell ref="E556:E561"/>
    <mergeCell ref="E562:E567"/>
    <mergeCell ref="E568:E573"/>
    <mergeCell ref="E574:E579"/>
    <mergeCell ref="E580:E585"/>
    <mergeCell ref="E586:E591"/>
    <mergeCell ref="E592:E597"/>
    <mergeCell ref="E598:E603"/>
    <mergeCell ref="E604:E621"/>
    <mergeCell ref="E622:E623"/>
    <mergeCell ref="E624:E625"/>
    <mergeCell ref="E626:E629"/>
    <mergeCell ref="E630:E631"/>
    <mergeCell ref="E632:E637"/>
    <mergeCell ref="E638:E639"/>
    <mergeCell ref="E640:E641"/>
    <mergeCell ref="E642:E643"/>
    <mergeCell ref="E644:E645"/>
    <mergeCell ref="E646:E647"/>
    <mergeCell ref="E648:E649"/>
    <mergeCell ref="E650:E651"/>
    <mergeCell ref="E652:E654"/>
    <mergeCell ref="E655:E662"/>
    <mergeCell ref="E663:E664"/>
    <mergeCell ref="E665:E666"/>
    <mergeCell ref="E667:E672"/>
    <mergeCell ref="E673:E674"/>
    <mergeCell ref="E675:E677"/>
    <mergeCell ref="E678:E683"/>
    <mergeCell ref="E684:E696"/>
    <mergeCell ref="E697:E706"/>
    <mergeCell ref="E707:E712"/>
    <mergeCell ref="E713:E716"/>
    <mergeCell ref="E717:E722"/>
    <mergeCell ref="E723:E729"/>
    <mergeCell ref="E730:E733"/>
    <mergeCell ref="E734:E735"/>
    <mergeCell ref="E736:E737"/>
    <mergeCell ref="E738:E739"/>
    <mergeCell ref="E740:E741"/>
    <mergeCell ref="E742:E743"/>
    <mergeCell ref="E744:E747"/>
    <mergeCell ref="E748:E751"/>
    <mergeCell ref="E753:E756"/>
    <mergeCell ref="E757:E760"/>
    <mergeCell ref="E761:E765"/>
    <mergeCell ref="E767:E772"/>
    <mergeCell ref="E773:E778"/>
    <mergeCell ref="E779:E788"/>
    <mergeCell ref="E789:E792"/>
    <mergeCell ref="E793:E814"/>
    <mergeCell ref="E820:E822"/>
    <mergeCell ref="E825:E826"/>
    <mergeCell ref="E827:E828"/>
    <mergeCell ref="E829:E840"/>
    <mergeCell ref="E841:E848"/>
    <mergeCell ref="E849:E862"/>
    <mergeCell ref="E863:E868"/>
    <mergeCell ref="E869:E870"/>
    <mergeCell ref="E871:E874"/>
    <mergeCell ref="E875:E881"/>
    <mergeCell ref="E882:E885"/>
    <mergeCell ref="E887:E907"/>
    <mergeCell ref="E908:E925"/>
    <mergeCell ref="E926:E937"/>
    <mergeCell ref="E938:E947"/>
    <mergeCell ref="E948:E951"/>
    <mergeCell ref="E952:E955"/>
    <mergeCell ref="E956:E966"/>
    <mergeCell ref="E967:E969"/>
    <mergeCell ref="E970:E973"/>
    <mergeCell ref="E974:E977"/>
    <mergeCell ref="E979:E986"/>
    <mergeCell ref="E987:E990"/>
    <mergeCell ref="E991:E994"/>
    <mergeCell ref="E996:E1010"/>
    <mergeCell ref="E1011:E1026"/>
    <mergeCell ref="E1029:E1033"/>
    <mergeCell ref="E1034:E1037"/>
    <mergeCell ref="E1038:E1043"/>
    <mergeCell ref="E1044:E1047"/>
    <mergeCell ref="E1048:E1050"/>
    <mergeCell ref="E1051:E1064"/>
    <mergeCell ref="E1065:E1066"/>
    <mergeCell ref="E1067:E1072"/>
    <mergeCell ref="E1073:E1078"/>
    <mergeCell ref="E1079:E1084"/>
    <mergeCell ref="E1085:E1090"/>
    <mergeCell ref="E1091:E1096"/>
    <mergeCell ref="E1097:E1102"/>
    <mergeCell ref="E1103:E1118"/>
    <mergeCell ref="E1119:E1121"/>
    <mergeCell ref="E1122:E1127"/>
    <mergeCell ref="E1128:E1130"/>
    <mergeCell ref="E1131:E1136"/>
    <mergeCell ref="E1137:E1144"/>
    <mergeCell ref="E1147:E1149"/>
    <mergeCell ref="E1150:E1153"/>
    <mergeCell ref="E1154:E1157"/>
    <mergeCell ref="E1158:E1161"/>
    <mergeCell ref="E1162:E1164"/>
    <mergeCell ref="E1166:E1168"/>
    <mergeCell ref="E1169:E1170"/>
    <mergeCell ref="E1171:E1173"/>
    <mergeCell ref="E1176:E1177"/>
    <mergeCell ref="E1178:E1180"/>
    <mergeCell ref="E1181:E1182"/>
    <mergeCell ref="E1183:E1187"/>
    <mergeCell ref="E1188:E1191"/>
    <mergeCell ref="E1192:E1207"/>
    <mergeCell ref="E1208:E1213"/>
    <mergeCell ref="E1214:E1216"/>
    <mergeCell ref="E1217:E1222"/>
    <mergeCell ref="E1223:E1228"/>
    <mergeCell ref="E1229:E1234"/>
    <mergeCell ref="E1235:E1236"/>
    <mergeCell ref="E1250:E1251"/>
    <mergeCell ref="E1252:E1267"/>
    <mergeCell ref="E1269:E1270"/>
    <mergeCell ref="E1278:E1281"/>
    <mergeCell ref="E1283:E1290"/>
    <mergeCell ref="E1292:E1297"/>
    <mergeCell ref="E1299:E1314"/>
    <mergeCell ref="E1315:E1320"/>
    <mergeCell ref="E1321:E1326"/>
    <mergeCell ref="E1327:E1332"/>
    <mergeCell ref="E1333:E1338"/>
    <mergeCell ref="E1339:E1343"/>
    <mergeCell ref="E1344:E1349"/>
    <mergeCell ref="E1350:E1355"/>
    <mergeCell ref="E1363:E1367"/>
    <mergeCell ref="E1368:E1373"/>
    <mergeCell ref="E1374:E1379"/>
    <mergeCell ref="E1380:E1385"/>
    <mergeCell ref="E1386:E1388"/>
    <mergeCell ref="E1389:E1391"/>
    <mergeCell ref="E1392:E1398"/>
    <mergeCell ref="E1399:E1401"/>
    <mergeCell ref="E1402:E1415"/>
    <mergeCell ref="E1416:E1419"/>
    <mergeCell ref="E1422:E1437"/>
    <mergeCell ref="E1438:E1448"/>
    <mergeCell ref="E1449:E1460"/>
    <mergeCell ref="E1461:E1463"/>
    <mergeCell ref="E1464:E1465"/>
    <mergeCell ref="E1466:E1470"/>
    <mergeCell ref="E1471:E1476"/>
    <mergeCell ref="E1477:E1481"/>
    <mergeCell ref="E1482:E1501"/>
    <mergeCell ref="E1502:E1519"/>
    <mergeCell ref="E1520:E1523"/>
    <mergeCell ref="E1524:E1543"/>
    <mergeCell ref="E1544:E1563"/>
    <mergeCell ref="E1564:E1575"/>
    <mergeCell ref="E1576:E1580"/>
    <mergeCell ref="E1581:E1582"/>
    <mergeCell ref="E1583:E1584"/>
    <mergeCell ref="E1590:E1592"/>
    <mergeCell ref="E1593:E1595"/>
    <mergeCell ref="E1596:E1600"/>
    <mergeCell ref="E1601:E1604"/>
    <mergeCell ref="E1614:E1625"/>
    <mergeCell ref="E1626:E1631"/>
    <mergeCell ref="E1632:E1643"/>
    <mergeCell ref="E1644:E1663"/>
    <mergeCell ref="E1664:E1675"/>
    <mergeCell ref="E1676:E1688"/>
    <mergeCell ref="E1689:E1690"/>
    <mergeCell ref="E1691:E1693"/>
    <mergeCell ref="E1694:E1705"/>
    <mergeCell ref="E1706:E1721"/>
    <mergeCell ref="E1722:E1735"/>
    <mergeCell ref="E1736:E1751"/>
    <mergeCell ref="E1752:E1754"/>
    <mergeCell ref="E1755:E1760"/>
    <mergeCell ref="E1761:E1766"/>
    <mergeCell ref="E1768:E1770"/>
    <mergeCell ref="E1771:E1773"/>
    <mergeCell ref="E1774:E1784"/>
    <mergeCell ref="E1785:E1786"/>
    <mergeCell ref="E1787:E1802"/>
    <mergeCell ref="E1803:E1820"/>
    <mergeCell ref="E1824:E1825"/>
    <mergeCell ref="E1830:E1831"/>
    <mergeCell ref="E1835:E1838"/>
    <mergeCell ref="E1840:E1841"/>
    <mergeCell ref="E1843:E1844"/>
    <mergeCell ref="E1851:E1854"/>
    <mergeCell ref="E1855:E1877"/>
    <mergeCell ref="E1878:E1883"/>
    <mergeCell ref="E1884:E1893"/>
    <mergeCell ref="E1897:E1898"/>
    <mergeCell ref="E1906:E1907"/>
    <mergeCell ref="E1908:E1925"/>
    <mergeCell ref="E1926:E1928"/>
    <mergeCell ref="E1929:E1931"/>
    <mergeCell ref="E1932:E1935"/>
    <mergeCell ref="E1944:E1964"/>
    <mergeCell ref="E1965:E1967"/>
    <mergeCell ref="E1968:E1969"/>
    <mergeCell ref="E1970:E1971"/>
    <mergeCell ref="E1972:E1973"/>
    <mergeCell ref="E1974:E1976"/>
    <mergeCell ref="E1977:E1979"/>
    <mergeCell ref="E1980:E1982"/>
    <mergeCell ref="E1983:E1986"/>
    <mergeCell ref="E1987:E1988"/>
    <mergeCell ref="E1989:E1998"/>
    <mergeCell ref="E1999:E2004"/>
    <mergeCell ref="E2005:E2010"/>
    <mergeCell ref="E2011:E2012"/>
    <mergeCell ref="E2013:E2017"/>
    <mergeCell ref="E2018:E2023"/>
    <mergeCell ref="E2024:E2028"/>
    <mergeCell ref="E2029:E2041"/>
    <mergeCell ref="E2043:E2054"/>
    <mergeCell ref="E2055:E2064"/>
    <mergeCell ref="E2065:E2076"/>
    <mergeCell ref="E2077:E2088"/>
    <mergeCell ref="E2089:E2114"/>
    <mergeCell ref="E2115:E2126"/>
    <mergeCell ref="E2127:E2134"/>
    <mergeCell ref="E2135:E2146"/>
    <mergeCell ref="E2147:E2154"/>
    <mergeCell ref="E2155:E2166"/>
    <mergeCell ref="E2167:E2173"/>
    <mergeCell ref="E2174:E2180"/>
    <mergeCell ref="E2181:E2187"/>
    <mergeCell ref="E2188:E2194"/>
    <mergeCell ref="E2195:E2201"/>
    <mergeCell ref="E2202:E2208"/>
    <mergeCell ref="E2209:E2226"/>
    <mergeCell ref="E2227:E2242"/>
    <mergeCell ref="E2243:E2262"/>
    <mergeCell ref="E2263:E2269"/>
    <mergeCell ref="E2270:E2281"/>
    <mergeCell ref="E2282:E2310"/>
    <mergeCell ref="E2311:E2334"/>
    <mergeCell ref="E2335:E2358"/>
    <mergeCell ref="E2359:E2367"/>
    <mergeCell ref="E2368:E2370"/>
    <mergeCell ref="E2371:E2372"/>
    <mergeCell ref="E2373:E2375"/>
    <mergeCell ref="E2376:E2377"/>
    <mergeCell ref="E2378:E2379"/>
    <mergeCell ref="E2380:E2382"/>
    <mergeCell ref="E2383:E2398"/>
    <mergeCell ref="E2399:E2408"/>
    <mergeCell ref="E2409:E2415"/>
    <mergeCell ref="E2416:E2422"/>
    <mergeCell ref="E2423:E2429"/>
    <mergeCell ref="E2430:E2436"/>
    <mergeCell ref="E2437:E2443"/>
    <mergeCell ref="E2444:E2450"/>
    <mergeCell ref="E2451:E2457"/>
    <mergeCell ref="E2458:E2467"/>
    <mergeCell ref="E2468:E2475"/>
    <mergeCell ref="E2476:E2480"/>
    <mergeCell ref="E2481:E2483"/>
    <mergeCell ref="E2484:E2485"/>
    <mergeCell ref="E2486:E2489"/>
    <mergeCell ref="E2490:E2492"/>
    <mergeCell ref="E2493:E2495"/>
    <mergeCell ref="E2496:E2500"/>
    <mergeCell ref="E2501:E2504"/>
    <mergeCell ref="E2505:E2509"/>
    <mergeCell ref="E2510:E2515"/>
    <mergeCell ref="E2516:E2519"/>
    <mergeCell ref="E2520:E2529"/>
    <mergeCell ref="E2530:E2551"/>
    <mergeCell ref="E2552:E2563"/>
    <mergeCell ref="E2564:E2583"/>
    <mergeCell ref="E2584:E2593"/>
    <mergeCell ref="E2594:E2603"/>
    <mergeCell ref="M1599:M1600"/>
    <mergeCell ref="M1659:M1663"/>
    <mergeCell ref="M1703:M1705"/>
    <mergeCell ref="M1774:M1778"/>
    <mergeCell ref="M1785:M1786"/>
    <mergeCell ref="M1853:M1854"/>
    <mergeCell ref="M1985:M1986"/>
    <mergeCell ref="M2055:M2058"/>
    <mergeCell ref="M2059:M2060"/>
    <mergeCell ref="M2061:M2062"/>
    <mergeCell ref="M2063:M2064"/>
    <mergeCell ref="M2065:M2068"/>
    <mergeCell ref="M2069:M2070"/>
    <mergeCell ref="M2071:M2074"/>
    <mergeCell ref="M2075:M2076"/>
    <mergeCell ref="M2135:M2136"/>
    <mergeCell ref="M2137:M2140"/>
    <mergeCell ref="M2141:M2142"/>
    <mergeCell ref="M2143:M2144"/>
    <mergeCell ref="M2145:M2146"/>
    <mergeCell ref="M2147:M2148"/>
    <mergeCell ref="M2149:M2150"/>
    <mergeCell ref="M2151:M2152"/>
    <mergeCell ref="M2153:M2154"/>
    <mergeCell ref="M2155:M2156"/>
    <mergeCell ref="M2157:M2158"/>
    <mergeCell ref="M2159:M2160"/>
    <mergeCell ref="M2161:M2162"/>
    <mergeCell ref="M2163:M2166"/>
  </mergeCells>
  <conditionalFormatting sqref="C871">
    <cfRule type="colorScale" priority="1">
      <colorScale>
        <cfvo type="min"/>
        <cfvo type="max"/>
        <color rgb="FF57BB8A"/>
        <color rgb="FFFFFFFF"/>
      </colorScale>
    </cfRule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1184"/>
  <sheetViews>
    <sheetView zoomScale="70" zoomScaleNormal="70" workbookViewId="0">
      <pane ySplit="1" topLeftCell="A1016" activePane="bottomLeft" state="frozen"/>
      <selection/>
      <selection pane="bottomLeft" activeCell="I1194" sqref="I1194"/>
    </sheetView>
  </sheetViews>
  <sheetFormatPr defaultColWidth="8.725" defaultRowHeight="15"/>
  <cols>
    <col min="1" max="1" width="10.725" style="477" customWidth="1"/>
    <col min="2" max="2" width="30.2083333333333" style="477" customWidth="1"/>
    <col min="3" max="3" width="20.975" style="477" customWidth="1"/>
    <col min="4" max="4" width="7.975" style="477" customWidth="1"/>
    <col min="5" max="5" width="27.7833333333333" style="662" customWidth="1"/>
    <col min="6" max="7" width="14.1" style="663" customWidth="1"/>
    <col min="8" max="8" width="11.7333333333333" style="663" customWidth="1"/>
    <col min="9" max="9" width="26.4916666666667" style="477" customWidth="1"/>
    <col min="10" max="10" width="14.0916666666667" style="477" customWidth="1"/>
    <col min="11" max="11" width="15.2416666666667" style="477" customWidth="1"/>
    <col min="12" max="12" width="9.54166666666667" style="557" customWidth="1"/>
    <col min="13" max="13" width="52.2" style="477" customWidth="1"/>
    <col min="14" max="14" width="14.1666666666667" style="664" customWidth="1"/>
    <col min="15" max="15" width="22.525" style="477" customWidth="1"/>
    <col min="16" max="16" width="26.7333333333333" style="477" customWidth="1"/>
    <col min="17" max="17" width="9.81666666666667" style="477" customWidth="1"/>
    <col min="18" max="18" width="9.56666666666667" style="477" customWidth="1"/>
    <col min="19" max="21" width="8.725" style="477"/>
  </cols>
  <sheetData>
    <row r="1" s="477" customFormat="1" spans="1:21">
      <c r="A1" s="665" t="s">
        <v>0</v>
      </c>
      <c r="B1" s="665" t="s">
        <v>1</v>
      </c>
      <c r="C1" s="666" t="s">
        <v>2</v>
      </c>
      <c r="D1" s="667" t="s">
        <v>3</v>
      </c>
      <c r="E1" s="668" t="s">
        <v>4</v>
      </c>
      <c r="F1" s="669" t="s">
        <v>5</v>
      </c>
      <c r="G1" s="669" t="s">
        <v>2037</v>
      </c>
      <c r="H1" s="670" t="s">
        <v>7</v>
      </c>
      <c r="I1" s="665" t="s">
        <v>8</v>
      </c>
      <c r="J1" s="665" t="s">
        <v>9</v>
      </c>
      <c r="K1" s="665" t="s">
        <v>10</v>
      </c>
      <c r="L1" s="683" t="s">
        <v>11</v>
      </c>
      <c r="M1" s="665" t="s">
        <v>12</v>
      </c>
      <c r="N1" s="684"/>
      <c r="O1" s="491"/>
      <c r="P1" s="203"/>
      <c r="Q1" s="203"/>
      <c r="R1" s="203"/>
      <c r="S1" s="203"/>
      <c r="T1" s="203"/>
      <c r="U1" s="203"/>
    </row>
    <row r="2" ht="21.75" hidden="1" customHeight="1" spans="1:21">
      <c r="A2" s="671" t="s">
        <v>2038</v>
      </c>
      <c r="B2" s="672" t="s">
        <v>2039</v>
      </c>
      <c r="C2" s="673" t="s">
        <v>2040</v>
      </c>
      <c r="D2" s="313">
        <v>54</v>
      </c>
      <c r="E2" s="674" t="s">
        <v>2041</v>
      </c>
      <c r="F2" s="675"/>
      <c r="G2" s="675">
        <f>VLOOKUP(CLEAN(SUBSTITUTE(TRIM(MID(E:E,FIND("/",E:E)+1,LEN(E:E)))," ","")),'Customs Decl. &amp; Local Delivery'!D:I,6,0)</f>
        <v>45660</v>
      </c>
      <c r="H2" s="676">
        <f>VLOOKUP(CLEAN(SUBSTITUTE(TRIM(MID(E:E,FIND("/",E:E)+1,LEN(E:E)))," ","")),'Customs Decl. &amp; Local Delivery'!D:J,7,0)</f>
        <v>45687</v>
      </c>
      <c r="I2" s="685" t="s">
        <v>2042</v>
      </c>
      <c r="J2" s="671" t="s">
        <v>18</v>
      </c>
      <c r="K2" s="672" t="s">
        <v>147</v>
      </c>
      <c r="L2" s="347" t="s">
        <v>20</v>
      </c>
      <c r="M2" s="686" t="s">
        <v>2043</v>
      </c>
      <c r="N2" s="684"/>
      <c r="O2" s="203"/>
      <c r="P2" s="203"/>
      <c r="Q2" s="203"/>
      <c r="R2" s="203"/>
      <c r="S2" s="203"/>
      <c r="T2" s="203"/>
      <c r="U2" s="203"/>
    </row>
    <row r="3" ht="21.75" hidden="1" customHeight="1" spans="1:21">
      <c r="A3" s="671" t="s">
        <v>2038</v>
      </c>
      <c r="B3" s="672" t="s">
        <v>2039</v>
      </c>
      <c r="C3" s="673" t="s">
        <v>2044</v>
      </c>
      <c r="D3" s="313">
        <v>72</v>
      </c>
      <c r="E3" s="677"/>
      <c r="F3" s="675"/>
      <c r="G3" s="675">
        <f>G2</f>
        <v>45660</v>
      </c>
      <c r="H3" s="676">
        <f>H2</f>
        <v>45687</v>
      </c>
      <c r="I3" s="685" t="s">
        <v>2042</v>
      </c>
      <c r="J3" s="671" t="s">
        <v>18</v>
      </c>
      <c r="K3" s="672" t="s">
        <v>147</v>
      </c>
      <c r="L3" s="347" t="s">
        <v>20</v>
      </c>
      <c r="M3" s="671" t="s">
        <v>2045</v>
      </c>
      <c r="N3" s="684"/>
      <c r="O3" s="203"/>
      <c r="P3" s="203"/>
      <c r="Q3" s="203"/>
      <c r="R3" s="203"/>
      <c r="S3" s="203"/>
      <c r="T3" s="203"/>
      <c r="U3" s="203"/>
    </row>
    <row r="4" ht="21.75" hidden="1" customHeight="1" spans="1:21">
      <c r="A4" s="671" t="s">
        <v>2038</v>
      </c>
      <c r="B4" s="672" t="s">
        <v>2039</v>
      </c>
      <c r="C4" s="673" t="s">
        <v>2046</v>
      </c>
      <c r="D4" s="313">
        <v>48</v>
      </c>
      <c r="E4" s="677"/>
      <c r="F4" s="675"/>
      <c r="G4" s="675">
        <f>G3</f>
        <v>45660</v>
      </c>
      <c r="H4" s="676">
        <f>H3</f>
        <v>45687</v>
      </c>
      <c r="I4" s="685" t="s">
        <v>2042</v>
      </c>
      <c r="J4" s="671" t="s">
        <v>18</v>
      </c>
      <c r="K4" s="672" t="s">
        <v>147</v>
      </c>
      <c r="L4" s="347" t="s">
        <v>20</v>
      </c>
      <c r="M4" s="671" t="s">
        <v>2045</v>
      </c>
      <c r="N4" s="684"/>
      <c r="O4" s="203"/>
      <c r="P4" s="203"/>
      <c r="Q4" s="203"/>
      <c r="R4" s="203"/>
      <c r="S4" s="203"/>
      <c r="T4" s="203"/>
      <c r="U4" s="203"/>
    </row>
    <row r="5" hidden="1" spans="1:21">
      <c r="A5" s="671" t="s">
        <v>2038</v>
      </c>
      <c r="B5" s="672" t="s">
        <v>2039</v>
      </c>
      <c r="C5" s="673" t="s">
        <v>2047</v>
      </c>
      <c r="D5" s="313">
        <v>60</v>
      </c>
      <c r="E5" s="677"/>
      <c r="F5" s="675"/>
      <c r="G5" s="675">
        <f>G4</f>
        <v>45660</v>
      </c>
      <c r="H5" s="676">
        <f>H4</f>
        <v>45687</v>
      </c>
      <c r="I5" s="685" t="s">
        <v>2042</v>
      </c>
      <c r="J5" s="671" t="s">
        <v>18</v>
      </c>
      <c r="K5" s="672" t="s">
        <v>147</v>
      </c>
      <c r="L5" s="347" t="s">
        <v>20</v>
      </c>
      <c r="M5" s="671" t="s">
        <v>2045</v>
      </c>
      <c r="N5" s="684"/>
      <c r="O5" s="203"/>
      <c r="P5" s="203"/>
      <c r="Q5" s="203"/>
      <c r="R5" s="203"/>
      <c r="S5" s="203"/>
      <c r="T5" s="203"/>
      <c r="U5" s="203"/>
    </row>
    <row r="6" ht="21.75" hidden="1" customHeight="1" spans="1:21">
      <c r="A6" s="671" t="s">
        <v>2038</v>
      </c>
      <c r="B6" s="672" t="s">
        <v>2039</v>
      </c>
      <c r="C6" s="674" t="s">
        <v>2048</v>
      </c>
      <c r="D6" s="250">
        <v>100</v>
      </c>
      <c r="E6" s="677"/>
      <c r="F6" s="675"/>
      <c r="G6" s="675">
        <f>G5</f>
        <v>45660</v>
      </c>
      <c r="H6" s="676">
        <f>H5</f>
        <v>45687</v>
      </c>
      <c r="I6" s="685" t="s">
        <v>2042</v>
      </c>
      <c r="J6" s="671" t="s">
        <v>18</v>
      </c>
      <c r="K6" s="672" t="s">
        <v>147</v>
      </c>
      <c r="L6" s="347" t="s">
        <v>20</v>
      </c>
      <c r="M6" s="671"/>
      <c r="N6" s="684"/>
      <c r="O6" s="203"/>
      <c r="P6" s="203"/>
      <c r="Q6" s="203"/>
      <c r="R6" s="203"/>
      <c r="S6" s="203"/>
      <c r="T6" s="203"/>
      <c r="U6" s="203"/>
    </row>
    <row r="7" hidden="1" spans="1:21">
      <c r="A7" s="671" t="s">
        <v>2038</v>
      </c>
      <c r="B7" s="672" t="s">
        <v>2039</v>
      </c>
      <c r="C7" s="673" t="s">
        <v>2040</v>
      </c>
      <c r="D7" s="313">
        <v>54</v>
      </c>
      <c r="E7" s="674" t="s">
        <v>2049</v>
      </c>
      <c r="F7" s="675"/>
      <c r="G7" s="675">
        <f>VLOOKUP(CLEAN(SUBSTITUTE(TRIM(MID(E:E,FIND("/",E:E)+1,LEN(E:E)))," ","")),'Customs Decl. &amp; Local Delivery'!D:I,6,0)</f>
        <v>45660</v>
      </c>
      <c r="H7" s="676">
        <f>VLOOKUP(CLEAN(SUBSTITUTE(TRIM(MID(E:E,FIND("/",E:E)+1,LEN(E:E)))," ","")),'Customs Decl. &amp; Local Delivery'!D:J,7,0)</f>
        <v>45687</v>
      </c>
      <c r="I7" s="685" t="s">
        <v>2042</v>
      </c>
      <c r="J7" s="671" t="s">
        <v>18</v>
      </c>
      <c r="K7" s="672" t="s">
        <v>147</v>
      </c>
      <c r="L7" s="347" t="s">
        <v>20</v>
      </c>
      <c r="M7" s="686" t="s">
        <v>2043</v>
      </c>
      <c r="N7" s="684"/>
      <c r="O7" s="203"/>
      <c r="P7" s="203"/>
      <c r="Q7" s="203"/>
      <c r="R7" s="203"/>
      <c r="S7" s="203"/>
      <c r="T7" s="203"/>
      <c r="U7" s="203"/>
    </row>
    <row r="8" hidden="1" spans="1:21">
      <c r="A8" s="671" t="s">
        <v>2038</v>
      </c>
      <c r="B8" s="672" t="s">
        <v>2039</v>
      </c>
      <c r="C8" s="673" t="s">
        <v>2044</v>
      </c>
      <c r="D8" s="313">
        <v>12</v>
      </c>
      <c r="E8" s="677"/>
      <c r="F8" s="675"/>
      <c r="G8" s="675">
        <f t="shared" ref="G8:G14" si="0">G7</f>
        <v>45660</v>
      </c>
      <c r="H8" s="676">
        <f t="shared" ref="H8:H14" si="1">H7</f>
        <v>45687</v>
      </c>
      <c r="I8" s="685" t="s">
        <v>2042</v>
      </c>
      <c r="J8" s="671" t="s">
        <v>18</v>
      </c>
      <c r="K8" s="672" t="s">
        <v>147</v>
      </c>
      <c r="L8" s="347" t="s">
        <v>20</v>
      </c>
      <c r="M8" s="671" t="s">
        <v>2045</v>
      </c>
      <c r="N8" s="684"/>
      <c r="O8" s="203"/>
      <c r="P8" s="203"/>
      <c r="Q8" s="203"/>
      <c r="R8" s="203"/>
      <c r="S8" s="203"/>
      <c r="T8" s="203"/>
      <c r="U8" s="203"/>
    </row>
    <row r="9" hidden="1" spans="1:21">
      <c r="A9" s="671" t="s">
        <v>2038</v>
      </c>
      <c r="B9" s="672" t="s">
        <v>2039</v>
      </c>
      <c r="C9" s="673" t="s">
        <v>2046</v>
      </c>
      <c r="D9" s="313">
        <v>8</v>
      </c>
      <c r="E9" s="677"/>
      <c r="F9" s="675"/>
      <c r="G9" s="675">
        <f t="shared" si="0"/>
        <v>45660</v>
      </c>
      <c r="H9" s="676">
        <f t="shared" si="1"/>
        <v>45687</v>
      </c>
      <c r="I9" s="685" t="s">
        <v>2042</v>
      </c>
      <c r="J9" s="671" t="s">
        <v>18</v>
      </c>
      <c r="K9" s="672" t="s">
        <v>147</v>
      </c>
      <c r="L9" s="347" t="s">
        <v>20</v>
      </c>
      <c r="M9" s="671" t="s">
        <v>2045</v>
      </c>
      <c r="N9" s="684"/>
      <c r="O9" s="203"/>
      <c r="P9" s="203"/>
      <c r="Q9" s="203"/>
      <c r="R9" s="203"/>
      <c r="S9" s="203"/>
      <c r="T9" s="203"/>
      <c r="U9" s="203"/>
    </row>
    <row r="10" hidden="1" spans="1:21">
      <c r="A10" s="671" t="s">
        <v>2038</v>
      </c>
      <c r="B10" s="672" t="s">
        <v>2039</v>
      </c>
      <c r="C10" s="673" t="s">
        <v>2047</v>
      </c>
      <c r="D10" s="313">
        <v>10</v>
      </c>
      <c r="E10" s="677"/>
      <c r="F10" s="675"/>
      <c r="G10" s="675">
        <f t="shared" si="0"/>
        <v>45660</v>
      </c>
      <c r="H10" s="676">
        <f t="shared" si="1"/>
        <v>45687</v>
      </c>
      <c r="I10" s="685" t="s">
        <v>2042</v>
      </c>
      <c r="J10" s="671" t="s">
        <v>18</v>
      </c>
      <c r="K10" s="672" t="s">
        <v>147</v>
      </c>
      <c r="L10" s="347" t="s">
        <v>20</v>
      </c>
      <c r="M10" s="671" t="s">
        <v>2045</v>
      </c>
      <c r="N10" s="684"/>
      <c r="O10" s="203"/>
      <c r="P10" s="203"/>
      <c r="Q10" s="203"/>
      <c r="R10" s="203"/>
      <c r="S10" s="203"/>
      <c r="T10" s="203"/>
      <c r="U10" s="203"/>
    </row>
    <row r="11" hidden="1" spans="1:21">
      <c r="A11" s="671" t="s">
        <v>2038</v>
      </c>
      <c r="B11" s="672" t="s">
        <v>2039</v>
      </c>
      <c r="C11" s="673" t="s">
        <v>2044</v>
      </c>
      <c r="D11" s="250">
        <v>60</v>
      </c>
      <c r="E11" s="677"/>
      <c r="F11" s="675"/>
      <c r="G11" s="675">
        <f t="shared" si="0"/>
        <v>45660</v>
      </c>
      <c r="H11" s="676">
        <f t="shared" si="1"/>
        <v>45687</v>
      </c>
      <c r="I11" s="685" t="s">
        <v>2042</v>
      </c>
      <c r="J11" s="671" t="s">
        <v>18</v>
      </c>
      <c r="K11" s="672" t="s">
        <v>147</v>
      </c>
      <c r="L11" s="347" t="s">
        <v>20</v>
      </c>
      <c r="M11" s="671" t="s">
        <v>2045</v>
      </c>
      <c r="N11" s="684"/>
      <c r="O11" s="203"/>
      <c r="P11" s="203"/>
      <c r="Q11" s="203"/>
      <c r="R11" s="203"/>
      <c r="S11" s="203"/>
      <c r="T11" s="203"/>
      <c r="U11" s="203"/>
    </row>
    <row r="12" hidden="1" spans="1:21">
      <c r="A12" s="671" t="s">
        <v>2038</v>
      </c>
      <c r="B12" s="672" t="s">
        <v>2039</v>
      </c>
      <c r="C12" s="673" t="s">
        <v>2046</v>
      </c>
      <c r="D12" s="250">
        <v>40</v>
      </c>
      <c r="E12" s="677"/>
      <c r="F12" s="675"/>
      <c r="G12" s="675">
        <f t="shared" si="0"/>
        <v>45660</v>
      </c>
      <c r="H12" s="676">
        <f t="shared" si="1"/>
        <v>45687</v>
      </c>
      <c r="I12" s="685" t="s">
        <v>2042</v>
      </c>
      <c r="J12" s="671" t="s">
        <v>18</v>
      </c>
      <c r="K12" s="672" t="s">
        <v>147</v>
      </c>
      <c r="L12" s="347" t="s">
        <v>20</v>
      </c>
      <c r="M12" s="671" t="s">
        <v>2045</v>
      </c>
      <c r="N12" s="684"/>
      <c r="O12" s="203"/>
      <c r="P12" s="203"/>
      <c r="Q12" s="203"/>
      <c r="R12" s="203"/>
      <c r="S12" s="203"/>
      <c r="T12" s="203"/>
      <c r="U12" s="203"/>
    </row>
    <row r="13" hidden="1" spans="1:21">
      <c r="A13" s="671" t="s">
        <v>2038</v>
      </c>
      <c r="B13" s="672" t="s">
        <v>2039</v>
      </c>
      <c r="C13" s="673" t="s">
        <v>2047</v>
      </c>
      <c r="D13" s="250">
        <v>50</v>
      </c>
      <c r="E13" s="677"/>
      <c r="F13" s="675"/>
      <c r="G13" s="675">
        <f t="shared" si="0"/>
        <v>45660</v>
      </c>
      <c r="H13" s="676">
        <f t="shared" si="1"/>
        <v>45687</v>
      </c>
      <c r="I13" s="685" t="s">
        <v>2042</v>
      </c>
      <c r="J13" s="671" t="s">
        <v>18</v>
      </c>
      <c r="K13" s="672" t="s">
        <v>147</v>
      </c>
      <c r="L13" s="347" t="s">
        <v>20</v>
      </c>
      <c r="M13" s="671" t="s">
        <v>2045</v>
      </c>
      <c r="N13" s="684"/>
      <c r="O13" s="203"/>
      <c r="P13" s="203"/>
      <c r="Q13" s="203"/>
      <c r="R13" s="203"/>
      <c r="S13" s="203"/>
      <c r="T13" s="203"/>
      <c r="U13" s="203"/>
    </row>
    <row r="14" hidden="1" spans="1:21">
      <c r="A14" s="671" t="s">
        <v>2038</v>
      </c>
      <c r="B14" s="672" t="s">
        <v>2039</v>
      </c>
      <c r="C14" s="671" t="s">
        <v>2050</v>
      </c>
      <c r="D14" s="250">
        <v>100</v>
      </c>
      <c r="E14" s="677"/>
      <c r="F14" s="675"/>
      <c r="G14" s="675">
        <f t="shared" si="0"/>
        <v>45660</v>
      </c>
      <c r="H14" s="676">
        <f t="shared" si="1"/>
        <v>45687</v>
      </c>
      <c r="I14" s="685" t="s">
        <v>2042</v>
      </c>
      <c r="J14" s="671" t="s">
        <v>18</v>
      </c>
      <c r="K14" s="672" t="s">
        <v>147</v>
      </c>
      <c r="L14" s="347" t="s">
        <v>20</v>
      </c>
      <c r="M14" s="671"/>
      <c r="N14" s="684"/>
      <c r="O14" s="203"/>
      <c r="P14" s="203"/>
      <c r="Q14" s="203"/>
      <c r="R14" s="203"/>
      <c r="S14" s="203"/>
      <c r="T14" s="203"/>
      <c r="U14" s="203"/>
    </row>
    <row r="15" hidden="1" spans="1:21">
      <c r="A15" s="671" t="s">
        <v>2038</v>
      </c>
      <c r="B15" s="672" t="s">
        <v>2039</v>
      </c>
      <c r="C15" s="673" t="s">
        <v>2040</v>
      </c>
      <c r="D15" s="313">
        <v>54</v>
      </c>
      <c r="E15" s="674" t="s">
        <v>2051</v>
      </c>
      <c r="F15" s="675"/>
      <c r="G15" s="675">
        <f>VLOOKUP(CLEAN(SUBSTITUTE(TRIM(MID(E:E,FIND("/",E:E)+1,LEN(E:E)))," ","")),'Customs Decl. &amp; Local Delivery'!D:I,6,0)</f>
        <v>45660</v>
      </c>
      <c r="H15" s="676">
        <f>VLOOKUP(CLEAN(SUBSTITUTE(TRIM(MID(E:E,FIND("/",E:E)+1,LEN(E:E)))," ","")),'Customs Decl. &amp; Local Delivery'!D:J,7,0)</f>
        <v>45687</v>
      </c>
      <c r="I15" s="685" t="s">
        <v>2042</v>
      </c>
      <c r="J15" s="671" t="s">
        <v>18</v>
      </c>
      <c r="K15" s="672" t="s">
        <v>147</v>
      </c>
      <c r="L15" s="347" t="s">
        <v>20</v>
      </c>
      <c r="M15" s="686" t="s">
        <v>2043</v>
      </c>
      <c r="N15" s="684"/>
      <c r="O15" s="203"/>
      <c r="P15" s="203"/>
      <c r="Q15" s="203"/>
      <c r="R15" s="203"/>
      <c r="S15" s="203"/>
      <c r="T15" s="203"/>
      <c r="U15" s="203"/>
    </row>
    <row r="16" hidden="1" spans="1:21">
      <c r="A16" s="671" t="s">
        <v>2038</v>
      </c>
      <c r="B16" s="672" t="s">
        <v>2039</v>
      </c>
      <c r="C16" s="673" t="s">
        <v>2044</v>
      </c>
      <c r="D16" s="313">
        <v>72</v>
      </c>
      <c r="E16" s="677"/>
      <c r="F16" s="675"/>
      <c r="G16" s="675">
        <f>G15</f>
        <v>45660</v>
      </c>
      <c r="H16" s="676">
        <f>H15</f>
        <v>45687</v>
      </c>
      <c r="I16" s="685" t="s">
        <v>2042</v>
      </c>
      <c r="J16" s="671" t="s">
        <v>18</v>
      </c>
      <c r="K16" s="672" t="s">
        <v>147</v>
      </c>
      <c r="L16" s="347" t="s">
        <v>20</v>
      </c>
      <c r="M16" s="671" t="s">
        <v>2045</v>
      </c>
      <c r="N16" s="684"/>
      <c r="O16" s="203"/>
      <c r="P16" s="203"/>
      <c r="Q16" s="203"/>
      <c r="R16" s="203"/>
      <c r="S16" s="203"/>
      <c r="T16" s="203"/>
      <c r="U16" s="203"/>
    </row>
    <row r="17" hidden="1" spans="1:21">
      <c r="A17" s="671" t="s">
        <v>2038</v>
      </c>
      <c r="B17" s="672" t="s">
        <v>2039</v>
      </c>
      <c r="C17" s="673" t="s">
        <v>2046</v>
      </c>
      <c r="D17" s="313">
        <v>48</v>
      </c>
      <c r="E17" s="677"/>
      <c r="F17" s="675"/>
      <c r="G17" s="675">
        <f>G16</f>
        <v>45660</v>
      </c>
      <c r="H17" s="676">
        <f>H16</f>
        <v>45687</v>
      </c>
      <c r="I17" s="685" t="s">
        <v>2042</v>
      </c>
      <c r="J17" s="671" t="s">
        <v>18</v>
      </c>
      <c r="K17" s="672" t="s">
        <v>147</v>
      </c>
      <c r="L17" s="347" t="s">
        <v>20</v>
      </c>
      <c r="M17" s="671" t="s">
        <v>2045</v>
      </c>
      <c r="N17" s="684"/>
      <c r="O17" s="203"/>
      <c r="P17" s="203"/>
      <c r="Q17" s="203"/>
      <c r="R17" s="203"/>
      <c r="S17" s="203"/>
      <c r="T17" s="203"/>
      <c r="U17" s="203"/>
    </row>
    <row r="18" hidden="1" spans="1:21">
      <c r="A18" s="671" t="s">
        <v>2038</v>
      </c>
      <c r="B18" s="672" t="s">
        <v>2039</v>
      </c>
      <c r="C18" s="673" t="s">
        <v>2047</v>
      </c>
      <c r="D18" s="313">
        <v>60</v>
      </c>
      <c r="E18" s="677"/>
      <c r="F18" s="675"/>
      <c r="G18" s="675">
        <f>G17</f>
        <v>45660</v>
      </c>
      <c r="H18" s="676">
        <f>H17</f>
        <v>45687</v>
      </c>
      <c r="I18" s="685" t="s">
        <v>2042</v>
      </c>
      <c r="J18" s="671" t="s">
        <v>18</v>
      </c>
      <c r="K18" s="672" t="s">
        <v>147</v>
      </c>
      <c r="L18" s="347" t="s">
        <v>20</v>
      </c>
      <c r="M18" s="671" t="s">
        <v>2045</v>
      </c>
      <c r="N18" s="684"/>
      <c r="O18" s="203"/>
      <c r="P18" s="203"/>
      <c r="Q18" s="203"/>
      <c r="R18" s="203"/>
      <c r="S18" s="203"/>
      <c r="T18" s="203"/>
      <c r="U18" s="203"/>
    </row>
    <row r="19" hidden="1" spans="1:21">
      <c r="A19" s="671" t="s">
        <v>2038</v>
      </c>
      <c r="B19" s="672" t="s">
        <v>2039</v>
      </c>
      <c r="C19" s="673" t="s">
        <v>2040</v>
      </c>
      <c r="D19" s="313">
        <v>54</v>
      </c>
      <c r="E19" s="674" t="s">
        <v>2052</v>
      </c>
      <c r="F19" s="675"/>
      <c r="G19" s="675">
        <f>VLOOKUP(CLEAN(SUBSTITUTE(TRIM(MID(E:E,FIND("/",E:E)+1,LEN(E:E)))," ","")),'Customs Decl. &amp; Local Delivery'!D:I,6,0)</f>
        <v>45660</v>
      </c>
      <c r="H19" s="676">
        <f>VLOOKUP(CLEAN(SUBSTITUTE(TRIM(MID(E:E,FIND("/",E:E)+1,LEN(E:E)))," ","")),'Customs Decl. &amp; Local Delivery'!D:J,7,0)</f>
        <v>45687</v>
      </c>
      <c r="I19" s="685" t="s">
        <v>2042</v>
      </c>
      <c r="J19" s="671" t="s">
        <v>18</v>
      </c>
      <c r="K19" s="672" t="s">
        <v>147</v>
      </c>
      <c r="L19" s="347" t="s">
        <v>20</v>
      </c>
      <c r="M19" s="686" t="s">
        <v>2043</v>
      </c>
      <c r="N19" s="684"/>
      <c r="O19" s="203"/>
      <c r="P19" s="203"/>
      <c r="Q19" s="203"/>
      <c r="R19" s="203"/>
      <c r="S19" s="203"/>
      <c r="T19" s="203"/>
      <c r="U19" s="203"/>
    </row>
    <row r="20" hidden="1" spans="1:21">
      <c r="A20" s="671" t="s">
        <v>2038</v>
      </c>
      <c r="B20" s="672" t="s">
        <v>2039</v>
      </c>
      <c r="C20" s="673" t="s">
        <v>2044</v>
      </c>
      <c r="D20" s="313">
        <v>72</v>
      </c>
      <c r="E20" s="677"/>
      <c r="F20" s="675"/>
      <c r="G20" s="675">
        <f>G19</f>
        <v>45660</v>
      </c>
      <c r="H20" s="676">
        <f>H19</f>
        <v>45687</v>
      </c>
      <c r="I20" s="685" t="s">
        <v>2042</v>
      </c>
      <c r="J20" s="671" t="s">
        <v>18</v>
      </c>
      <c r="K20" s="672" t="s">
        <v>147</v>
      </c>
      <c r="L20" s="347" t="s">
        <v>20</v>
      </c>
      <c r="M20" s="671" t="s">
        <v>2045</v>
      </c>
      <c r="N20" s="684"/>
      <c r="O20" s="203"/>
      <c r="P20" s="203"/>
      <c r="Q20" s="203"/>
      <c r="R20" s="203"/>
      <c r="S20" s="203"/>
      <c r="T20" s="203"/>
      <c r="U20" s="203"/>
    </row>
    <row r="21" hidden="1" spans="1:21">
      <c r="A21" s="671" t="s">
        <v>2038</v>
      </c>
      <c r="B21" s="672" t="s">
        <v>2039</v>
      </c>
      <c r="C21" s="673" t="s">
        <v>2046</v>
      </c>
      <c r="D21" s="313">
        <v>48</v>
      </c>
      <c r="E21" s="677"/>
      <c r="F21" s="675"/>
      <c r="G21" s="675">
        <f>G20</f>
        <v>45660</v>
      </c>
      <c r="H21" s="676">
        <f>H20</f>
        <v>45687</v>
      </c>
      <c r="I21" s="685" t="s">
        <v>2042</v>
      </c>
      <c r="J21" s="671" t="s">
        <v>18</v>
      </c>
      <c r="K21" s="672" t="s">
        <v>147</v>
      </c>
      <c r="L21" s="347" t="s">
        <v>20</v>
      </c>
      <c r="M21" s="671" t="s">
        <v>2045</v>
      </c>
      <c r="N21" s="684"/>
      <c r="O21" s="203"/>
      <c r="P21" s="203"/>
      <c r="Q21" s="203"/>
      <c r="R21" s="203"/>
      <c r="S21" s="203"/>
      <c r="T21" s="203"/>
      <c r="U21" s="203"/>
    </row>
    <row r="22" hidden="1" spans="1:21">
      <c r="A22" s="671" t="s">
        <v>2038</v>
      </c>
      <c r="B22" s="672" t="s">
        <v>2039</v>
      </c>
      <c r="C22" s="673" t="s">
        <v>2047</v>
      </c>
      <c r="D22" s="313">
        <v>60</v>
      </c>
      <c r="E22" s="677"/>
      <c r="F22" s="675"/>
      <c r="G22" s="675">
        <f>G21</f>
        <v>45660</v>
      </c>
      <c r="H22" s="676">
        <f>H21</f>
        <v>45687</v>
      </c>
      <c r="I22" s="685" t="s">
        <v>2042</v>
      </c>
      <c r="J22" s="671" t="s">
        <v>18</v>
      </c>
      <c r="K22" s="672" t="s">
        <v>147</v>
      </c>
      <c r="L22" s="347" t="s">
        <v>20</v>
      </c>
      <c r="M22" s="671" t="s">
        <v>2045</v>
      </c>
      <c r="N22" s="684"/>
      <c r="O22" s="203"/>
      <c r="P22" s="203"/>
      <c r="Q22" s="203"/>
      <c r="R22" s="203"/>
      <c r="S22" s="203"/>
      <c r="T22" s="203"/>
      <c r="U22" s="203"/>
    </row>
    <row r="23" hidden="1" spans="1:21">
      <c r="A23" s="671" t="s">
        <v>2038</v>
      </c>
      <c r="B23" s="672" t="s">
        <v>2039</v>
      </c>
      <c r="C23" s="673" t="s">
        <v>2040</v>
      </c>
      <c r="D23" s="313">
        <v>54</v>
      </c>
      <c r="E23" s="674" t="s">
        <v>2053</v>
      </c>
      <c r="F23" s="675"/>
      <c r="G23" s="675">
        <f>VLOOKUP(CLEAN(SUBSTITUTE(TRIM(MID(E:E,FIND("/",E:E)+1,LEN(E:E)))," ","")),'Customs Decl. &amp; Local Delivery'!D:I,6,0)</f>
        <v>45660</v>
      </c>
      <c r="H23" s="676">
        <f>VLOOKUP(CLEAN(SUBSTITUTE(TRIM(MID(E:E,FIND("/",E:E)+1,LEN(E:E)))," ","")),'Customs Decl. &amp; Local Delivery'!D:J,7,0)</f>
        <v>45687</v>
      </c>
      <c r="I23" s="685" t="s">
        <v>2042</v>
      </c>
      <c r="J23" s="671" t="s">
        <v>18</v>
      </c>
      <c r="K23" s="687" t="s">
        <v>654</v>
      </c>
      <c r="L23" s="347" t="s">
        <v>20</v>
      </c>
      <c r="M23" s="686" t="s">
        <v>2043</v>
      </c>
      <c r="N23" s="688"/>
      <c r="O23" s="203"/>
      <c r="P23" s="203"/>
      <c r="Q23" s="203"/>
      <c r="R23" s="203"/>
      <c r="S23" s="203"/>
      <c r="T23" s="203"/>
      <c r="U23" s="203"/>
    </row>
    <row r="24" hidden="1" spans="1:21">
      <c r="A24" s="671" t="s">
        <v>2038</v>
      </c>
      <c r="B24" s="672" t="s">
        <v>2039</v>
      </c>
      <c r="C24" s="673" t="s">
        <v>2044</v>
      </c>
      <c r="D24" s="313">
        <v>72</v>
      </c>
      <c r="E24" s="677"/>
      <c r="F24" s="675"/>
      <c r="G24" s="675">
        <f>G23</f>
        <v>45660</v>
      </c>
      <c r="H24" s="676">
        <f>H23</f>
        <v>45687</v>
      </c>
      <c r="I24" s="685" t="s">
        <v>2042</v>
      </c>
      <c r="J24" s="671" t="s">
        <v>18</v>
      </c>
      <c r="K24" s="687" t="s">
        <v>654</v>
      </c>
      <c r="L24" s="347" t="s">
        <v>20</v>
      </c>
      <c r="M24" s="671" t="s">
        <v>2045</v>
      </c>
      <c r="N24" s="688"/>
      <c r="O24" s="203"/>
      <c r="P24" s="203"/>
      <c r="Q24" s="203"/>
      <c r="R24" s="203"/>
      <c r="S24" s="203"/>
      <c r="T24" s="203"/>
      <c r="U24" s="203"/>
    </row>
    <row r="25" hidden="1" spans="1:21">
      <c r="A25" s="671" t="s">
        <v>2038</v>
      </c>
      <c r="B25" s="672" t="s">
        <v>2039</v>
      </c>
      <c r="C25" s="673" t="s">
        <v>2046</v>
      </c>
      <c r="D25" s="313">
        <v>48</v>
      </c>
      <c r="E25" s="677"/>
      <c r="F25" s="675"/>
      <c r="G25" s="675">
        <f>G24</f>
        <v>45660</v>
      </c>
      <c r="H25" s="676">
        <f>H24</f>
        <v>45687</v>
      </c>
      <c r="I25" s="685" t="s">
        <v>2042</v>
      </c>
      <c r="J25" s="671" t="s">
        <v>18</v>
      </c>
      <c r="K25" s="687" t="s">
        <v>654</v>
      </c>
      <c r="L25" s="347" t="s">
        <v>20</v>
      </c>
      <c r="M25" s="671" t="s">
        <v>2045</v>
      </c>
      <c r="N25" s="688"/>
      <c r="O25" s="203"/>
      <c r="P25" s="203"/>
      <c r="Q25" s="203"/>
      <c r="R25" s="203"/>
      <c r="S25" s="203"/>
      <c r="T25" s="203"/>
      <c r="U25" s="203"/>
    </row>
    <row r="26" hidden="1" spans="1:21">
      <c r="A26" s="671" t="s">
        <v>2038</v>
      </c>
      <c r="B26" s="672" t="s">
        <v>2039</v>
      </c>
      <c r="C26" s="673" t="s">
        <v>2047</v>
      </c>
      <c r="D26" s="313">
        <v>60</v>
      </c>
      <c r="E26" s="677"/>
      <c r="F26" s="675"/>
      <c r="G26" s="675">
        <f>G25</f>
        <v>45660</v>
      </c>
      <c r="H26" s="676">
        <f>H25</f>
        <v>45687</v>
      </c>
      <c r="I26" s="685" t="s">
        <v>2042</v>
      </c>
      <c r="J26" s="671" t="s">
        <v>18</v>
      </c>
      <c r="K26" s="687" t="s">
        <v>654</v>
      </c>
      <c r="L26" s="347" t="s">
        <v>20</v>
      </c>
      <c r="M26" s="671" t="s">
        <v>2045</v>
      </c>
      <c r="N26" s="688"/>
      <c r="O26" s="203"/>
      <c r="P26" s="203"/>
      <c r="Q26" s="203"/>
      <c r="R26" s="203"/>
      <c r="S26" s="203"/>
      <c r="T26" s="203"/>
      <c r="U26" s="203"/>
    </row>
    <row r="27" hidden="1" spans="1:21">
      <c r="A27" s="671" t="s">
        <v>2038</v>
      </c>
      <c r="B27" s="672" t="s">
        <v>2039</v>
      </c>
      <c r="C27" s="673" t="s">
        <v>2040</v>
      </c>
      <c r="D27" s="250">
        <v>54</v>
      </c>
      <c r="E27" s="674" t="s">
        <v>2054</v>
      </c>
      <c r="F27" s="675"/>
      <c r="G27" s="675">
        <f>VLOOKUP(CLEAN(SUBSTITUTE(TRIM(MID(E:E,FIND("/",E:E)+1,LEN(E:E)))," ","")),'Customs Decl. &amp; Local Delivery'!D:I,6,0)</f>
        <v>45667</v>
      </c>
      <c r="H27" s="676">
        <f>VLOOKUP(CLEAN(SUBSTITUTE(TRIM(MID(E:E,FIND("/",E:E)+1,LEN(E:E)))," ","")),'Customs Decl. &amp; Local Delivery'!D:J,7,0)</f>
        <v>45685</v>
      </c>
      <c r="I27" s="685" t="s">
        <v>2055</v>
      </c>
      <c r="J27" s="671" t="s">
        <v>18</v>
      </c>
      <c r="K27" s="687" t="s">
        <v>654</v>
      </c>
      <c r="L27" s="347" t="s">
        <v>20</v>
      </c>
      <c r="M27" s="686" t="s">
        <v>2043</v>
      </c>
      <c r="N27" s="688"/>
      <c r="O27" s="203"/>
      <c r="P27" s="203"/>
      <c r="Q27" s="203"/>
      <c r="R27" s="203"/>
      <c r="S27" s="203"/>
      <c r="T27" s="203"/>
      <c r="U27" s="203"/>
    </row>
    <row r="28" hidden="1" spans="1:21">
      <c r="A28" s="671" t="s">
        <v>2038</v>
      </c>
      <c r="B28" s="672" t="s">
        <v>2039</v>
      </c>
      <c r="C28" s="673" t="s">
        <v>2044</v>
      </c>
      <c r="D28" s="250">
        <v>45</v>
      </c>
      <c r="E28" s="677"/>
      <c r="F28" s="675"/>
      <c r="G28" s="675">
        <f>G27</f>
        <v>45667</v>
      </c>
      <c r="H28" s="676">
        <f>H27</f>
        <v>45685</v>
      </c>
      <c r="I28" s="685" t="s">
        <v>2055</v>
      </c>
      <c r="J28" s="671" t="s">
        <v>18</v>
      </c>
      <c r="K28" s="687" t="s">
        <v>654</v>
      </c>
      <c r="L28" s="347" t="s">
        <v>20</v>
      </c>
      <c r="M28" s="671" t="s">
        <v>2045</v>
      </c>
      <c r="N28" s="688"/>
      <c r="O28" s="203"/>
      <c r="P28" s="203"/>
      <c r="Q28" s="203"/>
      <c r="R28" s="203"/>
      <c r="S28" s="203"/>
      <c r="T28" s="203"/>
      <c r="U28" s="203"/>
    </row>
    <row r="29" hidden="1" spans="1:21">
      <c r="A29" s="671" t="s">
        <v>2038</v>
      </c>
      <c r="B29" s="672" t="s">
        <v>2039</v>
      </c>
      <c r="C29" s="673" t="s">
        <v>2046</v>
      </c>
      <c r="D29" s="250">
        <v>30</v>
      </c>
      <c r="E29" s="677"/>
      <c r="F29" s="675"/>
      <c r="G29" s="675">
        <f>G28</f>
        <v>45667</v>
      </c>
      <c r="H29" s="676">
        <f>H28</f>
        <v>45685</v>
      </c>
      <c r="I29" s="685" t="s">
        <v>2055</v>
      </c>
      <c r="J29" s="671" t="s">
        <v>18</v>
      </c>
      <c r="K29" s="687" t="s">
        <v>654</v>
      </c>
      <c r="L29" s="347" t="s">
        <v>20</v>
      </c>
      <c r="M29" s="671" t="s">
        <v>2045</v>
      </c>
      <c r="N29" s="688"/>
      <c r="O29" s="203"/>
      <c r="P29" s="203"/>
      <c r="Q29" s="203"/>
      <c r="R29" s="203"/>
      <c r="S29" s="203"/>
      <c r="T29" s="203"/>
      <c r="U29" s="203"/>
    </row>
    <row r="30" hidden="1" spans="1:21">
      <c r="A30" s="671" t="s">
        <v>2038</v>
      </c>
      <c r="B30" s="672" t="s">
        <v>2039</v>
      </c>
      <c r="C30" s="673" t="s">
        <v>2047</v>
      </c>
      <c r="D30" s="250">
        <v>38</v>
      </c>
      <c r="E30" s="677"/>
      <c r="F30" s="675"/>
      <c r="G30" s="675">
        <f>G29</f>
        <v>45667</v>
      </c>
      <c r="H30" s="676">
        <f>H29</f>
        <v>45685</v>
      </c>
      <c r="I30" s="685" t="s">
        <v>2055</v>
      </c>
      <c r="J30" s="671" t="s">
        <v>18</v>
      </c>
      <c r="K30" s="687" t="s">
        <v>654</v>
      </c>
      <c r="L30" s="347" t="s">
        <v>20</v>
      </c>
      <c r="M30" s="671" t="s">
        <v>2045</v>
      </c>
      <c r="N30" s="688"/>
      <c r="O30" s="203"/>
      <c r="P30" s="203"/>
      <c r="Q30" s="203"/>
      <c r="R30" s="203"/>
      <c r="S30" s="203"/>
      <c r="T30" s="203"/>
      <c r="U30" s="203"/>
    </row>
    <row r="31" hidden="1" spans="1:21">
      <c r="A31" s="671" t="s">
        <v>2038</v>
      </c>
      <c r="B31" s="672" t="s">
        <v>2039</v>
      </c>
      <c r="C31" s="673" t="s">
        <v>2056</v>
      </c>
      <c r="D31" s="250">
        <v>53</v>
      </c>
      <c r="E31" s="677"/>
      <c r="F31" s="675"/>
      <c r="G31" s="675">
        <f>G30</f>
        <v>45667</v>
      </c>
      <c r="H31" s="676">
        <f>H30</f>
        <v>45685</v>
      </c>
      <c r="I31" s="685" t="s">
        <v>2055</v>
      </c>
      <c r="J31" s="671" t="s">
        <v>18</v>
      </c>
      <c r="K31" s="687" t="s">
        <v>654</v>
      </c>
      <c r="L31" s="347" t="s">
        <v>20</v>
      </c>
      <c r="M31" s="671" t="s">
        <v>2045</v>
      </c>
      <c r="N31" s="688"/>
      <c r="O31" s="203"/>
      <c r="P31" s="203"/>
      <c r="Q31" s="203"/>
      <c r="R31" s="203"/>
      <c r="S31" s="203"/>
      <c r="T31" s="203"/>
      <c r="U31" s="203"/>
    </row>
    <row r="32" hidden="1" spans="1:21">
      <c r="A32" s="671" t="s">
        <v>2038</v>
      </c>
      <c r="B32" s="672" t="s">
        <v>2039</v>
      </c>
      <c r="C32" s="673" t="s">
        <v>2040</v>
      </c>
      <c r="D32" s="250">
        <v>54</v>
      </c>
      <c r="E32" s="674" t="s">
        <v>2057</v>
      </c>
      <c r="F32" s="675"/>
      <c r="G32" s="675">
        <f>VLOOKUP(CLEAN(SUBSTITUTE(TRIM(MID(E:E,FIND("/",E:E)+1,LEN(E:E)))," ","")),'Customs Decl. &amp; Local Delivery'!D:I,6,0)</f>
        <v>45667</v>
      </c>
      <c r="H32" s="676">
        <f>VLOOKUP(CLEAN(SUBSTITUTE(TRIM(MID(E:E,FIND("/",E:E)+1,LEN(E:E)))," ","")),'Customs Decl. &amp; Local Delivery'!D:J,7,0)</f>
        <v>45685</v>
      </c>
      <c r="I32" s="685" t="s">
        <v>2055</v>
      </c>
      <c r="J32" s="671" t="s">
        <v>18</v>
      </c>
      <c r="K32" s="687" t="s">
        <v>654</v>
      </c>
      <c r="L32" s="347" t="s">
        <v>20</v>
      </c>
      <c r="M32" s="686" t="s">
        <v>2043</v>
      </c>
      <c r="N32" s="688"/>
      <c r="O32" s="203"/>
      <c r="P32" s="203"/>
      <c r="Q32" s="203"/>
      <c r="R32" s="203"/>
      <c r="S32" s="203"/>
      <c r="T32" s="203"/>
      <c r="U32" s="203"/>
    </row>
    <row r="33" hidden="1" spans="1:21">
      <c r="A33" s="671" t="s">
        <v>2038</v>
      </c>
      <c r="B33" s="672" t="s">
        <v>2039</v>
      </c>
      <c r="C33" s="673" t="s">
        <v>2044</v>
      </c>
      <c r="D33" s="250">
        <v>45</v>
      </c>
      <c r="E33" s="677"/>
      <c r="F33" s="675"/>
      <c r="G33" s="675">
        <f>G32</f>
        <v>45667</v>
      </c>
      <c r="H33" s="676">
        <f>H32</f>
        <v>45685</v>
      </c>
      <c r="I33" s="685" t="s">
        <v>2055</v>
      </c>
      <c r="J33" s="671" t="s">
        <v>18</v>
      </c>
      <c r="K33" s="687" t="s">
        <v>654</v>
      </c>
      <c r="L33" s="347" t="s">
        <v>20</v>
      </c>
      <c r="M33" s="671" t="s">
        <v>2045</v>
      </c>
      <c r="N33" s="688"/>
      <c r="O33" s="203"/>
      <c r="P33" s="203"/>
      <c r="Q33" s="203"/>
      <c r="R33" s="203"/>
      <c r="S33" s="203"/>
      <c r="T33" s="203"/>
      <c r="U33" s="203"/>
    </row>
    <row r="34" hidden="1" spans="1:21">
      <c r="A34" s="671" t="s">
        <v>2038</v>
      </c>
      <c r="B34" s="672" t="s">
        <v>2039</v>
      </c>
      <c r="C34" s="673" t="s">
        <v>2046</v>
      </c>
      <c r="D34" s="250">
        <v>30</v>
      </c>
      <c r="E34" s="677"/>
      <c r="F34" s="675"/>
      <c r="G34" s="675">
        <f>G33</f>
        <v>45667</v>
      </c>
      <c r="H34" s="676">
        <f>H33</f>
        <v>45685</v>
      </c>
      <c r="I34" s="685" t="s">
        <v>2055</v>
      </c>
      <c r="J34" s="671" t="s">
        <v>18</v>
      </c>
      <c r="K34" s="687" t="s">
        <v>654</v>
      </c>
      <c r="L34" s="347" t="s">
        <v>20</v>
      </c>
      <c r="M34" s="671" t="s">
        <v>2045</v>
      </c>
      <c r="N34" s="688"/>
      <c r="O34" s="203"/>
      <c r="P34" s="203"/>
      <c r="Q34" s="203"/>
      <c r="R34" s="203"/>
      <c r="S34" s="203"/>
      <c r="T34" s="203"/>
      <c r="U34" s="203"/>
    </row>
    <row r="35" hidden="1" spans="1:21">
      <c r="A35" s="671" t="s">
        <v>2038</v>
      </c>
      <c r="B35" s="672" t="s">
        <v>2039</v>
      </c>
      <c r="C35" s="673" t="s">
        <v>2047</v>
      </c>
      <c r="D35" s="250">
        <v>38</v>
      </c>
      <c r="E35" s="677"/>
      <c r="F35" s="675"/>
      <c r="G35" s="675">
        <f>G34</f>
        <v>45667</v>
      </c>
      <c r="H35" s="676">
        <f>H34</f>
        <v>45685</v>
      </c>
      <c r="I35" s="685" t="s">
        <v>2055</v>
      </c>
      <c r="J35" s="671" t="s">
        <v>18</v>
      </c>
      <c r="K35" s="687" t="s">
        <v>654</v>
      </c>
      <c r="L35" s="347" t="s">
        <v>20</v>
      </c>
      <c r="M35" s="671" t="s">
        <v>2045</v>
      </c>
      <c r="N35" s="688"/>
      <c r="O35" s="203"/>
      <c r="P35" s="203"/>
      <c r="Q35" s="203"/>
      <c r="R35" s="203"/>
      <c r="S35" s="203"/>
      <c r="T35" s="203"/>
      <c r="U35" s="203"/>
    </row>
    <row r="36" hidden="1" spans="1:21">
      <c r="A36" s="671" t="s">
        <v>2038</v>
      </c>
      <c r="B36" s="672" t="s">
        <v>2039</v>
      </c>
      <c r="C36" s="673" t="s">
        <v>2056</v>
      </c>
      <c r="D36" s="250">
        <v>53</v>
      </c>
      <c r="E36" s="677"/>
      <c r="F36" s="675"/>
      <c r="G36" s="675">
        <f>G35</f>
        <v>45667</v>
      </c>
      <c r="H36" s="676">
        <f>H35</f>
        <v>45685</v>
      </c>
      <c r="I36" s="685" t="s">
        <v>2055</v>
      </c>
      <c r="J36" s="671" t="s">
        <v>18</v>
      </c>
      <c r="K36" s="687" t="s">
        <v>654</v>
      </c>
      <c r="L36" s="347" t="s">
        <v>20</v>
      </c>
      <c r="M36" s="671" t="s">
        <v>2045</v>
      </c>
      <c r="N36" s="688"/>
      <c r="O36" s="203"/>
      <c r="P36" s="203"/>
      <c r="Q36" s="203"/>
      <c r="R36" s="203"/>
      <c r="S36" s="203"/>
      <c r="T36" s="203"/>
      <c r="U36" s="203"/>
    </row>
    <row r="37" hidden="1" spans="1:21">
      <c r="A37" s="671" t="s">
        <v>2038</v>
      </c>
      <c r="B37" s="672" t="s">
        <v>2039</v>
      </c>
      <c r="C37" s="673" t="s">
        <v>2040</v>
      </c>
      <c r="D37" s="250">
        <v>54</v>
      </c>
      <c r="E37" s="674" t="s">
        <v>2058</v>
      </c>
      <c r="F37" s="675"/>
      <c r="G37" s="675">
        <f>VLOOKUP(CLEAN(SUBSTITUTE(TRIM(MID(E:E,FIND("/",E:E)+1,LEN(E:E)))," ","")),'Customs Decl. &amp; Local Delivery'!D:I,6,0)</f>
        <v>45667</v>
      </c>
      <c r="H37" s="676">
        <f>VLOOKUP(CLEAN(SUBSTITUTE(TRIM(MID(E:E,FIND("/",E:E)+1,LEN(E:E)))," ","")),'Customs Decl. &amp; Local Delivery'!D:J,7,0)</f>
        <v>45685</v>
      </c>
      <c r="I37" s="685" t="s">
        <v>2055</v>
      </c>
      <c r="J37" s="671" t="s">
        <v>18</v>
      </c>
      <c r="K37" s="672" t="s">
        <v>147</v>
      </c>
      <c r="L37" s="347" t="s">
        <v>20</v>
      </c>
      <c r="M37" s="686" t="s">
        <v>2043</v>
      </c>
      <c r="N37" s="684"/>
      <c r="O37" s="203"/>
      <c r="P37" s="203"/>
      <c r="Q37" s="203"/>
      <c r="R37" s="203"/>
      <c r="S37" s="203"/>
      <c r="T37" s="203"/>
      <c r="U37" s="203"/>
    </row>
    <row r="38" hidden="1" spans="1:21">
      <c r="A38" s="671" t="s">
        <v>2038</v>
      </c>
      <c r="B38" s="672" t="s">
        <v>2039</v>
      </c>
      <c r="C38" s="673" t="s">
        <v>2044</v>
      </c>
      <c r="D38" s="250">
        <v>45</v>
      </c>
      <c r="E38" s="677"/>
      <c r="F38" s="675"/>
      <c r="G38" s="675">
        <f>G37</f>
        <v>45667</v>
      </c>
      <c r="H38" s="676">
        <f>H37</f>
        <v>45685</v>
      </c>
      <c r="I38" s="685" t="s">
        <v>2055</v>
      </c>
      <c r="J38" s="671" t="s">
        <v>18</v>
      </c>
      <c r="K38" s="672" t="s">
        <v>147</v>
      </c>
      <c r="L38" s="347" t="s">
        <v>20</v>
      </c>
      <c r="M38" s="671" t="s">
        <v>2045</v>
      </c>
      <c r="N38" s="684"/>
      <c r="O38" s="203"/>
      <c r="P38" s="203"/>
      <c r="Q38" s="203"/>
      <c r="R38" s="203"/>
      <c r="S38" s="203"/>
      <c r="T38" s="203"/>
      <c r="U38" s="203"/>
    </row>
    <row r="39" hidden="1" spans="1:21">
      <c r="A39" s="671" t="s">
        <v>2038</v>
      </c>
      <c r="B39" s="672" t="s">
        <v>2039</v>
      </c>
      <c r="C39" s="673" t="s">
        <v>2046</v>
      </c>
      <c r="D39" s="250">
        <v>30</v>
      </c>
      <c r="E39" s="677"/>
      <c r="F39" s="675"/>
      <c r="G39" s="675">
        <f>G38</f>
        <v>45667</v>
      </c>
      <c r="H39" s="676">
        <f>H38</f>
        <v>45685</v>
      </c>
      <c r="I39" s="685" t="s">
        <v>2055</v>
      </c>
      <c r="J39" s="671" t="s">
        <v>18</v>
      </c>
      <c r="K39" s="672" t="s">
        <v>147</v>
      </c>
      <c r="L39" s="347" t="s">
        <v>20</v>
      </c>
      <c r="M39" s="671" t="s">
        <v>2045</v>
      </c>
      <c r="N39" s="684"/>
      <c r="O39" s="203"/>
      <c r="P39" s="203"/>
      <c r="Q39" s="203"/>
      <c r="R39" s="203"/>
      <c r="S39" s="203"/>
      <c r="T39" s="203"/>
      <c r="U39" s="203"/>
    </row>
    <row r="40" hidden="1" spans="1:21">
      <c r="A40" s="671" t="s">
        <v>2038</v>
      </c>
      <c r="B40" s="672" t="s">
        <v>2039</v>
      </c>
      <c r="C40" s="673" t="s">
        <v>2047</v>
      </c>
      <c r="D40" s="250">
        <v>38</v>
      </c>
      <c r="E40" s="677"/>
      <c r="F40" s="675"/>
      <c r="G40" s="675">
        <f>G39</f>
        <v>45667</v>
      </c>
      <c r="H40" s="676">
        <f>H39</f>
        <v>45685</v>
      </c>
      <c r="I40" s="685" t="s">
        <v>2055</v>
      </c>
      <c r="J40" s="671" t="s">
        <v>18</v>
      </c>
      <c r="K40" s="672" t="s">
        <v>147</v>
      </c>
      <c r="L40" s="347" t="s">
        <v>20</v>
      </c>
      <c r="M40" s="671" t="s">
        <v>2045</v>
      </c>
      <c r="N40" s="684"/>
      <c r="O40" s="203"/>
      <c r="P40" s="203"/>
      <c r="Q40" s="203"/>
      <c r="R40" s="203"/>
      <c r="S40" s="203"/>
      <c r="T40" s="203"/>
      <c r="U40" s="203"/>
    </row>
    <row r="41" hidden="1" spans="1:21">
      <c r="A41" s="671" t="s">
        <v>2038</v>
      </c>
      <c r="B41" s="672" t="s">
        <v>2039</v>
      </c>
      <c r="C41" s="673" t="s">
        <v>2056</v>
      </c>
      <c r="D41" s="250">
        <v>53</v>
      </c>
      <c r="E41" s="677"/>
      <c r="F41" s="675"/>
      <c r="G41" s="675">
        <f>G40</f>
        <v>45667</v>
      </c>
      <c r="H41" s="676">
        <f>H40</f>
        <v>45685</v>
      </c>
      <c r="I41" s="685" t="s">
        <v>2055</v>
      </c>
      <c r="J41" s="671" t="s">
        <v>18</v>
      </c>
      <c r="K41" s="672" t="s">
        <v>147</v>
      </c>
      <c r="L41" s="347" t="s">
        <v>20</v>
      </c>
      <c r="M41" s="671" t="s">
        <v>2045</v>
      </c>
      <c r="N41" s="684"/>
      <c r="O41" s="203"/>
      <c r="P41" s="203"/>
      <c r="Q41" s="203"/>
      <c r="R41" s="203"/>
      <c r="S41" s="203"/>
      <c r="T41" s="203"/>
      <c r="U41" s="203"/>
    </row>
    <row r="42" hidden="1" spans="1:21">
      <c r="A42" s="671" t="s">
        <v>2038</v>
      </c>
      <c r="B42" s="672" t="s">
        <v>2039</v>
      </c>
      <c r="C42" s="673" t="s">
        <v>2040</v>
      </c>
      <c r="D42" s="250">
        <v>54</v>
      </c>
      <c r="E42" s="674" t="s">
        <v>2059</v>
      </c>
      <c r="F42" s="675"/>
      <c r="G42" s="675">
        <f>VLOOKUP(CLEAN(SUBSTITUTE(TRIM(MID(E:E,FIND("/",E:E)+1,LEN(E:E)))," ","")),'Customs Decl. &amp; Local Delivery'!D:I,6,0)</f>
        <v>45667</v>
      </c>
      <c r="H42" s="676">
        <f>VLOOKUP(CLEAN(SUBSTITUTE(TRIM(MID(E:E,FIND("/",E:E)+1,LEN(E:E)))," ","")),'Customs Decl. &amp; Local Delivery'!D:J,7,0)</f>
        <v>45685</v>
      </c>
      <c r="I42" s="685" t="s">
        <v>2055</v>
      </c>
      <c r="J42" s="671" t="s">
        <v>18</v>
      </c>
      <c r="K42" s="672" t="s">
        <v>147</v>
      </c>
      <c r="L42" s="347" t="s">
        <v>20</v>
      </c>
      <c r="M42" s="686" t="s">
        <v>2043</v>
      </c>
      <c r="N42" s="684"/>
      <c r="O42" s="203"/>
      <c r="P42" s="203"/>
      <c r="Q42" s="203"/>
      <c r="R42" s="203"/>
      <c r="S42" s="203"/>
      <c r="T42" s="203"/>
      <c r="U42" s="203"/>
    </row>
    <row r="43" hidden="1" spans="1:21">
      <c r="A43" s="671" t="s">
        <v>2038</v>
      </c>
      <c r="B43" s="672" t="s">
        <v>2039</v>
      </c>
      <c r="C43" s="673" t="s">
        <v>2044</v>
      </c>
      <c r="D43" s="250">
        <v>45</v>
      </c>
      <c r="E43" s="677"/>
      <c r="F43" s="675"/>
      <c r="G43" s="675">
        <f>G42</f>
        <v>45667</v>
      </c>
      <c r="H43" s="676">
        <f>H42</f>
        <v>45685</v>
      </c>
      <c r="I43" s="685" t="s">
        <v>2055</v>
      </c>
      <c r="J43" s="671" t="s">
        <v>18</v>
      </c>
      <c r="K43" s="672" t="s">
        <v>147</v>
      </c>
      <c r="L43" s="347" t="s">
        <v>20</v>
      </c>
      <c r="M43" s="671" t="s">
        <v>2045</v>
      </c>
      <c r="N43" s="684"/>
      <c r="O43" s="203"/>
      <c r="P43" s="203"/>
      <c r="Q43" s="203"/>
      <c r="R43" s="203"/>
      <c r="S43" s="203"/>
      <c r="T43" s="203"/>
      <c r="U43" s="203"/>
    </row>
    <row r="44" hidden="1" spans="1:21">
      <c r="A44" s="671" t="s">
        <v>2038</v>
      </c>
      <c r="B44" s="672" t="s">
        <v>2039</v>
      </c>
      <c r="C44" s="673" t="s">
        <v>2046</v>
      </c>
      <c r="D44" s="250">
        <v>30</v>
      </c>
      <c r="E44" s="677"/>
      <c r="F44" s="675"/>
      <c r="G44" s="675">
        <f>G43</f>
        <v>45667</v>
      </c>
      <c r="H44" s="676">
        <f>H43</f>
        <v>45685</v>
      </c>
      <c r="I44" s="685" t="s">
        <v>2055</v>
      </c>
      <c r="J44" s="671" t="s">
        <v>18</v>
      </c>
      <c r="K44" s="672" t="s">
        <v>147</v>
      </c>
      <c r="L44" s="347" t="s">
        <v>20</v>
      </c>
      <c r="M44" s="671" t="s">
        <v>2045</v>
      </c>
      <c r="N44" s="684"/>
      <c r="O44" s="203"/>
      <c r="P44" s="203"/>
      <c r="Q44" s="203"/>
      <c r="R44" s="203"/>
      <c r="S44" s="203"/>
      <c r="T44" s="203"/>
      <c r="U44" s="203"/>
    </row>
    <row r="45" hidden="1" spans="1:21">
      <c r="A45" s="671" t="s">
        <v>2038</v>
      </c>
      <c r="B45" s="672" t="s">
        <v>2039</v>
      </c>
      <c r="C45" s="673" t="s">
        <v>2047</v>
      </c>
      <c r="D45" s="250">
        <v>38</v>
      </c>
      <c r="E45" s="677"/>
      <c r="F45" s="675"/>
      <c r="G45" s="675">
        <f>G44</f>
        <v>45667</v>
      </c>
      <c r="H45" s="676">
        <f>H44</f>
        <v>45685</v>
      </c>
      <c r="I45" s="685" t="s">
        <v>2055</v>
      </c>
      <c r="J45" s="671" t="s">
        <v>18</v>
      </c>
      <c r="K45" s="672" t="s">
        <v>147</v>
      </c>
      <c r="L45" s="347" t="s">
        <v>20</v>
      </c>
      <c r="M45" s="671" t="s">
        <v>2045</v>
      </c>
      <c r="N45" s="684"/>
      <c r="O45" s="203"/>
      <c r="P45" s="203"/>
      <c r="Q45" s="203"/>
      <c r="R45" s="203"/>
      <c r="S45" s="203"/>
      <c r="T45" s="203"/>
      <c r="U45" s="203"/>
    </row>
    <row r="46" hidden="1" spans="1:21">
      <c r="A46" s="671" t="s">
        <v>2038</v>
      </c>
      <c r="B46" s="672" t="s">
        <v>2039</v>
      </c>
      <c r="C46" s="673" t="s">
        <v>2056</v>
      </c>
      <c r="D46" s="250">
        <v>53</v>
      </c>
      <c r="E46" s="677"/>
      <c r="F46" s="675"/>
      <c r="G46" s="675">
        <f>G45</f>
        <v>45667</v>
      </c>
      <c r="H46" s="676">
        <f>H45</f>
        <v>45685</v>
      </c>
      <c r="I46" s="685" t="s">
        <v>2055</v>
      </c>
      <c r="J46" s="671" t="s">
        <v>18</v>
      </c>
      <c r="K46" s="672" t="s">
        <v>147</v>
      </c>
      <c r="L46" s="347" t="s">
        <v>20</v>
      </c>
      <c r="M46" s="671" t="s">
        <v>2045</v>
      </c>
      <c r="N46" s="684"/>
      <c r="O46" s="203"/>
      <c r="P46" s="203"/>
      <c r="Q46" s="203"/>
      <c r="R46" s="203"/>
      <c r="S46" s="203"/>
      <c r="T46" s="203"/>
      <c r="U46" s="203"/>
    </row>
    <row r="47" hidden="1" spans="1:21">
      <c r="A47" s="671" t="s">
        <v>2038</v>
      </c>
      <c r="B47" s="672" t="s">
        <v>2039</v>
      </c>
      <c r="C47" s="673" t="s">
        <v>2040</v>
      </c>
      <c r="D47" s="250">
        <v>54</v>
      </c>
      <c r="E47" s="674" t="s">
        <v>2060</v>
      </c>
      <c r="F47" s="675"/>
      <c r="G47" s="675">
        <f>VLOOKUP(CLEAN(SUBSTITUTE(TRIM(MID(E:E,FIND("/",E:E)+1,LEN(E:E)))," ","")),'Customs Decl. &amp; Local Delivery'!D:I,6,0)</f>
        <v>45667</v>
      </c>
      <c r="H47" s="676">
        <f>VLOOKUP(CLEAN(SUBSTITUTE(TRIM(MID(E:E,FIND("/",E:E)+1,LEN(E:E)))," ","")),'Customs Decl. &amp; Local Delivery'!D:J,7,0)</f>
        <v>45685</v>
      </c>
      <c r="I47" s="685" t="s">
        <v>2055</v>
      </c>
      <c r="J47" s="671" t="s">
        <v>18</v>
      </c>
      <c r="K47" s="672" t="s">
        <v>147</v>
      </c>
      <c r="L47" s="347" t="s">
        <v>20</v>
      </c>
      <c r="M47" s="686" t="s">
        <v>2043</v>
      </c>
      <c r="N47" s="684"/>
      <c r="O47" s="203"/>
      <c r="P47" s="203"/>
      <c r="Q47" s="203"/>
      <c r="R47" s="203"/>
      <c r="S47" s="203"/>
      <c r="T47" s="203"/>
      <c r="U47" s="203"/>
    </row>
    <row r="48" hidden="1" spans="1:21">
      <c r="A48" s="671" t="s">
        <v>2038</v>
      </c>
      <c r="B48" s="672" t="s">
        <v>2039</v>
      </c>
      <c r="C48" s="673" t="s">
        <v>2044</v>
      </c>
      <c r="D48" s="250">
        <v>45</v>
      </c>
      <c r="E48" s="677"/>
      <c r="F48" s="675"/>
      <c r="G48" s="675">
        <f>G47</f>
        <v>45667</v>
      </c>
      <c r="H48" s="676">
        <f>H47</f>
        <v>45685</v>
      </c>
      <c r="I48" s="685" t="s">
        <v>2055</v>
      </c>
      <c r="J48" s="671" t="s">
        <v>18</v>
      </c>
      <c r="K48" s="672" t="s">
        <v>147</v>
      </c>
      <c r="L48" s="347" t="s">
        <v>20</v>
      </c>
      <c r="M48" s="671" t="s">
        <v>2045</v>
      </c>
      <c r="N48" s="684"/>
      <c r="O48" s="203"/>
      <c r="P48" s="203"/>
      <c r="Q48" s="203"/>
      <c r="R48" s="203"/>
      <c r="S48" s="203"/>
      <c r="T48" s="203"/>
      <c r="U48" s="203"/>
    </row>
    <row r="49" hidden="1" spans="1:21">
      <c r="A49" s="671" t="s">
        <v>2038</v>
      </c>
      <c r="B49" s="672" t="s">
        <v>2039</v>
      </c>
      <c r="C49" s="673" t="s">
        <v>2046</v>
      </c>
      <c r="D49" s="250">
        <v>30</v>
      </c>
      <c r="E49" s="677"/>
      <c r="F49" s="675"/>
      <c r="G49" s="675">
        <f>G48</f>
        <v>45667</v>
      </c>
      <c r="H49" s="676">
        <f>H48</f>
        <v>45685</v>
      </c>
      <c r="I49" s="685" t="s">
        <v>2055</v>
      </c>
      <c r="J49" s="671" t="s">
        <v>18</v>
      </c>
      <c r="K49" s="672" t="s">
        <v>147</v>
      </c>
      <c r="L49" s="347" t="s">
        <v>20</v>
      </c>
      <c r="M49" s="671" t="s">
        <v>2045</v>
      </c>
      <c r="N49" s="684"/>
      <c r="O49" s="203"/>
      <c r="P49" s="203"/>
      <c r="Q49" s="203"/>
      <c r="R49" s="203"/>
      <c r="S49" s="203"/>
      <c r="T49" s="203"/>
      <c r="U49" s="203"/>
    </row>
    <row r="50" hidden="1" spans="1:21">
      <c r="A50" s="671" t="s">
        <v>2038</v>
      </c>
      <c r="B50" s="672" t="s">
        <v>2039</v>
      </c>
      <c r="C50" s="673" t="s">
        <v>2047</v>
      </c>
      <c r="D50" s="250">
        <v>38</v>
      </c>
      <c r="E50" s="677"/>
      <c r="F50" s="675"/>
      <c r="G50" s="675">
        <f>G49</f>
        <v>45667</v>
      </c>
      <c r="H50" s="676">
        <f>H49</f>
        <v>45685</v>
      </c>
      <c r="I50" s="685" t="s">
        <v>2055</v>
      </c>
      <c r="J50" s="671" t="s">
        <v>18</v>
      </c>
      <c r="K50" s="672" t="s">
        <v>147</v>
      </c>
      <c r="L50" s="347" t="s">
        <v>20</v>
      </c>
      <c r="M50" s="671" t="s">
        <v>2045</v>
      </c>
      <c r="N50" s="684"/>
      <c r="O50" s="203"/>
      <c r="P50" s="203"/>
      <c r="Q50" s="203"/>
      <c r="R50" s="203"/>
      <c r="S50" s="203"/>
      <c r="T50" s="203"/>
      <c r="U50" s="203"/>
    </row>
    <row r="51" hidden="1" spans="1:21">
      <c r="A51" s="671" t="s">
        <v>2038</v>
      </c>
      <c r="B51" s="672" t="s">
        <v>2039</v>
      </c>
      <c r="C51" s="673" t="s">
        <v>2056</v>
      </c>
      <c r="D51" s="250">
        <v>53</v>
      </c>
      <c r="E51" s="677"/>
      <c r="F51" s="675"/>
      <c r="G51" s="675">
        <f>G50</f>
        <v>45667</v>
      </c>
      <c r="H51" s="676">
        <f>H50</f>
        <v>45685</v>
      </c>
      <c r="I51" s="685" t="s">
        <v>2055</v>
      </c>
      <c r="J51" s="671" t="s">
        <v>18</v>
      </c>
      <c r="K51" s="672" t="s">
        <v>147</v>
      </c>
      <c r="L51" s="347" t="s">
        <v>20</v>
      </c>
      <c r="M51" s="671" t="s">
        <v>2045</v>
      </c>
      <c r="N51" s="684"/>
      <c r="O51" s="203"/>
      <c r="P51" s="203"/>
      <c r="Q51" s="203"/>
      <c r="R51" s="203"/>
      <c r="S51" s="203"/>
      <c r="T51" s="203"/>
      <c r="U51" s="203"/>
    </row>
    <row r="52" hidden="1" spans="1:21">
      <c r="A52" s="671" t="s">
        <v>153</v>
      </c>
      <c r="B52" s="671" t="s">
        <v>2061</v>
      </c>
      <c r="C52" s="671" t="s">
        <v>2056</v>
      </c>
      <c r="D52" s="250">
        <v>297</v>
      </c>
      <c r="E52" s="674" t="s">
        <v>2062</v>
      </c>
      <c r="F52" s="675"/>
      <c r="G52" s="675">
        <f>VLOOKUP(CLEAN(SUBSTITUTE(TRIM(MID(E:E,FIND("/",E:E)+1,LEN(E:E)))," ","")),'Customs Decl. &amp; Local Delivery'!D:I,6,0)</f>
        <v>45685</v>
      </c>
      <c r="H52" s="676">
        <f>VLOOKUP(CLEAN(SUBSTITUTE(TRIM(MID(E:E,FIND("/",E:E)+1,LEN(E:E)))," ","")),'Customs Decl. &amp; Local Delivery'!D:J,7,0)</f>
        <v>45708</v>
      </c>
      <c r="I52" s="685" t="s">
        <v>2063</v>
      </c>
      <c r="J52" s="671" t="s">
        <v>18</v>
      </c>
      <c r="K52" s="672" t="s">
        <v>147</v>
      </c>
      <c r="L52" s="347" t="s">
        <v>20</v>
      </c>
      <c r="M52" s="686" t="s">
        <v>2064</v>
      </c>
      <c r="N52" s="684"/>
      <c r="O52" s="203"/>
      <c r="P52" s="203"/>
      <c r="Q52" s="203"/>
      <c r="R52" s="203"/>
      <c r="S52" s="203"/>
      <c r="T52" s="203"/>
      <c r="U52" s="203"/>
    </row>
    <row r="53" hidden="1" spans="1:21">
      <c r="A53" s="671" t="s">
        <v>477</v>
      </c>
      <c r="B53" s="672" t="s">
        <v>2065</v>
      </c>
      <c r="C53" s="671" t="s">
        <v>2056</v>
      </c>
      <c r="D53" s="250">
        <v>68</v>
      </c>
      <c r="E53" s="677"/>
      <c r="F53" s="675"/>
      <c r="G53" s="675">
        <f>G52</f>
        <v>45685</v>
      </c>
      <c r="H53" s="676">
        <f>H52</f>
        <v>45708</v>
      </c>
      <c r="I53" s="685" t="s">
        <v>2063</v>
      </c>
      <c r="J53" s="671" t="s">
        <v>18</v>
      </c>
      <c r="K53" s="672" t="s">
        <v>147</v>
      </c>
      <c r="L53" s="347" t="s">
        <v>20</v>
      </c>
      <c r="M53" s="671" t="s">
        <v>2045</v>
      </c>
      <c r="N53" s="684"/>
      <c r="O53" s="203"/>
      <c r="P53" s="203"/>
      <c r="Q53" s="203"/>
      <c r="R53" s="203"/>
      <c r="S53" s="203"/>
      <c r="T53" s="203"/>
      <c r="U53" s="203"/>
    </row>
    <row r="54" hidden="1" spans="1:21">
      <c r="A54" s="671" t="s">
        <v>477</v>
      </c>
      <c r="B54" s="672" t="s">
        <v>2065</v>
      </c>
      <c r="C54" s="671" t="s">
        <v>2056</v>
      </c>
      <c r="D54" s="250">
        <v>175</v>
      </c>
      <c r="E54" s="674" t="s">
        <v>2066</v>
      </c>
      <c r="F54" s="675"/>
      <c r="G54" s="675">
        <f>VLOOKUP(CLEAN(SUBSTITUTE(TRIM(MID(E:E,FIND("/",E:E)+1,LEN(E:E)))," ","")),'Customs Decl. &amp; Local Delivery'!D:I,6,0)</f>
        <v>45685</v>
      </c>
      <c r="H54" s="676">
        <f>VLOOKUP(CLEAN(SUBSTITUTE(TRIM(MID(E:E,FIND("/",E:E)+1,LEN(E:E)))," ","")),'Customs Decl. &amp; Local Delivery'!D:J,7,0)</f>
        <v>45708</v>
      </c>
      <c r="I54" s="685" t="s">
        <v>2063</v>
      </c>
      <c r="J54" s="671" t="s">
        <v>18</v>
      </c>
      <c r="K54" s="672" t="s">
        <v>147</v>
      </c>
      <c r="L54" s="347" t="s">
        <v>20</v>
      </c>
      <c r="M54" s="686" t="s">
        <v>2064</v>
      </c>
      <c r="N54" s="684"/>
      <c r="O54" s="203"/>
      <c r="P54" s="203"/>
      <c r="Q54" s="203"/>
      <c r="R54" s="203"/>
      <c r="S54" s="203"/>
      <c r="T54" s="203"/>
      <c r="U54" s="203"/>
    </row>
    <row r="55" hidden="1" spans="1:21">
      <c r="A55" s="671" t="s">
        <v>477</v>
      </c>
      <c r="B55" s="672" t="s">
        <v>2065</v>
      </c>
      <c r="C55" s="671" t="s">
        <v>2044</v>
      </c>
      <c r="D55" s="250">
        <v>270</v>
      </c>
      <c r="E55" s="678"/>
      <c r="F55" s="675"/>
      <c r="G55" s="675">
        <f>G54</f>
        <v>45685</v>
      </c>
      <c r="H55" s="676">
        <f>H54</f>
        <v>45708</v>
      </c>
      <c r="I55" s="685" t="s">
        <v>2063</v>
      </c>
      <c r="J55" s="671" t="s">
        <v>18</v>
      </c>
      <c r="K55" s="672" t="s">
        <v>147</v>
      </c>
      <c r="L55" s="347" t="s">
        <v>20</v>
      </c>
      <c r="M55" s="671" t="s">
        <v>2045</v>
      </c>
      <c r="N55" s="684"/>
      <c r="O55" s="203"/>
      <c r="P55" s="203"/>
      <c r="Q55" s="203"/>
      <c r="R55" s="203"/>
      <c r="S55" s="203"/>
      <c r="T55" s="203"/>
      <c r="U55" s="203"/>
    </row>
    <row r="56" ht="30" hidden="1" spans="1:21">
      <c r="A56" s="671" t="s">
        <v>477</v>
      </c>
      <c r="B56" s="672" t="s">
        <v>2065</v>
      </c>
      <c r="C56" s="671" t="s">
        <v>2044</v>
      </c>
      <c r="D56" s="250">
        <v>565</v>
      </c>
      <c r="E56" s="674" t="s">
        <v>2067</v>
      </c>
      <c r="F56" s="675"/>
      <c r="G56" s="675">
        <f>VLOOKUP(CLEAN(SUBSTITUTE(TRIM(MID(E:E,FIND("/",E:E)+1,LEN(E:E)))," ","")),'Customs Decl. &amp; Local Delivery'!D:I,6,0)</f>
        <v>45685</v>
      </c>
      <c r="H56" s="676">
        <f>VLOOKUP(CLEAN(SUBSTITUTE(TRIM(MID(E:E,FIND("/",E:E)+1,LEN(E:E)))," ","")),'Customs Decl. &amp; Local Delivery'!D:J,7,0)</f>
        <v>45708</v>
      </c>
      <c r="I56" s="685" t="s">
        <v>2063</v>
      </c>
      <c r="J56" s="671" t="s">
        <v>18</v>
      </c>
      <c r="K56" s="672" t="s">
        <v>147</v>
      </c>
      <c r="L56" s="347" t="s">
        <v>20</v>
      </c>
      <c r="M56" s="686" t="s">
        <v>2064</v>
      </c>
      <c r="N56" s="684"/>
      <c r="O56" s="203"/>
      <c r="P56" s="203"/>
      <c r="Q56" s="203"/>
      <c r="R56" s="203"/>
      <c r="S56" s="203"/>
      <c r="T56" s="203"/>
      <c r="U56" s="203"/>
    </row>
    <row r="57" s="659" customFormat="1" ht="30" hidden="1" spans="1:21">
      <c r="A57" s="679" t="s">
        <v>2068</v>
      </c>
      <c r="B57" s="680" t="s">
        <v>2069</v>
      </c>
      <c r="C57" s="681" t="s">
        <v>2070</v>
      </c>
      <c r="D57" s="682">
        <v>150</v>
      </c>
      <c r="E57" s="674" t="s">
        <v>306</v>
      </c>
      <c r="F57" s="675"/>
      <c r="G57" s="675">
        <f>VLOOKUP(CLEAN(SUBSTITUTE(TRIM(MID(E:E,FIND("/",E:E)+1,LEN(E:E)))," ","")),'Customs Decl. &amp; Local Delivery'!D:I,6,0)</f>
        <v>45685</v>
      </c>
      <c r="H57" s="676">
        <f>VLOOKUP(CLEAN(SUBSTITUTE(TRIM(MID(E:E,FIND("/",E:E)+1,LEN(E:E)))," ","")),'Customs Decl. &amp; Local Delivery'!D:J,7,0)</f>
        <v>45708</v>
      </c>
      <c r="I57" s="689" t="s">
        <v>2071</v>
      </c>
      <c r="J57" s="671" t="s">
        <v>18</v>
      </c>
      <c r="K57" s="672" t="s">
        <v>147</v>
      </c>
      <c r="L57" s="347" t="s">
        <v>20</v>
      </c>
      <c r="M57" s="690"/>
      <c r="N57" s="684"/>
      <c r="O57" s="203"/>
      <c r="P57" s="203"/>
      <c r="Q57" s="203"/>
      <c r="R57" s="203"/>
      <c r="S57" s="203"/>
      <c r="T57" s="203"/>
      <c r="U57" s="203"/>
    </row>
    <row r="58" hidden="1" spans="1:21">
      <c r="A58" s="671" t="s">
        <v>2038</v>
      </c>
      <c r="B58" s="672" t="s">
        <v>2039</v>
      </c>
      <c r="C58" s="671" t="s">
        <v>2072</v>
      </c>
      <c r="D58" s="250">
        <v>28</v>
      </c>
      <c r="E58" s="674" t="s">
        <v>2073</v>
      </c>
      <c r="F58" s="675"/>
      <c r="G58" s="675">
        <f>VLOOKUP(CLEAN(SUBSTITUTE(TRIM(MID(E:E,FIND("/",E:E)+1,LEN(E:E)))," ","")),'Customs Decl. &amp; Local Delivery'!D:I,6,0)</f>
        <v>45694</v>
      </c>
      <c r="H58" s="676">
        <f>VLOOKUP(CLEAN(SUBSTITUTE(TRIM(MID(E:E,FIND("/",E:E)+1,LEN(E:E)))," ","")),'Customs Decl. &amp; Local Delivery'!D:J,7,0)</f>
        <v>45712</v>
      </c>
      <c r="I58" s="690" t="s">
        <v>2074</v>
      </c>
      <c r="J58" s="671" t="s">
        <v>18</v>
      </c>
      <c r="K58" s="690" t="s">
        <v>654</v>
      </c>
      <c r="L58" s="347" t="s">
        <v>20</v>
      </c>
      <c r="M58" s="691" t="s">
        <v>2075</v>
      </c>
      <c r="N58" s="688"/>
      <c r="O58" s="203"/>
      <c r="P58" s="203"/>
      <c r="Q58" s="203"/>
      <c r="R58" s="203"/>
      <c r="S58" s="203"/>
      <c r="T58" s="203"/>
      <c r="U58" s="203"/>
    </row>
    <row r="59" hidden="1" spans="1:21">
      <c r="A59" s="671" t="s">
        <v>2038</v>
      </c>
      <c r="B59" s="672" t="s">
        <v>2039</v>
      </c>
      <c r="C59" s="671" t="s">
        <v>2076</v>
      </c>
      <c r="D59" s="250">
        <v>28</v>
      </c>
      <c r="E59" s="677"/>
      <c r="F59" s="675"/>
      <c r="G59" s="675">
        <f>G58</f>
        <v>45694</v>
      </c>
      <c r="H59" s="676">
        <f>H58</f>
        <v>45712</v>
      </c>
      <c r="I59" s="690" t="s">
        <v>2074</v>
      </c>
      <c r="J59" s="671" t="s">
        <v>18</v>
      </c>
      <c r="K59" s="690" t="s">
        <v>654</v>
      </c>
      <c r="L59" s="347" t="s">
        <v>20</v>
      </c>
      <c r="M59" s="690" t="s">
        <v>2077</v>
      </c>
      <c r="N59" s="688"/>
      <c r="O59" s="203"/>
      <c r="P59" s="203"/>
      <c r="Q59" s="203"/>
      <c r="R59" s="203"/>
      <c r="S59" s="203"/>
      <c r="T59" s="203"/>
      <c r="U59" s="203"/>
    </row>
    <row r="60" hidden="1" spans="1:21">
      <c r="A60" s="671" t="s">
        <v>2038</v>
      </c>
      <c r="B60" s="672" t="s">
        <v>2039</v>
      </c>
      <c r="C60" s="671" t="s">
        <v>2072</v>
      </c>
      <c r="D60" s="250">
        <v>28</v>
      </c>
      <c r="E60" s="674" t="s">
        <v>2078</v>
      </c>
      <c r="F60" s="675"/>
      <c r="G60" s="675">
        <f>VLOOKUP(CLEAN(SUBSTITUTE(TRIM(MID(E:E,FIND("/",E:E)+1,LEN(E:E)))," ","")),'Customs Decl. &amp; Local Delivery'!D:I,6,0)</f>
        <v>45694</v>
      </c>
      <c r="H60" s="676">
        <f>VLOOKUP(CLEAN(SUBSTITUTE(TRIM(MID(E:E,FIND("/",E:E)+1,LEN(E:E)))," ","")),'Customs Decl. &amp; Local Delivery'!D:J,7,0)</f>
        <v>45712</v>
      </c>
      <c r="I60" s="690" t="s">
        <v>2074</v>
      </c>
      <c r="J60" s="671" t="s">
        <v>18</v>
      </c>
      <c r="K60" s="690" t="s">
        <v>654</v>
      </c>
      <c r="L60" s="347" t="s">
        <v>20</v>
      </c>
      <c r="M60" s="691" t="s">
        <v>2079</v>
      </c>
      <c r="N60" s="688"/>
      <c r="O60" s="203"/>
      <c r="P60" s="203"/>
      <c r="Q60" s="203"/>
      <c r="R60" s="203"/>
      <c r="S60" s="203"/>
      <c r="T60" s="203"/>
      <c r="U60" s="203"/>
    </row>
    <row r="61" hidden="1" spans="1:21">
      <c r="A61" s="671" t="s">
        <v>2038</v>
      </c>
      <c r="B61" s="672" t="s">
        <v>2039</v>
      </c>
      <c r="C61" s="671" t="s">
        <v>2076</v>
      </c>
      <c r="D61" s="250">
        <v>28</v>
      </c>
      <c r="E61" s="677"/>
      <c r="F61" s="675"/>
      <c r="G61" s="675">
        <f>G60</f>
        <v>45694</v>
      </c>
      <c r="H61" s="676">
        <f>H60</f>
        <v>45712</v>
      </c>
      <c r="I61" s="690" t="s">
        <v>2074</v>
      </c>
      <c r="J61" s="671" t="s">
        <v>18</v>
      </c>
      <c r="K61" s="690" t="s">
        <v>654</v>
      </c>
      <c r="L61" s="347" t="s">
        <v>20</v>
      </c>
      <c r="M61" s="690" t="s">
        <v>2077</v>
      </c>
      <c r="N61" s="688"/>
      <c r="O61" s="203"/>
      <c r="P61" s="203"/>
      <c r="Q61" s="203"/>
      <c r="R61" s="203"/>
      <c r="S61" s="203"/>
      <c r="T61" s="203"/>
      <c r="U61" s="203"/>
    </row>
    <row r="62" hidden="1" spans="1:21">
      <c r="A62" s="671" t="s">
        <v>2038</v>
      </c>
      <c r="B62" s="672" t="s">
        <v>2039</v>
      </c>
      <c r="C62" s="671" t="s">
        <v>2072</v>
      </c>
      <c r="D62" s="250">
        <v>28</v>
      </c>
      <c r="E62" s="674" t="s">
        <v>2080</v>
      </c>
      <c r="F62" s="675"/>
      <c r="G62" s="675">
        <f>VLOOKUP(CLEAN(SUBSTITUTE(TRIM(MID(E:E,FIND("/",E:E)+1,LEN(E:E)))," ","")),'Customs Decl. &amp; Local Delivery'!D:I,6,0)</f>
        <v>45694</v>
      </c>
      <c r="H62" s="676">
        <f>VLOOKUP(CLEAN(SUBSTITUTE(TRIM(MID(E:E,FIND("/",E:E)+1,LEN(E:E)))," ","")),'Customs Decl. &amp; Local Delivery'!D:J,7,0)</f>
        <v>45712</v>
      </c>
      <c r="I62" s="690" t="s">
        <v>2074</v>
      </c>
      <c r="J62" s="671" t="s">
        <v>18</v>
      </c>
      <c r="K62" s="690" t="s">
        <v>19</v>
      </c>
      <c r="L62" s="347" t="s">
        <v>20</v>
      </c>
      <c r="M62" s="691" t="s">
        <v>2081</v>
      </c>
      <c r="N62" s="688"/>
      <c r="O62" s="203"/>
      <c r="P62" s="203"/>
      <c r="Q62" s="203"/>
      <c r="R62" s="203"/>
      <c r="S62" s="203"/>
      <c r="T62" s="203"/>
      <c r="U62" s="203"/>
    </row>
    <row r="63" hidden="1" spans="1:21">
      <c r="A63" s="671" t="s">
        <v>2038</v>
      </c>
      <c r="B63" s="672" t="s">
        <v>2039</v>
      </c>
      <c r="C63" s="671" t="s">
        <v>2076</v>
      </c>
      <c r="D63" s="250">
        <v>28</v>
      </c>
      <c r="E63" s="677"/>
      <c r="F63" s="675"/>
      <c r="G63" s="675">
        <f>G62</f>
        <v>45694</v>
      </c>
      <c r="H63" s="676">
        <f>H62</f>
        <v>45712</v>
      </c>
      <c r="I63" s="690" t="s">
        <v>2074</v>
      </c>
      <c r="J63" s="671" t="s">
        <v>18</v>
      </c>
      <c r="K63" s="690" t="s">
        <v>19</v>
      </c>
      <c r="L63" s="347" t="s">
        <v>20</v>
      </c>
      <c r="M63" s="690" t="s">
        <v>2077</v>
      </c>
      <c r="N63" s="688"/>
      <c r="O63" s="203"/>
      <c r="P63" s="203"/>
      <c r="Q63" s="203"/>
      <c r="R63" s="203"/>
      <c r="S63" s="203"/>
      <c r="T63" s="203"/>
      <c r="U63" s="203"/>
    </row>
    <row r="64" hidden="1" spans="1:21">
      <c r="A64" s="671" t="s">
        <v>2038</v>
      </c>
      <c r="B64" s="672" t="s">
        <v>2039</v>
      </c>
      <c r="C64" s="671" t="s">
        <v>2072</v>
      </c>
      <c r="D64" s="250">
        <v>28</v>
      </c>
      <c r="E64" s="674" t="s">
        <v>2082</v>
      </c>
      <c r="F64" s="675"/>
      <c r="G64" s="675">
        <f>VLOOKUP(CLEAN(SUBSTITUTE(TRIM(MID(E:E,FIND("/",E:E)+1,LEN(E:E)))," ","")),'Customs Decl. &amp; Local Delivery'!D:I,6,0)</f>
        <v>45694</v>
      </c>
      <c r="H64" s="676">
        <f>VLOOKUP(CLEAN(SUBSTITUTE(TRIM(MID(E:E,FIND("/",E:E)+1,LEN(E:E)))," ","")),'Customs Decl. &amp; Local Delivery'!D:J,7,0)</f>
        <v>45712</v>
      </c>
      <c r="I64" s="690" t="s">
        <v>2074</v>
      </c>
      <c r="J64" s="671" t="s">
        <v>18</v>
      </c>
      <c r="K64" s="690" t="s">
        <v>19</v>
      </c>
      <c r="L64" s="347" t="s">
        <v>20</v>
      </c>
      <c r="M64" s="691" t="s">
        <v>2083</v>
      </c>
      <c r="N64" s="688"/>
      <c r="O64" s="203"/>
      <c r="P64" s="203"/>
      <c r="Q64" s="203"/>
      <c r="R64" s="203"/>
      <c r="S64" s="203"/>
      <c r="T64" s="203"/>
      <c r="U64" s="203"/>
    </row>
    <row r="65" hidden="1" spans="1:21">
      <c r="A65" s="671" t="s">
        <v>2038</v>
      </c>
      <c r="B65" s="672" t="s">
        <v>2039</v>
      </c>
      <c r="C65" s="671" t="s">
        <v>2076</v>
      </c>
      <c r="D65" s="250">
        <v>28</v>
      </c>
      <c r="E65" s="677"/>
      <c r="F65" s="675"/>
      <c r="G65" s="675">
        <f>G64</f>
        <v>45694</v>
      </c>
      <c r="H65" s="676">
        <f>H64</f>
        <v>45712</v>
      </c>
      <c r="I65" s="690" t="s">
        <v>2074</v>
      </c>
      <c r="J65" s="671" t="s">
        <v>18</v>
      </c>
      <c r="K65" s="690" t="s">
        <v>19</v>
      </c>
      <c r="L65" s="347" t="s">
        <v>20</v>
      </c>
      <c r="M65" s="690" t="s">
        <v>2077</v>
      </c>
      <c r="N65" s="688"/>
      <c r="O65" s="203"/>
      <c r="P65" s="203"/>
      <c r="Q65" s="203"/>
      <c r="R65" s="203"/>
      <c r="S65" s="203"/>
      <c r="T65" s="203"/>
      <c r="U65" s="203"/>
    </row>
    <row r="66" hidden="1" spans="1:21">
      <c r="A66" s="671" t="s">
        <v>2038</v>
      </c>
      <c r="B66" s="672" t="s">
        <v>2039</v>
      </c>
      <c r="C66" s="671" t="s">
        <v>2072</v>
      </c>
      <c r="D66" s="250">
        <v>18</v>
      </c>
      <c r="E66" s="674" t="s">
        <v>323</v>
      </c>
      <c r="F66" s="675"/>
      <c r="G66" s="675">
        <f>VLOOKUP(CLEAN(SUBSTITUTE(TRIM(MID(E:E,FIND("/",E:E)+1,LEN(E:E)))," ","")),'Customs Decl. &amp; Local Delivery'!D:I,6,0)</f>
        <v>45692</v>
      </c>
      <c r="H66" s="676">
        <f>VLOOKUP(CLEAN(SUBSTITUTE(TRIM(MID(E:E,FIND("/",E:E)+1,LEN(E:E)))," ","")),'Customs Decl. &amp; Local Delivery'!D:J,7,0)</f>
        <v>45709</v>
      </c>
      <c r="I66" s="690" t="s">
        <v>2084</v>
      </c>
      <c r="J66" s="671" t="s">
        <v>18</v>
      </c>
      <c r="K66" s="672" t="s">
        <v>147</v>
      </c>
      <c r="L66" s="347" t="s">
        <v>20</v>
      </c>
      <c r="M66" s="691" t="s">
        <v>2043</v>
      </c>
      <c r="N66" s="684"/>
      <c r="O66" s="203"/>
      <c r="P66" s="203"/>
      <c r="Q66" s="203"/>
      <c r="R66" s="203"/>
      <c r="S66" s="203"/>
      <c r="T66" s="203"/>
      <c r="U66" s="203"/>
    </row>
    <row r="67" hidden="1" spans="1:21">
      <c r="A67" s="671" t="s">
        <v>2038</v>
      </c>
      <c r="B67" s="672" t="s">
        <v>2039</v>
      </c>
      <c r="C67" s="671" t="s">
        <v>2076</v>
      </c>
      <c r="D67" s="250">
        <v>18</v>
      </c>
      <c r="E67" s="692"/>
      <c r="F67" s="675"/>
      <c r="G67" s="675">
        <f t="shared" ref="G67:G72" si="2">G66</f>
        <v>45692</v>
      </c>
      <c r="H67" s="676">
        <f t="shared" ref="H67:H72" si="3">H66</f>
        <v>45709</v>
      </c>
      <c r="I67" s="690" t="s">
        <v>2084</v>
      </c>
      <c r="J67" s="671" t="s">
        <v>18</v>
      </c>
      <c r="K67" s="672" t="s">
        <v>147</v>
      </c>
      <c r="L67" s="347" t="s">
        <v>20</v>
      </c>
      <c r="M67" s="671" t="s">
        <v>2085</v>
      </c>
      <c r="N67" s="684"/>
      <c r="O67" s="203"/>
      <c r="P67" s="203"/>
      <c r="Q67" s="203"/>
      <c r="R67" s="203"/>
      <c r="S67" s="203"/>
      <c r="T67" s="203"/>
      <c r="U67" s="203"/>
    </row>
    <row r="68" hidden="1" spans="1:21">
      <c r="A68" s="671" t="s">
        <v>2038</v>
      </c>
      <c r="B68" s="672" t="s">
        <v>2039</v>
      </c>
      <c r="C68" s="673" t="s">
        <v>2044</v>
      </c>
      <c r="D68" s="250">
        <v>15</v>
      </c>
      <c r="E68" s="692"/>
      <c r="F68" s="675"/>
      <c r="G68" s="675">
        <f t="shared" si="2"/>
        <v>45692</v>
      </c>
      <c r="H68" s="676">
        <f t="shared" si="3"/>
        <v>45709</v>
      </c>
      <c r="I68" s="690" t="s">
        <v>2084</v>
      </c>
      <c r="J68" s="671" t="s">
        <v>18</v>
      </c>
      <c r="K68" s="672" t="s">
        <v>147</v>
      </c>
      <c r="L68" s="347" t="s">
        <v>20</v>
      </c>
      <c r="M68" s="671" t="s">
        <v>2045</v>
      </c>
      <c r="N68" s="684"/>
      <c r="O68" s="203"/>
      <c r="P68" s="203"/>
      <c r="Q68" s="203"/>
      <c r="R68" s="203"/>
      <c r="S68" s="203"/>
      <c r="T68" s="203"/>
      <c r="U68" s="203"/>
    </row>
    <row r="69" hidden="1" spans="1:21">
      <c r="A69" s="671" t="s">
        <v>2038</v>
      </c>
      <c r="B69" s="672" t="s">
        <v>2039</v>
      </c>
      <c r="C69" s="673" t="s">
        <v>2046</v>
      </c>
      <c r="D69" s="250">
        <v>10</v>
      </c>
      <c r="E69" s="692"/>
      <c r="F69" s="675"/>
      <c r="G69" s="675">
        <f t="shared" si="2"/>
        <v>45692</v>
      </c>
      <c r="H69" s="676">
        <f t="shared" si="3"/>
        <v>45709</v>
      </c>
      <c r="I69" s="690" t="s">
        <v>2084</v>
      </c>
      <c r="J69" s="671" t="s">
        <v>18</v>
      </c>
      <c r="K69" s="672" t="s">
        <v>147</v>
      </c>
      <c r="L69" s="347" t="s">
        <v>20</v>
      </c>
      <c r="M69" s="671" t="s">
        <v>2045</v>
      </c>
      <c r="N69" s="684"/>
      <c r="O69" s="203"/>
      <c r="P69" s="203"/>
      <c r="Q69" s="203"/>
      <c r="R69" s="203"/>
      <c r="S69" s="203"/>
      <c r="T69" s="203"/>
      <c r="U69" s="203"/>
    </row>
    <row r="70" hidden="1" spans="1:21">
      <c r="A70" s="671" t="s">
        <v>2038</v>
      </c>
      <c r="B70" s="672" t="s">
        <v>2039</v>
      </c>
      <c r="C70" s="673" t="s">
        <v>2047</v>
      </c>
      <c r="D70" s="250">
        <v>10</v>
      </c>
      <c r="E70" s="692"/>
      <c r="F70" s="675"/>
      <c r="G70" s="675">
        <f t="shared" si="2"/>
        <v>45692</v>
      </c>
      <c r="H70" s="676">
        <f t="shared" si="3"/>
        <v>45709</v>
      </c>
      <c r="I70" s="690" t="s">
        <v>2084</v>
      </c>
      <c r="J70" s="671" t="s">
        <v>18</v>
      </c>
      <c r="K70" s="672" t="s">
        <v>147</v>
      </c>
      <c r="L70" s="347" t="s">
        <v>20</v>
      </c>
      <c r="M70" s="671" t="s">
        <v>2045</v>
      </c>
      <c r="N70" s="684"/>
      <c r="O70" s="203"/>
      <c r="P70" s="203"/>
      <c r="Q70" s="203"/>
      <c r="R70" s="203"/>
      <c r="S70" s="203"/>
      <c r="T70" s="203"/>
      <c r="U70" s="203"/>
    </row>
    <row r="71" hidden="1" spans="1:21">
      <c r="A71" s="671" t="s">
        <v>2038</v>
      </c>
      <c r="B71" s="672" t="s">
        <v>2039</v>
      </c>
      <c r="C71" s="673" t="s">
        <v>2056</v>
      </c>
      <c r="D71" s="250">
        <v>85</v>
      </c>
      <c r="E71" s="692"/>
      <c r="F71" s="675"/>
      <c r="G71" s="675">
        <f t="shared" si="2"/>
        <v>45692</v>
      </c>
      <c r="H71" s="676">
        <f t="shared" si="3"/>
        <v>45709</v>
      </c>
      <c r="I71" s="690" t="s">
        <v>2084</v>
      </c>
      <c r="J71" s="671" t="s">
        <v>18</v>
      </c>
      <c r="K71" s="672" t="s">
        <v>147</v>
      </c>
      <c r="L71" s="347" t="s">
        <v>20</v>
      </c>
      <c r="M71" s="671" t="s">
        <v>2045</v>
      </c>
      <c r="N71" s="684"/>
      <c r="O71" s="203"/>
      <c r="P71" s="203"/>
      <c r="Q71" s="203"/>
      <c r="R71" s="203"/>
      <c r="S71" s="203"/>
      <c r="T71" s="203"/>
      <c r="U71" s="203"/>
    </row>
    <row r="72" s="178" customFormat="1" hidden="1" spans="1:21">
      <c r="A72" s="690" t="s">
        <v>202</v>
      </c>
      <c r="B72" s="693" t="s">
        <v>203</v>
      </c>
      <c r="C72" s="694" t="s">
        <v>70</v>
      </c>
      <c r="D72" s="695">
        <v>15</v>
      </c>
      <c r="E72" s="692"/>
      <c r="F72" s="675"/>
      <c r="G72" s="675">
        <f t="shared" si="2"/>
        <v>45692</v>
      </c>
      <c r="H72" s="676">
        <f t="shared" si="3"/>
        <v>45709</v>
      </c>
      <c r="I72" s="690" t="s">
        <v>324</v>
      </c>
      <c r="J72" s="690" t="s">
        <v>18</v>
      </c>
      <c r="K72" s="690" t="s">
        <v>147</v>
      </c>
      <c r="L72" s="347" t="s">
        <v>20</v>
      </c>
      <c r="M72" s="691" t="s">
        <v>2086</v>
      </c>
      <c r="N72" s="684"/>
      <c r="O72" s="203"/>
      <c r="P72" s="203"/>
      <c r="Q72" s="203"/>
      <c r="R72" s="203"/>
      <c r="S72" s="203"/>
      <c r="T72" s="203"/>
      <c r="U72" s="203"/>
    </row>
    <row r="73" hidden="1" spans="1:21">
      <c r="A73" s="690" t="s">
        <v>2038</v>
      </c>
      <c r="B73" s="696" t="s">
        <v>2039</v>
      </c>
      <c r="C73" s="673" t="s">
        <v>2087</v>
      </c>
      <c r="D73" s="697">
        <v>36</v>
      </c>
      <c r="E73" s="674" t="s">
        <v>2088</v>
      </c>
      <c r="F73" s="675"/>
      <c r="G73" s="675">
        <f>VLOOKUP(CLEAN(SUBSTITUTE(TRIM(MID(E:E,FIND("/",E:E)+1,LEN(E:E)))," ","")),'Customs Decl. &amp; Local Delivery'!D:I,6,0)</f>
        <v>45695</v>
      </c>
      <c r="H73" s="676">
        <f>VLOOKUP(CLEAN(SUBSTITUTE(TRIM(MID(E:E,FIND("/",E:E)+1,LEN(E:E)))," ","")),'Customs Decl. &amp; Local Delivery'!D:J,7,0)</f>
        <v>45717</v>
      </c>
      <c r="I73" s="690" t="s">
        <v>2089</v>
      </c>
      <c r="J73" s="690" t="s">
        <v>18</v>
      </c>
      <c r="K73" s="690" t="s">
        <v>147</v>
      </c>
      <c r="L73" s="347" t="s">
        <v>20</v>
      </c>
      <c r="M73" s="691" t="s">
        <v>2043</v>
      </c>
      <c r="N73" s="684"/>
      <c r="O73" s="203"/>
      <c r="P73" s="203"/>
      <c r="Q73" s="203"/>
      <c r="R73" s="203"/>
      <c r="S73" s="203"/>
      <c r="T73" s="203"/>
      <c r="U73" s="203"/>
    </row>
    <row r="74" hidden="1" spans="1:21">
      <c r="A74" s="690" t="s">
        <v>2038</v>
      </c>
      <c r="B74" s="696" t="s">
        <v>2039</v>
      </c>
      <c r="C74" s="671" t="s">
        <v>2090</v>
      </c>
      <c r="D74" s="697">
        <v>5</v>
      </c>
      <c r="E74" s="698"/>
      <c r="F74" s="675"/>
      <c r="G74" s="675">
        <f>G73</f>
        <v>45695</v>
      </c>
      <c r="H74" s="676">
        <f>H73</f>
        <v>45717</v>
      </c>
      <c r="I74" s="690" t="s">
        <v>2089</v>
      </c>
      <c r="J74" s="690" t="s">
        <v>18</v>
      </c>
      <c r="K74" s="690" t="s">
        <v>147</v>
      </c>
      <c r="L74" s="347" t="s">
        <v>20</v>
      </c>
      <c r="M74" s="690" t="s">
        <v>2091</v>
      </c>
      <c r="N74" s="684"/>
      <c r="O74" s="203"/>
      <c r="P74" s="203"/>
      <c r="Q74" s="203"/>
      <c r="R74" s="203"/>
      <c r="S74" s="203"/>
      <c r="T74" s="203"/>
      <c r="U74" s="203"/>
    </row>
    <row r="75" hidden="1" spans="1:21">
      <c r="A75" s="690" t="s">
        <v>2038</v>
      </c>
      <c r="B75" s="696" t="s">
        <v>2039</v>
      </c>
      <c r="C75" s="671" t="s">
        <v>2092</v>
      </c>
      <c r="D75" s="697">
        <v>60</v>
      </c>
      <c r="E75" s="698"/>
      <c r="F75" s="675"/>
      <c r="G75" s="675">
        <f>G74</f>
        <v>45695</v>
      </c>
      <c r="H75" s="676">
        <f>H74</f>
        <v>45717</v>
      </c>
      <c r="I75" s="690" t="s">
        <v>2089</v>
      </c>
      <c r="J75" s="690" t="s">
        <v>18</v>
      </c>
      <c r="K75" s="690" t="s">
        <v>147</v>
      </c>
      <c r="L75" s="347" t="s">
        <v>20</v>
      </c>
      <c r="M75" s="690" t="s">
        <v>2091</v>
      </c>
      <c r="N75" s="684"/>
      <c r="O75" s="203"/>
      <c r="P75" s="203"/>
      <c r="Q75" s="203"/>
      <c r="R75" s="203"/>
      <c r="S75" s="203"/>
      <c r="T75" s="203"/>
      <c r="U75" s="203"/>
    </row>
    <row r="76" hidden="1" spans="1:21">
      <c r="A76" s="690" t="s">
        <v>2038</v>
      </c>
      <c r="B76" s="696" t="s">
        <v>2039</v>
      </c>
      <c r="C76" s="671" t="s">
        <v>2093</v>
      </c>
      <c r="D76" s="697">
        <v>5</v>
      </c>
      <c r="E76" s="698"/>
      <c r="F76" s="675"/>
      <c r="G76" s="675">
        <f>G75</f>
        <v>45695</v>
      </c>
      <c r="H76" s="676">
        <f>H75</f>
        <v>45717</v>
      </c>
      <c r="I76" s="690" t="s">
        <v>2089</v>
      </c>
      <c r="J76" s="690" t="s">
        <v>18</v>
      </c>
      <c r="K76" s="690" t="s">
        <v>147</v>
      </c>
      <c r="L76" s="347" t="s">
        <v>20</v>
      </c>
      <c r="M76" s="690" t="s">
        <v>2091</v>
      </c>
      <c r="N76" s="684"/>
      <c r="O76" s="203"/>
      <c r="P76" s="203"/>
      <c r="Q76" s="203"/>
      <c r="R76" s="203"/>
      <c r="S76" s="203"/>
      <c r="T76" s="203"/>
      <c r="U76" s="203"/>
    </row>
    <row r="77" hidden="1" spans="1:21">
      <c r="A77" s="690" t="s">
        <v>2038</v>
      </c>
      <c r="B77" s="696" t="s">
        <v>2039</v>
      </c>
      <c r="C77" s="671" t="s">
        <v>2094</v>
      </c>
      <c r="D77" s="697">
        <v>30</v>
      </c>
      <c r="E77" s="698"/>
      <c r="F77" s="675"/>
      <c r="G77" s="675">
        <f>G76</f>
        <v>45695</v>
      </c>
      <c r="H77" s="676">
        <f>H76</f>
        <v>45717</v>
      </c>
      <c r="I77" s="690" t="s">
        <v>2089</v>
      </c>
      <c r="J77" s="690" t="s">
        <v>18</v>
      </c>
      <c r="K77" s="690" t="s">
        <v>147</v>
      </c>
      <c r="L77" s="347" t="s">
        <v>20</v>
      </c>
      <c r="M77" s="690" t="s">
        <v>2091</v>
      </c>
      <c r="N77" s="684"/>
      <c r="O77" s="203"/>
      <c r="P77" s="203"/>
      <c r="Q77" s="203"/>
      <c r="R77" s="203"/>
      <c r="S77" s="203"/>
      <c r="T77" s="203"/>
      <c r="U77" s="203"/>
    </row>
    <row r="78" hidden="1" spans="1:21">
      <c r="A78" s="690" t="s">
        <v>2038</v>
      </c>
      <c r="B78" s="696" t="s">
        <v>2039</v>
      </c>
      <c r="C78" s="671" t="s">
        <v>2095</v>
      </c>
      <c r="D78" s="697">
        <v>30</v>
      </c>
      <c r="E78" s="698"/>
      <c r="F78" s="675"/>
      <c r="G78" s="675">
        <f>G77</f>
        <v>45695</v>
      </c>
      <c r="H78" s="676">
        <f>H77</f>
        <v>45717</v>
      </c>
      <c r="I78" s="690" t="s">
        <v>2089</v>
      </c>
      <c r="J78" s="690" t="s">
        <v>18</v>
      </c>
      <c r="K78" s="690" t="s">
        <v>147</v>
      </c>
      <c r="L78" s="347" t="s">
        <v>20</v>
      </c>
      <c r="M78" s="690" t="s">
        <v>2091</v>
      </c>
      <c r="N78" s="684"/>
      <c r="O78" s="203"/>
      <c r="P78" s="203"/>
      <c r="Q78" s="203"/>
      <c r="R78" s="203"/>
      <c r="S78" s="203"/>
      <c r="T78" s="203"/>
      <c r="U78" s="203"/>
    </row>
    <row r="79" hidden="1" spans="1:21">
      <c r="A79" s="690" t="s">
        <v>2038</v>
      </c>
      <c r="B79" s="696" t="s">
        <v>2039</v>
      </c>
      <c r="C79" s="673" t="s">
        <v>2087</v>
      </c>
      <c r="D79" s="697">
        <v>36</v>
      </c>
      <c r="E79" s="674" t="s">
        <v>2096</v>
      </c>
      <c r="F79" s="675"/>
      <c r="G79" s="675">
        <f>VLOOKUP(CLEAN(SUBSTITUTE(TRIM(MID(E:E,FIND("/",E:E)+1,LEN(E:E)))," ","")),'Customs Decl. &amp; Local Delivery'!D:I,6,0)</f>
        <v>45695</v>
      </c>
      <c r="H79" s="676">
        <f>VLOOKUP(CLEAN(SUBSTITUTE(TRIM(MID(E:E,FIND("/",E:E)+1,LEN(E:E)))," ","")),'Customs Decl. &amp; Local Delivery'!D:J,7,0)</f>
        <v>45717</v>
      </c>
      <c r="I79" s="690" t="s">
        <v>2089</v>
      </c>
      <c r="J79" s="690" t="s">
        <v>18</v>
      </c>
      <c r="K79" s="690" t="s">
        <v>147</v>
      </c>
      <c r="L79" s="347" t="s">
        <v>20</v>
      </c>
      <c r="M79" s="691" t="s">
        <v>2043</v>
      </c>
      <c r="N79" s="684"/>
      <c r="O79" s="203"/>
      <c r="P79" s="203"/>
      <c r="Q79" s="203"/>
      <c r="R79" s="203"/>
      <c r="S79" s="203"/>
      <c r="T79" s="203"/>
      <c r="U79" s="203"/>
    </row>
    <row r="80" hidden="1" spans="1:21">
      <c r="A80" s="690" t="s">
        <v>2038</v>
      </c>
      <c r="B80" s="696" t="s">
        <v>2039</v>
      </c>
      <c r="C80" s="671" t="s">
        <v>2090</v>
      </c>
      <c r="D80" s="697">
        <v>5</v>
      </c>
      <c r="E80" s="698"/>
      <c r="F80" s="675"/>
      <c r="G80" s="675">
        <f>G79</f>
        <v>45695</v>
      </c>
      <c r="H80" s="676">
        <f>H79</f>
        <v>45717</v>
      </c>
      <c r="I80" s="690" t="s">
        <v>2089</v>
      </c>
      <c r="J80" s="690" t="s">
        <v>18</v>
      </c>
      <c r="K80" s="690" t="s">
        <v>147</v>
      </c>
      <c r="L80" s="347" t="s">
        <v>20</v>
      </c>
      <c r="M80" s="690" t="s">
        <v>2091</v>
      </c>
      <c r="N80" s="684"/>
      <c r="O80" s="203"/>
      <c r="P80" s="203"/>
      <c r="Q80" s="203"/>
      <c r="R80" s="203"/>
      <c r="S80" s="203"/>
      <c r="T80" s="203"/>
      <c r="U80" s="203"/>
    </row>
    <row r="81" hidden="1" spans="1:21">
      <c r="A81" s="690" t="s">
        <v>2038</v>
      </c>
      <c r="B81" s="696" t="s">
        <v>2039</v>
      </c>
      <c r="C81" s="671" t="s">
        <v>2092</v>
      </c>
      <c r="D81" s="697">
        <v>60</v>
      </c>
      <c r="E81" s="698"/>
      <c r="F81" s="675"/>
      <c r="G81" s="675">
        <f>G80</f>
        <v>45695</v>
      </c>
      <c r="H81" s="676">
        <f>H80</f>
        <v>45717</v>
      </c>
      <c r="I81" s="690" t="s">
        <v>2089</v>
      </c>
      <c r="J81" s="690" t="s">
        <v>18</v>
      </c>
      <c r="K81" s="690" t="s">
        <v>147</v>
      </c>
      <c r="L81" s="347" t="s">
        <v>20</v>
      </c>
      <c r="M81" s="690" t="s">
        <v>2091</v>
      </c>
      <c r="N81" s="684"/>
      <c r="O81" s="203"/>
      <c r="P81" s="203"/>
      <c r="Q81" s="203"/>
      <c r="R81" s="203"/>
      <c r="S81" s="203"/>
      <c r="T81" s="203"/>
      <c r="U81" s="203"/>
    </row>
    <row r="82" hidden="1" spans="1:21">
      <c r="A82" s="690" t="s">
        <v>2038</v>
      </c>
      <c r="B82" s="696" t="s">
        <v>2039</v>
      </c>
      <c r="C82" s="671" t="s">
        <v>2093</v>
      </c>
      <c r="D82" s="697">
        <v>5</v>
      </c>
      <c r="E82" s="698"/>
      <c r="F82" s="675"/>
      <c r="G82" s="675">
        <f>G81</f>
        <v>45695</v>
      </c>
      <c r="H82" s="676">
        <f>H81</f>
        <v>45717</v>
      </c>
      <c r="I82" s="690" t="s">
        <v>2089</v>
      </c>
      <c r="J82" s="690" t="s">
        <v>18</v>
      </c>
      <c r="K82" s="690" t="s">
        <v>147</v>
      </c>
      <c r="L82" s="347" t="s">
        <v>20</v>
      </c>
      <c r="M82" s="690" t="s">
        <v>2091</v>
      </c>
      <c r="N82" s="684"/>
      <c r="O82" s="203"/>
      <c r="P82" s="203"/>
      <c r="Q82" s="203"/>
      <c r="R82" s="203"/>
      <c r="S82" s="203"/>
      <c r="T82" s="203"/>
      <c r="U82" s="203"/>
    </row>
    <row r="83" hidden="1" spans="1:21">
      <c r="A83" s="690" t="s">
        <v>2038</v>
      </c>
      <c r="B83" s="696" t="s">
        <v>2039</v>
      </c>
      <c r="C83" s="671" t="s">
        <v>2094</v>
      </c>
      <c r="D83" s="697">
        <v>30</v>
      </c>
      <c r="E83" s="698"/>
      <c r="F83" s="675"/>
      <c r="G83" s="675">
        <f>G82</f>
        <v>45695</v>
      </c>
      <c r="H83" s="676">
        <f>H82</f>
        <v>45717</v>
      </c>
      <c r="I83" s="690" t="s">
        <v>2089</v>
      </c>
      <c r="J83" s="690" t="s">
        <v>18</v>
      </c>
      <c r="K83" s="690" t="s">
        <v>147</v>
      </c>
      <c r="L83" s="347" t="s">
        <v>20</v>
      </c>
      <c r="M83" s="690" t="s">
        <v>2091</v>
      </c>
      <c r="N83" s="684"/>
      <c r="O83" s="203"/>
      <c r="P83" s="203"/>
      <c r="Q83" s="203"/>
      <c r="R83" s="203"/>
      <c r="S83" s="203"/>
      <c r="T83" s="203"/>
      <c r="U83" s="203"/>
    </row>
    <row r="84" hidden="1" spans="1:21">
      <c r="A84" s="690" t="s">
        <v>2038</v>
      </c>
      <c r="B84" s="696" t="s">
        <v>2039</v>
      </c>
      <c r="C84" s="671" t="s">
        <v>2095</v>
      </c>
      <c r="D84" s="697">
        <v>30</v>
      </c>
      <c r="E84" s="698"/>
      <c r="F84" s="675"/>
      <c r="G84" s="675">
        <f>G83</f>
        <v>45695</v>
      </c>
      <c r="H84" s="676">
        <f>H83</f>
        <v>45717</v>
      </c>
      <c r="I84" s="690" t="s">
        <v>2089</v>
      </c>
      <c r="J84" s="690" t="s">
        <v>18</v>
      </c>
      <c r="K84" s="690" t="s">
        <v>147</v>
      </c>
      <c r="L84" s="347" t="s">
        <v>20</v>
      </c>
      <c r="M84" s="690" t="s">
        <v>2091</v>
      </c>
      <c r="N84" s="684"/>
      <c r="O84" s="203"/>
      <c r="P84" s="203"/>
      <c r="Q84" s="203"/>
      <c r="R84" s="203"/>
      <c r="S84" s="203"/>
      <c r="T84" s="203"/>
      <c r="U84" s="203"/>
    </row>
    <row r="85" hidden="1" spans="1:21">
      <c r="A85" s="690" t="s">
        <v>2038</v>
      </c>
      <c r="B85" s="696" t="s">
        <v>2039</v>
      </c>
      <c r="C85" s="673" t="s">
        <v>2087</v>
      </c>
      <c r="D85" s="697">
        <v>36</v>
      </c>
      <c r="E85" s="674" t="s">
        <v>2097</v>
      </c>
      <c r="F85" s="675"/>
      <c r="G85" s="675">
        <f>VLOOKUP(CLEAN(SUBSTITUTE(TRIM(MID(E:E,FIND("/",E:E)+1,LEN(E:E)))," ","")),'Customs Decl. &amp; Local Delivery'!D:I,6,0)</f>
        <v>45695</v>
      </c>
      <c r="H85" s="676">
        <f>VLOOKUP(CLEAN(SUBSTITUTE(TRIM(MID(E:E,FIND("/",E:E)+1,LEN(E:E)))," ","")),'Customs Decl. &amp; Local Delivery'!D:J,7,0)</f>
        <v>45717</v>
      </c>
      <c r="I85" s="690" t="s">
        <v>2089</v>
      </c>
      <c r="J85" s="690" t="s">
        <v>18</v>
      </c>
      <c r="K85" s="690" t="s">
        <v>147</v>
      </c>
      <c r="L85" s="347" t="s">
        <v>20</v>
      </c>
      <c r="M85" s="691" t="s">
        <v>2043</v>
      </c>
      <c r="N85" s="684"/>
      <c r="O85" s="203"/>
      <c r="P85" s="203"/>
      <c r="Q85" s="203"/>
      <c r="R85" s="203"/>
      <c r="S85" s="203"/>
      <c r="T85" s="203"/>
      <c r="U85" s="203"/>
    </row>
    <row r="86" hidden="1" spans="1:21">
      <c r="A86" s="690" t="s">
        <v>2038</v>
      </c>
      <c r="B86" s="696" t="s">
        <v>2039</v>
      </c>
      <c r="C86" s="671" t="s">
        <v>2090</v>
      </c>
      <c r="D86" s="697">
        <v>5</v>
      </c>
      <c r="E86" s="698"/>
      <c r="F86" s="675"/>
      <c r="G86" s="675">
        <f>G85</f>
        <v>45695</v>
      </c>
      <c r="H86" s="676">
        <f>H85</f>
        <v>45717</v>
      </c>
      <c r="I86" s="690" t="s">
        <v>2089</v>
      </c>
      <c r="J86" s="690" t="s">
        <v>18</v>
      </c>
      <c r="K86" s="690" t="s">
        <v>147</v>
      </c>
      <c r="L86" s="347" t="s">
        <v>20</v>
      </c>
      <c r="M86" s="690" t="s">
        <v>2091</v>
      </c>
      <c r="N86" s="684"/>
      <c r="O86" s="203"/>
      <c r="P86" s="203"/>
      <c r="Q86" s="203"/>
      <c r="R86" s="203"/>
      <c r="S86" s="203"/>
      <c r="T86" s="203"/>
      <c r="U86" s="203"/>
    </row>
    <row r="87" hidden="1" spans="1:21">
      <c r="A87" s="690" t="s">
        <v>2038</v>
      </c>
      <c r="B87" s="696" t="s">
        <v>2039</v>
      </c>
      <c r="C87" s="671" t="s">
        <v>2092</v>
      </c>
      <c r="D87" s="697">
        <v>60</v>
      </c>
      <c r="E87" s="698"/>
      <c r="F87" s="675"/>
      <c r="G87" s="675">
        <f>G86</f>
        <v>45695</v>
      </c>
      <c r="H87" s="676">
        <f>H86</f>
        <v>45717</v>
      </c>
      <c r="I87" s="690" t="s">
        <v>2089</v>
      </c>
      <c r="J87" s="690" t="s">
        <v>18</v>
      </c>
      <c r="K87" s="690" t="s">
        <v>147</v>
      </c>
      <c r="L87" s="347" t="s">
        <v>20</v>
      </c>
      <c r="M87" s="690" t="s">
        <v>2091</v>
      </c>
      <c r="N87" s="684"/>
      <c r="O87" s="203"/>
      <c r="P87" s="203"/>
      <c r="Q87" s="203"/>
      <c r="R87" s="203"/>
      <c r="S87" s="203"/>
      <c r="T87" s="203"/>
      <c r="U87" s="203"/>
    </row>
    <row r="88" hidden="1" spans="1:21">
      <c r="A88" s="690" t="s">
        <v>2038</v>
      </c>
      <c r="B88" s="696" t="s">
        <v>2039</v>
      </c>
      <c r="C88" s="671" t="s">
        <v>2093</v>
      </c>
      <c r="D88" s="697">
        <v>5</v>
      </c>
      <c r="E88" s="698"/>
      <c r="F88" s="675"/>
      <c r="G88" s="675">
        <f>G87</f>
        <v>45695</v>
      </c>
      <c r="H88" s="676">
        <f>H87</f>
        <v>45717</v>
      </c>
      <c r="I88" s="690" t="s">
        <v>2089</v>
      </c>
      <c r="J88" s="690" t="s">
        <v>18</v>
      </c>
      <c r="K88" s="690" t="s">
        <v>147</v>
      </c>
      <c r="L88" s="347" t="s">
        <v>20</v>
      </c>
      <c r="M88" s="690" t="s">
        <v>2091</v>
      </c>
      <c r="N88" s="684"/>
      <c r="O88" s="203"/>
      <c r="P88" s="203"/>
      <c r="Q88" s="203"/>
      <c r="R88" s="203"/>
      <c r="S88" s="203"/>
      <c r="T88" s="203"/>
      <c r="U88" s="203"/>
    </row>
    <row r="89" hidden="1" spans="1:21">
      <c r="A89" s="690" t="s">
        <v>2038</v>
      </c>
      <c r="B89" s="696" t="s">
        <v>2039</v>
      </c>
      <c r="C89" s="671" t="s">
        <v>2094</v>
      </c>
      <c r="D89" s="697">
        <v>30</v>
      </c>
      <c r="E89" s="698"/>
      <c r="F89" s="675"/>
      <c r="G89" s="675">
        <f>G88</f>
        <v>45695</v>
      </c>
      <c r="H89" s="676">
        <f>H88</f>
        <v>45717</v>
      </c>
      <c r="I89" s="690" t="s">
        <v>2089</v>
      </c>
      <c r="J89" s="690" t="s">
        <v>18</v>
      </c>
      <c r="K89" s="690" t="s">
        <v>147</v>
      </c>
      <c r="L89" s="347" t="s">
        <v>20</v>
      </c>
      <c r="M89" s="690" t="s">
        <v>2091</v>
      </c>
      <c r="N89" s="684"/>
      <c r="O89" s="203"/>
      <c r="P89" s="203"/>
      <c r="Q89" s="203"/>
      <c r="R89" s="203"/>
      <c r="S89" s="203"/>
      <c r="T89" s="203"/>
      <c r="U89" s="203"/>
    </row>
    <row r="90" hidden="1" spans="1:21">
      <c r="A90" s="690" t="s">
        <v>2038</v>
      </c>
      <c r="B90" s="696" t="s">
        <v>2039</v>
      </c>
      <c r="C90" s="671" t="s">
        <v>2095</v>
      </c>
      <c r="D90" s="697">
        <v>30</v>
      </c>
      <c r="E90" s="698"/>
      <c r="F90" s="675"/>
      <c r="G90" s="675">
        <f>G89</f>
        <v>45695</v>
      </c>
      <c r="H90" s="676">
        <f>H89</f>
        <v>45717</v>
      </c>
      <c r="I90" s="690" t="s">
        <v>2089</v>
      </c>
      <c r="J90" s="690" t="s">
        <v>18</v>
      </c>
      <c r="K90" s="690" t="s">
        <v>147</v>
      </c>
      <c r="L90" s="347" t="s">
        <v>20</v>
      </c>
      <c r="M90" s="690" t="s">
        <v>2091</v>
      </c>
      <c r="N90" s="684"/>
      <c r="O90" s="203"/>
      <c r="P90" s="203"/>
      <c r="Q90" s="203"/>
      <c r="R90" s="203"/>
      <c r="S90" s="203"/>
      <c r="T90" s="203"/>
      <c r="U90" s="203"/>
    </row>
    <row r="91" hidden="1" spans="1:21">
      <c r="A91" s="690" t="s">
        <v>2038</v>
      </c>
      <c r="B91" s="696" t="s">
        <v>2039</v>
      </c>
      <c r="C91" s="673" t="s">
        <v>2087</v>
      </c>
      <c r="D91" s="697">
        <v>36</v>
      </c>
      <c r="E91" s="674" t="s">
        <v>2098</v>
      </c>
      <c r="F91" s="675"/>
      <c r="G91" s="675">
        <f>VLOOKUP(CLEAN(SUBSTITUTE(TRIM(MID(E:E,FIND("/",E:E)+1,LEN(E:E)))," ","")),'Customs Decl. &amp; Local Delivery'!D:I,6,0)</f>
        <v>45695</v>
      </c>
      <c r="H91" s="676">
        <f>VLOOKUP(CLEAN(SUBSTITUTE(TRIM(MID(E:E,FIND("/",E:E)+1,LEN(E:E)))," ","")),'Customs Decl. &amp; Local Delivery'!D:J,7,0)</f>
        <v>45717</v>
      </c>
      <c r="I91" s="690" t="s">
        <v>2089</v>
      </c>
      <c r="J91" s="690" t="s">
        <v>18</v>
      </c>
      <c r="K91" s="690" t="s">
        <v>147</v>
      </c>
      <c r="L91" s="347" t="s">
        <v>20</v>
      </c>
      <c r="M91" s="691" t="s">
        <v>2043</v>
      </c>
      <c r="N91" s="684"/>
      <c r="O91" s="203"/>
      <c r="P91" s="203"/>
      <c r="Q91" s="203"/>
      <c r="R91" s="203"/>
      <c r="S91" s="203"/>
      <c r="T91" s="203"/>
      <c r="U91" s="203"/>
    </row>
    <row r="92" hidden="1" spans="1:21">
      <c r="A92" s="690" t="s">
        <v>2038</v>
      </c>
      <c r="B92" s="696" t="s">
        <v>2039</v>
      </c>
      <c r="C92" s="671" t="s">
        <v>2090</v>
      </c>
      <c r="D92" s="697">
        <v>5</v>
      </c>
      <c r="E92" s="698"/>
      <c r="F92" s="675"/>
      <c r="G92" s="675">
        <f>G91</f>
        <v>45695</v>
      </c>
      <c r="H92" s="676">
        <f>H91</f>
        <v>45717</v>
      </c>
      <c r="I92" s="690" t="s">
        <v>2089</v>
      </c>
      <c r="J92" s="690" t="s">
        <v>18</v>
      </c>
      <c r="K92" s="690" t="s">
        <v>147</v>
      </c>
      <c r="L92" s="347" t="s">
        <v>20</v>
      </c>
      <c r="M92" s="690" t="s">
        <v>2091</v>
      </c>
      <c r="N92" s="684"/>
      <c r="O92" s="203"/>
      <c r="P92" s="203"/>
      <c r="Q92" s="203"/>
      <c r="R92" s="203"/>
      <c r="S92" s="203"/>
      <c r="T92" s="203"/>
      <c r="U92" s="203"/>
    </row>
    <row r="93" hidden="1" spans="1:21">
      <c r="A93" s="690" t="s">
        <v>2038</v>
      </c>
      <c r="B93" s="696" t="s">
        <v>2039</v>
      </c>
      <c r="C93" s="671" t="s">
        <v>2092</v>
      </c>
      <c r="D93" s="697">
        <v>60</v>
      </c>
      <c r="E93" s="698"/>
      <c r="F93" s="675"/>
      <c r="G93" s="675">
        <f>G92</f>
        <v>45695</v>
      </c>
      <c r="H93" s="676">
        <f>H92</f>
        <v>45717</v>
      </c>
      <c r="I93" s="690" t="s">
        <v>2089</v>
      </c>
      <c r="J93" s="690" t="s">
        <v>18</v>
      </c>
      <c r="K93" s="690" t="s">
        <v>147</v>
      </c>
      <c r="L93" s="347" t="s">
        <v>20</v>
      </c>
      <c r="M93" s="690" t="s">
        <v>2091</v>
      </c>
      <c r="N93" s="684"/>
      <c r="O93" s="203"/>
      <c r="P93" s="203"/>
      <c r="Q93" s="203"/>
      <c r="R93" s="203"/>
      <c r="S93" s="203"/>
      <c r="T93" s="203"/>
      <c r="U93" s="203"/>
    </row>
    <row r="94" hidden="1" spans="1:21">
      <c r="A94" s="690" t="s">
        <v>2038</v>
      </c>
      <c r="B94" s="696" t="s">
        <v>2039</v>
      </c>
      <c r="C94" s="671" t="s">
        <v>2093</v>
      </c>
      <c r="D94" s="697">
        <v>5</v>
      </c>
      <c r="E94" s="698"/>
      <c r="F94" s="675"/>
      <c r="G94" s="675">
        <f>G93</f>
        <v>45695</v>
      </c>
      <c r="H94" s="676">
        <f>H93</f>
        <v>45717</v>
      </c>
      <c r="I94" s="690" t="s">
        <v>2089</v>
      </c>
      <c r="J94" s="690" t="s">
        <v>18</v>
      </c>
      <c r="K94" s="690" t="s">
        <v>147</v>
      </c>
      <c r="L94" s="347" t="s">
        <v>20</v>
      </c>
      <c r="M94" s="690" t="s">
        <v>2091</v>
      </c>
      <c r="N94" s="684"/>
      <c r="O94" s="203"/>
      <c r="P94" s="203"/>
      <c r="Q94" s="203"/>
      <c r="R94" s="203"/>
      <c r="S94" s="203"/>
      <c r="T94" s="203"/>
      <c r="U94" s="203"/>
    </row>
    <row r="95" hidden="1" spans="1:21">
      <c r="A95" s="690" t="s">
        <v>2038</v>
      </c>
      <c r="B95" s="696" t="s">
        <v>2039</v>
      </c>
      <c r="C95" s="671" t="s">
        <v>2094</v>
      </c>
      <c r="D95" s="697">
        <v>30</v>
      </c>
      <c r="E95" s="698"/>
      <c r="F95" s="675"/>
      <c r="G95" s="675">
        <f>G94</f>
        <v>45695</v>
      </c>
      <c r="H95" s="676">
        <f>H94</f>
        <v>45717</v>
      </c>
      <c r="I95" s="690" t="s">
        <v>2089</v>
      </c>
      <c r="J95" s="690" t="s">
        <v>18</v>
      </c>
      <c r="K95" s="690" t="s">
        <v>147</v>
      </c>
      <c r="L95" s="347" t="s">
        <v>20</v>
      </c>
      <c r="M95" s="690" t="s">
        <v>2091</v>
      </c>
      <c r="N95" s="684"/>
      <c r="O95" s="203"/>
      <c r="P95" s="203"/>
      <c r="Q95" s="203"/>
      <c r="R95" s="203"/>
      <c r="S95" s="203"/>
      <c r="T95" s="203"/>
      <c r="U95" s="203"/>
    </row>
    <row r="96" hidden="1" spans="1:21">
      <c r="A96" s="690" t="s">
        <v>2038</v>
      </c>
      <c r="B96" s="696" t="s">
        <v>2039</v>
      </c>
      <c r="C96" s="671" t="s">
        <v>2095</v>
      </c>
      <c r="D96" s="697">
        <v>30</v>
      </c>
      <c r="E96" s="698"/>
      <c r="F96" s="675"/>
      <c r="G96" s="675">
        <f>G95</f>
        <v>45695</v>
      </c>
      <c r="H96" s="676">
        <f>H95</f>
        <v>45717</v>
      </c>
      <c r="I96" s="690" t="s">
        <v>2089</v>
      </c>
      <c r="J96" s="690" t="s">
        <v>18</v>
      </c>
      <c r="K96" s="690" t="s">
        <v>147</v>
      </c>
      <c r="L96" s="347" t="s">
        <v>20</v>
      </c>
      <c r="M96" s="690" t="s">
        <v>2091</v>
      </c>
      <c r="N96" s="684"/>
      <c r="O96" s="203"/>
      <c r="P96" s="203"/>
      <c r="Q96" s="203"/>
      <c r="R96" s="203"/>
      <c r="S96" s="203"/>
      <c r="T96" s="203"/>
      <c r="U96" s="203"/>
    </row>
    <row r="97" hidden="1" spans="1:21">
      <c r="A97" s="690" t="s">
        <v>2038</v>
      </c>
      <c r="B97" s="696" t="s">
        <v>2039</v>
      </c>
      <c r="C97" s="673" t="s">
        <v>2087</v>
      </c>
      <c r="D97" s="697">
        <v>36</v>
      </c>
      <c r="E97" s="674" t="s">
        <v>2099</v>
      </c>
      <c r="F97" s="675"/>
      <c r="G97" s="675">
        <f>VLOOKUP(CLEAN(SUBSTITUTE(TRIM(MID(E:E,FIND("/",E:E)+1,LEN(E:E)))," ","")),'Customs Decl. &amp; Local Delivery'!D:I,6,0)</f>
        <v>45695</v>
      </c>
      <c r="H97" s="676">
        <f>VLOOKUP(CLEAN(SUBSTITUTE(TRIM(MID(E:E,FIND("/",E:E)+1,LEN(E:E)))," ","")),'Customs Decl. &amp; Local Delivery'!D:J,7,0)</f>
        <v>45717</v>
      </c>
      <c r="I97" s="690" t="s">
        <v>2089</v>
      </c>
      <c r="J97" s="690" t="s">
        <v>18</v>
      </c>
      <c r="K97" s="699" t="s">
        <v>147</v>
      </c>
      <c r="L97" s="347" t="s">
        <v>20</v>
      </c>
      <c r="M97" s="691" t="s">
        <v>2043</v>
      </c>
      <c r="N97" s="684"/>
      <c r="O97" s="203"/>
      <c r="P97" s="203"/>
      <c r="Q97" s="203"/>
      <c r="R97" s="203"/>
      <c r="S97" s="203"/>
      <c r="T97" s="203"/>
      <c r="U97" s="203"/>
    </row>
    <row r="98" hidden="1" spans="1:21">
      <c r="A98" s="690" t="s">
        <v>2038</v>
      </c>
      <c r="B98" s="696" t="s">
        <v>2039</v>
      </c>
      <c r="C98" s="671" t="s">
        <v>2090</v>
      </c>
      <c r="D98" s="697">
        <v>5</v>
      </c>
      <c r="E98" s="698"/>
      <c r="F98" s="675"/>
      <c r="G98" s="675">
        <f>G97</f>
        <v>45695</v>
      </c>
      <c r="H98" s="676">
        <f>H97</f>
        <v>45717</v>
      </c>
      <c r="I98" s="690" t="s">
        <v>2089</v>
      </c>
      <c r="J98" s="690" t="s">
        <v>18</v>
      </c>
      <c r="K98" s="699" t="s">
        <v>147</v>
      </c>
      <c r="L98" s="347" t="s">
        <v>20</v>
      </c>
      <c r="M98" s="690" t="s">
        <v>2091</v>
      </c>
      <c r="N98" s="684"/>
      <c r="O98" s="203"/>
      <c r="P98" s="203"/>
      <c r="Q98" s="203"/>
      <c r="R98" s="203"/>
      <c r="S98" s="203"/>
      <c r="T98" s="203"/>
      <c r="U98" s="203"/>
    </row>
    <row r="99" hidden="1" spans="1:21">
      <c r="A99" s="690" t="s">
        <v>2038</v>
      </c>
      <c r="B99" s="696" t="s">
        <v>2039</v>
      </c>
      <c r="C99" s="671" t="s">
        <v>2092</v>
      </c>
      <c r="D99" s="697">
        <v>60</v>
      </c>
      <c r="E99" s="698"/>
      <c r="F99" s="675"/>
      <c r="G99" s="675">
        <f>G98</f>
        <v>45695</v>
      </c>
      <c r="H99" s="676">
        <f>H98</f>
        <v>45717</v>
      </c>
      <c r="I99" s="690" t="s">
        <v>2089</v>
      </c>
      <c r="J99" s="690" t="s">
        <v>18</v>
      </c>
      <c r="K99" s="699" t="s">
        <v>147</v>
      </c>
      <c r="L99" s="347" t="s">
        <v>20</v>
      </c>
      <c r="M99" s="690" t="s">
        <v>2091</v>
      </c>
      <c r="N99" s="684"/>
      <c r="O99" s="203"/>
      <c r="P99" s="203"/>
      <c r="Q99" s="203"/>
      <c r="R99" s="203"/>
      <c r="S99" s="203"/>
      <c r="T99" s="203"/>
      <c r="U99" s="203"/>
    </row>
    <row r="100" hidden="1" spans="1:21">
      <c r="A100" s="690" t="s">
        <v>2038</v>
      </c>
      <c r="B100" s="696" t="s">
        <v>2039</v>
      </c>
      <c r="C100" s="671" t="s">
        <v>2093</v>
      </c>
      <c r="D100" s="697">
        <v>5</v>
      </c>
      <c r="E100" s="698"/>
      <c r="F100" s="675"/>
      <c r="G100" s="675">
        <f>G99</f>
        <v>45695</v>
      </c>
      <c r="H100" s="676">
        <f>H99</f>
        <v>45717</v>
      </c>
      <c r="I100" s="690" t="s">
        <v>2089</v>
      </c>
      <c r="J100" s="690" t="s">
        <v>18</v>
      </c>
      <c r="K100" s="699" t="s">
        <v>147</v>
      </c>
      <c r="L100" s="347" t="s">
        <v>20</v>
      </c>
      <c r="M100" s="690" t="s">
        <v>2091</v>
      </c>
      <c r="N100" s="684"/>
      <c r="O100" s="203"/>
      <c r="P100" s="203"/>
      <c r="Q100" s="203"/>
      <c r="R100" s="203"/>
      <c r="S100" s="203"/>
      <c r="T100" s="203"/>
      <c r="U100" s="203"/>
    </row>
    <row r="101" hidden="1" spans="1:21">
      <c r="A101" s="690" t="s">
        <v>2038</v>
      </c>
      <c r="B101" s="696" t="s">
        <v>2039</v>
      </c>
      <c r="C101" s="671" t="s">
        <v>2094</v>
      </c>
      <c r="D101" s="697">
        <v>30</v>
      </c>
      <c r="E101" s="698"/>
      <c r="F101" s="675"/>
      <c r="G101" s="675">
        <f>G100</f>
        <v>45695</v>
      </c>
      <c r="H101" s="676">
        <f>H100</f>
        <v>45717</v>
      </c>
      <c r="I101" s="690" t="s">
        <v>2089</v>
      </c>
      <c r="J101" s="690" t="s">
        <v>18</v>
      </c>
      <c r="K101" s="699" t="s">
        <v>147</v>
      </c>
      <c r="L101" s="347" t="s">
        <v>20</v>
      </c>
      <c r="M101" s="690" t="s">
        <v>2091</v>
      </c>
      <c r="N101" s="684"/>
      <c r="O101" s="203"/>
      <c r="P101" s="203"/>
      <c r="Q101" s="203"/>
      <c r="R101" s="203"/>
      <c r="S101" s="203"/>
      <c r="T101" s="203"/>
      <c r="U101" s="203"/>
    </row>
    <row r="102" hidden="1" spans="1:21">
      <c r="A102" s="690" t="s">
        <v>2038</v>
      </c>
      <c r="B102" s="696" t="s">
        <v>2039</v>
      </c>
      <c r="C102" s="671" t="s">
        <v>2095</v>
      </c>
      <c r="D102" s="697">
        <v>30</v>
      </c>
      <c r="E102" s="698"/>
      <c r="F102" s="675"/>
      <c r="G102" s="675">
        <f>G101</f>
        <v>45695</v>
      </c>
      <c r="H102" s="676">
        <f>H101</f>
        <v>45717</v>
      </c>
      <c r="I102" s="690" t="s">
        <v>2089</v>
      </c>
      <c r="J102" s="690" t="s">
        <v>18</v>
      </c>
      <c r="K102" s="699" t="s">
        <v>147</v>
      </c>
      <c r="L102" s="347" t="s">
        <v>20</v>
      </c>
      <c r="M102" s="690" t="s">
        <v>2091</v>
      </c>
      <c r="N102" s="684"/>
      <c r="O102" s="203"/>
      <c r="P102" s="203"/>
      <c r="Q102" s="203"/>
      <c r="R102" s="203"/>
      <c r="S102" s="203"/>
      <c r="T102" s="203"/>
      <c r="U102" s="203"/>
    </row>
    <row r="103" s="178" customFormat="1" hidden="1" spans="1:21">
      <c r="A103" s="699"/>
      <c r="B103" s="700" t="s">
        <v>309</v>
      </c>
      <c r="C103" s="701" t="s">
        <v>2090</v>
      </c>
      <c r="D103" s="248">
        <v>10</v>
      </c>
      <c r="E103" s="702" t="s">
        <v>2100</v>
      </c>
      <c r="F103" s="703"/>
      <c r="G103" s="704" t="s">
        <v>1280</v>
      </c>
      <c r="H103" s="705" t="s">
        <v>2101</v>
      </c>
      <c r="I103" s="710" t="s">
        <v>2102</v>
      </c>
      <c r="J103" s="699" t="s">
        <v>18</v>
      </c>
      <c r="K103" s="699" t="s">
        <v>147</v>
      </c>
      <c r="L103" s="347" t="s">
        <v>20</v>
      </c>
      <c r="M103" s="690" t="s">
        <v>2103</v>
      </c>
      <c r="N103" s="684"/>
      <c r="O103" s="203"/>
      <c r="P103" s="203"/>
      <c r="Q103" s="203"/>
      <c r="R103" s="203"/>
      <c r="S103" s="203"/>
      <c r="T103" s="203"/>
      <c r="U103" s="203"/>
    </row>
    <row r="104" s="178" customFormat="1" hidden="1" spans="1:21">
      <c r="A104" s="699"/>
      <c r="B104" s="700" t="s">
        <v>309</v>
      </c>
      <c r="C104" s="701" t="s">
        <v>2094</v>
      </c>
      <c r="D104" s="248">
        <v>2</v>
      </c>
      <c r="E104" s="698"/>
      <c r="F104" s="703"/>
      <c r="G104" s="704" t="s">
        <v>1280</v>
      </c>
      <c r="H104" s="705" t="s">
        <v>2101</v>
      </c>
      <c r="I104" s="711" t="s">
        <v>2102</v>
      </c>
      <c r="J104" s="699" t="s">
        <v>18</v>
      </c>
      <c r="K104" s="699" t="s">
        <v>147</v>
      </c>
      <c r="L104" s="347" t="s">
        <v>20</v>
      </c>
      <c r="M104" s="690" t="s">
        <v>2104</v>
      </c>
      <c r="N104" s="684"/>
      <c r="O104" s="203"/>
      <c r="P104" s="203"/>
      <c r="Q104" s="203"/>
      <c r="R104" s="203"/>
      <c r="S104" s="203"/>
      <c r="T104" s="203"/>
      <c r="U104" s="203"/>
    </row>
    <row r="105" s="178" customFormat="1" hidden="1" spans="1:21">
      <c r="A105" s="699"/>
      <c r="B105" s="700" t="s">
        <v>309</v>
      </c>
      <c r="C105" s="701" t="s">
        <v>2092</v>
      </c>
      <c r="D105" s="248">
        <v>4</v>
      </c>
      <c r="E105" s="698"/>
      <c r="F105" s="703"/>
      <c r="G105" s="704" t="s">
        <v>1280</v>
      </c>
      <c r="H105" s="705" t="s">
        <v>2101</v>
      </c>
      <c r="I105" s="699" t="s">
        <v>2102</v>
      </c>
      <c r="J105" s="699" t="s">
        <v>18</v>
      </c>
      <c r="K105" s="699" t="s">
        <v>147</v>
      </c>
      <c r="L105" s="347" t="s">
        <v>20</v>
      </c>
      <c r="M105" s="690" t="s">
        <v>2104</v>
      </c>
      <c r="N105" s="684"/>
      <c r="O105" s="203"/>
      <c r="P105" s="203"/>
      <c r="Q105" s="203"/>
      <c r="R105" s="203"/>
      <c r="S105" s="203"/>
      <c r="T105" s="203"/>
      <c r="U105" s="203"/>
    </row>
    <row r="106" s="178" customFormat="1" hidden="1" spans="1:21">
      <c r="A106" s="699"/>
      <c r="B106" s="700" t="s">
        <v>309</v>
      </c>
      <c r="C106" s="701" t="s">
        <v>2093</v>
      </c>
      <c r="D106" s="248">
        <v>1</v>
      </c>
      <c r="E106" s="698"/>
      <c r="F106" s="703"/>
      <c r="G106" s="704" t="s">
        <v>1280</v>
      </c>
      <c r="H106" s="705" t="s">
        <v>2101</v>
      </c>
      <c r="I106" s="699" t="s">
        <v>2102</v>
      </c>
      <c r="J106" s="699" t="s">
        <v>18</v>
      </c>
      <c r="K106" s="699" t="s">
        <v>147</v>
      </c>
      <c r="L106" s="347" t="s">
        <v>20</v>
      </c>
      <c r="M106" s="690" t="s">
        <v>2104</v>
      </c>
      <c r="N106" s="684"/>
      <c r="O106" s="203"/>
      <c r="P106" s="203"/>
      <c r="Q106" s="203"/>
      <c r="R106" s="203"/>
      <c r="S106" s="203"/>
      <c r="T106" s="203"/>
      <c r="U106" s="203"/>
    </row>
    <row r="107" s="178" customFormat="1" hidden="1" spans="1:21">
      <c r="A107" s="699"/>
      <c r="B107" s="700" t="s">
        <v>309</v>
      </c>
      <c r="C107" s="701" t="s">
        <v>2095</v>
      </c>
      <c r="D107" s="248">
        <v>5</v>
      </c>
      <c r="E107" s="698"/>
      <c r="F107" s="703"/>
      <c r="G107" s="704" t="s">
        <v>1280</v>
      </c>
      <c r="H107" s="705" t="s">
        <v>2101</v>
      </c>
      <c r="I107" s="699" t="s">
        <v>2102</v>
      </c>
      <c r="J107" s="699" t="s">
        <v>18</v>
      </c>
      <c r="K107" s="699" t="s">
        <v>147</v>
      </c>
      <c r="L107" s="347" t="s">
        <v>20</v>
      </c>
      <c r="M107" s="690" t="s">
        <v>2104</v>
      </c>
      <c r="N107" s="684"/>
      <c r="O107" s="203"/>
      <c r="P107" s="203"/>
      <c r="Q107" s="203"/>
      <c r="R107" s="203"/>
      <c r="S107" s="203"/>
      <c r="T107" s="203"/>
      <c r="U107" s="203"/>
    </row>
    <row r="108" hidden="1" spans="1:21">
      <c r="A108" s="671" t="s">
        <v>2038</v>
      </c>
      <c r="B108" s="672" t="s">
        <v>2039</v>
      </c>
      <c r="C108" s="671" t="s">
        <v>2072</v>
      </c>
      <c r="D108" s="250">
        <v>28</v>
      </c>
      <c r="E108" s="674" t="s">
        <v>2105</v>
      </c>
      <c r="F108" s="675"/>
      <c r="G108" s="675">
        <f>VLOOKUP(CLEAN(SUBSTITUTE(TRIM(MID(E:E,FIND("/",E:E)+1,LEN(E:E)))," ","")),'Customs Decl. &amp; Local Delivery'!D:I,6,0)</f>
        <v>45707</v>
      </c>
      <c r="H108" s="676">
        <f>VLOOKUP(CLEAN(SUBSTITUTE(TRIM(MID(E:E,FIND("/",E:E)+1,LEN(E:E)))," ","")),'Customs Decl. &amp; Local Delivery'!D:J,7,0)</f>
        <v>45728</v>
      </c>
      <c r="I108" s="690" t="s">
        <v>2106</v>
      </c>
      <c r="J108" s="671" t="s">
        <v>18</v>
      </c>
      <c r="K108" s="690" t="s">
        <v>654</v>
      </c>
      <c r="L108" s="347" t="s">
        <v>20</v>
      </c>
      <c r="M108" s="691" t="s">
        <v>2107</v>
      </c>
      <c r="N108" s="688"/>
      <c r="O108" s="203"/>
      <c r="P108" s="203"/>
      <c r="Q108" s="203"/>
      <c r="R108" s="203"/>
      <c r="S108" s="203"/>
      <c r="T108" s="203"/>
      <c r="U108" s="203"/>
    </row>
    <row r="109" hidden="1" spans="1:21">
      <c r="A109" s="671" t="s">
        <v>2038</v>
      </c>
      <c r="B109" s="672" t="s">
        <v>2039</v>
      </c>
      <c r="C109" s="671" t="s">
        <v>2076</v>
      </c>
      <c r="D109" s="250">
        <v>28</v>
      </c>
      <c r="E109" s="698"/>
      <c r="F109" s="675"/>
      <c r="G109" s="675">
        <f>G108</f>
        <v>45707</v>
      </c>
      <c r="H109" s="676">
        <f>H108</f>
        <v>45728</v>
      </c>
      <c r="I109" s="690" t="s">
        <v>2106</v>
      </c>
      <c r="J109" s="671" t="s">
        <v>18</v>
      </c>
      <c r="K109" s="690" t="s">
        <v>654</v>
      </c>
      <c r="L109" s="347" t="s">
        <v>20</v>
      </c>
      <c r="M109" s="690" t="s">
        <v>2085</v>
      </c>
      <c r="N109" s="688"/>
      <c r="O109" s="203"/>
      <c r="P109" s="203"/>
      <c r="Q109" s="203"/>
      <c r="R109" s="203"/>
      <c r="S109" s="203"/>
      <c r="T109" s="203"/>
      <c r="U109" s="203"/>
    </row>
    <row r="110" hidden="1" spans="1:21">
      <c r="A110" s="671" t="s">
        <v>2038</v>
      </c>
      <c r="B110" s="672" t="s">
        <v>2039</v>
      </c>
      <c r="C110" s="671" t="s">
        <v>2072</v>
      </c>
      <c r="D110" s="250">
        <v>28</v>
      </c>
      <c r="E110" s="674" t="s">
        <v>2108</v>
      </c>
      <c r="F110" s="675"/>
      <c r="G110" s="675">
        <f>VLOOKUP(CLEAN(SUBSTITUTE(TRIM(MID(E:E,FIND("/",E:E)+1,LEN(E:E)))," ","")),'Customs Decl. &amp; Local Delivery'!D:I,6,0)</f>
        <v>45707</v>
      </c>
      <c r="H110" s="676">
        <f>VLOOKUP(CLEAN(SUBSTITUTE(TRIM(MID(E:E,FIND("/",E:E)+1,LEN(E:E)))," ","")),'Customs Decl. &amp; Local Delivery'!D:J,7,0)</f>
        <v>45728</v>
      </c>
      <c r="I110" s="690" t="s">
        <v>2106</v>
      </c>
      <c r="J110" s="671" t="s">
        <v>18</v>
      </c>
      <c r="K110" s="690" t="s">
        <v>654</v>
      </c>
      <c r="L110" s="347" t="s">
        <v>20</v>
      </c>
      <c r="M110" s="691" t="s">
        <v>2109</v>
      </c>
      <c r="N110" s="688"/>
      <c r="O110" s="203"/>
      <c r="P110" s="203"/>
      <c r="Q110" s="203"/>
      <c r="R110" s="203"/>
      <c r="S110" s="203"/>
      <c r="T110" s="203"/>
      <c r="U110" s="203"/>
    </row>
    <row r="111" hidden="1" spans="1:21">
      <c r="A111" s="671" t="s">
        <v>2038</v>
      </c>
      <c r="B111" s="672" t="s">
        <v>2039</v>
      </c>
      <c r="C111" s="671" t="s">
        <v>2076</v>
      </c>
      <c r="D111" s="250">
        <v>28</v>
      </c>
      <c r="E111" s="698"/>
      <c r="F111" s="675"/>
      <c r="G111" s="675">
        <f>G110</f>
        <v>45707</v>
      </c>
      <c r="H111" s="676">
        <f>H110</f>
        <v>45728</v>
      </c>
      <c r="I111" s="690" t="s">
        <v>2106</v>
      </c>
      <c r="J111" s="671" t="s">
        <v>18</v>
      </c>
      <c r="K111" s="690" t="s">
        <v>654</v>
      </c>
      <c r="L111" s="347" t="s">
        <v>20</v>
      </c>
      <c r="M111" s="690" t="s">
        <v>2085</v>
      </c>
      <c r="N111" s="688"/>
      <c r="O111" s="203"/>
      <c r="P111" s="203"/>
      <c r="Q111" s="203"/>
      <c r="R111" s="203"/>
      <c r="S111" s="203"/>
      <c r="T111" s="203"/>
      <c r="U111" s="203"/>
    </row>
    <row r="112" hidden="1" spans="1:21">
      <c r="A112" s="671" t="s">
        <v>2038</v>
      </c>
      <c r="B112" s="672" t="s">
        <v>2039</v>
      </c>
      <c r="C112" s="671" t="s">
        <v>2072</v>
      </c>
      <c r="D112" s="250">
        <v>28</v>
      </c>
      <c r="E112" s="674" t="s">
        <v>2110</v>
      </c>
      <c r="F112" s="675"/>
      <c r="G112" s="675">
        <f>VLOOKUP(CLEAN(SUBSTITUTE(TRIM(MID(E:E,FIND("/",E:E)+1,LEN(E:E)))," ","")),'Customs Decl. &amp; Local Delivery'!D:I,6,0)</f>
        <v>45707</v>
      </c>
      <c r="H112" s="676">
        <f>VLOOKUP(CLEAN(SUBSTITUTE(TRIM(MID(E:E,FIND("/",E:E)+1,LEN(E:E)))," ","")),'Customs Decl. &amp; Local Delivery'!D:J,7,0)</f>
        <v>45728</v>
      </c>
      <c r="I112" s="690" t="s">
        <v>2111</v>
      </c>
      <c r="J112" s="671" t="s">
        <v>18</v>
      </c>
      <c r="K112" s="690" t="s">
        <v>147</v>
      </c>
      <c r="L112" s="347" t="s">
        <v>20</v>
      </c>
      <c r="M112" s="691" t="s">
        <v>2043</v>
      </c>
      <c r="N112" s="684"/>
      <c r="O112" s="203"/>
      <c r="P112" s="203"/>
      <c r="Q112" s="203"/>
      <c r="R112" s="203"/>
      <c r="S112" s="203"/>
      <c r="T112" s="203"/>
      <c r="U112" s="203"/>
    </row>
    <row r="113" hidden="1" spans="1:21">
      <c r="A113" s="671" t="s">
        <v>2038</v>
      </c>
      <c r="B113" s="672" t="s">
        <v>2039</v>
      </c>
      <c r="C113" s="671" t="s">
        <v>2076</v>
      </c>
      <c r="D113" s="250">
        <v>28</v>
      </c>
      <c r="E113" s="706"/>
      <c r="F113" s="675"/>
      <c r="G113" s="675">
        <f>G112</f>
        <v>45707</v>
      </c>
      <c r="H113" s="676">
        <f>H112</f>
        <v>45728</v>
      </c>
      <c r="I113" s="690" t="s">
        <v>2111</v>
      </c>
      <c r="J113" s="671" t="s">
        <v>18</v>
      </c>
      <c r="K113" s="699" t="s">
        <v>147</v>
      </c>
      <c r="L113" s="347" t="s">
        <v>20</v>
      </c>
      <c r="M113" s="690" t="s">
        <v>2085</v>
      </c>
      <c r="N113" s="684"/>
      <c r="O113" s="203"/>
      <c r="P113" s="203"/>
      <c r="Q113" s="203"/>
      <c r="R113" s="203"/>
      <c r="S113" s="203"/>
      <c r="T113" s="203"/>
      <c r="U113" s="203"/>
    </row>
    <row r="114" hidden="1" spans="1:21">
      <c r="A114" s="690" t="s">
        <v>2112</v>
      </c>
      <c r="B114" s="707" t="s">
        <v>2113</v>
      </c>
      <c r="C114" s="671" t="s">
        <v>2114</v>
      </c>
      <c r="D114" s="250">
        <v>100</v>
      </c>
      <c r="E114" s="706"/>
      <c r="F114" s="675"/>
      <c r="G114" s="675">
        <f>G113</f>
        <v>45707</v>
      </c>
      <c r="H114" s="676">
        <f>H113</f>
        <v>45728</v>
      </c>
      <c r="I114" s="690" t="s">
        <v>2111</v>
      </c>
      <c r="J114" s="690" t="s">
        <v>18</v>
      </c>
      <c r="K114" s="699" t="s">
        <v>147</v>
      </c>
      <c r="L114" s="347" t="s">
        <v>20</v>
      </c>
      <c r="M114" s="690"/>
      <c r="N114" s="684"/>
      <c r="O114" s="203"/>
      <c r="P114" s="203"/>
      <c r="Q114" s="203"/>
      <c r="R114" s="203"/>
      <c r="S114" s="203"/>
      <c r="T114" s="203"/>
      <c r="U114" s="203"/>
    </row>
    <row r="115" hidden="1" spans="1:21">
      <c r="A115" s="671" t="s">
        <v>2038</v>
      </c>
      <c r="B115" s="672" t="s">
        <v>2039</v>
      </c>
      <c r="C115" s="671" t="s">
        <v>2072</v>
      </c>
      <c r="D115" s="250">
        <v>28</v>
      </c>
      <c r="E115" s="674" t="s">
        <v>2115</v>
      </c>
      <c r="F115" s="675"/>
      <c r="G115" s="675">
        <f>VLOOKUP(CLEAN(SUBSTITUTE(TRIM(MID(E:E,FIND("/",E:E)+1,LEN(E:E)))," ","")),'Customs Decl. &amp; Local Delivery'!D:I,6,0)</f>
        <v>45707</v>
      </c>
      <c r="H115" s="676">
        <f>VLOOKUP(CLEAN(SUBSTITUTE(TRIM(MID(E:E,FIND("/",E:E)+1,LEN(E:E)))," ","")),'Customs Decl. &amp; Local Delivery'!D:J,7,0)</f>
        <v>45728</v>
      </c>
      <c r="I115" s="690" t="s">
        <v>2111</v>
      </c>
      <c r="J115" s="671" t="s">
        <v>18</v>
      </c>
      <c r="K115" s="699" t="s">
        <v>147</v>
      </c>
      <c r="L115" s="347" t="s">
        <v>20</v>
      </c>
      <c r="M115" s="691" t="s">
        <v>2043</v>
      </c>
      <c r="N115" s="684"/>
      <c r="O115" s="203"/>
      <c r="P115" s="203"/>
      <c r="Q115" s="203"/>
      <c r="R115" s="203"/>
      <c r="S115" s="203"/>
      <c r="T115" s="203"/>
      <c r="U115" s="203"/>
    </row>
    <row r="116" hidden="1" spans="1:21">
      <c r="A116" s="671" t="s">
        <v>2038</v>
      </c>
      <c r="B116" s="672" t="s">
        <v>2039</v>
      </c>
      <c r="C116" s="671" t="s">
        <v>2076</v>
      </c>
      <c r="D116" s="250">
        <v>28</v>
      </c>
      <c r="E116" s="677"/>
      <c r="F116" s="675"/>
      <c r="G116" s="675">
        <f>G115</f>
        <v>45707</v>
      </c>
      <c r="H116" s="676">
        <f>H115</f>
        <v>45728</v>
      </c>
      <c r="I116" s="690" t="s">
        <v>2111</v>
      </c>
      <c r="J116" s="671" t="s">
        <v>18</v>
      </c>
      <c r="K116" s="699" t="s">
        <v>147</v>
      </c>
      <c r="L116" s="347" t="s">
        <v>20</v>
      </c>
      <c r="M116" s="690" t="s">
        <v>2085</v>
      </c>
      <c r="N116" s="684"/>
      <c r="O116" s="203"/>
      <c r="P116" s="203"/>
      <c r="Q116" s="203"/>
      <c r="R116" s="203"/>
      <c r="S116" s="203"/>
      <c r="T116" s="203"/>
      <c r="U116" s="203"/>
    </row>
    <row r="117" hidden="1" spans="1:21">
      <c r="A117" s="671" t="s">
        <v>2038</v>
      </c>
      <c r="B117" s="672" t="s">
        <v>2039</v>
      </c>
      <c r="C117" s="671" t="s">
        <v>2072</v>
      </c>
      <c r="D117" s="250">
        <v>28</v>
      </c>
      <c r="E117" s="674" t="s">
        <v>2116</v>
      </c>
      <c r="F117" s="675"/>
      <c r="G117" s="675">
        <f>VLOOKUP(CLEAN(SUBSTITUTE(TRIM(MID(E:E,FIND("/",E:E)+1,LEN(E:E)))," ","")),'Customs Decl. &amp; Local Delivery'!D:I,6,0)</f>
        <v>45707</v>
      </c>
      <c r="H117" s="676">
        <f>VLOOKUP(CLEAN(SUBSTITUTE(TRIM(MID(E:E,FIND("/",E:E)+1,LEN(E:E)))," ","")),'Customs Decl. &amp; Local Delivery'!D:J,7,0)</f>
        <v>45728</v>
      </c>
      <c r="I117" s="690" t="s">
        <v>2111</v>
      </c>
      <c r="J117" s="671" t="s">
        <v>18</v>
      </c>
      <c r="K117" s="699" t="s">
        <v>147</v>
      </c>
      <c r="L117" s="347" t="s">
        <v>20</v>
      </c>
      <c r="M117" s="691" t="s">
        <v>2043</v>
      </c>
      <c r="N117" s="684"/>
      <c r="O117" s="203"/>
      <c r="P117" s="203"/>
      <c r="Q117" s="203"/>
      <c r="R117" s="203"/>
      <c r="S117" s="203"/>
      <c r="T117" s="203"/>
      <c r="U117" s="203"/>
    </row>
    <row r="118" hidden="1" spans="1:21">
      <c r="A118" s="671" t="s">
        <v>2038</v>
      </c>
      <c r="B118" s="672" t="s">
        <v>2039</v>
      </c>
      <c r="C118" s="671" t="s">
        <v>2076</v>
      </c>
      <c r="D118" s="250">
        <v>28</v>
      </c>
      <c r="E118" s="677"/>
      <c r="F118" s="675"/>
      <c r="G118" s="675">
        <f>G117</f>
        <v>45707</v>
      </c>
      <c r="H118" s="676">
        <f>H117</f>
        <v>45728</v>
      </c>
      <c r="I118" s="690" t="s">
        <v>2111</v>
      </c>
      <c r="J118" s="671" t="s">
        <v>18</v>
      </c>
      <c r="K118" s="699" t="s">
        <v>147</v>
      </c>
      <c r="L118" s="347" t="s">
        <v>20</v>
      </c>
      <c r="M118" s="690" t="s">
        <v>2085</v>
      </c>
      <c r="N118" s="684"/>
      <c r="O118" s="203"/>
      <c r="P118" s="203"/>
      <c r="Q118" s="203"/>
      <c r="R118" s="203"/>
      <c r="S118" s="203"/>
      <c r="T118" s="203"/>
      <c r="U118" s="203"/>
    </row>
    <row r="119" hidden="1" spans="1:21">
      <c r="A119" s="671" t="s">
        <v>2038</v>
      </c>
      <c r="B119" s="672" t="s">
        <v>2039</v>
      </c>
      <c r="C119" s="671" t="s">
        <v>2072</v>
      </c>
      <c r="D119" s="250">
        <v>28</v>
      </c>
      <c r="E119" s="702" t="s">
        <v>2117</v>
      </c>
      <c r="F119" s="675"/>
      <c r="G119" s="675">
        <f>VLOOKUP(CLEAN(SUBSTITUTE(TRIM(MID(E:E,FIND("/",E:E)+1,LEN(E:E)))," ","")),'Customs Decl. &amp; Local Delivery'!D:I,6,0)</f>
        <v>45707</v>
      </c>
      <c r="H119" s="676">
        <f>VLOOKUP(CLEAN(SUBSTITUTE(TRIM(MID(E:E,FIND("/",E:E)+1,LEN(E:E)))," ","")),'Customs Decl. &amp; Local Delivery'!D:J,7,0)</f>
        <v>45728</v>
      </c>
      <c r="I119" s="690" t="s">
        <v>2111</v>
      </c>
      <c r="J119" s="671" t="s">
        <v>18</v>
      </c>
      <c r="K119" s="699" t="s">
        <v>147</v>
      </c>
      <c r="L119" s="347" t="s">
        <v>20</v>
      </c>
      <c r="M119" s="691" t="s">
        <v>2043</v>
      </c>
      <c r="N119" s="684"/>
      <c r="O119" s="203"/>
      <c r="P119" s="203"/>
      <c r="Q119" s="203"/>
      <c r="R119" s="203"/>
      <c r="S119" s="203"/>
      <c r="T119" s="203"/>
      <c r="U119" s="203"/>
    </row>
    <row r="120" hidden="1" spans="1:21">
      <c r="A120" s="671" t="s">
        <v>2038</v>
      </c>
      <c r="B120" s="672" t="s">
        <v>2039</v>
      </c>
      <c r="C120" s="671" t="s">
        <v>2076</v>
      </c>
      <c r="D120" s="250">
        <v>28</v>
      </c>
      <c r="E120" s="708"/>
      <c r="F120" s="675"/>
      <c r="G120" s="675">
        <f>G119</f>
        <v>45707</v>
      </c>
      <c r="H120" s="676">
        <f>H119</f>
        <v>45728</v>
      </c>
      <c r="I120" s="690" t="s">
        <v>2111</v>
      </c>
      <c r="J120" s="671" t="s">
        <v>18</v>
      </c>
      <c r="K120" s="699" t="s">
        <v>147</v>
      </c>
      <c r="L120" s="347" t="s">
        <v>20</v>
      </c>
      <c r="M120" s="690" t="s">
        <v>2085</v>
      </c>
      <c r="N120" s="684"/>
      <c r="O120" s="203"/>
      <c r="P120" s="203"/>
      <c r="Q120" s="203"/>
      <c r="R120" s="203"/>
      <c r="S120" s="203"/>
      <c r="T120" s="203"/>
      <c r="U120" s="203"/>
    </row>
    <row r="121" hidden="1" spans="1:21">
      <c r="A121" s="671" t="s">
        <v>2038</v>
      </c>
      <c r="B121" s="672" t="s">
        <v>2039</v>
      </c>
      <c r="C121" s="671" t="s">
        <v>2072</v>
      </c>
      <c r="D121" s="250">
        <v>28</v>
      </c>
      <c r="E121" s="674" t="s">
        <v>2118</v>
      </c>
      <c r="F121" s="675"/>
      <c r="G121" s="675">
        <f>VLOOKUP(CLEAN(SUBSTITUTE(TRIM(MID(E:E,FIND("/",E:E)+1,LEN(E:E)))," ","")),'Customs Decl. &amp; Local Delivery'!D:I,6,0)</f>
        <v>45707</v>
      </c>
      <c r="H121" s="676">
        <f>VLOOKUP(CLEAN(SUBSTITUTE(TRIM(MID(E:E,FIND("/",E:E)+1,LEN(E:E)))," ","")),'Customs Decl. &amp; Local Delivery'!D:J,7,0)</f>
        <v>45728</v>
      </c>
      <c r="I121" s="690" t="s">
        <v>2111</v>
      </c>
      <c r="J121" s="671" t="s">
        <v>18</v>
      </c>
      <c r="K121" s="699" t="s">
        <v>147</v>
      </c>
      <c r="L121" s="347" t="s">
        <v>20</v>
      </c>
      <c r="M121" s="690"/>
      <c r="N121" s="684"/>
      <c r="O121" s="203"/>
      <c r="P121" s="203"/>
      <c r="Q121" s="203"/>
      <c r="R121" s="203"/>
      <c r="S121" s="203"/>
      <c r="T121" s="203"/>
      <c r="U121" s="203"/>
    </row>
    <row r="122" hidden="1" spans="1:21">
      <c r="A122" s="671" t="s">
        <v>2038</v>
      </c>
      <c r="B122" s="672" t="s">
        <v>2039</v>
      </c>
      <c r="C122" s="671" t="s">
        <v>2076</v>
      </c>
      <c r="D122" s="250">
        <v>28</v>
      </c>
      <c r="E122" s="708"/>
      <c r="F122" s="675"/>
      <c r="G122" s="675">
        <f>G121</f>
        <v>45707</v>
      </c>
      <c r="H122" s="676">
        <f>H121</f>
        <v>45728</v>
      </c>
      <c r="I122" s="690" t="s">
        <v>2111</v>
      </c>
      <c r="J122" s="671" t="s">
        <v>18</v>
      </c>
      <c r="K122" s="699" t="s">
        <v>147</v>
      </c>
      <c r="L122" s="347" t="s">
        <v>20</v>
      </c>
      <c r="M122" s="690" t="s">
        <v>2085</v>
      </c>
      <c r="N122" s="684"/>
      <c r="O122" s="203"/>
      <c r="P122" s="203"/>
      <c r="Q122" s="203"/>
      <c r="R122" s="203"/>
      <c r="S122" s="203"/>
      <c r="T122" s="203"/>
      <c r="U122" s="203"/>
    </row>
    <row r="123" hidden="1" spans="1:21">
      <c r="A123" s="690" t="s">
        <v>2112</v>
      </c>
      <c r="B123" s="707" t="s">
        <v>2113</v>
      </c>
      <c r="C123" s="673" t="s">
        <v>2040</v>
      </c>
      <c r="D123" s="270">
        <v>54</v>
      </c>
      <c r="E123" s="674" t="s">
        <v>2119</v>
      </c>
      <c r="F123" s="675"/>
      <c r="G123" s="675">
        <f>VLOOKUP(CLEAN(SUBSTITUTE(TRIM(MID(E:E,FIND("/",E:E)+1,LEN(E:E)))," ","")),'Customs Decl. &amp; Local Delivery'!D:I,6,0)</f>
        <v>45707</v>
      </c>
      <c r="H123" s="676">
        <f>VLOOKUP(CLEAN(SUBSTITUTE(TRIM(MID(E:E,FIND("/",E:E)+1,LEN(E:E)))," ","")),'Customs Decl. &amp; Local Delivery'!D:J,7,0)</f>
        <v>45728</v>
      </c>
      <c r="I123" s="690" t="s">
        <v>2111</v>
      </c>
      <c r="J123" s="690" t="s">
        <v>18</v>
      </c>
      <c r="K123" s="699" t="s">
        <v>147</v>
      </c>
      <c r="L123" s="347" t="s">
        <v>20</v>
      </c>
      <c r="M123" s="691" t="s">
        <v>2043</v>
      </c>
      <c r="N123" s="684"/>
      <c r="O123" s="203"/>
      <c r="P123" s="203"/>
      <c r="Q123" s="203"/>
      <c r="R123" s="203"/>
      <c r="S123" s="203"/>
      <c r="T123" s="203"/>
      <c r="U123" s="203"/>
    </row>
    <row r="124" hidden="1" spans="1:21">
      <c r="A124" s="671" t="s">
        <v>2038</v>
      </c>
      <c r="B124" s="672" t="s">
        <v>2039</v>
      </c>
      <c r="C124" s="671" t="s">
        <v>2076</v>
      </c>
      <c r="D124" s="250">
        <v>14</v>
      </c>
      <c r="E124" s="709"/>
      <c r="F124" s="675"/>
      <c r="G124" s="675">
        <f>G123</f>
        <v>45707</v>
      </c>
      <c r="H124" s="676">
        <f>H123</f>
        <v>45728</v>
      </c>
      <c r="I124" s="690" t="s">
        <v>2111</v>
      </c>
      <c r="J124" s="671" t="s">
        <v>18</v>
      </c>
      <c r="K124" s="699" t="s">
        <v>147</v>
      </c>
      <c r="L124" s="347" t="s">
        <v>20</v>
      </c>
      <c r="M124" s="690" t="s">
        <v>2085</v>
      </c>
      <c r="N124" s="684"/>
      <c r="O124" s="203"/>
      <c r="P124" s="203"/>
      <c r="Q124" s="203"/>
      <c r="R124" s="203"/>
      <c r="S124" s="203"/>
      <c r="T124" s="203"/>
      <c r="U124" s="203"/>
    </row>
    <row r="125" hidden="1" spans="1:21">
      <c r="A125" s="690" t="s">
        <v>2112</v>
      </c>
      <c r="B125" s="707" t="s">
        <v>2113</v>
      </c>
      <c r="C125" s="673" t="s">
        <v>2040</v>
      </c>
      <c r="D125" s="270">
        <v>54</v>
      </c>
      <c r="E125" s="674" t="s">
        <v>2120</v>
      </c>
      <c r="F125" s="675"/>
      <c r="G125" s="675">
        <f>VLOOKUP(CLEAN(SUBSTITUTE(TRIM(MID(E:E,FIND("/",E:E)+1,LEN(E:E)))," ","")),'Customs Decl. &amp; Local Delivery'!D:I,6,0)</f>
        <v>45707</v>
      </c>
      <c r="H125" s="676">
        <f>VLOOKUP(CLEAN(SUBSTITUTE(TRIM(MID(E:E,FIND("/",E:E)+1,LEN(E:E)))," ","")),'Customs Decl. &amp; Local Delivery'!D:J,7,0)</f>
        <v>45728</v>
      </c>
      <c r="I125" s="690" t="s">
        <v>2111</v>
      </c>
      <c r="J125" s="690" t="s">
        <v>18</v>
      </c>
      <c r="K125" s="699" t="s">
        <v>147</v>
      </c>
      <c r="L125" s="347" t="s">
        <v>20</v>
      </c>
      <c r="M125" s="691" t="s">
        <v>2043</v>
      </c>
      <c r="N125" s="684"/>
      <c r="O125" s="203"/>
      <c r="P125" s="203"/>
      <c r="Q125" s="203"/>
      <c r="R125" s="203"/>
      <c r="S125" s="203"/>
      <c r="T125" s="203"/>
      <c r="U125" s="203"/>
    </row>
    <row r="126" hidden="1" spans="1:21">
      <c r="A126" s="671" t="s">
        <v>2038</v>
      </c>
      <c r="B126" s="672" t="s">
        <v>2039</v>
      </c>
      <c r="C126" s="671" t="s">
        <v>2076</v>
      </c>
      <c r="D126" s="250">
        <v>14</v>
      </c>
      <c r="E126" s="709"/>
      <c r="F126" s="675"/>
      <c r="G126" s="675">
        <f>G125</f>
        <v>45707</v>
      </c>
      <c r="H126" s="676">
        <f>H125</f>
        <v>45728</v>
      </c>
      <c r="I126" s="690" t="s">
        <v>2111</v>
      </c>
      <c r="J126" s="671" t="s">
        <v>18</v>
      </c>
      <c r="K126" s="699" t="s">
        <v>147</v>
      </c>
      <c r="L126" s="347" t="s">
        <v>20</v>
      </c>
      <c r="M126" s="690" t="s">
        <v>2085</v>
      </c>
      <c r="N126" s="684"/>
      <c r="O126" s="203"/>
      <c r="P126" s="203"/>
      <c r="Q126" s="203"/>
      <c r="R126" s="203"/>
      <c r="S126" s="203"/>
      <c r="T126" s="203"/>
      <c r="U126" s="203"/>
    </row>
    <row r="127" hidden="1" spans="1:21">
      <c r="A127" s="690" t="s">
        <v>2112</v>
      </c>
      <c r="B127" s="707" t="s">
        <v>2113</v>
      </c>
      <c r="C127" s="673" t="s">
        <v>2040</v>
      </c>
      <c r="D127" s="270">
        <v>54</v>
      </c>
      <c r="E127" s="674" t="s">
        <v>2121</v>
      </c>
      <c r="F127" s="675"/>
      <c r="G127" s="675">
        <f>VLOOKUP(CLEAN(SUBSTITUTE(TRIM(MID(E:E,FIND("/",E:E)+1,LEN(E:E)))," ","")),'Customs Decl. &amp; Local Delivery'!D:I,6,0)</f>
        <v>45707</v>
      </c>
      <c r="H127" s="676">
        <f>VLOOKUP(CLEAN(SUBSTITUTE(TRIM(MID(E:E,FIND("/",E:E)+1,LEN(E:E)))," ","")),'Customs Decl. &amp; Local Delivery'!D:J,7,0)</f>
        <v>45728</v>
      </c>
      <c r="I127" s="690" t="s">
        <v>2111</v>
      </c>
      <c r="J127" s="690" t="s">
        <v>18</v>
      </c>
      <c r="K127" s="690" t="s">
        <v>147</v>
      </c>
      <c r="L127" s="347" t="s">
        <v>20</v>
      </c>
      <c r="M127" s="691" t="s">
        <v>2043</v>
      </c>
      <c r="N127" s="684"/>
      <c r="O127" s="203"/>
      <c r="P127" s="203"/>
      <c r="Q127" s="203"/>
      <c r="R127" s="203"/>
      <c r="S127" s="203"/>
      <c r="T127" s="203"/>
      <c r="U127" s="203"/>
    </row>
    <row r="128" hidden="1" spans="1:21">
      <c r="A128" s="690" t="s">
        <v>2112</v>
      </c>
      <c r="B128" s="707" t="s">
        <v>2113</v>
      </c>
      <c r="C128" s="671" t="s">
        <v>2122</v>
      </c>
      <c r="D128" s="250">
        <v>5</v>
      </c>
      <c r="E128" s="677"/>
      <c r="F128" s="675"/>
      <c r="G128" s="675">
        <f>G127</f>
        <v>45707</v>
      </c>
      <c r="H128" s="676">
        <f>H127</f>
        <v>45728</v>
      </c>
      <c r="I128" s="690" t="s">
        <v>2111</v>
      </c>
      <c r="J128" s="690" t="s">
        <v>18</v>
      </c>
      <c r="K128" s="690" t="s">
        <v>147</v>
      </c>
      <c r="L128" s="347" t="s">
        <v>20</v>
      </c>
      <c r="M128" s="690"/>
      <c r="N128" s="684"/>
      <c r="O128" s="203"/>
      <c r="P128" s="203"/>
      <c r="Q128" s="203"/>
      <c r="R128" s="203"/>
      <c r="S128" s="203"/>
      <c r="T128" s="203"/>
      <c r="U128" s="203"/>
    </row>
    <row r="129" hidden="1" spans="1:21">
      <c r="A129" s="690" t="s">
        <v>2112</v>
      </c>
      <c r="B129" s="707" t="s">
        <v>2113</v>
      </c>
      <c r="C129" s="671" t="s">
        <v>2123</v>
      </c>
      <c r="D129" s="250">
        <v>5</v>
      </c>
      <c r="E129" s="677"/>
      <c r="F129" s="675"/>
      <c r="G129" s="675">
        <f>G128</f>
        <v>45707</v>
      </c>
      <c r="H129" s="676">
        <f>H128</f>
        <v>45728</v>
      </c>
      <c r="I129" s="690" t="s">
        <v>2111</v>
      </c>
      <c r="J129" s="690" t="s">
        <v>18</v>
      </c>
      <c r="K129" s="690" t="s">
        <v>147</v>
      </c>
      <c r="L129" s="347" t="s">
        <v>20</v>
      </c>
      <c r="M129" s="690"/>
      <c r="N129" s="684"/>
      <c r="O129" s="203"/>
      <c r="P129" s="203"/>
      <c r="Q129" s="203"/>
      <c r="R129" s="203"/>
      <c r="S129" s="203"/>
      <c r="T129" s="203"/>
      <c r="U129" s="203"/>
    </row>
    <row r="130" hidden="1" spans="1:21">
      <c r="A130" s="690" t="s">
        <v>2112</v>
      </c>
      <c r="B130" s="707" t="s">
        <v>2113</v>
      </c>
      <c r="C130" s="671" t="s">
        <v>2124</v>
      </c>
      <c r="D130" s="250">
        <v>13</v>
      </c>
      <c r="E130" s="677"/>
      <c r="F130" s="675"/>
      <c r="G130" s="675">
        <f>G129</f>
        <v>45707</v>
      </c>
      <c r="H130" s="676">
        <f>H129</f>
        <v>45728</v>
      </c>
      <c r="I130" s="690" t="s">
        <v>2111</v>
      </c>
      <c r="J130" s="690" t="s">
        <v>18</v>
      </c>
      <c r="K130" s="690" t="s">
        <v>147</v>
      </c>
      <c r="L130" s="347" t="s">
        <v>20</v>
      </c>
      <c r="M130" s="690"/>
      <c r="N130" s="684"/>
      <c r="O130" s="203"/>
      <c r="P130" s="203"/>
      <c r="Q130" s="203"/>
      <c r="R130" s="203"/>
      <c r="S130" s="203"/>
      <c r="T130" s="203"/>
      <c r="U130" s="203"/>
    </row>
    <row r="131" hidden="1" spans="1:21">
      <c r="A131" s="690" t="s">
        <v>2112</v>
      </c>
      <c r="B131" s="707" t="s">
        <v>2113</v>
      </c>
      <c r="C131" s="671" t="s">
        <v>2125</v>
      </c>
      <c r="D131" s="250">
        <v>25</v>
      </c>
      <c r="E131" s="677"/>
      <c r="F131" s="675"/>
      <c r="G131" s="675">
        <f>G130</f>
        <v>45707</v>
      </c>
      <c r="H131" s="676">
        <f>H130</f>
        <v>45728</v>
      </c>
      <c r="I131" s="690" t="s">
        <v>2111</v>
      </c>
      <c r="J131" s="690" t="s">
        <v>18</v>
      </c>
      <c r="K131" s="690" t="s">
        <v>147</v>
      </c>
      <c r="L131" s="347" t="s">
        <v>20</v>
      </c>
      <c r="M131" s="690"/>
      <c r="N131" s="684"/>
      <c r="O131" s="203"/>
      <c r="P131" s="203"/>
      <c r="Q131" s="203"/>
      <c r="R131" s="203"/>
      <c r="S131" s="203"/>
      <c r="T131" s="203"/>
      <c r="U131" s="203"/>
    </row>
    <row r="132" hidden="1" spans="1:21">
      <c r="A132" s="690" t="s">
        <v>2038</v>
      </c>
      <c r="B132" s="696" t="s">
        <v>2039</v>
      </c>
      <c r="C132" s="671" t="s">
        <v>2072</v>
      </c>
      <c r="D132" s="250">
        <v>28</v>
      </c>
      <c r="E132" s="702" t="s">
        <v>2126</v>
      </c>
      <c r="F132" s="675"/>
      <c r="G132" s="675">
        <f>VLOOKUP(CLEAN(SUBSTITUTE(TRIM(MID(E:E,FIND("/",E:E)+1,LEN(E:E)))," ","")),'Customs Decl. &amp; Local Delivery'!D:I,6,0)</f>
        <v>45713</v>
      </c>
      <c r="H132" s="676">
        <f>VLOOKUP(CLEAN(SUBSTITUTE(TRIM(MID(E:E,FIND("/",E:E)+1,LEN(E:E)))," ","")),'Customs Decl. &amp; Local Delivery'!D:J,7,0)</f>
        <v>45728</v>
      </c>
      <c r="I132" s="711" t="s">
        <v>2127</v>
      </c>
      <c r="J132" s="690" t="s">
        <v>18</v>
      </c>
      <c r="K132" s="690" t="s">
        <v>147</v>
      </c>
      <c r="L132" s="347" t="s">
        <v>20</v>
      </c>
      <c r="M132" s="691" t="s">
        <v>2128</v>
      </c>
      <c r="N132" s="684"/>
      <c r="O132" s="203"/>
      <c r="P132" s="203"/>
      <c r="Q132" s="203"/>
      <c r="R132" s="203"/>
      <c r="S132" s="203"/>
      <c r="T132" s="203"/>
      <c r="U132" s="203"/>
    </row>
    <row r="133" hidden="1" spans="1:21">
      <c r="A133" s="690" t="s">
        <v>2038</v>
      </c>
      <c r="B133" s="696" t="s">
        <v>2039</v>
      </c>
      <c r="C133" s="671" t="s">
        <v>2076</v>
      </c>
      <c r="D133" s="250">
        <v>28</v>
      </c>
      <c r="E133" s="712"/>
      <c r="F133" s="675"/>
      <c r="G133" s="675">
        <f>G132</f>
        <v>45713</v>
      </c>
      <c r="H133" s="676">
        <f>H132</f>
        <v>45728</v>
      </c>
      <c r="I133" s="699" t="s">
        <v>2127</v>
      </c>
      <c r="J133" s="690" t="s">
        <v>18</v>
      </c>
      <c r="K133" s="690" t="s">
        <v>147</v>
      </c>
      <c r="L133" s="347" t="s">
        <v>20</v>
      </c>
      <c r="M133" s="691" t="s">
        <v>2129</v>
      </c>
      <c r="N133" s="684"/>
      <c r="O133" s="203"/>
      <c r="P133" s="203"/>
      <c r="Q133" s="203"/>
      <c r="R133" s="203"/>
      <c r="S133" s="203"/>
      <c r="T133" s="203"/>
      <c r="U133" s="203"/>
    </row>
    <row r="134" hidden="1" spans="1:21">
      <c r="A134" s="690" t="s">
        <v>2038</v>
      </c>
      <c r="B134" s="696" t="s">
        <v>2039</v>
      </c>
      <c r="C134" s="671" t="s">
        <v>2072</v>
      </c>
      <c r="D134" s="250">
        <v>32</v>
      </c>
      <c r="E134" s="702" t="s">
        <v>2130</v>
      </c>
      <c r="F134" s="675"/>
      <c r="G134" s="675">
        <f>VLOOKUP(CLEAN(SUBSTITUTE(TRIM(MID(E:E,FIND("/",E:E)+1,LEN(E:E)))," ","")),'Customs Decl. &amp; Local Delivery'!D:I,6,0)</f>
        <v>45712</v>
      </c>
      <c r="H134" s="676">
        <f>VLOOKUP(CLEAN(SUBSTITUTE(TRIM(MID(E:E,FIND("/",E:E)+1,LEN(E:E)))," ","")),'Customs Decl. &amp; Local Delivery'!D:J,7,0)</f>
        <v>45737</v>
      </c>
      <c r="I134" s="699" t="s">
        <v>2131</v>
      </c>
      <c r="J134" s="714" t="s">
        <v>18</v>
      </c>
      <c r="K134" s="690" t="s">
        <v>147</v>
      </c>
      <c r="L134" s="347" t="s">
        <v>20</v>
      </c>
      <c r="M134" s="691" t="s">
        <v>2132</v>
      </c>
      <c r="N134" s="684"/>
      <c r="O134" s="203"/>
      <c r="P134" s="203"/>
      <c r="Q134" s="203"/>
      <c r="R134" s="203"/>
      <c r="S134" s="203"/>
      <c r="T134" s="203"/>
      <c r="U134" s="203"/>
    </row>
    <row r="135" hidden="1" spans="1:21">
      <c r="A135" s="690" t="s">
        <v>2038</v>
      </c>
      <c r="B135" s="696" t="s">
        <v>2039</v>
      </c>
      <c r="C135" s="671" t="s">
        <v>2076</v>
      </c>
      <c r="D135" s="250">
        <v>32</v>
      </c>
      <c r="E135" s="708"/>
      <c r="F135" s="675"/>
      <c r="G135" s="675">
        <f>G134</f>
        <v>45712</v>
      </c>
      <c r="H135" s="676">
        <f>H134</f>
        <v>45737</v>
      </c>
      <c r="I135" s="699" t="s">
        <v>2131</v>
      </c>
      <c r="J135" s="714" t="s">
        <v>18</v>
      </c>
      <c r="K135" s="690" t="s">
        <v>147</v>
      </c>
      <c r="L135" s="347" t="s">
        <v>20</v>
      </c>
      <c r="M135" s="690" t="s">
        <v>2085</v>
      </c>
      <c r="N135" s="684"/>
      <c r="O135" s="203"/>
      <c r="P135" s="203"/>
      <c r="Q135" s="203"/>
      <c r="R135" s="203"/>
      <c r="S135" s="203"/>
      <c r="T135" s="203"/>
      <c r="U135" s="203"/>
    </row>
    <row r="136" hidden="1" spans="1:21">
      <c r="A136" s="690" t="s">
        <v>2038</v>
      </c>
      <c r="B136" s="696" t="s">
        <v>2039</v>
      </c>
      <c r="C136" s="671" t="s">
        <v>2072</v>
      </c>
      <c r="D136" s="250">
        <v>32</v>
      </c>
      <c r="E136" s="674" t="s">
        <v>2133</v>
      </c>
      <c r="F136" s="675"/>
      <c r="G136" s="675">
        <f>VLOOKUP(CLEAN(SUBSTITUTE(TRIM(MID(E:E,FIND("/",E:E)+1,LEN(E:E)))," ","")),'Customs Decl. &amp; Local Delivery'!D:I,6,0)</f>
        <v>45712</v>
      </c>
      <c r="H136" s="676">
        <f>VLOOKUP(CLEAN(SUBSTITUTE(TRIM(MID(E:E,FIND("/",E:E)+1,LEN(E:E)))," ","")),'Customs Decl. &amp; Local Delivery'!D:J,7,0)</f>
        <v>45737</v>
      </c>
      <c r="I136" s="699" t="s">
        <v>2131</v>
      </c>
      <c r="J136" s="714" t="s">
        <v>18</v>
      </c>
      <c r="K136" s="690" t="s">
        <v>147</v>
      </c>
      <c r="L136" s="347" t="s">
        <v>20</v>
      </c>
      <c r="M136" s="691" t="s">
        <v>2134</v>
      </c>
      <c r="N136" s="684"/>
      <c r="O136" s="203"/>
      <c r="P136" s="203"/>
      <c r="Q136" s="203"/>
      <c r="R136" s="203"/>
      <c r="S136" s="203"/>
      <c r="T136" s="203"/>
      <c r="U136" s="203"/>
    </row>
    <row r="137" hidden="1" spans="1:21">
      <c r="A137" s="690" t="s">
        <v>2038</v>
      </c>
      <c r="B137" s="696" t="s">
        <v>2039</v>
      </c>
      <c r="C137" s="671" t="s">
        <v>2076</v>
      </c>
      <c r="D137" s="250">
        <v>32</v>
      </c>
      <c r="E137" s="708"/>
      <c r="F137" s="675"/>
      <c r="G137" s="675">
        <f>G136</f>
        <v>45712</v>
      </c>
      <c r="H137" s="676">
        <f>H136</f>
        <v>45737</v>
      </c>
      <c r="I137" s="699" t="s">
        <v>2131</v>
      </c>
      <c r="J137" s="714" t="s">
        <v>18</v>
      </c>
      <c r="K137" s="690" t="s">
        <v>147</v>
      </c>
      <c r="L137" s="347" t="s">
        <v>20</v>
      </c>
      <c r="M137" s="690" t="s">
        <v>2085</v>
      </c>
      <c r="N137" s="684"/>
      <c r="O137" s="203"/>
      <c r="P137" s="203"/>
      <c r="Q137" s="203"/>
      <c r="R137" s="203"/>
      <c r="S137" s="203"/>
      <c r="T137" s="203"/>
      <c r="U137" s="203"/>
    </row>
    <row r="138" hidden="1" spans="1:21">
      <c r="A138" s="690" t="s">
        <v>2038</v>
      </c>
      <c r="B138" s="696" t="s">
        <v>2039</v>
      </c>
      <c r="C138" s="671" t="s">
        <v>2072</v>
      </c>
      <c r="D138" s="250">
        <v>32</v>
      </c>
      <c r="E138" s="674" t="s">
        <v>2135</v>
      </c>
      <c r="F138" s="675"/>
      <c r="G138" s="675">
        <f>VLOOKUP(CLEAN(SUBSTITUTE(TRIM(MID(E:E,FIND("/",E:E)+1,LEN(E:E)))," ","")),'Customs Decl. &amp; Local Delivery'!D:I,6,0)</f>
        <v>45712</v>
      </c>
      <c r="H138" s="676">
        <f>VLOOKUP(CLEAN(SUBSTITUTE(TRIM(MID(E:E,FIND("/",E:E)+1,LEN(E:E)))," ","")),'Customs Decl. &amp; Local Delivery'!D:J,7,0)</f>
        <v>45737</v>
      </c>
      <c r="I138" s="699" t="s">
        <v>2131</v>
      </c>
      <c r="J138" s="714" t="s">
        <v>18</v>
      </c>
      <c r="K138" s="690" t="s">
        <v>147</v>
      </c>
      <c r="L138" s="347" t="s">
        <v>20</v>
      </c>
      <c r="M138" s="691" t="s">
        <v>2134</v>
      </c>
      <c r="N138" s="684"/>
      <c r="O138" s="203"/>
      <c r="P138" s="203"/>
      <c r="Q138" s="203"/>
      <c r="R138" s="203"/>
      <c r="S138" s="203"/>
      <c r="T138" s="203"/>
      <c r="U138" s="203"/>
    </row>
    <row r="139" hidden="1" spans="1:21">
      <c r="A139" s="690" t="s">
        <v>2038</v>
      </c>
      <c r="B139" s="696" t="s">
        <v>2039</v>
      </c>
      <c r="C139" s="671" t="s">
        <v>2076</v>
      </c>
      <c r="D139" s="250">
        <v>32</v>
      </c>
      <c r="E139" s="708"/>
      <c r="F139" s="675"/>
      <c r="G139" s="675">
        <f>G138</f>
        <v>45712</v>
      </c>
      <c r="H139" s="676">
        <f>H138</f>
        <v>45737</v>
      </c>
      <c r="I139" s="699" t="s">
        <v>2131</v>
      </c>
      <c r="J139" s="714" t="s">
        <v>18</v>
      </c>
      <c r="K139" s="690" t="s">
        <v>147</v>
      </c>
      <c r="L139" s="347" t="s">
        <v>20</v>
      </c>
      <c r="M139" s="690" t="s">
        <v>2085</v>
      </c>
      <c r="N139" s="684"/>
      <c r="O139" s="203"/>
      <c r="P139" s="203"/>
      <c r="Q139" s="203"/>
      <c r="R139" s="203"/>
      <c r="S139" s="203"/>
      <c r="T139" s="203"/>
      <c r="U139" s="203"/>
    </row>
    <row r="140" hidden="1" spans="1:21">
      <c r="A140" s="690" t="s">
        <v>2038</v>
      </c>
      <c r="B140" s="696" t="s">
        <v>2039</v>
      </c>
      <c r="C140" s="671" t="s">
        <v>2072</v>
      </c>
      <c r="D140" s="250">
        <v>32</v>
      </c>
      <c r="E140" s="674" t="s">
        <v>2136</v>
      </c>
      <c r="F140" s="675"/>
      <c r="G140" s="675">
        <f>VLOOKUP(CLEAN(SUBSTITUTE(TRIM(MID(E:E,FIND("/",E:E)+1,LEN(E:E)))," ","")),'Customs Decl. &amp; Local Delivery'!D:I,6,0)</f>
        <v>45712</v>
      </c>
      <c r="H140" s="676">
        <f>VLOOKUP(CLEAN(SUBSTITUTE(TRIM(MID(E:E,FIND("/",E:E)+1,LEN(E:E)))," ","")),'Customs Decl. &amp; Local Delivery'!D:J,7,0)</f>
        <v>45737</v>
      </c>
      <c r="I140" s="699" t="s">
        <v>2131</v>
      </c>
      <c r="J140" s="714" t="s">
        <v>18</v>
      </c>
      <c r="K140" s="690" t="s">
        <v>147</v>
      </c>
      <c r="L140" s="347" t="s">
        <v>20</v>
      </c>
      <c r="M140" s="691" t="s">
        <v>2137</v>
      </c>
      <c r="N140" s="684"/>
      <c r="O140" s="203"/>
      <c r="P140" s="203"/>
      <c r="Q140" s="203"/>
      <c r="R140" s="203"/>
      <c r="S140" s="203"/>
      <c r="T140" s="203"/>
      <c r="U140" s="203"/>
    </row>
    <row r="141" hidden="1" spans="1:21">
      <c r="A141" s="690" t="s">
        <v>2038</v>
      </c>
      <c r="B141" s="696" t="s">
        <v>2039</v>
      </c>
      <c r="C141" s="671" t="s">
        <v>2076</v>
      </c>
      <c r="D141" s="250">
        <v>32</v>
      </c>
      <c r="E141" s="708"/>
      <c r="F141" s="675"/>
      <c r="G141" s="675">
        <f>G140</f>
        <v>45712</v>
      </c>
      <c r="H141" s="676">
        <f>H140</f>
        <v>45737</v>
      </c>
      <c r="I141" s="699" t="s">
        <v>2131</v>
      </c>
      <c r="J141" s="714" t="s">
        <v>18</v>
      </c>
      <c r="K141" s="690" t="s">
        <v>147</v>
      </c>
      <c r="L141" s="347" t="s">
        <v>20</v>
      </c>
      <c r="M141" s="690" t="s">
        <v>2085</v>
      </c>
      <c r="N141" s="684"/>
      <c r="O141" s="203"/>
      <c r="P141" s="203"/>
      <c r="Q141" s="203"/>
      <c r="R141" s="203"/>
      <c r="S141" s="203"/>
      <c r="T141" s="203"/>
      <c r="U141" s="203"/>
    </row>
    <row r="142" hidden="1" spans="1:21">
      <c r="A142" s="690" t="s">
        <v>2038</v>
      </c>
      <c r="B142" s="696" t="s">
        <v>2039</v>
      </c>
      <c r="C142" s="671" t="s">
        <v>2072</v>
      </c>
      <c r="D142" s="250">
        <v>32</v>
      </c>
      <c r="E142" s="674" t="s">
        <v>2138</v>
      </c>
      <c r="F142" s="675"/>
      <c r="G142" s="675">
        <f>VLOOKUP(CLEAN(SUBSTITUTE(TRIM(MID(E:E,FIND("/",E:E)+1,LEN(E:E)))," ","")),'Customs Decl. &amp; Local Delivery'!D:I,6,0)</f>
        <v>45712</v>
      </c>
      <c r="H142" s="676">
        <f>VLOOKUP(CLEAN(SUBSTITUTE(TRIM(MID(E:E,FIND("/",E:E)+1,LEN(E:E)))," ","")),'Customs Decl. &amp; Local Delivery'!D:J,7,0)</f>
        <v>45737</v>
      </c>
      <c r="I142" s="699" t="s">
        <v>2131</v>
      </c>
      <c r="J142" s="714" t="s">
        <v>18</v>
      </c>
      <c r="K142" s="690" t="s">
        <v>147</v>
      </c>
      <c r="L142" s="347" t="s">
        <v>20</v>
      </c>
      <c r="M142" s="691" t="s">
        <v>2134</v>
      </c>
      <c r="N142" s="684"/>
      <c r="O142" s="203"/>
      <c r="P142" s="203"/>
      <c r="Q142" s="203"/>
      <c r="R142" s="203"/>
      <c r="S142" s="203"/>
      <c r="T142" s="203"/>
      <c r="U142" s="203"/>
    </row>
    <row r="143" hidden="1" spans="1:21">
      <c r="A143" s="690" t="s">
        <v>2038</v>
      </c>
      <c r="B143" s="696" t="s">
        <v>2039</v>
      </c>
      <c r="C143" s="671" t="s">
        <v>2076</v>
      </c>
      <c r="D143" s="250">
        <v>32</v>
      </c>
      <c r="E143" s="708"/>
      <c r="F143" s="675"/>
      <c r="G143" s="675">
        <f>G142</f>
        <v>45712</v>
      </c>
      <c r="H143" s="676">
        <f>H142</f>
        <v>45737</v>
      </c>
      <c r="I143" s="699" t="s">
        <v>2131</v>
      </c>
      <c r="J143" s="714" t="s">
        <v>18</v>
      </c>
      <c r="K143" s="690" t="s">
        <v>147</v>
      </c>
      <c r="L143" s="347" t="s">
        <v>20</v>
      </c>
      <c r="M143" s="690" t="s">
        <v>2085</v>
      </c>
      <c r="N143" s="684"/>
      <c r="O143" s="203"/>
      <c r="P143" s="203"/>
      <c r="Q143" s="203"/>
      <c r="R143" s="203"/>
      <c r="S143" s="203"/>
      <c r="T143" s="203"/>
      <c r="U143" s="203"/>
    </row>
    <row r="144" hidden="1" spans="1:21">
      <c r="A144" s="690" t="s">
        <v>2038</v>
      </c>
      <c r="B144" s="696" t="s">
        <v>2039</v>
      </c>
      <c r="C144" s="671" t="s">
        <v>2072</v>
      </c>
      <c r="D144" s="250">
        <v>32</v>
      </c>
      <c r="E144" s="674" t="s">
        <v>2139</v>
      </c>
      <c r="F144" s="675"/>
      <c r="G144" s="675">
        <f>VLOOKUP(CLEAN(SUBSTITUTE(TRIM(MID(E:E,FIND("/",E:E)+1,LEN(E:E)))," ","")),'Customs Decl. &amp; Local Delivery'!D:I,6,0)</f>
        <v>45712</v>
      </c>
      <c r="H144" s="676">
        <f>VLOOKUP(CLEAN(SUBSTITUTE(TRIM(MID(E:E,FIND("/",E:E)+1,LEN(E:E)))," ","")),'Customs Decl. &amp; Local Delivery'!D:J,7,0)</f>
        <v>45737</v>
      </c>
      <c r="I144" s="699" t="s">
        <v>2131</v>
      </c>
      <c r="J144" s="714" t="s">
        <v>18</v>
      </c>
      <c r="K144" s="690" t="s">
        <v>147</v>
      </c>
      <c r="L144" s="347" t="s">
        <v>20</v>
      </c>
      <c r="M144" s="691" t="s">
        <v>2134</v>
      </c>
      <c r="N144" s="684"/>
      <c r="O144" s="203"/>
      <c r="P144" s="203"/>
      <c r="Q144" s="203"/>
      <c r="R144" s="203"/>
      <c r="S144" s="203"/>
      <c r="T144" s="203"/>
      <c r="U144" s="203"/>
    </row>
    <row r="145" hidden="1" spans="1:21">
      <c r="A145" s="690" t="s">
        <v>2038</v>
      </c>
      <c r="B145" s="696" t="s">
        <v>2039</v>
      </c>
      <c r="C145" s="671" t="s">
        <v>2076</v>
      </c>
      <c r="D145" s="250">
        <v>32</v>
      </c>
      <c r="E145" s="708"/>
      <c r="F145" s="675"/>
      <c r="G145" s="675">
        <f>G144</f>
        <v>45712</v>
      </c>
      <c r="H145" s="676">
        <f>H144</f>
        <v>45737</v>
      </c>
      <c r="I145" s="699" t="s">
        <v>2131</v>
      </c>
      <c r="J145" s="714" t="s">
        <v>18</v>
      </c>
      <c r="K145" s="690" t="s">
        <v>147</v>
      </c>
      <c r="L145" s="347" t="s">
        <v>20</v>
      </c>
      <c r="M145" s="690" t="s">
        <v>2085</v>
      </c>
      <c r="N145" s="684"/>
      <c r="O145" s="203"/>
      <c r="P145" s="203"/>
      <c r="Q145" s="203"/>
      <c r="R145" s="203"/>
      <c r="S145" s="203"/>
      <c r="T145" s="203"/>
      <c r="U145" s="203"/>
    </row>
    <row r="146" hidden="1" spans="1:21">
      <c r="A146" s="690" t="s">
        <v>2112</v>
      </c>
      <c r="B146" s="707" t="s">
        <v>2113</v>
      </c>
      <c r="C146" s="686" t="s">
        <v>2140</v>
      </c>
      <c r="D146" s="250">
        <v>100</v>
      </c>
      <c r="E146" s="686" t="s">
        <v>2141</v>
      </c>
      <c r="F146" s="703"/>
      <c r="G146" s="703">
        <v>45716</v>
      </c>
      <c r="H146" s="713">
        <v>45729</v>
      </c>
      <c r="I146" s="690" t="s">
        <v>2142</v>
      </c>
      <c r="J146" s="690" t="s">
        <v>18</v>
      </c>
      <c r="K146" s="690" t="s">
        <v>147</v>
      </c>
      <c r="L146" s="347" t="s">
        <v>20</v>
      </c>
      <c r="M146" s="690" t="s">
        <v>2143</v>
      </c>
      <c r="N146" s="684"/>
      <c r="O146" s="203"/>
      <c r="P146" s="203"/>
      <c r="Q146" s="203"/>
      <c r="R146" s="203"/>
      <c r="S146" s="203"/>
      <c r="T146" s="203"/>
      <c r="U146" s="203"/>
    </row>
    <row r="147" hidden="1" spans="1:21">
      <c r="A147" s="690" t="s">
        <v>2038</v>
      </c>
      <c r="B147" s="696" t="s">
        <v>2039</v>
      </c>
      <c r="C147" s="673" t="s">
        <v>2087</v>
      </c>
      <c r="D147" s="697">
        <v>36</v>
      </c>
      <c r="E147" s="702" t="s">
        <v>2144</v>
      </c>
      <c r="F147" s="675"/>
      <c r="G147" s="675">
        <f>VLOOKUP(CLEAN(SUBSTITUTE(TRIM(MID(E:E,FIND("/",E:E)+1,LEN(E:E)))," ","")),'Customs Decl. &amp; Local Delivery'!D:I,6,0)</f>
        <v>45724</v>
      </c>
      <c r="H147" s="676">
        <f>VLOOKUP(CLEAN(SUBSTITUTE(TRIM(MID(E:E,FIND("/",E:E)+1,LEN(E:E)))," ","")),'Customs Decl. &amp; Local Delivery'!D:J,7,0)</f>
        <v>45741</v>
      </c>
      <c r="I147" s="699" t="s">
        <v>2145</v>
      </c>
      <c r="J147" s="690" t="s">
        <v>18</v>
      </c>
      <c r="K147" s="690" t="s">
        <v>654</v>
      </c>
      <c r="L147" s="347" t="s">
        <v>20</v>
      </c>
      <c r="M147" s="691" t="s">
        <v>2146</v>
      </c>
      <c r="N147" s="688"/>
      <c r="O147" s="203"/>
      <c r="P147" s="203"/>
      <c r="Q147" s="203"/>
      <c r="R147" s="203"/>
      <c r="S147" s="203"/>
      <c r="T147" s="203"/>
      <c r="U147" s="203"/>
    </row>
    <row r="148" hidden="1" spans="1:21">
      <c r="A148" s="690" t="s">
        <v>2038</v>
      </c>
      <c r="B148" s="696" t="s">
        <v>2039</v>
      </c>
      <c r="C148" s="671" t="s">
        <v>2090</v>
      </c>
      <c r="D148" s="697">
        <v>5</v>
      </c>
      <c r="E148" s="708"/>
      <c r="F148" s="675"/>
      <c r="G148" s="675">
        <f>G147</f>
        <v>45724</v>
      </c>
      <c r="H148" s="676">
        <f>H147</f>
        <v>45741</v>
      </c>
      <c r="I148" s="699" t="s">
        <v>2145</v>
      </c>
      <c r="J148" s="690" t="s">
        <v>18</v>
      </c>
      <c r="K148" s="690" t="s">
        <v>654</v>
      </c>
      <c r="L148" s="347" t="s">
        <v>20</v>
      </c>
      <c r="M148" s="690" t="s">
        <v>2091</v>
      </c>
      <c r="N148" s="688"/>
      <c r="O148" s="203"/>
      <c r="P148" s="203"/>
      <c r="Q148" s="203"/>
      <c r="R148" s="203"/>
      <c r="S148" s="203"/>
      <c r="T148" s="203"/>
      <c r="U148" s="203"/>
    </row>
    <row r="149" hidden="1" spans="1:21">
      <c r="A149" s="690" t="s">
        <v>2038</v>
      </c>
      <c r="B149" s="696" t="s">
        <v>2039</v>
      </c>
      <c r="C149" s="671" t="s">
        <v>2092</v>
      </c>
      <c r="D149" s="697">
        <v>60</v>
      </c>
      <c r="E149" s="708"/>
      <c r="F149" s="675"/>
      <c r="G149" s="675">
        <f>G148</f>
        <v>45724</v>
      </c>
      <c r="H149" s="676">
        <f>H148</f>
        <v>45741</v>
      </c>
      <c r="I149" s="699" t="s">
        <v>2145</v>
      </c>
      <c r="J149" s="690" t="s">
        <v>18</v>
      </c>
      <c r="K149" s="690" t="s">
        <v>654</v>
      </c>
      <c r="L149" s="347" t="s">
        <v>20</v>
      </c>
      <c r="M149" s="690" t="s">
        <v>2091</v>
      </c>
      <c r="N149" s="688"/>
      <c r="O149" s="203"/>
      <c r="P149" s="203"/>
      <c r="Q149" s="203"/>
      <c r="R149" s="203"/>
      <c r="S149" s="203"/>
      <c r="T149" s="203"/>
      <c r="U149" s="203"/>
    </row>
    <row r="150" hidden="1" spans="1:21">
      <c r="A150" s="690" t="s">
        <v>2038</v>
      </c>
      <c r="B150" s="696" t="s">
        <v>2039</v>
      </c>
      <c r="C150" s="671" t="s">
        <v>2093</v>
      </c>
      <c r="D150" s="697">
        <v>5</v>
      </c>
      <c r="E150" s="708"/>
      <c r="F150" s="675"/>
      <c r="G150" s="675">
        <f>G149</f>
        <v>45724</v>
      </c>
      <c r="H150" s="676">
        <f>H149</f>
        <v>45741</v>
      </c>
      <c r="I150" s="699" t="s">
        <v>2145</v>
      </c>
      <c r="J150" s="690" t="s">
        <v>18</v>
      </c>
      <c r="K150" s="690" t="s">
        <v>654</v>
      </c>
      <c r="L150" s="347" t="s">
        <v>20</v>
      </c>
      <c r="M150" s="690" t="s">
        <v>2091</v>
      </c>
      <c r="N150" s="688"/>
      <c r="O150" s="203"/>
      <c r="P150" s="203"/>
      <c r="Q150" s="203"/>
      <c r="R150" s="203"/>
      <c r="S150" s="203"/>
      <c r="T150" s="203"/>
      <c r="U150" s="203"/>
    </row>
    <row r="151" hidden="1" spans="1:21">
      <c r="A151" s="690" t="s">
        <v>2038</v>
      </c>
      <c r="B151" s="696" t="s">
        <v>2039</v>
      </c>
      <c r="C151" s="671" t="s">
        <v>2094</v>
      </c>
      <c r="D151" s="697">
        <v>30</v>
      </c>
      <c r="E151" s="708"/>
      <c r="F151" s="675"/>
      <c r="G151" s="675">
        <f>G150</f>
        <v>45724</v>
      </c>
      <c r="H151" s="676">
        <f>H150</f>
        <v>45741</v>
      </c>
      <c r="I151" s="699" t="s">
        <v>2145</v>
      </c>
      <c r="J151" s="690" t="s">
        <v>18</v>
      </c>
      <c r="K151" s="690" t="s">
        <v>654</v>
      </c>
      <c r="L151" s="347" t="s">
        <v>20</v>
      </c>
      <c r="M151" s="690" t="s">
        <v>2091</v>
      </c>
      <c r="N151" s="688"/>
      <c r="O151" s="203"/>
      <c r="P151" s="203"/>
      <c r="Q151" s="203"/>
      <c r="R151" s="203"/>
      <c r="S151" s="203"/>
      <c r="T151" s="203"/>
      <c r="U151" s="203"/>
    </row>
    <row r="152" hidden="1" spans="1:21">
      <c r="A152" s="690" t="s">
        <v>2038</v>
      </c>
      <c r="B152" s="696" t="s">
        <v>2039</v>
      </c>
      <c r="C152" s="671" t="s">
        <v>2095</v>
      </c>
      <c r="D152" s="697">
        <v>30</v>
      </c>
      <c r="E152" s="708"/>
      <c r="F152" s="675"/>
      <c r="G152" s="675">
        <f>G151</f>
        <v>45724</v>
      </c>
      <c r="H152" s="676">
        <f>H151</f>
        <v>45741</v>
      </c>
      <c r="I152" s="699" t="s">
        <v>2145</v>
      </c>
      <c r="J152" s="690" t="s">
        <v>18</v>
      </c>
      <c r="K152" s="690" t="s">
        <v>654</v>
      </c>
      <c r="L152" s="347" t="s">
        <v>20</v>
      </c>
      <c r="M152" s="690" t="s">
        <v>2091</v>
      </c>
      <c r="N152" s="688"/>
      <c r="O152" s="203"/>
      <c r="P152" s="203"/>
      <c r="Q152" s="203"/>
      <c r="R152" s="203"/>
      <c r="S152" s="203"/>
      <c r="T152" s="203"/>
      <c r="U152" s="203"/>
    </row>
    <row r="153" hidden="1" spans="1:21">
      <c r="A153" s="690" t="s">
        <v>2038</v>
      </c>
      <c r="B153" s="696" t="s">
        <v>2039</v>
      </c>
      <c r="C153" s="673" t="s">
        <v>2087</v>
      </c>
      <c r="D153" s="697">
        <v>36</v>
      </c>
      <c r="E153" s="702" t="s">
        <v>2147</v>
      </c>
      <c r="F153" s="675"/>
      <c r="G153" s="675">
        <f>VLOOKUP(CLEAN(SUBSTITUTE(TRIM(MID(E:E,FIND("/",E:E)+1,LEN(E:E)))," ","")),'Customs Decl. &amp; Local Delivery'!D:I,6,0)</f>
        <v>45724</v>
      </c>
      <c r="H153" s="676">
        <f>VLOOKUP(CLEAN(SUBSTITUTE(TRIM(MID(E:E,FIND("/",E:E)+1,LEN(E:E)))," ","")),'Customs Decl. &amp; Local Delivery'!D:J,7,0)</f>
        <v>45741</v>
      </c>
      <c r="I153" s="699" t="s">
        <v>2148</v>
      </c>
      <c r="J153" s="690" t="s">
        <v>18</v>
      </c>
      <c r="K153" s="690" t="s">
        <v>654</v>
      </c>
      <c r="L153" s="347" t="s">
        <v>20</v>
      </c>
      <c r="M153" s="691" t="s">
        <v>2149</v>
      </c>
      <c r="N153" s="688"/>
      <c r="O153" s="203"/>
      <c r="P153" s="203"/>
      <c r="Q153" s="203"/>
      <c r="R153" s="203"/>
      <c r="S153" s="203"/>
      <c r="T153" s="203"/>
      <c r="U153" s="203"/>
    </row>
    <row r="154" hidden="1" spans="1:21">
      <c r="A154" s="690" t="s">
        <v>2038</v>
      </c>
      <c r="B154" s="696" t="s">
        <v>2039</v>
      </c>
      <c r="C154" s="671" t="s">
        <v>2090</v>
      </c>
      <c r="D154" s="697">
        <v>5</v>
      </c>
      <c r="E154" s="708"/>
      <c r="F154" s="675"/>
      <c r="G154" s="675">
        <f>G153</f>
        <v>45724</v>
      </c>
      <c r="H154" s="676">
        <f>H153</f>
        <v>45741</v>
      </c>
      <c r="I154" s="699" t="s">
        <v>2148</v>
      </c>
      <c r="J154" s="690" t="s">
        <v>18</v>
      </c>
      <c r="K154" s="690" t="s">
        <v>654</v>
      </c>
      <c r="L154" s="347" t="s">
        <v>20</v>
      </c>
      <c r="M154" s="690" t="s">
        <v>2091</v>
      </c>
      <c r="N154" s="688"/>
      <c r="O154" s="203"/>
      <c r="P154" s="203"/>
      <c r="Q154" s="203"/>
      <c r="R154" s="203"/>
      <c r="S154" s="203"/>
      <c r="T154" s="203"/>
      <c r="U154" s="203"/>
    </row>
    <row r="155" hidden="1" spans="1:21">
      <c r="A155" s="690" t="s">
        <v>2038</v>
      </c>
      <c r="B155" s="696" t="s">
        <v>2039</v>
      </c>
      <c r="C155" s="671" t="s">
        <v>2092</v>
      </c>
      <c r="D155" s="697">
        <v>60</v>
      </c>
      <c r="E155" s="708"/>
      <c r="F155" s="675"/>
      <c r="G155" s="675">
        <f>G154</f>
        <v>45724</v>
      </c>
      <c r="H155" s="676">
        <f>H154</f>
        <v>45741</v>
      </c>
      <c r="I155" s="699" t="s">
        <v>2148</v>
      </c>
      <c r="J155" s="690" t="s">
        <v>18</v>
      </c>
      <c r="K155" s="690" t="s">
        <v>654</v>
      </c>
      <c r="L155" s="347" t="s">
        <v>20</v>
      </c>
      <c r="M155" s="690" t="s">
        <v>2091</v>
      </c>
      <c r="N155" s="688"/>
      <c r="O155" s="203"/>
      <c r="P155" s="203"/>
      <c r="Q155" s="203"/>
      <c r="R155" s="203"/>
      <c r="S155" s="203"/>
      <c r="T155" s="203"/>
      <c r="U155" s="203"/>
    </row>
    <row r="156" hidden="1" spans="1:21">
      <c r="A156" s="690" t="s">
        <v>2038</v>
      </c>
      <c r="B156" s="696" t="s">
        <v>2039</v>
      </c>
      <c r="C156" s="671" t="s">
        <v>2093</v>
      </c>
      <c r="D156" s="697">
        <v>5</v>
      </c>
      <c r="E156" s="708"/>
      <c r="F156" s="675"/>
      <c r="G156" s="675">
        <f>G155</f>
        <v>45724</v>
      </c>
      <c r="H156" s="676">
        <f>H155</f>
        <v>45741</v>
      </c>
      <c r="I156" s="699" t="s">
        <v>2148</v>
      </c>
      <c r="J156" s="690" t="s">
        <v>18</v>
      </c>
      <c r="K156" s="690" t="s">
        <v>654</v>
      </c>
      <c r="L156" s="347" t="s">
        <v>20</v>
      </c>
      <c r="M156" s="690" t="s">
        <v>2091</v>
      </c>
      <c r="N156" s="688"/>
      <c r="O156" s="203"/>
      <c r="P156" s="203"/>
      <c r="Q156" s="203"/>
      <c r="R156" s="203"/>
      <c r="S156" s="203"/>
      <c r="T156" s="203"/>
      <c r="U156" s="203"/>
    </row>
    <row r="157" hidden="1" spans="1:21">
      <c r="A157" s="690" t="s">
        <v>2038</v>
      </c>
      <c r="B157" s="696" t="s">
        <v>2039</v>
      </c>
      <c r="C157" s="671" t="s">
        <v>2094</v>
      </c>
      <c r="D157" s="697">
        <v>30</v>
      </c>
      <c r="E157" s="708"/>
      <c r="F157" s="675"/>
      <c r="G157" s="675">
        <f>G156</f>
        <v>45724</v>
      </c>
      <c r="H157" s="676">
        <f>H156</f>
        <v>45741</v>
      </c>
      <c r="I157" s="699" t="s">
        <v>2148</v>
      </c>
      <c r="J157" s="690" t="s">
        <v>18</v>
      </c>
      <c r="K157" s="690" t="s">
        <v>654</v>
      </c>
      <c r="L157" s="347" t="s">
        <v>20</v>
      </c>
      <c r="M157" s="690" t="s">
        <v>2091</v>
      </c>
      <c r="N157" s="688"/>
      <c r="O157" s="203"/>
      <c r="P157" s="203"/>
      <c r="Q157" s="203"/>
      <c r="R157" s="203"/>
      <c r="S157" s="203"/>
      <c r="T157" s="203"/>
      <c r="U157" s="203"/>
    </row>
    <row r="158" hidden="1" spans="1:21">
      <c r="A158" s="690" t="s">
        <v>2038</v>
      </c>
      <c r="B158" s="696" t="s">
        <v>2039</v>
      </c>
      <c r="C158" s="671" t="s">
        <v>2095</v>
      </c>
      <c r="D158" s="697">
        <v>30</v>
      </c>
      <c r="E158" s="708"/>
      <c r="F158" s="675"/>
      <c r="G158" s="675">
        <f>G157</f>
        <v>45724</v>
      </c>
      <c r="H158" s="676">
        <f>H157</f>
        <v>45741</v>
      </c>
      <c r="I158" s="699" t="s">
        <v>2148</v>
      </c>
      <c r="J158" s="690" t="s">
        <v>18</v>
      </c>
      <c r="K158" s="690" t="s">
        <v>654</v>
      </c>
      <c r="L158" s="347" t="s">
        <v>20</v>
      </c>
      <c r="M158" s="690" t="s">
        <v>2091</v>
      </c>
      <c r="N158" s="688"/>
      <c r="O158" s="203"/>
      <c r="P158" s="203"/>
      <c r="Q158" s="203"/>
      <c r="R158" s="203"/>
      <c r="S158" s="203"/>
      <c r="T158" s="203"/>
      <c r="U158" s="203"/>
    </row>
    <row r="159" hidden="1" spans="1:21">
      <c r="A159" s="690" t="s">
        <v>2038</v>
      </c>
      <c r="B159" s="696" t="s">
        <v>2039</v>
      </c>
      <c r="C159" s="673" t="s">
        <v>2087</v>
      </c>
      <c r="D159" s="697">
        <v>36</v>
      </c>
      <c r="E159" s="702" t="s">
        <v>2150</v>
      </c>
      <c r="F159" s="675"/>
      <c r="G159" s="675">
        <f>VLOOKUP(CLEAN(SUBSTITUTE(TRIM(MID(E:E,FIND("/",E:E)+1,LEN(E:E)))," ","")),'Customs Decl. &amp; Local Delivery'!D:I,6,0)</f>
        <v>45724</v>
      </c>
      <c r="H159" s="676">
        <f>VLOOKUP(CLEAN(SUBSTITUTE(TRIM(MID(E:E,FIND("/",E:E)+1,LEN(E:E)))," ","")),'Customs Decl. &amp; Local Delivery'!D:J,7,0)</f>
        <v>45741</v>
      </c>
      <c r="I159" s="699" t="s">
        <v>2151</v>
      </c>
      <c r="J159" s="690" t="s">
        <v>18</v>
      </c>
      <c r="K159" s="690" t="s">
        <v>654</v>
      </c>
      <c r="L159" s="347" t="s">
        <v>20</v>
      </c>
      <c r="M159" s="691" t="s">
        <v>2152</v>
      </c>
      <c r="N159" s="688"/>
      <c r="O159" s="203"/>
      <c r="P159" s="203"/>
      <c r="Q159" s="203"/>
      <c r="R159" s="203"/>
      <c r="S159" s="203"/>
      <c r="T159" s="203"/>
      <c r="U159" s="203"/>
    </row>
    <row r="160" hidden="1" spans="1:21">
      <c r="A160" s="690" t="s">
        <v>2038</v>
      </c>
      <c r="B160" s="696" t="s">
        <v>2039</v>
      </c>
      <c r="C160" s="671" t="s">
        <v>2090</v>
      </c>
      <c r="D160" s="697">
        <v>5</v>
      </c>
      <c r="E160" s="708"/>
      <c r="F160" s="675"/>
      <c r="G160" s="675">
        <f>G159</f>
        <v>45724</v>
      </c>
      <c r="H160" s="676">
        <f>H159</f>
        <v>45741</v>
      </c>
      <c r="I160" s="699" t="s">
        <v>2151</v>
      </c>
      <c r="J160" s="690" t="s">
        <v>18</v>
      </c>
      <c r="K160" s="690" t="s">
        <v>654</v>
      </c>
      <c r="L160" s="347" t="s">
        <v>20</v>
      </c>
      <c r="M160" s="690" t="s">
        <v>2091</v>
      </c>
      <c r="N160" s="688"/>
      <c r="O160" s="203"/>
      <c r="P160" s="203"/>
      <c r="Q160" s="203"/>
      <c r="R160" s="203"/>
      <c r="S160" s="203"/>
      <c r="T160" s="203"/>
      <c r="U160" s="203"/>
    </row>
    <row r="161" hidden="1" spans="1:21">
      <c r="A161" s="690" t="s">
        <v>2038</v>
      </c>
      <c r="B161" s="696" t="s">
        <v>2039</v>
      </c>
      <c r="C161" s="671" t="s">
        <v>2092</v>
      </c>
      <c r="D161" s="697">
        <v>60</v>
      </c>
      <c r="E161" s="708"/>
      <c r="F161" s="675"/>
      <c r="G161" s="675">
        <f>G160</f>
        <v>45724</v>
      </c>
      <c r="H161" s="676">
        <f>H160</f>
        <v>45741</v>
      </c>
      <c r="I161" s="699" t="s">
        <v>2151</v>
      </c>
      <c r="J161" s="690" t="s">
        <v>18</v>
      </c>
      <c r="K161" s="690" t="s">
        <v>654</v>
      </c>
      <c r="L161" s="347" t="s">
        <v>20</v>
      </c>
      <c r="M161" s="690" t="s">
        <v>2091</v>
      </c>
      <c r="N161" s="688"/>
      <c r="O161" s="203"/>
      <c r="P161" s="203"/>
      <c r="Q161" s="203"/>
      <c r="R161" s="203"/>
      <c r="S161" s="203"/>
      <c r="T161" s="203"/>
      <c r="U161" s="203"/>
    </row>
    <row r="162" hidden="1" spans="1:21">
      <c r="A162" s="690" t="s">
        <v>2038</v>
      </c>
      <c r="B162" s="696" t="s">
        <v>2039</v>
      </c>
      <c r="C162" s="671" t="s">
        <v>2093</v>
      </c>
      <c r="D162" s="697">
        <v>5</v>
      </c>
      <c r="E162" s="708"/>
      <c r="F162" s="675"/>
      <c r="G162" s="675">
        <f>G161</f>
        <v>45724</v>
      </c>
      <c r="H162" s="676">
        <f>H161</f>
        <v>45741</v>
      </c>
      <c r="I162" s="699" t="s">
        <v>2151</v>
      </c>
      <c r="J162" s="690" t="s">
        <v>18</v>
      </c>
      <c r="K162" s="690" t="s">
        <v>654</v>
      </c>
      <c r="L162" s="347" t="s">
        <v>20</v>
      </c>
      <c r="M162" s="690" t="s">
        <v>2091</v>
      </c>
      <c r="N162" s="688"/>
      <c r="O162" s="203"/>
      <c r="P162" s="203"/>
      <c r="Q162" s="203"/>
      <c r="R162" s="203"/>
      <c r="S162" s="203"/>
      <c r="T162" s="203"/>
      <c r="U162" s="203"/>
    </row>
    <row r="163" hidden="1" spans="1:21">
      <c r="A163" s="690" t="s">
        <v>2038</v>
      </c>
      <c r="B163" s="696" t="s">
        <v>2039</v>
      </c>
      <c r="C163" s="671" t="s">
        <v>2094</v>
      </c>
      <c r="D163" s="697">
        <v>30</v>
      </c>
      <c r="E163" s="708"/>
      <c r="F163" s="675"/>
      <c r="G163" s="675">
        <f>G162</f>
        <v>45724</v>
      </c>
      <c r="H163" s="676">
        <f>H162</f>
        <v>45741</v>
      </c>
      <c r="I163" s="699" t="s">
        <v>2151</v>
      </c>
      <c r="J163" s="690" t="s">
        <v>18</v>
      </c>
      <c r="K163" s="690" t="s">
        <v>654</v>
      </c>
      <c r="L163" s="347" t="s">
        <v>20</v>
      </c>
      <c r="M163" s="690" t="s">
        <v>2091</v>
      </c>
      <c r="N163" s="688"/>
      <c r="O163" s="203"/>
      <c r="P163" s="203"/>
      <c r="Q163" s="203"/>
      <c r="R163" s="203"/>
      <c r="S163" s="203"/>
      <c r="T163" s="203"/>
      <c r="U163" s="203"/>
    </row>
    <row r="164" hidden="1" spans="1:21">
      <c r="A164" s="690" t="s">
        <v>2038</v>
      </c>
      <c r="B164" s="696" t="s">
        <v>2039</v>
      </c>
      <c r="C164" s="671" t="s">
        <v>2095</v>
      </c>
      <c r="D164" s="697">
        <v>30</v>
      </c>
      <c r="E164" s="708"/>
      <c r="F164" s="675"/>
      <c r="G164" s="675">
        <f>G163</f>
        <v>45724</v>
      </c>
      <c r="H164" s="676">
        <f>H163</f>
        <v>45741</v>
      </c>
      <c r="I164" s="699" t="s">
        <v>2151</v>
      </c>
      <c r="J164" s="690" t="s">
        <v>18</v>
      </c>
      <c r="K164" s="690" t="s">
        <v>654</v>
      </c>
      <c r="L164" s="347" t="s">
        <v>20</v>
      </c>
      <c r="M164" s="690" t="s">
        <v>2091</v>
      </c>
      <c r="N164" s="688"/>
      <c r="O164" s="203"/>
      <c r="P164" s="203"/>
      <c r="Q164" s="203"/>
      <c r="R164" s="203"/>
      <c r="S164" s="203"/>
      <c r="T164" s="203"/>
      <c r="U164" s="203"/>
    </row>
    <row r="165" hidden="1" spans="1:21">
      <c r="A165" s="690" t="s">
        <v>2038</v>
      </c>
      <c r="B165" s="696" t="s">
        <v>2039</v>
      </c>
      <c r="C165" s="673" t="s">
        <v>2087</v>
      </c>
      <c r="D165" s="697">
        <v>36</v>
      </c>
      <c r="E165" s="702" t="s">
        <v>2153</v>
      </c>
      <c r="F165" s="675"/>
      <c r="G165" s="675">
        <f>VLOOKUP(CLEAN(SUBSTITUTE(TRIM(MID(E:E,FIND("/",E:E)+1,LEN(E:E)))," ","")),'Customs Decl. &amp; Local Delivery'!D:I,6,0)</f>
        <v>45724</v>
      </c>
      <c r="H165" s="676">
        <f>VLOOKUP(CLEAN(SUBSTITUTE(TRIM(MID(E:E,FIND("/",E:E)+1,LEN(E:E)))," ","")),'Customs Decl. &amp; Local Delivery'!D:J,7,0)</f>
        <v>45741</v>
      </c>
      <c r="I165" s="699" t="s">
        <v>2154</v>
      </c>
      <c r="J165" s="690" t="s">
        <v>18</v>
      </c>
      <c r="K165" s="715" t="s">
        <v>2155</v>
      </c>
      <c r="L165" s="347" t="s">
        <v>20</v>
      </c>
      <c r="M165" s="691" t="s">
        <v>2156</v>
      </c>
      <c r="N165" s="688"/>
      <c r="O165" s="203"/>
      <c r="P165" s="203"/>
      <c r="Q165" s="203"/>
      <c r="R165" s="203"/>
      <c r="S165" s="203"/>
      <c r="T165" s="203"/>
      <c r="U165" s="203"/>
    </row>
    <row r="166" hidden="1" spans="1:21">
      <c r="A166" s="690" t="s">
        <v>2038</v>
      </c>
      <c r="B166" s="696" t="s">
        <v>2039</v>
      </c>
      <c r="C166" s="671" t="s">
        <v>2090</v>
      </c>
      <c r="D166" s="697">
        <v>5</v>
      </c>
      <c r="E166" s="708"/>
      <c r="F166" s="675"/>
      <c r="G166" s="675">
        <f>G165</f>
        <v>45724</v>
      </c>
      <c r="H166" s="676">
        <f>H165</f>
        <v>45741</v>
      </c>
      <c r="I166" s="699" t="s">
        <v>2154</v>
      </c>
      <c r="J166" s="690" t="s">
        <v>18</v>
      </c>
      <c r="K166" s="716" t="s">
        <v>147</v>
      </c>
      <c r="L166" s="347" t="s">
        <v>20</v>
      </c>
      <c r="M166" s="690" t="s">
        <v>2091</v>
      </c>
      <c r="N166" s="684"/>
      <c r="O166" s="203"/>
      <c r="P166" s="203"/>
      <c r="Q166" s="203"/>
      <c r="R166" s="203"/>
      <c r="S166" s="203"/>
      <c r="T166" s="203"/>
      <c r="U166" s="203"/>
    </row>
    <row r="167" hidden="1" spans="1:21">
      <c r="A167" s="690" t="s">
        <v>2038</v>
      </c>
      <c r="B167" s="696" t="s">
        <v>2039</v>
      </c>
      <c r="C167" s="671" t="s">
        <v>2092</v>
      </c>
      <c r="D167" s="697">
        <v>60</v>
      </c>
      <c r="E167" s="708"/>
      <c r="F167" s="675"/>
      <c r="G167" s="675">
        <f>G166</f>
        <v>45724</v>
      </c>
      <c r="H167" s="676">
        <f>H166</f>
        <v>45741</v>
      </c>
      <c r="I167" s="699" t="s">
        <v>2154</v>
      </c>
      <c r="J167" s="690" t="s">
        <v>18</v>
      </c>
      <c r="K167" s="716" t="s">
        <v>147</v>
      </c>
      <c r="L167" s="347" t="s">
        <v>20</v>
      </c>
      <c r="M167" s="690" t="s">
        <v>2091</v>
      </c>
      <c r="N167" s="684"/>
      <c r="O167" s="203"/>
      <c r="P167" s="203"/>
      <c r="Q167" s="203"/>
      <c r="R167" s="203"/>
      <c r="S167" s="203"/>
      <c r="T167" s="203"/>
      <c r="U167" s="203"/>
    </row>
    <row r="168" hidden="1" spans="1:21">
      <c r="A168" s="690" t="s">
        <v>2038</v>
      </c>
      <c r="B168" s="696" t="s">
        <v>2039</v>
      </c>
      <c r="C168" s="671" t="s">
        <v>2093</v>
      </c>
      <c r="D168" s="697">
        <v>5</v>
      </c>
      <c r="E168" s="708"/>
      <c r="F168" s="675"/>
      <c r="G168" s="675">
        <f>G167</f>
        <v>45724</v>
      </c>
      <c r="H168" s="676">
        <f>H167</f>
        <v>45741</v>
      </c>
      <c r="I168" s="699" t="s">
        <v>2154</v>
      </c>
      <c r="J168" s="690" t="s">
        <v>18</v>
      </c>
      <c r="K168" s="716" t="s">
        <v>2157</v>
      </c>
      <c r="L168" s="347" t="s">
        <v>20</v>
      </c>
      <c r="M168" s="690" t="s">
        <v>2091</v>
      </c>
      <c r="N168" s="688"/>
      <c r="O168" s="203"/>
      <c r="P168" s="203"/>
      <c r="Q168" s="203"/>
      <c r="R168" s="203"/>
      <c r="S168" s="203"/>
      <c r="T168" s="203"/>
      <c r="U168" s="203"/>
    </row>
    <row r="169" hidden="1" spans="1:21">
      <c r="A169" s="690" t="s">
        <v>2038</v>
      </c>
      <c r="B169" s="696" t="s">
        <v>2039</v>
      </c>
      <c r="C169" s="671" t="s">
        <v>2094</v>
      </c>
      <c r="D169" s="697">
        <v>30</v>
      </c>
      <c r="E169" s="708"/>
      <c r="F169" s="675"/>
      <c r="G169" s="675">
        <f>G168</f>
        <v>45724</v>
      </c>
      <c r="H169" s="676">
        <f>H168</f>
        <v>45741</v>
      </c>
      <c r="I169" s="699" t="s">
        <v>2154</v>
      </c>
      <c r="J169" s="690" t="s">
        <v>18</v>
      </c>
      <c r="K169" s="716" t="s">
        <v>147</v>
      </c>
      <c r="L169" s="347" t="s">
        <v>20</v>
      </c>
      <c r="M169" s="690" t="s">
        <v>2091</v>
      </c>
      <c r="N169" s="684"/>
      <c r="O169" s="203"/>
      <c r="P169" s="203"/>
      <c r="Q169" s="203"/>
      <c r="R169" s="203"/>
      <c r="S169" s="203"/>
      <c r="T169" s="203"/>
      <c r="U169" s="203"/>
    </row>
    <row r="170" hidden="1" spans="1:21">
      <c r="A170" s="690" t="s">
        <v>2038</v>
      </c>
      <c r="B170" s="696" t="s">
        <v>2039</v>
      </c>
      <c r="C170" s="671" t="s">
        <v>2095</v>
      </c>
      <c r="D170" s="697">
        <v>30</v>
      </c>
      <c r="E170" s="708"/>
      <c r="F170" s="675"/>
      <c r="G170" s="675">
        <f>G169</f>
        <v>45724</v>
      </c>
      <c r="H170" s="676">
        <f>H169</f>
        <v>45741</v>
      </c>
      <c r="I170" s="699" t="s">
        <v>2154</v>
      </c>
      <c r="J170" s="690" t="s">
        <v>18</v>
      </c>
      <c r="K170" s="716" t="s">
        <v>2158</v>
      </c>
      <c r="L170" s="347" t="s">
        <v>20</v>
      </c>
      <c r="M170" s="690" t="s">
        <v>2091</v>
      </c>
      <c r="N170" s="688"/>
      <c r="O170" s="203"/>
      <c r="P170" s="203"/>
      <c r="Q170" s="203"/>
      <c r="R170" s="203"/>
      <c r="S170" s="203"/>
      <c r="T170" s="203"/>
      <c r="U170" s="203"/>
    </row>
    <row r="171" hidden="1" spans="1:21">
      <c r="A171" s="690" t="s">
        <v>2038</v>
      </c>
      <c r="B171" s="696" t="s">
        <v>2039</v>
      </c>
      <c r="C171" s="673" t="s">
        <v>2087</v>
      </c>
      <c r="D171" s="697">
        <v>36</v>
      </c>
      <c r="E171" s="702" t="s">
        <v>2159</v>
      </c>
      <c r="F171" s="675"/>
      <c r="G171" s="675">
        <f>VLOOKUP(CLEAN(SUBSTITUTE(TRIM(MID(E:E,FIND("/",E:E)+1,LEN(E:E)))," ","")),'Customs Decl. &amp; Local Delivery'!D:I,6,0)</f>
        <v>45724</v>
      </c>
      <c r="H171" s="676">
        <f>VLOOKUP(CLEAN(SUBSTITUTE(TRIM(MID(E:E,FIND("/",E:E)+1,LEN(E:E)))," ","")),'Customs Decl. &amp; Local Delivery'!D:J,7,0)</f>
        <v>45741</v>
      </c>
      <c r="I171" s="699" t="s">
        <v>2160</v>
      </c>
      <c r="J171" s="690" t="s">
        <v>18</v>
      </c>
      <c r="K171" s="716" t="s">
        <v>2157</v>
      </c>
      <c r="L171" s="347" t="s">
        <v>20</v>
      </c>
      <c r="M171" s="691" t="s">
        <v>2156</v>
      </c>
      <c r="N171" s="688"/>
      <c r="O171" s="203"/>
      <c r="P171" s="203"/>
      <c r="Q171" s="203"/>
      <c r="R171" s="203"/>
      <c r="S171" s="203"/>
      <c r="T171" s="203"/>
      <c r="U171" s="203"/>
    </row>
    <row r="172" hidden="1" spans="1:21">
      <c r="A172" s="690" t="s">
        <v>2038</v>
      </c>
      <c r="B172" s="696" t="s">
        <v>2039</v>
      </c>
      <c r="C172" s="671" t="s">
        <v>2090</v>
      </c>
      <c r="D172" s="697">
        <v>5</v>
      </c>
      <c r="E172" s="708"/>
      <c r="F172" s="675"/>
      <c r="G172" s="675">
        <f>G171</f>
        <v>45724</v>
      </c>
      <c r="H172" s="676">
        <f>H171</f>
        <v>45741</v>
      </c>
      <c r="I172" s="699" t="s">
        <v>2160</v>
      </c>
      <c r="J172" s="690" t="s">
        <v>18</v>
      </c>
      <c r="K172" s="716" t="s">
        <v>147</v>
      </c>
      <c r="L172" s="347" t="s">
        <v>20</v>
      </c>
      <c r="M172" s="690" t="s">
        <v>2091</v>
      </c>
      <c r="N172" s="684"/>
      <c r="O172" s="203"/>
      <c r="P172" s="203"/>
      <c r="Q172" s="203"/>
      <c r="R172" s="203"/>
      <c r="S172" s="203"/>
      <c r="T172" s="203"/>
      <c r="U172" s="203"/>
    </row>
    <row r="173" hidden="1" spans="1:21">
      <c r="A173" s="690" t="s">
        <v>2038</v>
      </c>
      <c r="B173" s="696" t="s">
        <v>2039</v>
      </c>
      <c r="C173" s="671" t="s">
        <v>2092</v>
      </c>
      <c r="D173" s="697">
        <v>60</v>
      </c>
      <c r="E173" s="708"/>
      <c r="F173" s="675"/>
      <c r="G173" s="675">
        <f>G172</f>
        <v>45724</v>
      </c>
      <c r="H173" s="676">
        <f>H172</f>
        <v>45741</v>
      </c>
      <c r="I173" s="699" t="s">
        <v>2160</v>
      </c>
      <c r="J173" s="690" t="s">
        <v>18</v>
      </c>
      <c r="K173" s="716" t="s">
        <v>2157</v>
      </c>
      <c r="L173" s="347" t="s">
        <v>20</v>
      </c>
      <c r="M173" s="690" t="s">
        <v>2091</v>
      </c>
      <c r="N173" s="688"/>
      <c r="O173" s="203"/>
      <c r="P173" s="203"/>
      <c r="Q173" s="203"/>
      <c r="R173" s="203"/>
      <c r="S173" s="203"/>
      <c r="T173" s="203"/>
      <c r="U173" s="203"/>
    </row>
    <row r="174" hidden="1" spans="1:21">
      <c r="A174" s="690" t="s">
        <v>2038</v>
      </c>
      <c r="B174" s="696" t="s">
        <v>2039</v>
      </c>
      <c r="C174" s="671" t="s">
        <v>2093</v>
      </c>
      <c r="D174" s="697">
        <v>5</v>
      </c>
      <c r="E174" s="708"/>
      <c r="F174" s="675"/>
      <c r="G174" s="675">
        <f>G173</f>
        <v>45724</v>
      </c>
      <c r="H174" s="676">
        <f>H173</f>
        <v>45741</v>
      </c>
      <c r="I174" s="699" t="s">
        <v>2160</v>
      </c>
      <c r="J174" s="690" t="s">
        <v>18</v>
      </c>
      <c r="K174" s="716" t="s">
        <v>2157</v>
      </c>
      <c r="L174" s="347" t="s">
        <v>20</v>
      </c>
      <c r="M174" s="690" t="s">
        <v>2091</v>
      </c>
      <c r="N174" s="688"/>
      <c r="O174" s="203"/>
      <c r="P174" s="203"/>
      <c r="Q174" s="203"/>
      <c r="R174" s="203"/>
      <c r="S174" s="203"/>
      <c r="T174" s="203"/>
      <c r="U174" s="203"/>
    </row>
    <row r="175" hidden="1" spans="1:21">
      <c r="A175" s="690" t="s">
        <v>2038</v>
      </c>
      <c r="B175" s="696" t="s">
        <v>2039</v>
      </c>
      <c r="C175" s="671" t="s">
        <v>2094</v>
      </c>
      <c r="D175" s="697">
        <v>30</v>
      </c>
      <c r="E175" s="708"/>
      <c r="F175" s="675"/>
      <c r="G175" s="675">
        <f>G174</f>
        <v>45724</v>
      </c>
      <c r="H175" s="676">
        <f>H174</f>
        <v>45741</v>
      </c>
      <c r="I175" s="699" t="s">
        <v>2160</v>
      </c>
      <c r="J175" s="690" t="s">
        <v>18</v>
      </c>
      <c r="K175" s="716" t="s">
        <v>147</v>
      </c>
      <c r="L175" s="347" t="s">
        <v>20</v>
      </c>
      <c r="M175" s="690" t="s">
        <v>2091</v>
      </c>
      <c r="N175" s="684"/>
      <c r="O175" s="203"/>
      <c r="P175" s="203"/>
      <c r="Q175" s="203"/>
      <c r="R175" s="203"/>
      <c r="S175" s="203"/>
      <c r="T175" s="203"/>
      <c r="U175" s="203"/>
    </row>
    <row r="176" hidden="1" spans="1:21">
      <c r="A176" s="690" t="s">
        <v>2038</v>
      </c>
      <c r="B176" s="696" t="s">
        <v>2039</v>
      </c>
      <c r="C176" s="671" t="s">
        <v>2095</v>
      </c>
      <c r="D176" s="697">
        <v>30</v>
      </c>
      <c r="E176" s="708"/>
      <c r="F176" s="675"/>
      <c r="G176" s="675">
        <f>G175</f>
        <v>45724</v>
      </c>
      <c r="H176" s="676">
        <f>H175</f>
        <v>45741</v>
      </c>
      <c r="I176" s="699" t="s">
        <v>2160</v>
      </c>
      <c r="J176" s="690" t="s">
        <v>18</v>
      </c>
      <c r="K176" s="716" t="s">
        <v>2157</v>
      </c>
      <c r="L176" s="347" t="s">
        <v>20</v>
      </c>
      <c r="M176" s="690" t="s">
        <v>2091</v>
      </c>
      <c r="N176" s="688"/>
      <c r="O176" s="203"/>
      <c r="P176" s="203"/>
      <c r="Q176" s="203"/>
      <c r="R176" s="203"/>
      <c r="S176" s="203"/>
      <c r="T176" s="203"/>
      <c r="U176" s="203"/>
    </row>
    <row r="177" hidden="1" spans="1:21">
      <c r="A177" s="690" t="s">
        <v>2112</v>
      </c>
      <c r="B177" s="707" t="s">
        <v>2113</v>
      </c>
      <c r="C177" s="673" t="s">
        <v>2040</v>
      </c>
      <c r="D177" s="270">
        <v>54</v>
      </c>
      <c r="E177" s="702" t="s">
        <v>2161</v>
      </c>
      <c r="F177" s="675"/>
      <c r="G177" s="675">
        <f>VLOOKUP(CLEAN(SUBSTITUTE(TRIM(MID(E:E,FIND("/",E:E)+1,LEN(E:E)))," ","")),'Customs Decl. &amp; Local Delivery'!D:I,6,0)</f>
        <v>45724</v>
      </c>
      <c r="H177" s="676">
        <f>VLOOKUP(CLEAN(SUBSTITUTE(TRIM(MID(E:E,FIND("/",E:E)+1,LEN(E:E)))," ","")),'Customs Decl. &amp; Local Delivery'!D:J,7,0)</f>
        <v>45741</v>
      </c>
      <c r="I177" s="717" t="s">
        <v>2162</v>
      </c>
      <c r="J177" s="690" t="s">
        <v>18</v>
      </c>
      <c r="K177" s="690" t="s">
        <v>147</v>
      </c>
      <c r="L177" s="347" t="s">
        <v>20</v>
      </c>
      <c r="M177" s="687" t="s">
        <v>2163</v>
      </c>
      <c r="N177" s="684"/>
      <c r="O177" s="203"/>
      <c r="P177" s="203"/>
      <c r="Q177" s="203"/>
      <c r="R177" s="203"/>
      <c r="S177" s="203"/>
      <c r="T177" s="203"/>
      <c r="U177" s="203"/>
    </row>
    <row r="178" hidden="1" spans="1:21">
      <c r="A178" s="690" t="s">
        <v>2112</v>
      </c>
      <c r="B178" s="707" t="s">
        <v>2113</v>
      </c>
      <c r="C178" s="671" t="s">
        <v>2092</v>
      </c>
      <c r="D178" s="270">
        <v>230</v>
      </c>
      <c r="E178" s="708"/>
      <c r="F178" s="675"/>
      <c r="G178" s="675">
        <f>G177</f>
        <v>45724</v>
      </c>
      <c r="H178" s="676">
        <f>H177</f>
        <v>45741</v>
      </c>
      <c r="I178" s="717" t="s">
        <v>2162</v>
      </c>
      <c r="J178" s="690" t="s">
        <v>18</v>
      </c>
      <c r="K178" s="690" t="s">
        <v>147</v>
      </c>
      <c r="L178" s="347" t="s">
        <v>20</v>
      </c>
      <c r="M178" s="690"/>
      <c r="N178" s="684"/>
      <c r="O178" s="203"/>
      <c r="P178" s="203"/>
      <c r="Q178" s="203"/>
      <c r="R178" s="203"/>
      <c r="S178" s="203"/>
      <c r="T178" s="203"/>
      <c r="U178" s="203"/>
    </row>
    <row r="179" hidden="1" spans="1:21">
      <c r="A179" s="690" t="s">
        <v>2112</v>
      </c>
      <c r="B179" s="707" t="s">
        <v>2113</v>
      </c>
      <c r="C179" s="671" t="s">
        <v>2095</v>
      </c>
      <c r="D179" s="697">
        <v>40</v>
      </c>
      <c r="E179" s="702" t="s">
        <v>2164</v>
      </c>
      <c r="F179" s="675"/>
      <c r="G179" s="675">
        <f>VLOOKUP(CLEAN(SUBSTITUTE(TRIM(MID(E:E,FIND("/",E:E)+1,LEN(E:E)))," ","")),'Customs Decl. &amp; Local Delivery'!D:I,6,0)</f>
        <v>45724</v>
      </c>
      <c r="H179" s="676">
        <f>VLOOKUP(CLEAN(SUBSTITUTE(TRIM(MID(E:E,FIND("/",E:E)+1,LEN(E:E)))," ","")),'Customs Decl. &amp; Local Delivery'!D:J,7,0)</f>
        <v>45741</v>
      </c>
      <c r="I179" s="717" t="s">
        <v>2165</v>
      </c>
      <c r="J179" s="689" t="s">
        <v>18</v>
      </c>
      <c r="K179" s="690" t="s">
        <v>654</v>
      </c>
      <c r="L179" s="347" t="s">
        <v>20</v>
      </c>
      <c r="M179" s="687" t="s">
        <v>2163</v>
      </c>
      <c r="N179" s="688"/>
      <c r="O179" s="203"/>
      <c r="P179" s="203"/>
      <c r="Q179" s="203"/>
      <c r="R179" s="203"/>
      <c r="S179" s="203"/>
      <c r="T179" s="203"/>
      <c r="U179" s="203"/>
    </row>
    <row r="180" hidden="1" spans="1:21">
      <c r="A180" s="690" t="s">
        <v>2112</v>
      </c>
      <c r="B180" s="707" t="s">
        <v>2113</v>
      </c>
      <c r="C180" s="671" t="s">
        <v>2092</v>
      </c>
      <c r="D180" s="697">
        <v>50</v>
      </c>
      <c r="E180" s="708"/>
      <c r="F180" s="675"/>
      <c r="G180" s="675">
        <f>G179</f>
        <v>45724</v>
      </c>
      <c r="H180" s="676">
        <f>H179</f>
        <v>45741</v>
      </c>
      <c r="I180" s="717" t="s">
        <v>2165</v>
      </c>
      <c r="J180" s="689" t="s">
        <v>18</v>
      </c>
      <c r="K180" s="690" t="s">
        <v>654</v>
      </c>
      <c r="L180" s="347" t="s">
        <v>20</v>
      </c>
      <c r="M180" s="690" t="s">
        <v>2166</v>
      </c>
      <c r="N180" s="688"/>
      <c r="O180" s="203"/>
      <c r="P180" s="203"/>
      <c r="Q180" s="203"/>
      <c r="R180" s="203"/>
      <c r="S180" s="203"/>
      <c r="T180" s="203"/>
      <c r="U180" s="203"/>
    </row>
    <row r="181" hidden="1" spans="1:21">
      <c r="A181" s="690" t="s">
        <v>2112</v>
      </c>
      <c r="B181" s="707" t="s">
        <v>2113</v>
      </c>
      <c r="C181" s="671" t="s">
        <v>2094</v>
      </c>
      <c r="D181" s="697">
        <v>20</v>
      </c>
      <c r="E181" s="708"/>
      <c r="F181" s="675"/>
      <c r="G181" s="675">
        <f>G180</f>
        <v>45724</v>
      </c>
      <c r="H181" s="676">
        <f>H180</f>
        <v>45741</v>
      </c>
      <c r="I181" s="717" t="s">
        <v>2165</v>
      </c>
      <c r="J181" s="689" t="s">
        <v>18</v>
      </c>
      <c r="K181" s="690" t="s">
        <v>654</v>
      </c>
      <c r="L181" s="347" t="s">
        <v>20</v>
      </c>
      <c r="M181" s="690"/>
      <c r="N181" s="688"/>
      <c r="O181" s="203"/>
      <c r="P181" s="203"/>
      <c r="Q181" s="203"/>
      <c r="R181" s="203"/>
      <c r="S181" s="203"/>
      <c r="T181" s="203"/>
      <c r="U181" s="203"/>
    </row>
    <row r="182" hidden="1" spans="1:21">
      <c r="A182" s="690" t="s">
        <v>2112</v>
      </c>
      <c r="B182" s="707" t="s">
        <v>2113</v>
      </c>
      <c r="C182" s="671" t="s">
        <v>2093</v>
      </c>
      <c r="D182" s="697">
        <v>8</v>
      </c>
      <c r="E182" s="708"/>
      <c r="F182" s="675"/>
      <c r="G182" s="675">
        <f>G181</f>
        <v>45724</v>
      </c>
      <c r="H182" s="676">
        <f>H181</f>
        <v>45741</v>
      </c>
      <c r="I182" s="717" t="s">
        <v>2165</v>
      </c>
      <c r="J182" s="689" t="s">
        <v>18</v>
      </c>
      <c r="K182" s="690" t="s">
        <v>654</v>
      </c>
      <c r="L182" s="347" t="s">
        <v>20</v>
      </c>
      <c r="M182" s="690"/>
      <c r="N182" s="688"/>
      <c r="O182" s="203"/>
      <c r="P182" s="203"/>
      <c r="Q182" s="203"/>
      <c r="R182" s="203"/>
      <c r="S182" s="203"/>
      <c r="T182" s="203"/>
      <c r="U182" s="203"/>
    </row>
    <row r="183" hidden="1" spans="1:21">
      <c r="A183" s="690" t="s">
        <v>2112</v>
      </c>
      <c r="B183" s="707" t="s">
        <v>2113</v>
      </c>
      <c r="C183" s="671" t="s">
        <v>2090</v>
      </c>
      <c r="D183" s="697">
        <v>16</v>
      </c>
      <c r="E183" s="708"/>
      <c r="F183" s="675"/>
      <c r="G183" s="675">
        <f>G182</f>
        <v>45724</v>
      </c>
      <c r="H183" s="676">
        <f>H182</f>
        <v>45741</v>
      </c>
      <c r="I183" s="717" t="s">
        <v>2165</v>
      </c>
      <c r="J183" s="689" t="s">
        <v>18</v>
      </c>
      <c r="K183" s="690" t="s">
        <v>654</v>
      </c>
      <c r="L183" s="347" t="s">
        <v>20</v>
      </c>
      <c r="M183" s="690"/>
      <c r="N183" s="688"/>
      <c r="O183" s="203"/>
      <c r="P183" s="203"/>
      <c r="Q183" s="203"/>
      <c r="R183" s="203"/>
      <c r="S183" s="203"/>
      <c r="T183" s="203"/>
      <c r="U183" s="203"/>
    </row>
    <row r="184" hidden="1" spans="1:21">
      <c r="A184" s="690" t="s">
        <v>2112</v>
      </c>
      <c r="B184" s="707" t="s">
        <v>2113</v>
      </c>
      <c r="C184" s="673" t="s">
        <v>2087</v>
      </c>
      <c r="D184" s="697">
        <v>36</v>
      </c>
      <c r="E184" s="708"/>
      <c r="F184" s="675"/>
      <c r="G184" s="675">
        <f>G183</f>
        <v>45724</v>
      </c>
      <c r="H184" s="676">
        <f>H183</f>
        <v>45741</v>
      </c>
      <c r="I184" s="717" t="s">
        <v>2165</v>
      </c>
      <c r="J184" s="689" t="s">
        <v>18</v>
      </c>
      <c r="K184" s="690" t="s">
        <v>654</v>
      </c>
      <c r="L184" s="347" t="s">
        <v>20</v>
      </c>
      <c r="M184" s="690"/>
      <c r="N184" s="688"/>
      <c r="O184" s="203"/>
      <c r="P184" s="203"/>
      <c r="Q184" s="203"/>
      <c r="R184" s="203"/>
      <c r="S184" s="203"/>
      <c r="T184" s="203"/>
      <c r="U184" s="203"/>
    </row>
    <row r="185" hidden="1" spans="1:21">
      <c r="A185" s="690" t="s">
        <v>2112</v>
      </c>
      <c r="B185" s="707" t="s">
        <v>2113</v>
      </c>
      <c r="C185" s="671" t="s">
        <v>2095</v>
      </c>
      <c r="D185" s="697">
        <v>40</v>
      </c>
      <c r="E185" s="702" t="s">
        <v>2167</v>
      </c>
      <c r="F185" s="675"/>
      <c r="G185" s="675">
        <f>VLOOKUP(CLEAN(SUBSTITUTE(TRIM(MID(E:E,FIND("/",E:E)+1,LEN(E:E)))," ","")),'Customs Decl. &amp; Local Delivery'!D:I,6,0)</f>
        <v>45724</v>
      </c>
      <c r="H185" s="676">
        <f>VLOOKUP(CLEAN(SUBSTITUTE(TRIM(MID(E:E,FIND("/",E:E)+1,LEN(E:E)))," ","")),'Customs Decl. &amp; Local Delivery'!D:J,7,0)</f>
        <v>45741</v>
      </c>
      <c r="I185" s="717" t="s">
        <v>2168</v>
      </c>
      <c r="J185" s="689" t="s">
        <v>18</v>
      </c>
      <c r="K185" s="690" t="s">
        <v>654</v>
      </c>
      <c r="L185" s="347" t="s">
        <v>20</v>
      </c>
      <c r="M185" s="687" t="s">
        <v>2163</v>
      </c>
      <c r="N185" s="688"/>
      <c r="O185" s="203"/>
      <c r="P185" s="203"/>
      <c r="Q185" s="203"/>
      <c r="R185" s="203"/>
      <c r="S185" s="203"/>
      <c r="T185" s="203"/>
      <c r="U185" s="203"/>
    </row>
    <row r="186" hidden="1" spans="1:21">
      <c r="A186" s="690" t="s">
        <v>2112</v>
      </c>
      <c r="B186" s="707" t="s">
        <v>2113</v>
      </c>
      <c r="C186" s="671" t="s">
        <v>2092</v>
      </c>
      <c r="D186" s="697">
        <v>50</v>
      </c>
      <c r="E186" s="708"/>
      <c r="F186" s="675"/>
      <c r="G186" s="675">
        <f>G185</f>
        <v>45724</v>
      </c>
      <c r="H186" s="676">
        <f>H185</f>
        <v>45741</v>
      </c>
      <c r="I186" s="717" t="s">
        <v>2168</v>
      </c>
      <c r="J186" s="689" t="s">
        <v>18</v>
      </c>
      <c r="K186" s="690" t="s">
        <v>654</v>
      </c>
      <c r="L186" s="347" t="s">
        <v>20</v>
      </c>
      <c r="M186" s="690" t="s">
        <v>2169</v>
      </c>
      <c r="N186" s="688"/>
      <c r="O186" s="203"/>
      <c r="P186" s="203"/>
      <c r="Q186" s="203"/>
      <c r="R186" s="203"/>
      <c r="S186" s="203"/>
      <c r="T186" s="203"/>
      <c r="U186" s="203"/>
    </row>
    <row r="187" hidden="1" spans="1:21">
      <c r="A187" s="690" t="s">
        <v>2112</v>
      </c>
      <c r="B187" s="707" t="s">
        <v>2113</v>
      </c>
      <c r="C187" s="671" t="s">
        <v>2094</v>
      </c>
      <c r="D187" s="697">
        <v>20</v>
      </c>
      <c r="E187" s="708"/>
      <c r="F187" s="675"/>
      <c r="G187" s="675">
        <f>G186</f>
        <v>45724</v>
      </c>
      <c r="H187" s="676">
        <f>H186</f>
        <v>45741</v>
      </c>
      <c r="I187" s="717" t="s">
        <v>2168</v>
      </c>
      <c r="J187" s="689" t="s">
        <v>18</v>
      </c>
      <c r="K187" s="690" t="s">
        <v>654</v>
      </c>
      <c r="L187" s="347" t="s">
        <v>20</v>
      </c>
      <c r="M187" s="690"/>
      <c r="N187" s="688"/>
      <c r="O187" s="203"/>
      <c r="P187" s="203"/>
      <c r="Q187" s="203"/>
      <c r="R187" s="203"/>
      <c r="S187" s="203"/>
      <c r="T187" s="203"/>
      <c r="U187" s="203"/>
    </row>
    <row r="188" hidden="1" spans="1:21">
      <c r="A188" s="690" t="s">
        <v>2112</v>
      </c>
      <c r="B188" s="707" t="s">
        <v>2113</v>
      </c>
      <c r="C188" s="671" t="s">
        <v>2093</v>
      </c>
      <c r="D188" s="697">
        <v>8</v>
      </c>
      <c r="E188" s="708"/>
      <c r="F188" s="675"/>
      <c r="G188" s="675">
        <f>G187</f>
        <v>45724</v>
      </c>
      <c r="H188" s="676">
        <f>H187</f>
        <v>45741</v>
      </c>
      <c r="I188" s="717" t="s">
        <v>2168</v>
      </c>
      <c r="J188" s="689" t="s">
        <v>18</v>
      </c>
      <c r="K188" s="690" t="s">
        <v>654</v>
      </c>
      <c r="L188" s="347" t="s">
        <v>20</v>
      </c>
      <c r="M188" s="690"/>
      <c r="N188" s="688"/>
      <c r="O188" s="203"/>
      <c r="P188" s="203"/>
      <c r="Q188" s="203"/>
      <c r="R188" s="203"/>
      <c r="S188" s="203"/>
      <c r="T188" s="203"/>
      <c r="U188" s="203"/>
    </row>
    <row r="189" hidden="1" spans="1:21">
      <c r="A189" s="690" t="s">
        <v>2112</v>
      </c>
      <c r="B189" s="707" t="s">
        <v>2113</v>
      </c>
      <c r="C189" s="671" t="s">
        <v>2090</v>
      </c>
      <c r="D189" s="697">
        <v>16</v>
      </c>
      <c r="E189" s="708"/>
      <c r="F189" s="675"/>
      <c r="G189" s="675">
        <f>G188</f>
        <v>45724</v>
      </c>
      <c r="H189" s="676">
        <f>H188</f>
        <v>45741</v>
      </c>
      <c r="I189" s="717" t="s">
        <v>2168</v>
      </c>
      <c r="J189" s="689" t="s">
        <v>18</v>
      </c>
      <c r="K189" s="690" t="s">
        <v>654</v>
      </c>
      <c r="L189" s="347" t="s">
        <v>20</v>
      </c>
      <c r="M189" s="690"/>
      <c r="N189" s="688"/>
      <c r="O189" s="203"/>
      <c r="P189" s="203"/>
      <c r="Q189" s="203"/>
      <c r="R189" s="203"/>
      <c r="S189" s="203"/>
      <c r="T189" s="203"/>
      <c r="U189" s="203"/>
    </row>
    <row r="190" hidden="1" spans="1:21">
      <c r="A190" s="690" t="s">
        <v>2112</v>
      </c>
      <c r="B190" s="707" t="s">
        <v>2113</v>
      </c>
      <c r="C190" s="673" t="s">
        <v>2087</v>
      </c>
      <c r="D190" s="697">
        <v>36</v>
      </c>
      <c r="E190" s="708"/>
      <c r="F190" s="675"/>
      <c r="G190" s="675">
        <f>G189</f>
        <v>45724</v>
      </c>
      <c r="H190" s="676">
        <f>H189</f>
        <v>45741</v>
      </c>
      <c r="I190" s="717" t="s">
        <v>2168</v>
      </c>
      <c r="J190" s="689" t="s">
        <v>18</v>
      </c>
      <c r="K190" s="690" t="s">
        <v>654</v>
      </c>
      <c r="L190" s="347" t="s">
        <v>20</v>
      </c>
      <c r="M190" s="690"/>
      <c r="N190" s="688"/>
      <c r="O190" s="203"/>
      <c r="P190" s="203"/>
      <c r="Q190" s="203"/>
      <c r="R190" s="203"/>
      <c r="S190" s="203"/>
      <c r="T190" s="203"/>
      <c r="U190" s="203"/>
    </row>
    <row r="191" hidden="1" spans="1:21">
      <c r="A191" s="690" t="s">
        <v>2112</v>
      </c>
      <c r="B191" s="707" t="s">
        <v>2113</v>
      </c>
      <c r="C191" s="671" t="s">
        <v>2095</v>
      </c>
      <c r="D191" s="697">
        <v>40</v>
      </c>
      <c r="E191" s="702" t="s">
        <v>2170</v>
      </c>
      <c r="F191" s="675"/>
      <c r="G191" s="675">
        <f>VLOOKUP(CLEAN(SUBSTITUTE(TRIM(MID(E:E,FIND("/",E:E)+1,LEN(E:E)))," ","")),'Customs Decl. &amp; Local Delivery'!D:I,6,0)</f>
        <v>45724</v>
      </c>
      <c r="H191" s="676">
        <f>VLOOKUP(CLEAN(SUBSTITUTE(TRIM(MID(E:E,FIND("/",E:E)+1,LEN(E:E)))," ","")),'Customs Decl. &amp; Local Delivery'!D:J,7,0)</f>
        <v>45741</v>
      </c>
      <c r="I191" s="717" t="s">
        <v>2171</v>
      </c>
      <c r="J191" s="689" t="s">
        <v>18</v>
      </c>
      <c r="K191" s="690" t="s">
        <v>654</v>
      </c>
      <c r="L191" s="347" t="s">
        <v>20</v>
      </c>
      <c r="M191" s="687" t="s">
        <v>2163</v>
      </c>
      <c r="N191" s="688"/>
      <c r="O191" s="203"/>
      <c r="P191" s="203"/>
      <c r="Q191" s="203"/>
      <c r="R191" s="203"/>
      <c r="S191" s="203"/>
      <c r="T191" s="203"/>
      <c r="U191" s="203"/>
    </row>
    <row r="192" hidden="1" spans="1:21">
      <c r="A192" s="690" t="s">
        <v>2112</v>
      </c>
      <c r="B192" s="707" t="s">
        <v>2113</v>
      </c>
      <c r="C192" s="671" t="s">
        <v>2092</v>
      </c>
      <c r="D192" s="697">
        <v>50</v>
      </c>
      <c r="E192" s="708"/>
      <c r="F192" s="675"/>
      <c r="G192" s="675">
        <f>G191</f>
        <v>45724</v>
      </c>
      <c r="H192" s="676">
        <f>H191</f>
        <v>45741</v>
      </c>
      <c r="I192" s="717" t="s">
        <v>2171</v>
      </c>
      <c r="J192" s="689" t="s">
        <v>18</v>
      </c>
      <c r="K192" s="690" t="s">
        <v>654</v>
      </c>
      <c r="L192" s="347" t="s">
        <v>20</v>
      </c>
      <c r="M192" s="690" t="s">
        <v>2172</v>
      </c>
      <c r="N192" s="688"/>
      <c r="O192" s="203"/>
      <c r="P192" s="203"/>
      <c r="Q192" s="203"/>
      <c r="R192" s="203"/>
      <c r="S192" s="203"/>
      <c r="T192" s="203"/>
      <c r="U192" s="203"/>
    </row>
    <row r="193" hidden="1" spans="1:21">
      <c r="A193" s="690" t="s">
        <v>2112</v>
      </c>
      <c r="B193" s="707" t="s">
        <v>2113</v>
      </c>
      <c r="C193" s="671" t="s">
        <v>2094</v>
      </c>
      <c r="D193" s="697">
        <v>20</v>
      </c>
      <c r="E193" s="708"/>
      <c r="F193" s="675"/>
      <c r="G193" s="675">
        <f>G192</f>
        <v>45724</v>
      </c>
      <c r="H193" s="676">
        <f>H192</f>
        <v>45741</v>
      </c>
      <c r="I193" s="717" t="s">
        <v>2171</v>
      </c>
      <c r="J193" s="689" t="s">
        <v>18</v>
      </c>
      <c r="K193" s="690" t="s">
        <v>654</v>
      </c>
      <c r="L193" s="347" t="s">
        <v>20</v>
      </c>
      <c r="M193" s="687"/>
      <c r="N193" s="688"/>
      <c r="O193" s="203"/>
      <c r="P193" s="203"/>
      <c r="Q193" s="203"/>
      <c r="R193" s="203"/>
      <c r="S193" s="203"/>
      <c r="T193" s="203"/>
      <c r="U193" s="203"/>
    </row>
    <row r="194" hidden="1" spans="1:21">
      <c r="A194" s="690" t="s">
        <v>2112</v>
      </c>
      <c r="B194" s="707" t="s">
        <v>2113</v>
      </c>
      <c r="C194" s="671" t="s">
        <v>2093</v>
      </c>
      <c r="D194" s="697">
        <v>8</v>
      </c>
      <c r="E194" s="708"/>
      <c r="F194" s="675"/>
      <c r="G194" s="675">
        <f>G193</f>
        <v>45724</v>
      </c>
      <c r="H194" s="676">
        <f>H193</f>
        <v>45741</v>
      </c>
      <c r="I194" s="717" t="s">
        <v>2171</v>
      </c>
      <c r="J194" s="689" t="s">
        <v>18</v>
      </c>
      <c r="K194" s="690" t="s">
        <v>654</v>
      </c>
      <c r="L194" s="347" t="s">
        <v>20</v>
      </c>
      <c r="M194" s="690"/>
      <c r="N194" s="688"/>
      <c r="O194" s="203"/>
      <c r="P194" s="203"/>
      <c r="Q194" s="203"/>
      <c r="R194" s="203"/>
      <c r="S194" s="203"/>
      <c r="T194" s="203"/>
      <c r="U194" s="203"/>
    </row>
    <row r="195" hidden="1" spans="1:21">
      <c r="A195" s="690" t="s">
        <v>2112</v>
      </c>
      <c r="B195" s="707" t="s">
        <v>2113</v>
      </c>
      <c r="C195" s="671" t="s">
        <v>2090</v>
      </c>
      <c r="D195" s="697">
        <v>16</v>
      </c>
      <c r="E195" s="708"/>
      <c r="F195" s="675"/>
      <c r="G195" s="675">
        <f>G194</f>
        <v>45724</v>
      </c>
      <c r="H195" s="676">
        <f>H194</f>
        <v>45741</v>
      </c>
      <c r="I195" s="717" t="s">
        <v>2171</v>
      </c>
      <c r="J195" s="689" t="s">
        <v>18</v>
      </c>
      <c r="K195" s="690" t="s">
        <v>654</v>
      </c>
      <c r="L195" s="347" t="s">
        <v>20</v>
      </c>
      <c r="M195" s="690"/>
      <c r="N195" s="688"/>
      <c r="O195" s="203"/>
      <c r="P195" s="203"/>
      <c r="Q195" s="203"/>
      <c r="R195" s="203"/>
      <c r="S195" s="203"/>
      <c r="T195" s="203"/>
      <c r="U195" s="203"/>
    </row>
    <row r="196" hidden="1" spans="1:21">
      <c r="A196" s="690" t="s">
        <v>2112</v>
      </c>
      <c r="B196" s="707" t="s">
        <v>2113</v>
      </c>
      <c r="C196" s="673" t="s">
        <v>2087</v>
      </c>
      <c r="D196" s="697">
        <v>36</v>
      </c>
      <c r="E196" s="708"/>
      <c r="F196" s="675"/>
      <c r="G196" s="675">
        <f>G195</f>
        <v>45724</v>
      </c>
      <c r="H196" s="676">
        <f>H195</f>
        <v>45741</v>
      </c>
      <c r="I196" s="717" t="s">
        <v>2171</v>
      </c>
      <c r="J196" s="689" t="s">
        <v>18</v>
      </c>
      <c r="K196" s="690" t="s">
        <v>654</v>
      </c>
      <c r="L196" s="347" t="s">
        <v>20</v>
      </c>
      <c r="M196" s="690"/>
      <c r="N196" s="688"/>
      <c r="O196" s="203"/>
      <c r="P196" s="203"/>
      <c r="Q196" s="203"/>
      <c r="R196" s="203"/>
      <c r="S196" s="203"/>
      <c r="T196" s="203"/>
      <c r="U196" s="203"/>
    </row>
    <row r="197" hidden="1" spans="1:21">
      <c r="A197" s="690" t="s">
        <v>2112</v>
      </c>
      <c r="B197" s="707" t="s">
        <v>2113</v>
      </c>
      <c r="C197" s="671" t="s">
        <v>2095</v>
      </c>
      <c r="D197" s="697">
        <v>40</v>
      </c>
      <c r="E197" s="702" t="s">
        <v>2173</v>
      </c>
      <c r="F197" s="675"/>
      <c r="G197" s="675">
        <f>VLOOKUP(CLEAN(SUBSTITUTE(TRIM(MID(E:E,FIND("/",E:E)+1,LEN(E:E)))," ","")),'Customs Decl. &amp; Local Delivery'!D:I,6,0)</f>
        <v>45724</v>
      </c>
      <c r="H197" s="676">
        <f>VLOOKUP(CLEAN(SUBSTITUTE(TRIM(MID(E:E,FIND("/",E:E)+1,LEN(E:E)))," ","")),'Customs Decl. &amp; Local Delivery'!D:J,7,0)</f>
        <v>45741</v>
      </c>
      <c r="I197" s="717" t="s">
        <v>2174</v>
      </c>
      <c r="J197" s="689" t="s">
        <v>18</v>
      </c>
      <c r="K197" s="721" t="s">
        <v>147</v>
      </c>
      <c r="L197" s="347" t="s">
        <v>20</v>
      </c>
      <c r="M197" s="687" t="s">
        <v>2163</v>
      </c>
      <c r="N197" s="684"/>
      <c r="O197" s="203"/>
      <c r="P197" s="203"/>
      <c r="Q197" s="203"/>
      <c r="R197" s="203"/>
      <c r="S197" s="203"/>
      <c r="T197" s="203"/>
      <c r="U197" s="203"/>
    </row>
    <row r="198" hidden="1" spans="1:21">
      <c r="A198" s="690" t="s">
        <v>2112</v>
      </c>
      <c r="B198" s="707" t="s">
        <v>2113</v>
      </c>
      <c r="C198" s="671" t="s">
        <v>2092</v>
      </c>
      <c r="D198" s="697">
        <v>50</v>
      </c>
      <c r="E198" s="708"/>
      <c r="F198" s="675"/>
      <c r="G198" s="675">
        <f>G197</f>
        <v>45724</v>
      </c>
      <c r="H198" s="676">
        <f>H197</f>
        <v>45741</v>
      </c>
      <c r="I198" s="717" t="s">
        <v>2174</v>
      </c>
      <c r="J198" s="689" t="s">
        <v>18</v>
      </c>
      <c r="K198" s="722" t="s">
        <v>147</v>
      </c>
      <c r="L198" s="347" t="s">
        <v>20</v>
      </c>
      <c r="M198" s="690"/>
      <c r="N198" s="684"/>
      <c r="O198" s="203"/>
      <c r="P198" s="203"/>
      <c r="Q198" s="203"/>
      <c r="R198" s="203"/>
      <c r="S198" s="203"/>
      <c r="T198" s="203"/>
      <c r="U198" s="203"/>
    </row>
    <row r="199" hidden="1" spans="1:21">
      <c r="A199" s="690" t="s">
        <v>2112</v>
      </c>
      <c r="B199" s="707" t="s">
        <v>2113</v>
      </c>
      <c r="C199" s="671" t="s">
        <v>2094</v>
      </c>
      <c r="D199" s="697">
        <v>20</v>
      </c>
      <c r="E199" s="708"/>
      <c r="F199" s="675"/>
      <c r="G199" s="675">
        <f>G198</f>
        <v>45724</v>
      </c>
      <c r="H199" s="676">
        <f>H198</f>
        <v>45741</v>
      </c>
      <c r="I199" s="717" t="s">
        <v>2174</v>
      </c>
      <c r="J199" s="689" t="s">
        <v>18</v>
      </c>
      <c r="K199" s="722" t="s">
        <v>147</v>
      </c>
      <c r="L199" s="347" t="s">
        <v>20</v>
      </c>
      <c r="M199" s="690"/>
      <c r="N199" s="684"/>
      <c r="O199" s="203"/>
      <c r="P199" s="203"/>
      <c r="Q199" s="203"/>
      <c r="R199" s="203"/>
      <c r="S199" s="203"/>
      <c r="T199" s="203"/>
      <c r="U199" s="203"/>
    </row>
    <row r="200" hidden="1" spans="1:21">
      <c r="A200" s="690" t="s">
        <v>2112</v>
      </c>
      <c r="B200" s="707" t="s">
        <v>2113</v>
      </c>
      <c r="C200" s="671" t="s">
        <v>2093</v>
      </c>
      <c r="D200" s="697">
        <v>8</v>
      </c>
      <c r="E200" s="708"/>
      <c r="F200" s="675"/>
      <c r="G200" s="675">
        <f>G199</f>
        <v>45724</v>
      </c>
      <c r="H200" s="676">
        <f>H199</f>
        <v>45741</v>
      </c>
      <c r="I200" s="717" t="s">
        <v>2174</v>
      </c>
      <c r="J200" s="689" t="s">
        <v>18</v>
      </c>
      <c r="K200" s="722" t="s">
        <v>2157</v>
      </c>
      <c r="L200" s="347" t="s">
        <v>20</v>
      </c>
      <c r="M200" s="690"/>
      <c r="N200" s="688"/>
      <c r="O200" s="203"/>
      <c r="P200" s="203"/>
      <c r="Q200" s="203"/>
      <c r="R200" s="203"/>
      <c r="S200" s="203"/>
      <c r="T200" s="203"/>
      <c r="U200" s="203"/>
    </row>
    <row r="201" hidden="1" spans="1:21">
      <c r="A201" s="690" t="s">
        <v>2112</v>
      </c>
      <c r="B201" s="707" t="s">
        <v>2113</v>
      </c>
      <c r="C201" s="671" t="s">
        <v>2090</v>
      </c>
      <c r="D201" s="697">
        <v>16</v>
      </c>
      <c r="E201" s="708"/>
      <c r="F201" s="675"/>
      <c r="G201" s="675">
        <f>G200</f>
        <v>45724</v>
      </c>
      <c r="H201" s="676">
        <f>H200</f>
        <v>45741</v>
      </c>
      <c r="I201" s="717" t="s">
        <v>2174</v>
      </c>
      <c r="J201" s="689" t="s">
        <v>18</v>
      </c>
      <c r="K201" s="722" t="s">
        <v>147</v>
      </c>
      <c r="L201" s="347" t="s">
        <v>20</v>
      </c>
      <c r="M201" s="690"/>
      <c r="N201" s="684"/>
      <c r="O201" s="203"/>
      <c r="P201" s="203"/>
      <c r="Q201" s="203"/>
      <c r="R201" s="203"/>
      <c r="S201" s="203"/>
      <c r="T201" s="203"/>
      <c r="U201" s="203"/>
    </row>
    <row r="202" hidden="1" spans="1:21">
      <c r="A202" s="690" t="s">
        <v>2112</v>
      </c>
      <c r="B202" s="707" t="s">
        <v>2113</v>
      </c>
      <c r="C202" s="673" t="s">
        <v>2087</v>
      </c>
      <c r="D202" s="697">
        <v>36</v>
      </c>
      <c r="E202" s="708"/>
      <c r="F202" s="675"/>
      <c r="G202" s="675">
        <f>G201</f>
        <v>45724</v>
      </c>
      <c r="H202" s="676">
        <f>H201</f>
        <v>45741</v>
      </c>
      <c r="I202" s="717" t="s">
        <v>2174</v>
      </c>
      <c r="J202" s="689" t="s">
        <v>18</v>
      </c>
      <c r="K202" s="722" t="s">
        <v>147</v>
      </c>
      <c r="L202" s="347" t="s">
        <v>20</v>
      </c>
      <c r="M202" s="690"/>
      <c r="N202" s="684"/>
      <c r="O202" s="203"/>
      <c r="P202" s="203"/>
      <c r="Q202" s="203"/>
      <c r="R202" s="203"/>
      <c r="S202" s="203"/>
      <c r="T202" s="203"/>
      <c r="U202" s="203"/>
    </row>
    <row r="203" hidden="1" spans="1:21">
      <c r="A203" s="690" t="s">
        <v>2112</v>
      </c>
      <c r="B203" s="707" t="s">
        <v>2113</v>
      </c>
      <c r="C203" s="671" t="s">
        <v>2095</v>
      </c>
      <c r="D203" s="697">
        <v>40</v>
      </c>
      <c r="E203" s="702" t="s">
        <v>2175</v>
      </c>
      <c r="F203" s="675"/>
      <c r="G203" s="675">
        <f>VLOOKUP(CLEAN(SUBSTITUTE(TRIM(MID(E:E,FIND("/",E:E)+1,LEN(E:E)))," ","")),'Customs Decl. &amp; Local Delivery'!D:I,6,0)</f>
        <v>45724</v>
      </c>
      <c r="H203" s="676">
        <f>VLOOKUP(CLEAN(SUBSTITUTE(TRIM(MID(E:E,FIND("/",E:E)+1,LEN(E:E)))," ","")),'Customs Decl. &amp; Local Delivery'!D:J,7,0)</f>
        <v>45741</v>
      </c>
      <c r="I203" s="717" t="s">
        <v>2176</v>
      </c>
      <c r="J203" s="689" t="s">
        <v>18</v>
      </c>
      <c r="K203" s="722" t="s">
        <v>147</v>
      </c>
      <c r="L203" s="347" t="s">
        <v>20</v>
      </c>
      <c r="M203" s="687" t="s">
        <v>2163</v>
      </c>
      <c r="N203" s="684"/>
      <c r="O203" s="203"/>
      <c r="P203" s="203"/>
      <c r="Q203" s="203"/>
      <c r="R203" s="203"/>
      <c r="S203" s="203"/>
      <c r="T203" s="203"/>
      <c r="U203" s="203"/>
    </row>
    <row r="204" hidden="1" spans="1:21">
      <c r="A204" s="690" t="s">
        <v>2112</v>
      </c>
      <c r="B204" s="707" t="s">
        <v>2113</v>
      </c>
      <c r="C204" s="671" t="s">
        <v>2092</v>
      </c>
      <c r="D204" s="697">
        <v>50</v>
      </c>
      <c r="E204" s="708"/>
      <c r="F204" s="675"/>
      <c r="G204" s="675">
        <f>G203</f>
        <v>45724</v>
      </c>
      <c r="H204" s="676">
        <f>H203</f>
        <v>45741</v>
      </c>
      <c r="I204" s="717" t="s">
        <v>2176</v>
      </c>
      <c r="J204" s="689" t="s">
        <v>18</v>
      </c>
      <c r="K204" s="722" t="s">
        <v>147</v>
      </c>
      <c r="L204" s="347" t="s">
        <v>20</v>
      </c>
      <c r="M204" s="690"/>
      <c r="N204" s="684"/>
      <c r="O204" s="203"/>
      <c r="P204" s="203"/>
      <c r="Q204" s="203"/>
      <c r="R204" s="203"/>
      <c r="S204" s="203"/>
      <c r="T204" s="203"/>
      <c r="U204" s="203"/>
    </row>
    <row r="205" hidden="1" spans="1:21">
      <c r="A205" s="690" t="s">
        <v>2112</v>
      </c>
      <c r="B205" s="707" t="s">
        <v>2113</v>
      </c>
      <c r="C205" s="671" t="s">
        <v>2094</v>
      </c>
      <c r="D205" s="697">
        <v>20</v>
      </c>
      <c r="E205" s="708"/>
      <c r="F205" s="675"/>
      <c r="G205" s="675">
        <f>G204</f>
        <v>45724</v>
      </c>
      <c r="H205" s="676">
        <f>H204</f>
        <v>45741</v>
      </c>
      <c r="I205" s="717" t="s">
        <v>2176</v>
      </c>
      <c r="J205" s="689" t="s">
        <v>18</v>
      </c>
      <c r="K205" s="722" t="s">
        <v>147</v>
      </c>
      <c r="L205" s="347" t="s">
        <v>20</v>
      </c>
      <c r="M205" s="690"/>
      <c r="N205" s="684"/>
      <c r="O205" s="203"/>
      <c r="P205" s="203"/>
      <c r="Q205" s="203"/>
      <c r="R205" s="203"/>
      <c r="S205" s="203"/>
      <c r="T205" s="203"/>
      <c r="U205" s="203"/>
    </row>
    <row r="206" hidden="1" spans="1:21">
      <c r="A206" s="690" t="s">
        <v>2112</v>
      </c>
      <c r="B206" s="707" t="s">
        <v>2113</v>
      </c>
      <c r="C206" s="671" t="s">
        <v>2093</v>
      </c>
      <c r="D206" s="697">
        <v>8</v>
      </c>
      <c r="E206" s="708"/>
      <c r="F206" s="675"/>
      <c r="G206" s="675">
        <f>G205</f>
        <v>45724</v>
      </c>
      <c r="H206" s="676">
        <f>H205</f>
        <v>45741</v>
      </c>
      <c r="I206" s="717" t="s">
        <v>2176</v>
      </c>
      <c r="J206" s="689" t="s">
        <v>18</v>
      </c>
      <c r="K206" s="722" t="s">
        <v>2157</v>
      </c>
      <c r="L206" s="347" t="s">
        <v>20</v>
      </c>
      <c r="M206" s="690"/>
      <c r="N206" s="688"/>
      <c r="O206" s="203"/>
      <c r="P206" s="203"/>
      <c r="Q206" s="203"/>
      <c r="R206" s="203"/>
      <c r="S206" s="203"/>
      <c r="T206" s="203"/>
      <c r="U206" s="203"/>
    </row>
    <row r="207" hidden="1" spans="1:21">
      <c r="A207" s="690" t="s">
        <v>2112</v>
      </c>
      <c r="B207" s="707" t="s">
        <v>2113</v>
      </c>
      <c r="C207" s="671" t="s">
        <v>2090</v>
      </c>
      <c r="D207" s="697">
        <v>16</v>
      </c>
      <c r="E207" s="708"/>
      <c r="F207" s="675"/>
      <c r="G207" s="675">
        <f>G206</f>
        <v>45724</v>
      </c>
      <c r="H207" s="676">
        <f>H206</f>
        <v>45741</v>
      </c>
      <c r="I207" s="717" t="s">
        <v>2176</v>
      </c>
      <c r="J207" s="689" t="s">
        <v>18</v>
      </c>
      <c r="K207" s="722" t="s">
        <v>147</v>
      </c>
      <c r="L207" s="347" t="s">
        <v>20</v>
      </c>
      <c r="M207" s="690"/>
      <c r="N207" s="684"/>
      <c r="O207" s="203"/>
      <c r="P207" s="203"/>
      <c r="Q207" s="203"/>
      <c r="R207" s="203"/>
      <c r="S207" s="203"/>
      <c r="T207" s="203"/>
      <c r="U207" s="203"/>
    </row>
    <row r="208" hidden="1" spans="1:21">
      <c r="A208" s="690" t="s">
        <v>2112</v>
      </c>
      <c r="B208" s="707" t="s">
        <v>2113</v>
      </c>
      <c r="C208" s="673" t="s">
        <v>2087</v>
      </c>
      <c r="D208" s="697">
        <v>36</v>
      </c>
      <c r="E208" s="708"/>
      <c r="F208" s="675"/>
      <c r="G208" s="675">
        <f>G207</f>
        <v>45724</v>
      </c>
      <c r="H208" s="676">
        <f>H207</f>
        <v>45741</v>
      </c>
      <c r="I208" s="717" t="s">
        <v>2176</v>
      </c>
      <c r="J208" s="689" t="s">
        <v>18</v>
      </c>
      <c r="K208" s="722" t="s">
        <v>147</v>
      </c>
      <c r="L208" s="347" t="s">
        <v>20</v>
      </c>
      <c r="M208" s="690"/>
      <c r="N208" s="684"/>
      <c r="O208" s="203"/>
      <c r="P208" s="203"/>
      <c r="Q208" s="203"/>
      <c r="R208" s="203"/>
      <c r="S208" s="203"/>
      <c r="T208" s="203"/>
      <c r="U208" s="203"/>
    </row>
    <row r="209" hidden="1" spans="1:21">
      <c r="A209" s="718" t="s">
        <v>309</v>
      </c>
      <c r="B209" s="719" t="s">
        <v>309</v>
      </c>
      <c r="C209" s="699" t="s">
        <v>2050</v>
      </c>
      <c r="D209" s="248">
        <v>200</v>
      </c>
      <c r="E209" s="702" t="s">
        <v>2177</v>
      </c>
      <c r="F209" s="703"/>
      <c r="G209" s="704">
        <v>45727</v>
      </c>
      <c r="H209" s="705">
        <v>45733</v>
      </c>
      <c r="I209" s="699" t="s">
        <v>2178</v>
      </c>
      <c r="J209" s="699" t="s">
        <v>18</v>
      </c>
      <c r="K209" s="718" t="s">
        <v>147</v>
      </c>
      <c r="L209" s="347" t="s">
        <v>20</v>
      </c>
      <c r="M209" s="690" t="s">
        <v>2179</v>
      </c>
      <c r="N209" s="684"/>
      <c r="O209" s="203"/>
      <c r="P209" s="203"/>
      <c r="Q209" s="203"/>
      <c r="R209" s="203"/>
      <c r="S209" s="203"/>
      <c r="T209" s="203"/>
      <c r="U209" s="203"/>
    </row>
    <row r="210" hidden="1" spans="1:21">
      <c r="A210" s="690" t="s">
        <v>2038</v>
      </c>
      <c r="B210" s="696" t="s">
        <v>2039</v>
      </c>
      <c r="C210" s="671" t="s">
        <v>2072</v>
      </c>
      <c r="D210" s="250">
        <v>24</v>
      </c>
      <c r="E210" s="702" t="s">
        <v>2180</v>
      </c>
      <c r="F210" s="675"/>
      <c r="G210" s="675">
        <f>VLOOKUP(CLEAN(SUBSTITUTE(TRIM(MID(E:E,FIND("/",E:E)+1,LEN(E:E)))," ","")),'Customs Decl. &amp; Local Delivery'!D:I,6,0)</f>
        <v>45727</v>
      </c>
      <c r="H210" s="676">
        <f>VLOOKUP(CLEAN(SUBSTITUTE(TRIM(MID(E:E,FIND("/",E:E)+1,LEN(E:E)))," ","")),'Customs Decl. &amp; Local Delivery'!D:J,7,0)</f>
        <v>45747</v>
      </c>
      <c r="I210" s="717" t="s">
        <v>2181</v>
      </c>
      <c r="J210" s="714" t="s">
        <v>18</v>
      </c>
      <c r="K210" s="690" t="s">
        <v>147</v>
      </c>
      <c r="L210" s="347" t="s">
        <v>20</v>
      </c>
      <c r="M210" s="687" t="s">
        <v>2163</v>
      </c>
      <c r="N210" s="684"/>
      <c r="O210" s="203"/>
      <c r="P210" s="203"/>
      <c r="Q210" s="203"/>
      <c r="R210" s="203"/>
      <c r="S210" s="203"/>
      <c r="T210" s="203"/>
      <c r="U210" s="203"/>
    </row>
    <row r="211" hidden="1" spans="1:21">
      <c r="A211" s="690" t="s">
        <v>2038</v>
      </c>
      <c r="B211" s="696" t="s">
        <v>2039</v>
      </c>
      <c r="C211" s="671" t="s">
        <v>2076</v>
      </c>
      <c r="D211" s="250">
        <v>24</v>
      </c>
      <c r="E211" s="709"/>
      <c r="F211" s="675"/>
      <c r="G211" s="675">
        <f>G210</f>
        <v>45727</v>
      </c>
      <c r="H211" s="676">
        <f>H210</f>
        <v>45747</v>
      </c>
      <c r="I211" s="717" t="s">
        <v>2181</v>
      </c>
      <c r="J211" s="714" t="s">
        <v>18</v>
      </c>
      <c r="K211" s="690" t="s">
        <v>147</v>
      </c>
      <c r="L211" s="347" t="s">
        <v>20</v>
      </c>
      <c r="M211" s="690" t="s">
        <v>2085</v>
      </c>
      <c r="N211" s="684"/>
      <c r="O211" s="203"/>
      <c r="P211" s="203"/>
      <c r="Q211" s="203"/>
      <c r="R211" s="203"/>
      <c r="S211" s="203"/>
      <c r="T211" s="203"/>
      <c r="U211" s="203"/>
    </row>
    <row r="212" hidden="1" spans="1:21">
      <c r="A212" s="690" t="s">
        <v>2038</v>
      </c>
      <c r="B212" s="696" t="s">
        <v>2039</v>
      </c>
      <c r="C212" s="671" t="s">
        <v>2094</v>
      </c>
      <c r="D212" s="250">
        <v>25</v>
      </c>
      <c r="E212" s="709"/>
      <c r="F212" s="675"/>
      <c r="G212" s="675">
        <f>G211</f>
        <v>45727</v>
      </c>
      <c r="H212" s="676">
        <f>H211</f>
        <v>45747</v>
      </c>
      <c r="I212" s="717" t="s">
        <v>2181</v>
      </c>
      <c r="J212" s="714" t="s">
        <v>18</v>
      </c>
      <c r="K212" s="690" t="s">
        <v>147</v>
      </c>
      <c r="L212" s="347" t="s">
        <v>20</v>
      </c>
      <c r="M212" s="690" t="s">
        <v>2091</v>
      </c>
      <c r="N212" s="684"/>
      <c r="O212" s="203"/>
      <c r="P212" s="203"/>
      <c r="Q212" s="203"/>
      <c r="R212" s="203"/>
      <c r="S212" s="203"/>
      <c r="T212" s="203"/>
      <c r="U212" s="203"/>
    </row>
    <row r="213" hidden="1" spans="1:21">
      <c r="A213" s="690" t="s">
        <v>2038</v>
      </c>
      <c r="B213" s="696" t="s">
        <v>2039</v>
      </c>
      <c r="C213" s="671" t="s">
        <v>2095</v>
      </c>
      <c r="D213" s="250">
        <v>25</v>
      </c>
      <c r="E213" s="709"/>
      <c r="F213" s="675"/>
      <c r="G213" s="675">
        <f>G212</f>
        <v>45727</v>
      </c>
      <c r="H213" s="676">
        <f>H212</f>
        <v>45747</v>
      </c>
      <c r="I213" s="717" t="s">
        <v>2181</v>
      </c>
      <c r="J213" s="714" t="s">
        <v>18</v>
      </c>
      <c r="K213" s="690" t="s">
        <v>147</v>
      </c>
      <c r="L213" s="347" t="s">
        <v>20</v>
      </c>
      <c r="M213" s="690" t="s">
        <v>2091</v>
      </c>
      <c r="N213" s="684"/>
      <c r="O213" s="203"/>
      <c r="P213" s="203"/>
      <c r="Q213" s="203"/>
      <c r="R213" s="203"/>
      <c r="S213" s="203"/>
      <c r="T213" s="203"/>
      <c r="U213" s="203"/>
    </row>
    <row r="214" hidden="1" spans="1:21">
      <c r="A214" s="690" t="s">
        <v>2038</v>
      </c>
      <c r="B214" s="696" t="s">
        <v>2039</v>
      </c>
      <c r="C214" s="671" t="s">
        <v>2182</v>
      </c>
      <c r="D214" s="250">
        <v>25</v>
      </c>
      <c r="E214" s="709"/>
      <c r="F214" s="675"/>
      <c r="G214" s="675">
        <f>G213</f>
        <v>45727</v>
      </c>
      <c r="H214" s="676">
        <f>H213</f>
        <v>45747</v>
      </c>
      <c r="I214" s="717" t="s">
        <v>2181</v>
      </c>
      <c r="J214" s="714" t="s">
        <v>18</v>
      </c>
      <c r="K214" s="690" t="s">
        <v>147</v>
      </c>
      <c r="L214" s="347" t="s">
        <v>20</v>
      </c>
      <c r="M214" s="690" t="s">
        <v>2091</v>
      </c>
      <c r="N214" s="684"/>
      <c r="O214" s="203"/>
      <c r="P214" s="203"/>
      <c r="Q214" s="203"/>
      <c r="R214" s="203"/>
      <c r="S214" s="203"/>
      <c r="T214" s="203"/>
      <c r="U214" s="203"/>
    </row>
    <row r="215" hidden="1" spans="1:21">
      <c r="A215" s="690" t="s">
        <v>2038</v>
      </c>
      <c r="B215" s="696" t="s">
        <v>2039</v>
      </c>
      <c r="C215" s="671" t="s">
        <v>2092</v>
      </c>
      <c r="D215" s="250">
        <v>80</v>
      </c>
      <c r="E215" s="709"/>
      <c r="F215" s="675"/>
      <c r="G215" s="675">
        <f>G214</f>
        <v>45727</v>
      </c>
      <c r="H215" s="676">
        <f>H214</f>
        <v>45747</v>
      </c>
      <c r="I215" s="717" t="s">
        <v>2181</v>
      </c>
      <c r="J215" s="714" t="s">
        <v>18</v>
      </c>
      <c r="K215" s="690" t="s">
        <v>147</v>
      </c>
      <c r="L215" s="347" t="s">
        <v>20</v>
      </c>
      <c r="M215" s="690"/>
      <c r="N215" s="684"/>
      <c r="O215" s="203"/>
      <c r="P215" s="203"/>
      <c r="Q215" s="203"/>
      <c r="R215" s="203"/>
      <c r="S215" s="203"/>
      <c r="T215" s="203"/>
      <c r="U215" s="203"/>
    </row>
    <row r="216" hidden="1" spans="1:21">
      <c r="A216" s="690" t="s">
        <v>2112</v>
      </c>
      <c r="B216" s="707" t="s">
        <v>2113</v>
      </c>
      <c r="C216" s="671" t="s">
        <v>2095</v>
      </c>
      <c r="D216" s="270">
        <v>230</v>
      </c>
      <c r="E216" s="702" t="s">
        <v>2183</v>
      </c>
      <c r="F216" s="675"/>
      <c r="G216" s="675">
        <f>VLOOKUP(CLEAN(SUBSTITUTE(TRIM(MID(E:E,FIND("/",E:E)+1,LEN(E:E)))," ","")),'Customs Decl. &amp; Local Delivery'!D:I,6,0)</f>
        <v>45727</v>
      </c>
      <c r="H216" s="676">
        <f>VLOOKUP(CLEAN(SUBSTITUTE(TRIM(MID(E:E,FIND("/",E:E)+1,LEN(E:E)))," ","")),'Customs Decl. &amp; Local Delivery'!D:J,7,0)</f>
        <v>45747</v>
      </c>
      <c r="I216" s="717" t="s">
        <v>2184</v>
      </c>
      <c r="J216" s="689" t="s">
        <v>18</v>
      </c>
      <c r="K216" s="699" t="s">
        <v>147</v>
      </c>
      <c r="L216" s="347" t="s">
        <v>20</v>
      </c>
      <c r="M216" s="687" t="s">
        <v>2163</v>
      </c>
      <c r="N216" s="684"/>
      <c r="O216" s="203"/>
      <c r="P216" s="203"/>
      <c r="Q216" s="203"/>
      <c r="R216" s="203"/>
      <c r="S216" s="203"/>
      <c r="T216" s="203"/>
      <c r="U216" s="203"/>
    </row>
    <row r="217" hidden="1" spans="1:21">
      <c r="A217" s="690" t="s">
        <v>2112</v>
      </c>
      <c r="B217" s="707" t="s">
        <v>2113</v>
      </c>
      <c r="C217" s="671" t="s">
        <v>2094</v>
      </c>
      <c r="D217" s="270">
        <v>140</v>
      </c>
      <c r="E217" s="708"/>
      <c r="F217" s="675"/>
      <c r="G217" s="675">
        <f>G216</f>
        <v>45727</v>
      </c>
      <c r="H217" s="676">
        <f>H216</f>
        <v>45747</v>
      </c>
      <c r="I217" s="717" t="s">
        <v>2184</v>
      </c>
      <c r="J217" s="689" t="s">
        <v>18</v>
      </c>
      <c r="K217" s="699" t="s">
        <v>147</v>
      </c>
      <c r="L217" s="347" t="s">
        <v>20</v>
      </c>
      <c r="M217" s="690"/>
      <c r="N217" s="684"/>
      <c r="O217" s="203"/>
      <c r="P217" s="203"/>
      <c r="Q217" s="203"/>
      <c r="R217" s="203"/>
      <c r="S217" s="203"/>
      <c r="T217" s="203"/>
      <c r="U217" s="203"/>
    </row>
    <row r="218" hidden="1" spans="1:21">
      <c r="A218" s="690" t="s">
        <v>2112</v>
      </c>
      <c r="B218" s="707" t="s">
        <v>2113</v>
      </c>
      <c r="C218" s="671" t="s">
        <v>2093</v>
      </c>
      <c r="D218" s="270">
        <v>10</v>
      </c>
      <c r="E218" s="708"/>
      <c r="F218" s="675"/>
      <c r="G218" s="675">
        <f>G217</f>
        <v>45727</v>
      </c>
      <c r="H218" s="676">
        <f>H217</f>
        <v>45747</v>
      </c>
      <c r="I218" s="717" t="s">
        <v>2184</v>
      </c>
      <c r="J218" s="689" t="s">
        <v>18</v>
      </c>
      <c r="K218" s="711" t="s">
        <v>2157</v>
      </c>
      <c r="L218" s="347" t="s">
        <v>20</v>
      </c>
      <c r="M218" s="690"/>
      <c r="N218" s="688"/>
      <c r="O218" s="203"/>
      <c r="P218" s="203"/>
      <c r="Q218" s="203"/>
      <c r="R218" s="203"/>
      <c r="S218" s="203"/>
      <c r="T218" s="203"/>
      <c r="U218" s="203"/>
    </row>
    <row r="219" hidden="1" spans="1:21">
      <c r="A219" s="690" t="s">
        <v>2112</v>
      </c>
      <c r="B219" s="707" t="s">
        <v>2113</v>
      </c>
      <c r="C219" s="671" t="s">
        <v>2122</v>
      </c>
      <c r="D219" s="250">
        <v>5</v>
      </c>
      <c r="E219" s="702" t="s">
        <v>2185</v>
      </c>
      <c r="F219" s="675"/>
      <c r="G219" s="675">
        <f>VLOOKUP(CLEAN(SUBSTITUTE(TRIM(MID(E:E,FIND("/",E:E)+1,LEN(E:E)))," ","")),'Customs Decl. &amp; Local Delivery'!D:I,6,0)</f>
        <v>45730</v>
      </c>
      <c r="H219" s="676">
        <f>VLOOKUP(CLEAN(SUBSTITUTE(TRIM(MID(E:E,FIND("/",E:E)+1,LEN(E:E)))," ","")),'Customs Decl. &amp; Local Delivery'!D:J,7,0)</f>
        <v>45748</v>
      </c>
      <c r="I219" s="723" t="s">
        <v>2186</v>
      </c>
      <c r="J219" s="699" t="s">
        <v>39</v>
      </c>
      <c r="K219" s="699" t="s">
        <v>147</v>
      </c>
      <c r="L219" s="347" t="s">
        <v>20</v>
      </c>
      <c r="M219" s="690" t="s">
        <v>2187</v>
      </c>
      <c r="N219" s="684"/>
      <c r="O219" s="203"/>
      <c r="P219" s="203"/>
      <c r="Q219" s="203"/>
      <c r="R219" s="203"/>
      <c r="S219" s="203"/>
      <c r="T219" s="203"/>
      <c r="U219" s="203"/>
    </row>
    <row r="220" hidden="1" spans="1:21">
      <c r="A220" s="690" t="s">
        <v>2112</v>
      </c>
      <c r="B220" s="707" t="s">
        <v>2113</v>
      </c>
      <c r="C220" s="671" t="s">
        <v>2123</v>
      </c>
      <c r="D220" s="250">
        <v>5</v>
      </c>
      <c r="E220" s="708"/>
      <c r="F220" s="675"/>
      <c r="G220" s="675">
        <f>G219</f>
        <v>45730</v>
      </c>
      <c r="H220" s="676">
        <f>H219</f>
        <v>45748</v>
      </c>
      <c r="I220" s="723" t="s">
        <v>2186</v>
      </c>
      <c r="J220" s="699" t="s">
        <v>39</v>
      </c>
      <c r="K220" s="699" t="s">
        <v>147</v>
      </c>
      <c r="L220" s="347" t="s">
        <v>20</v>
      </c>
      <c r="M220" s="690"/>
      <c r="N220" s="684"/>
      <c r="O220" s="203"/>
      <c r="P220" s="203"/>
      <c r="Q220" s="203"/>
      <c r="R220" s="203"/>
      <c r="S220" s="203"/>
      <c r="T220" s="203"/>
      <c r="U220" s="203"/>
    </row>
    <row r="221" hidden="1" spans="1:21">
      <c r="A221" s="690" t="s">
        <v>2112</v>
      </c>
      <c r="B221" s="707" t="s">
        <v>2113</v>
      </c>
      <c r="C221" s="671" t="s">
        <v>2124</v>
      </c>
      <c r="D221" s="250">
        <v>12</v>
      </c>
      <c r="E221" s="708"/>
      <c r="F221" s="675"/>
      <c r="G221" s="675">
        <f>G220</f>
        <v>45730</v>
      </c>
      <c r="H221" s="676">
        <f>H220</f>
        <v>45748</v>
      </c>
      <c r="I221" s="724" t="s">
        <v>2186</v>
      </c>
      <c r="J221" s="699" t="s">
        <v>39</v>
      </c>
      <c r="K221" s="699" t="s">
        <v>147</v>
      </c>
      <c r="L221" s="347" t="s">
        <v>20</v>
      </c>
      <c r="M221" s="690"/>
      <c r="N221" s="684"/>
      <c r="O221" s="203"/>
      <c r="P221" s="203"/>
      <c r="Q221" s="203"/>
      <c r="R221" s="203"/>
      <c r="S221" s="203"/>
      <c r="T221" s="203"/>
      <c r="U221" s="203"/>
    </row>
    <row r="222" hidden="1" spans="1:21">
      <c r="A222" s="690" t="s">
        <v>2112</v>
      </c>
      <c r="B222" s="707" t="s">
        <v>2113</v>
      </c>
      <c r="C222" s="671" t="s">
        <v>2125</v>
      </c>
      <c r="D222" s="250">
        <v>25</v>
      </c>
      <c r="E222" s="708"/>
      <c r="F222" s="675"/>
      <c r="G222" s="675">
        <f>G221</f>
        <v>45730</v>
      </c>
      <c r="H222" s="676">
        <f>H221</f>
        <v>45748</v>
      </c>
      <c r="I222" s="723" t="s">
        <v>2186</v>
      </c>
      <c r="J222" s="699" t="s">
        <v>39</v>
      </c>
      <c r="K222" s="699" t="s">
        <v>147</v>
      </c>
      <c r="L222" s="347" t="s">
        <v>20</v>
      </c>
      <c r="M222" s="690"/>
      <c r="N222" s="684"/>
      <c r="O222" s="203"/>
      <c r="P222" s="203"/>
      <c r="Q222" s="203"/>
      <c r="R222" s="203"/>
      <c r="S222" s="203"/>
      <c r="T222" s="203"/>
      <c r="U222" s="203"/>
    </row>
    <row r="223" hidden="1" spans="1:21">
      <c r="A223" s="690" t="s">
        <v>2112</v>
      </c>
      <c r="B223" s="707" t="s">
        <v>2113</v>
      </c>
      <c r="C223" s="671" t="s">
        <v>2188</v>
      </c>
      <c r="D223" s="250">
        <v>25</v>
      </c>
      <c r="E223" s="708"/>
      <c r="F223" s="675"/>
      <c r="G223" s="675">
        <f>G222</f>
        <v>45730</v>
      </c>
      <c r="H223" s="676">
        <f>H222</f>
        <v>45748</v>
      </c>
      <c r="I223" s="723" t="s">
        <v>2186</v>
      </c>
      <c r="J223" s="723" t="s">
        <v>39</v>
      </c>
      <c r="K223" s="723" t="s">
        <v>147</v>
      </c>
      <c r="L223" s="347" t="s">
        <v>20</v>
      </c>
      <c r="M223" s="690"/>
      <c r="N223" s="684"/>
      <c r="O223" s="203"/>
      <c r="P223" s="203"/>
      <c r="Q223" s="203"/>
      <c r="R223" s="203"/>
      <c r="S223" s="203"/>
      <c r="T223" s="203"/>
      <c r="U223" s="203"/>
    </row>
    <row r="224" hidden="1" spans="1:21">
      <c r="A224" s="690" t="s">
        <v>2038</v>
      </c>
      <c r="B224" s="696" t="s">
        <v>2039</v>
      </c>
      <c r="C224" s="673" t="s">
        <v>2087</v>
      </c>
      <c r="D224" s="697">
        <v>36</v>
      </c>
      <c r="E224" s="720" t="s">
        <v>2189</v>
      </c>
      <c r="F224" s="675"/>
      <c r="G224" s="675">
        <f>VLOOKUP(CLEAN(SUBSTITUTE(TRIM(MID(E:E,FIND("/",E:E)+1,LEN(E:E)))," ","")),'Customs Decl. &amp; Local Delivery'!D:I,6,0)</f>
        <v>45736</v>
      </c>
      <c r="H224" s="676">
        <f>VLOOKUP(CLEAN(SUBSTITUTE(TRIM(MID(E:E,FIND("/",E:E)+1,LEN(E:E)))," ","")),'Customs Decl. &amp; Local Delivery'!D:J,7,0)</f>
        <v>45756</v>
      </c>
      <c r="I224" s="723" t="s">
        <v>2190</v>
      </c>
      <c r="J224" s="714" t="s">
        <v>18</v>
      </c>
      <c r="K224" s="723" t="s">
        <v>147</v>
      </c>
      <c r="L224" s="725" t="s">
        <v>20</v>
      </c>
      <c r="M224" s="691" t="s">
        <v>2191</v>
      </c>
      <c r="N224" s="684"/>
      <c r="O224" s="203"/>
      <c r="P224" s="203"/>
      <c r="Q224" s="203"/>
      <c r="R224" s="203"/>
      <c r="S224" s="203"/>
      <c r="T224" s="203"/>
      <c r="U224" s="203"/>
    </row>
    <row r="225" hidden="1" spans="1:21">
      <c r="A225" s="690" t="s">
        <v>2038</v>
      </c>
      <c r="B225" s="696" t="s">
        <v>2039</v>
      </c>
      <c r="C225" s="671" t="s">
        <v>2090</v>
      </c>
      <c r="D225" s="697">
        <v>5</v>
      </c>
      <c r="E225" s="281"/>
      <c r="F225" s="675"/>
      <c r="G225" s="675">
        <f>G224</f>
        <v>45736</v>
      </c>
      <c r="H225" s="676">
        <f>H224</f>
        <v>45756</v>
      </c>
      <c r="I225" s="724" t="s">
        <v>2190</v>
      </c>
      <c r="J225" s="714" t="s">
        <v>18</v>
      </c>
      <c r="K225" s="723" t="s">
        <v>147</v>
      </c>
      <c r="L225" s="347" t="s">
        <v>20</v>
      </c>
      <c r="M225" s="690" t="s">
        <v>2091</v>
      </c>
      <c r="N225" s="684"/>
      <c r="O225" s="203"/>
      <c r="P225" s="203"/>
      <c r="Q225" s="203"/>
      <c r="R225" s="203"/>
      <c r="S225" s="203"/>
      <c r="T225" s="203"/>
      <c r="U225" s="203"/>
    </row>
    <row r="226" hidden="1" spans="1:21">
      <c r="A226" s="690" t="s">
        <v>2038</v>
      </c>
      <c r="B226" s="696" t="s">
        <v>2039</v>
      </c>
      <c r="C226" s="671" t="s">
        <v>2092</v>
      </c>
      <c r="D226" s="697">
        <v>60</v>
      </c>
      <c r="E226" s="281"/>
      <c r="F226" s="675"/>
      <c r="G226" s="675">
        <f>G225</f>
        <v>45736</v>
      </c>
      <c r="H226" s="676">
        <f>H225</f>
        <v>45756</v>
      </c>
      <c r="I226" s="724" t="s">
        <v>2190</v>
      </c>
      <c r="J226" s="714" t="s">
        <v>18</v>
      </c>
      <c r="K226" s="723" t="s">
        <v>147</v>
      </c>
      <c r="L226" s="347" t="s">
        <v>20</v>
      </c>
      <c r="M226" s="690" t="s">
        <v>2091</v>
      </c>
      <c r="N226" s="684"/>
      <c r="O226" s="203"/>
      <c r="P226" s="203"/>
      <c r="Q226" s="203"/>
      <c r="R226" s="203"/>
      <c r="S226" s="203"/>
      <c r="T226" s="203"/>
      <c r="U226" s="203"/>
    </row>
    <row r="227" hidden="1" spans="1:21">
      <c r="A227" s="690" t="s">
        <v>2038</v>
      </c>
      <c r="B227" s="696" t="s">
        <v>2039</v>
      </c>
      <c r="C227" s="671" t="s">
        <v>2093</v>
      </c>
      <c r="D227" s="697">
        <v>5</v>
      </c>
      <c r="E227" s="281"/>
      <c r="F227" s="675"/>
      <c r="G227" s="675">
        <f>G226</f>
        <v>45736</v>
      </c>
      <c r="H227" s="676">
        <f>H226</f>
        <v>45756</v>
      </c>
      <c r="I227" s="723" t="s">
        <v>2190</v>
      </c>
      <c r="J227" s="714" t="s">
        <v>18</v>
      </c>
      <c r="K227" s="724" t="s">
        <v>2157</v>
      </c>
      <c r="L227" s="347" t="s">
        <v>20</v>
      </c>
      <c r="M227" s="690" t="s">
        <v>2091</v>
      </c>
      <c r="N227" s="688"/>
      <c r="O227" s="203"/>
      <c r="P227" s="203"/>
      <c r="Q227" s="203"/>
      <c r="R227" s="203"/>
      <c r="S227" s="203"/>
      <c r="T227" s="203"/>
      <c r="U227" s="203"/>
    </row>
    <row r="228" hidden="1" spans="1:21">
      <c r="A228" s="690" t="s">
        <v>2038</v>
      </c>
      <c r="B228" s="696" t="s">
        <v>2039</v>
      </c>
      <c r="C228" s="671" t="s">
        <v>2094</v>
      </c>
      <c r="D228" s="697">
        <v>30</v>
      </c>
      <c r="E228" s="281"/>
      <c r="F228" s="675"/>
      <c r="G228" s="675">
        <f>G227</f>
        <v>45736</v>
      </c>
      <c r="H228" s="676">
        <f>H227</f>
        <v>45756</v>
      </c>
      <c r="I228" s="723" t="s">
        <v>2190</v>
      </c>
      <c r="J228" s="714" t="s">
        <v>18</v>
      </c>
      <c r="K228" s="723" t="s">
        <v>147</v>
      </c>
      <c r="L228" s="347" t="s">
        <v>20</v>
      </c>
      <c r="M228" s="690" t="s">
        <v>2091</v>
      </c>
      <c r="N228" s="684"/>
      <c r="O228" s="203"/>
      <c r="P228" s="203"/>
      <c r="Q228" s="203"/>
      <c r="R228" s="203"/>
      <c r="S228" s="203"/>
      <c r="T228" s="203"/>
      <c r="U228" s="203"/>
    </row>
    <row r="229" hidden="1" spans="1:21">
      <c r="A229" s="690" t="s">
        <v>2038</v>
      </c>
      <c r="B229" s="696" t="s">
        <v>2039</v>
      </c>
      <c r="C229" s="671" t="s">
        <v>2095</v>
      </c>
      <c r="D229" s="697">
        <v>30</v>
      </c>
      <c r="E229" s="281"/>
      <c r="F229" s="675"/>
      <c r="G229" s="675">
        <f>G228</f>
        <v>45736</v>
      </c>
      <c r="H229" s="676">
        <f>H228</f>
        <v>45756</v>
      </c>
      <c r="I229" s="723" t="s">
        <v>2190</v>
      </c>
      <c r="J229" s="714" t="s">
        <v>18</v>
      </c>
      <c r="K229" s="723" t="s">
        <v>147</v>
      </c>
      <c r="L229" s="347" t="s">
        <v>20</v>
      </c>
      <c r="M229" s="690" t="s">
        <v>2091</v>
      </c>
      <c r="N229" s="684"/>
      <c r="O229" s="203"/>
      <c r="P229" s="203"/>
      <c r="Q229" s="203"/>
      <c r="R229" s="203"/>
      <c r="S229" s="203"/>
      <c r="T229" s="203"/>
      <c r="U229" s="203"/>
    </row>
    <row r="230" hidden="1" spans="1:21">
      <c r="A230" s="690" t="s">
        <v>2038</v>
      </c>
      <c r="B230" s="696" t="s">
        <v>2039</v>
      </c>
      <c r="C230" s="673" t="s">
        <v>2087</v>
      </c>
      <c r="D230" s="697">
        <v>36</v>
      </c>
      <c r="E230" s="720" t="s">
        <v>2192</v>
      </c>
      <c r="F230" s="675"/>
      <c r="G230" s="675">
        <f>VLOOKUP(CLEAN(SUBSTITUTE(TRIM(MID(E:E,FIND("/",E:E)+1,LEN(E:E)))," ","")),'Customs Decl. &amp; Local Delivery'!D:I,6,0)</f>
        <v>45736</v>
      </c>
      <c r="H230" s="676">
        <f>VLOOKUP(CLEAN(SUBSTITUTE(TRIM(MID(E:E,FIND("/",E:E)+1,LEN(E:E)))," ","")),'Customs Decl. &amp; Local Delivery'!D:J,7,0)</f>
        <v>45756</v>
      </c>
      <c r="I230" s="723" t="s">
        <v>2193</v>
      </c>
      <c r="J230" s="714" t="s">
        <v>18</v>
      </c>
      <c r="K230" s="723" t="s">
        <v>147</v>
      </c>
      <c r="L230" s="347" t="s">
        <v>20</v>
      </c>
      <c r="M230" s="691" t="s">
        <v>2191</v>
      </c>
      <c r="N230" s="684"/>
      <c r="O230" s="203"/>
      <c r="P230" s="203"/>
      <c r="Q230" s="203"/>
      <c r="R230" s="203"/>
      <c r="S230" s="203"/>
      <c r="T230" s="203"/>
      <c r="U230" s="203"/>
    </row>
    <row r="231" hidden="1" spans="1:21">
      <c r="A231" s="690" t="s">
        <v>2038</v>
      </c>
      <c r="B231" s="696" t="s">
        <v>2039</v>
      </c>
      <c r="C231" s="671" t="s">
        <v>2090</v>
      </c>
      <c r="D231" s="697">
        <v>5</v>
      </c>
      <c r="E231" s="281"/>
      <c r="F231" s="675"/>
      <c r="G231" s="675">
        <f>G230</f>
        <v>45736</v>
      </c>
      <c r="H231" s="676">
        <f>H230</f>
        <v>45756</v>
      </c>
      <c r="I231" s="724" t="s">
        <v>2193</v>
      </c>
      <c r="J231" s="714" t="s">
        <v>18</v>
      </c>
      <c r="K231" s="723" t="s">
        <v>147</v>
      </c>
      <c r="L231" s="347" t="s">
        <v>20</v>
      </c>
      <c r="M231" s="690" t="s">
        <v>2091</v>
      </c>
      <c r="N231" s="684"/>
      <c r="O231" s="203"/>
      <c r="P231" s="203"/>
      <c r="Q231" s="203"/>
      <c r="R231" s="203"/>
      <c r="S231" s="203"/>
      <c r="T231" s="203"/>
      <c r="U231" s="203"/>
    </row>
    <row r="232" hidden="1" spans="1:21">
      <c r="A232" s="690" t="s">
        <v>2038</v>
      </c>
      <c r="B232" s="696" t="s">
        <v>2039</v>
      </c>
      <c r="C232" s="671" t="s">
        <v>2092</v>
      </c>
      <c r="D232" s="697">
        <v>60</v>
      </c>
      <c r="E232" s="281"/>
      <c r="F232" s="675"/>
      <c r="G232" s="675">
        <f>G231</f>
        <v>45736</v>
      </c>
      <c r="H232" s="676">
        <f>H231</f>
        <v>45756</v>
      </c>
      <c r="I232" s="723" t="s">
        <v>2193</v>
      </c>
      <c r="J232" s="714" t="s">
        <v>18</v>
      </c>
      <c r="K232" s="723" t="s">
        <v>147</v>
      </c>
      <c r="L232" s="347" t="s">
        <v>20</v>
      </c>
      <c r="M232" s="690" t="s">
        <v>2091</v>
      </c>
      <c r="N232" s="684"/>
      <c r="O232" s="203"/>
      <c r="P232" s="203"/>
      <c r="Q232" s="203"/>
      <c r="R232" s="203"/>
      <c r="S232" s="203"/>
      <c r="T232" s="203"/>
      <c r="U232" s="203"/>
    </row>
    <row r="233" hidden="1" spans="1:21">
      <c r="A233" s="690" t="s">
        <v>2038</v>
      </c>
      <c r="B233" s="696" t="s">
        <v>2039</v>
      </c>
      <c r="C233" s="671" t="s">
        <v>2093</v>
      </c>
      <c r="D233" s="697">
        <v>5</v>
      </c>
      <c r="E233" s="281"/>
      <c r="F233" s="675"/>
      <c r="G233" s="675">
        <f>G232</f>
        <v>45736</v>
      </c>
      <c r="H233" s="676">
        <f>H232</f>
        <v>45756</v>
      </c>
      <c r="I233" s="723" t="s">
        <v>2193</v>
      </c>
      <c r="J233" s="714" t="s">
        <v>18</v>
      </c>
      <c r="K233" s="723" t="s">
        <v>147</v>
      </c>
      <c r="L233" s="347" t="s">
        <v>20</v>
      </c>
      <c r="M233" s="690" t="s">
        <v>2091</v>
      </c>
      <c r="N233" s="684"/>
      <c r="O233" s="203"/>
      <c r="P233" s="203"/>
      <c r="Q233" s="203"/>
      <c r="R233" s="203"/>
      <c r="S233" s="203"/>
      <c r="T233" s="203"/>
      <c r="U233" s="203"/>
    </row>
    <row r="234" hidden="1" spans="1:21">
      <c r="A234" s="690" t="s">
        <v>2038</v>
      </c>
      <c r="B234" s="696" t="s">
        <v>2039</v>
      </c>
      <c r="C234" s="671" t="s">
        <v>2094</v>
      </c>
      <c r="D234" s="697">
        <v>30</v>
      </c>
      <c r="E234" s="281"/>
      <c r="F234" s="675"/>
      <c r="G234" s="675">
        <f>G233</f>
        <v>45736</v>
      </c>
      <c r="H234" s="676">
        <f>H233</f>
        <v>45756</v>
      </c>
      <c r="I234" s="723" t="s">
        <v>2193</v>
      </c>
      <c r="J234" s="714" t="s">
        <v>18</v>
      </c>
      <c r="K234" s="723" t="s">
        <v>147</v>
      </c>
      <c r="L234" s="347" t="s">
        <v>20</v>
      </c>
      <c r="M234" s="690" t="s">
        <v>2091</v>
      </c>
      <c r="N234" s="684"/>
      <c r="O234" s="203"/>
      <c r="P234" s="203"/>
      <c r="Q234" s="203"/>
      <c r="R234" s="203"/>
      <c r="S234" s="203"/>
      <c r="T234" s="203"/>
      <c r="U234" s="203"/>
    </row>
    <row r="235" hidden="1" spans="1:21">
      <c r="A235" s="690" t="s">
        <v>2038</v>
      </c>
      <c r="B235" s="696" t="s">
        <v>2039</v>
      </c>
      <c r="C235" s="671" t="s">
        <v>2095</v>
      </c>
      <c r="D235" s="697">
        <v>30</v>
      </c>
      <c r="E235" s="281"/>
      <c r="F235" s="675"/>
      <c r="G235" s="675">
        <f>G234</f>
        <v>45736</v>
      </c>
      <c r="H235" s="676">
        <f>H234</f>
        <v>45756</v>
      </c>
      <c r="I235" s="723" t="s">
        <v>2193</v>
      </c>
      <c r="J235" s="714" t="s">
        <v>18</v>
      </c>
      <c r="K235" s="723" t="s">
        <v>147</v>
      </c>
      <c r="L235" s="347" t="s">
        <v>20</v>
      </c>
      <c r="M235" s="690" t="s">
        <v>2091</v>
      </c>
      <c r="N235" s="684"/>
      <c r="O235" s="203"/>
      <c r="P235" s="203"/>
      <c r="Q235" s="203"/>
      <c r="R235" s="203"/>
      <c r="S235" s="203"/>
      <c r="T235" s="203"/>
      <c r="U235" s="203"/>
    </row>
    <row r="236" hidden="1" spans="1:21">
      <c r="A236" s="690" t="s">
        <v>2038</v>
      </c>
      <c r="B236" s="696" t="s">
        <v>2039</v>
      </c>
      <c r="C236" s="673" t="s">
        <v>2087</v>
      </c>
      <c r="D236" s="697">
        <v>36</v>
      </c>
      <c r="E236" s="720" t="s">
        <v>2194</v>
      </c>
      <c r="F236" s="675"/>
      <c r="G236" s="675">
        <f>VLOOKUP(CLEAN(SUBSTITUTE(TRIM(MID(E:E,FIND("/",E:E)+1,LEN(E:E)))," ","")),'Customs Decl. &amp; Local Delivery'!D:I,6,0)</f>
        <v>45744</v>
      </c>
      <c r="H236" s="676">
        <f>VLOOKUP(CLEAN(SUBSTITUTE(TRIM(MID(E:E,FIND("/",E:E)+1,LEN(E:E)))," ","")),'Customs Decl. &amp; Local Delivery'!D:J,7,0)</f>
        <v>45765</v>
      </c>
      <c r="I236" s="699" t="s">
        <v>2195</v>
      </c>
      <c r="J236" s="714" t="s">
        <v>18</v>
      </c>
      <c r="K236" s="724" t="s">
        <v>654</v>
      </c>
      <c r="L236" s="347" t="s">
        <v>20</v>
      </c>
      <c r="M236" s="691" t="s">
        <v>2196</v>
      </c>
      <c r="N236" s="688"/>
      <c r="O236" s="203"/>
      <c r="P236" s="203"/>
      <c r="Q236" s="203"/>
      <c r="R236" s="203"/>
      <c r="S236" s="203"/>
      <c r="T236" s="203"/>
      <c r="U236" s="203"/>
    </row>
    <row r="237" hidden="1" spans="1:21">
      <c r="A237" s="690" t="s">
        <v>2038</v>
      </c>
      <c r="B237" s="696" t="s">
        <v>2039</v>
      </c>
      <c r="C237" s="671" t="s">
        <v>2090</v>
      </c>
      <c r="D237" s="697">
        <v>5</v>
      </c>
      <c r="E237" s="281"/>
      <c r="F237" s="675"/>
      <c r="G237" s="675">
        <f>G236</f>
        <v>45744</v>
      </c>
      <c r="H237" s="676">
        <f>H236</f>
        <v>45765</v>
      </c>
      <c r="I237" s="699" t="s">
        <v>2195</v>
      </c>
      <c r="J237" s="714" t="s">
        <v>18</v>
      </c>
      <c r="K237" s="723" t="s">
        <v>654</v>
      </c>
      <c r="L237" s="347" t="s">
        <v>20</v>
      </c>
      <c r="M237" s="690" t="s">
        <v>2091</v>
      </c>
      <c r="N237" s="688"/>
      <c r="O237" s="203"/>
      <c r="P237" s="203"/>
      <c r="Q237" s="203"/>
      <c r="R237" s="203"/>
      <c r="S237" s="203"/>
      <c r="T237" s="203"/>
      <c r="U237" s="203"/>
    </row>
    <row r="238" hidden="1" spans="1:21">
      <c r="A238" s="690" t="s">
        <v>2038</v>
      </c>
      <c r="B238" s="696" t="s">
        <v>2039</v>
      </c>
      <c r="C238" s="671" t="s">
        <v>2092</v>
      </c>
      <c r="D238" s="697">
        <v>60</v>
      </c>
      <c r="E238" s="281"/>
      <c r="F238" s="675"/>
      <c r="G238" s="675">
        <f>G237</f>
        <v>45744</v>
      </c>
      <c r="H238" s="676">
        <f>H237</f>
        <v>45765</v>
      </c>
      <c r="I238" s="711" t="s">
        <v>2195</v>
      </c>
      <c r="J238" s="714" t="s">
        <v>18</v>
      </c>
      <c r="K238" s="723" t="s">
        <v>654</v>
      </c>
      <c r="L238" s="347" t="s">
        <v>20</v>
      </c>
      <c r="M238" s="690" t="s">
        <v>2091</v>
      </c>
      <c r="N238" s="688"/>
      <c r="O238" s="203"/>
      <c r="P238" s="203"/>
      <c r="Q238" s="203"/>
      <c r="R238" s="203"/>
      <c r="S238" s="203"/>
      <c r="T238" s="203"/>
      <c r="U238" s="203"/>
    </row>
    <row r="239" hidden="1" spans="1:21">
      <c r="A239" s="690" t="s">
        <v>2038</v>
      </c>
      <c r="B239" s="696" t="s">
        <v>2039</v>
      </c>
      <c r="C239" s="671" t="s">
        <v>2093</v>
      </c>
      <c r="D239" s="697">
        <v>5</v>
      </c>
      <c r="E239" s="281"/>
      <c r="F239" s="675"/>
      <c r="G239" s="675">
        <f>G238</f>
        <v>45744</v>
      </c>
      <c r="H239" s="676">
        <f>H238</f>
        <v>45765</v>
      </c>
      <c r="I239" s="699" t="s">
        <v>2195</v>
      </c>
      <c r="J239" s="714" t="s">
        <v>18</v>
      </c>
      <c r="K239" s="723" t="s">
        <v>654</v>
      </c>
      <c r="L239" s="347" t="s">
        <v>20</v>
      </c>
      <c r="M239" s="690" t="s">
        <v>2091</v>
      </c>
      <c r="N239" s="688"/>
      <c r="O239" s="203"/>
      <c r="P239" s="203"/>
      <c r="Q239" s="203"/>
      <c r="R239" s="203"/>
      <c r="S239" s="203"/>
      <c r="T239" s="203"/>
      <c r="U239" s="203"/>
    </row>
    <row r="240" hidden="1" spans="1:21">
      <c r="A240" s="690" t="s">
        <v>2038</v>
      </c>
      <c r="B240" s="696" t="s">
        <v>2039</v>
      </c>
      <c r="C240" s="671" t="s">
        <v>2094</v>
      </c>
      <c r="D240" s="697">
        <v>30</v>
      </c>
      <c r="E240" s="281"/>
      <c r="F240" s="675"/>
      <c r="G240" s="675">
        <f>G239</f>
        <v>45744</v>
      </c>
      <c r="H240" s="676">
        <f>H239</f>
        <v>45765</v>
      </c>
      <c r="I240" s="699" t="s">
        <v>2195</v>
      </c>
      <c r="J240" s="714" t="s">
        <v>18</v>
      </c>
      <c r="K240" s="723" t="s">
        <v>654</v>
      </c>
      <c r="L240" s="347" t="s">
        <v>20</v>
      </c>
      <c r="M240" s="690" t="s">
        <v>2091</v>
      </c>
      <c r="N240" s="688"/>
      <c r="O240" s="203"/>
      <c r="P240" s="203"/>
      <c r="Q240" s="203"/>
      <c r="R240" s="203"/>
      <c r="S240" s="203"/>
      <c r="T240" s="203"/>
      <c r="U240" s="203"/>
    </row>
    <row r="241" hidden="1" spans="1:21">
      <c r="A241" s="690" t="s">
        <v>2038</v>
      </c>
      <c r="B241" s="696" t="s">
        <v>2039</v>
      </c>
      <c r="C241" s="671" t="s">
        <v>2095</v>
      </c>
      <c r="D241" s="697">
        <v>30</v>
      </c>
      <c r="E241" s="281"/>
      <c r="F241" s="675"/>
      <c r="G241" s="675">
        <f>G240</f>
        <v>45744</v>
      </c>
      <c r="H241" s="676">
        <f>H240</f>
        <v>45765</v>
      </c>
      <c r="I241" s="699" t="s">
        <v>2195</v>
      </c>
      <c r="J241" s="714" t="s">
        <v>18</v>
      </c>
      <c r="K241" s="723" t="s">
        <v>654</v>
      </c>
      <c r="L241" s="347" t="s">
        <v>20</v>
      </c>
      <c r="M241" s="690" t="s">
        <v>2091</v>
      </c>
      <c r="N241" s="688"/>
      <c r="O241" s="203"/>
      <c r="P241" s="203"/>
      <c r="Q241" s="203"/>
      <c r="R241" s="203"/>
      <c r="S241" s="203"/>
      <c r="T241" s="203"/>
      <c r="U241" s="203"/>
    </row>
    <row r="242" hidden="1" spans="1:21">
      <c r="A242" s="690" t="s">
        <v>2038</v>
      </c>
      <c r="B242" s="696" t="s">
        <v>2039</v>
      </c>
      <c r="C242" s="673" t="s">
        <v>2087</v>
      </c>
      <c r="D242" s="697">
        <v>36</v>
      </c>
      <c r="E242" s="720" t="s">
        <v>2197</v>
      </c>
      <c r="F242" s="675"/>
      <c r="G242" s="675">
        <f>VLOOKUP(CLEAN(SUBSTITUTE(TRIM(MID(E:E,FIND("/",E:E)+1,LEN(E:E)))," ","")),'Customs Decl. &amp; Local Delivery'!D:I,6,0)</f>
        <v>45744</v>
      </c>
      <c r="H242" s="676">
        <f>VLOOKUP(CLEAN(SUBSTITUTE(TRIM(MID(E:E,FIND("/",E:E)+1,LEN(E:E)))," ","")),'Customs Decl. &amp; Local Delivery'!D:J,7,0)</f>
        <v>45765</v>
      </c>
      <c r="I242" s="723" t="s">
        <v>2198</v>
      </c>
      <c r="J242" s="714" t="s">
        <v>18</v>
      </c>
      <c r="K242" s="723" t="s">
        <v>654</v>
      </c>
      <c r="L242" s="347" t="s">
        <v>20</v>
      </c>
      <c r="M242" s="691" t="s">
        <v>2199</v>
      </c>
      <c r="N242" s="688"/>
      <c r="O242" s="203"/>
      <c r="P242" s="203"/>
      <c r="Q242" s="203"/>
      <c r="R242" s="203"/>
      <c r="S242" s="203"/>
      <c r="T242" s="203"/>
      <c r="U242" s="203"/>
    </row>
    <row r="243" hidden="1" spans="1:21">
      <c r="A243" s="690" t="s">
        <v>2038</v>
      </c>
      <c r="B243" s="696" t="s">
        <v>2039</v>
      </c>
      <c r="C243" s="671" t="s">
        <v>2090</v>
      </c>
      <c r="D243" s="697">
        <v>5</v>
      </c>
      <c r="E243" s="281"/>
      <c r="F243" s="675"/>
      <c r="G243" s="675">
        <f>G242</f>
        <v>45744</v>
      </c>
      <c r="H243" s="676">
        <f>H242</f>
        <v>45765</v>
      </c>
      <c r="I243" s="723" t="s">
        <v>2198</v>
      </c>
      <c r="J243" s="714" t="s">
        <v>18</v>
      </c>
      <c r="K243" s="723" t="s">
        <v>654</v>
      </c>
      <c r="L243" s="347" t="s">
        <v>20</v>
      </c>
      <c r="M243" s="690" t="s">
        <v>2091</v>
      </c>
      <c r="N243" s="688"/>
      <c r="O243" s="203"/>
      <c r="P243" s="203"/>
      <c r="Q243" s="203"/>
      <c r="R243" s="203"/>
      <c r="S243" s="203"/>
      <c r="T243" s="203"/>
      <c r="U243" s="203"/>
    </row>
    <row r="244" hidden="1" spans="1:21">
      <c r="A244" s="690" t="s">
        <v>2038</v>
      </c>
      <c r="B244" s="696" t="s">
        <v>2039</v>
      </c>
      <c r="C244" s="671" t="s">
        <v>2092</v>
      </c>
      <c r="D244" s="697">
        <v>60</v>
      </c>
      <c r="E244" s="281"/>
      <c r="F244" s="675"/>
      <c r="G244" s="675">
        <f>G243</f>
        <v>45744</v>
      </c>
      <c r="H244" s="676">
        <f>H243</f>
        <v>45765</v>
      </c>
      <c r="I244" s="723" t="s">
        <v>2198</v>
      </c>
      <c r="J244" s="714" t="s">
        <v>18</v>
      </c>
      <c r="K244" s="723" t="s">
        <v>654</v>
      </c>
      <c r="L244" s="347" t="s">
        <v>20</v>
      </c>
      <c r="M244" s="690" t="s">
        <v>2091</v>
      </c>
      <c r="N244" s="688"/>
      <c r="O244" s="203"/>
      <c r="P244" s="203"/>
      <c r="Q244" s="203"/>
      <c r="R244" s="203"/>
      <c r="S244" s="203"/>
      <c r="T244" s="203"/>
      <c r="U244" s="203"/>
    </row>
    <row r="245" hidden="1" spans="1:21">
      <c r="A245" s="690" t="s">
        <v>2038</v>
      </c>
      <c r="B245" s="696" t="s">
        <v>2039</v>
      </c>
      <c r="C245" s="671" t="s">
        <v>2093</v>
      </c>
      <c r="D245" s="697">
        <v>5</v>
      </c>
      <c r="E245" s="281"/>
      <c r="F245" s="675"/>
      <c r="G245" s="675">
        <f>G244</f>
        <v>45744</v>
      </c>
      <c r="H245" s="676">
        <f>H244</f>
        <v>45765</v>
      </c>
      <c r="I245" s="724" t="s">
        <v>2198</v>
      </c>
      <c r="J245" s="714" t="s">
        <v>18</v>
      </c>
      <c r="K245" s="723" t="s">
        <v>654</v>
      </c>
      <c r="L245" s="347" t="s">
        <v>20</v>
      </c>
      <c r="M245" s="690" t="s">
        <v>2091</v>
      </c>
      <c r="N245" s="688"/>
      <c r="O245" s="203"/>
      <c r="P245" s="203"/>
      <c r="Q245" s="203"/>
      <c r="R245" s="203"/>
      <c r="S245" s="203"/>
      <c r="T245" s="203"/>
      <c r="U245" s="203"/>
    </row>
    <row r="246" hidden="1" spans="1:21">
      <c r="A246" s="690" t="s">
        <v>2038</v>
      </c>
      <c r="B246" s="696" t="s">
        <v>2039</v>
      </c>
      <c r="C246" s="671" t="s">
        <v>2094</v>
      </c>
      <c r="D246" s="697">
        <v>30</v>
      </c>
      <c r="E246" s="281"/>
      <c r="F246" s="675"/>
      <c r="G246" s="675">
        <f>G245</f>
        <v>45744</v>
      </c>
      <c r="H246" s="676">
        <f>H245</f>
        <v>45765</v>
      </c>
      <c r="I246" s="723" t="s">
        <v>2198</v>
      </c>
      <c r="J246" s="714" t="s">
        <v>18</v>
      </c>
      <c r="K246" s="723" t="s">
        <v>654</v>
      </c>
      <c r="L246" s="347" t="s">
        <v>20</v>
      </c>
      <c r="M246" s="690" t="s">
        <v>2091</v>
      </c>
      <c r="N246" s="688"/>
      <c r="O246" s="203"/>
      <c r="P246" s="203"/>
      <c r="Q246" s="203"/>
      <c r="R246" s="203"/>
      <c r="S246" s="203"/>
      <c r="T246" s="203"/>
      <c r="U246" s="203"/>
    </row>
    <row r="247" hidden="1" spans="1:21">
      <c r="A247" s="690" t="s">
        <v>2038</v>
      </c>
      <c r="B247" s="696" t="s">
        <v>2039</v>
      </c>
      <c r="C247" s="671" t="s">
        <v>2095</v>
      </c>
      <c r="D247" s="697">
        <v>30</v>
      </c>
      <c r="E247" s="281"/>
      <c r="F247" s="675"/>
      <c r="G247" s="675">
        <f>G246</f>
        <v>45744</v>
      </c>
      <c r="H247" s="676">
        <f>H246</f>
        <v>45765</v>
      </c>
      <c r="I247" s="723" t="s">
        <v>2198</v>
      </c>
      <c r="J247" s="714" t="s">
        <v>18</v>
      </c>
      <c r="K247" s="723" t="s">
        <v>654</v>
      </c>
      <c r="L247" s="253" t="s">
        <v>20</v>
      </c>
      <c r="M247" s="690" t="s">
        <v>2091</v>
      </c>
      <c r="N247" s="688"/>
      <c r="O247" s="203"/>
      <c r="P247" s="203"/>
      <c r="Q247" s="203"/>
      <c r="R247" s="203"/>
      <c r="S247" s="203"/>
      <c r="T247" s="203"/>
      <c r="U247" s="203"/>
    </row>
    <row r="248" hidden="1" spans="1:21">
      <c r="A248" s="690" t="s">
        <v>2038</v>
      </c>
      <c r="B248" s="696" t="s">
        <v>2039</v>
      </c>
      <c r="C248" s="671" t="s">
        <v>2094</v>
      </c>
      <c r="D248" s="250">
        <v>85</v>
      </c>
      <c r="E248" s="720" t="s">
        <v>2200</v>
      </c>
      <c r="F248" s="675"/>
      <c r="G248" s="675">
        <f>VLOOKUP(CLEAN(SUBSTITUTE(TRIM(MID(E:E,FIND("/",E:E)+1,LEN(E:E)))," ","")),'Customs Decl. &amp; Local Delivery'!D:I,6,0)</f>
        <v>45744</v>
      </c>
      <c r="H248" s="676">
        <f>VLOOKUP(CLEAN(SUBSTITUTE(TRIM(MID(E:E,FIND("/",E:E)+1,LEN(E:E)))," ","")),'Customs Decl. &amp; Local Delivery'!D:J,7,0)</f>
        <v>45765</v>
      </c>
      <c r="I248" s="723" t="s">
        <v>2201</v>
      </c>
      <c r="J248" s="714" t="s">
        <v>18</v>
      </c>
      <c r="K248" s="690" t="s">
        <v>147</v>
      </c>
      <c r="L248" s="347" t="s">
        <v>20</v>
      </c>
      <c r="M248" s="690" t="s">
        <v>2091</v>
      </c>
      <c r="N248" s="684"/>
      <c r="O248" s="203"/>
      <c r="P248" s="203"/>
      <c r="Q248" s="203"/>
      <c r="R248" s="203"/>
      <c r="S248" s="203"/>
      <c r="T248" s="203"/>
      <c r="U248" s="203"/>
    </row>
    <row r="249" hidden="1" spans="1:21">
      <c r="A249" s="690" t="s">
        <v>2038</v>
      </c>
      <c r="B249" s="696" t="s">
        <v>2039</v>
      </c>
      <c r="C249" s="671" t="s">
        <v>2095</v>
      </c>
      <c r="D249" s="250">
        <v>85</v>
      </c>
      <c r="E249" s="281"/>
      <c r="F249" s="675"/>
      <c r="G249" s="675">
        <f>G248</f>
        <v>45744</v>
      </c>
      <c r="H249" s="676">
        <f>H248</f>
        <v>45765</v>
      </c>
      <c r="I249" s="723" t="s">
        <v>2201</v>
      </c>
      <c r="J249" s="714" t="s">
        <v>18</v>
      </c>
      <c r="K249" s="690" t="s">
        <v>147</v>
      </c>
      <c r="L249" s="347" t="s">
        <v>20</v>
      </c>
      <c r="M249" s="690" t="s">
        <v>2091</v>
      </c>
      <c r="N249" s="684"/>
      <c r="O249" s="203"/>
      <c r="P249" s="203"/>
      <c r="Q249" s="203"/>
      <c r="R249" s="203"/>
      <c r="S249" s="203"/>
      <c r="T249" s="203"/>
      <c r="U249" s="203"/>
    </row>
    <row r="250" hidden="1" spans="1:21">
      <c r="A250" s="690" t="s">
        <v>2038</v>
      </c>
      <c r="B250" s="696" t="s">
        <v>2039</v>
      </c>
      <c r="C250" s="671" t="s">
        <v>2140</v>
      </c>
      <c r="D250" s="250">
        <v>200</v>
      </c>
      <c r="E250" s="281"/>
      <c r="F250" s="675"/>
      <c r="G250" s="675">
        <f>G249</f>
        <v>45744</v>
      </c>
      <c r="H250" s="676">
        <f>H249</f>
        <v>45765</v>
      </c>
      <c r="I250" s="724" t="s">
        <v>2201</v>
      </c>
      <c r="J250" s="714" t="s">
        <v>18</v>
      </c>
      <c r="K250" s="690" t="s">
        <v>147</v>
      </c>
      <c r="L250" s="347" t="s">
        <v>20</v>
      </c>
      <c r="M250" s="691" t="s">
        <v>2202</v>
      </c>
      <c r="N250" s="684"/>
      <c r="O250" s="203"/>
      <c r="P250" s="203"/>
      <c r="Q250" s="203"/>
      <c r="R250" s="203"/>
      <c r="S250" s="203"/>
      <c r="T250" s="203"/>
      <c r="U250" s="203"/>
    </row>
    <row r="251" hidden="1" spans="1:21">
      <c r="A251" s="690" t="s">
        <v>2038</v>
      </c>
      <c r="B251" s="696" t="s">
        <v>2039</v>
      </c>
      <c r="C251" s="671" t="s">
        <v>2114</v>
      </c>
      <c r="D251" s="250">
        <v>100</v>
      </c>
      <c r="E251" s="281"/>
      <c r="F251" s="675"/>
      <c r="G251" s="675">
        <f>G250</f>
        <v>45744</v>
      </c>
      <c r="H251" s="676">
        <f>H250</f>
        <v>45765</v>
      </c>
      <c r="I251" s="724" t="s">
        <v>2201</v>
      </c>
      <c r="J251" s="714" t="s">
        <v>18</v>
      </c>
      <c r="K251" s="690" t="s">
        <v>147</v>
      </c>
      <c r="L251" s="347" t="s">
        <v>20</v>
      </c>
      <c r="M251" s="690"/>
      <c r="N251" s="684"/>
      <c r="O251" s="203"/>
      <c r="P251" s="203"/>
      <c r="Q251" s="203"/>
      <c r="R251" s="203"/>
      <c r="S251" s="203"/>
      <c r="T251" s="203"/>
      <c r="U251" s="203"/>
    </row>
    <row r="252" hidden="1" spans="1:21">
      <c r="A252" s="690" t="s">
        <v>2038</v>
      </c>
      <c r="B252" s="696" t="s">
        <v>2039</v>
      </c>
      <c r="C252" s="671" t="s">
        <v>2182</v>
      </c>
      <c r="D252" s="250">
        <v>25</v>
      </c>
      <c r="E252" s="281"/>
      <c r="F252" s="675"/>
      <c r="G252" s="675">
        <f>G251</f>
        <v>45744</v>
      </c>
      <c r="H252" s="676">
        <f>H251</f>
        <v>45765</v>
      </c>
      <c r="I252" s="724" t="s">
        <v>2201</v>
      </c>
      <c r="J252" s="714" t="s">
        <v>18</v>
      </c>
      <c r="K252" s="690" t="s">
        <v>147</v>
      </c>
      <c r="L252" s="347" t="s">
        <v>20</v>
      </c>
      <c r="M252" s="690"/>
      <c r="N252" s="684"/>
      <c r="O252" s="203"/>
      <c r="P252" s="203"/>
      <c r="Q252" s="203"/>
      <c r="R252" s="203"/>
      <c r="S252" s="203"/>
      <c r="T252" s="203"/>
      <c r="U252" s="203"/>
    </row>
    <row r="253" hidden="1" spans="1:21">
      <c r="A253" s="690" t="s">
        <v>2112</v>
      </c>
      <c r="B253" s="707" t="s">
        <v>2113</v>
      </c>
      <c r="C253" s="671" t="s">
        <v>2093</v>
      </c>
      <c r="D253" s="270">
        <v>50</v>
      </c>
      <c r="E253" s="281"/>
      <c r="F253" s="675"/>
      <c r="G253" s="675">
        <f>G252</f>
        <v>45744</v>
      </c>
      <c r="H253" s="676">
        <f>H252</f>
        <v>45765</v>
      </c>
      <c r="I253" s="723" t="s">
        <v>2201</v>
      </c>
      <c r="J253" s="689" t="s">
        <v>18</v>
      </c>
      <c r="K253" s="699" t="s">
        <v>147</v>
      </c>
      <c r="L253" s="347" t="s">
        <v>20</v>
      </c>
      <c r="M253" s="690"/>
      <c r="N253" s="684"/>
      <c r="O253" s="203"/>
      <c r="P253" s="203"/>
      <c r="Q253" s="203"/>
      <c r="R253" s="203"/>
      <c r="S253" s="203"/>
      <c r="T253" s="203"/>
      <c r="U253" s="203"/>
    </row>
    <row r="254" hidden="1" spans="1:21">
      <c r="A254" s="690" t="s">
        <v>2038</v>
      </c>
      <c r="B254" s="696" t="s">
        <v>2039</v>
      </c>
      <c r="C254" s="673" t="s">
        <v>2087</v>
      </c>
      <c r="D254" s="697">
        <v>36</v>
      </c>
      <c r="E254" s="720" t="s">
        <v>2203</v>
      </c>
      <c r="F254" s="675"/>
      <c r="G254" s="675">
        <f>VLOOKUP(CLEAN(SUBSTITUTE(TRIM(MID(E:E,FIND("/",E:E)+1,LEN(E:E)))," ","")),'Customs Decl. &amp; Local Delivery'!D:I,6,0)</f>
        <v>45744</v>
      </c>
      <c r="H254" s="676">
        <f>VLOOKUP(CLEAN(SUBSTITUTE(TRIM(MID(E:E,FIND("/",E:E)+1,LEN(E:E)))," ","")),'Customs Decl. &amp; Local Delivery'!D:J,7,0)</f>
        <v>45765</v>
      </c>
      <c r="I254" s="723" t="s">
        <v>2204</v>
      </c>
      <c r="J254" s="714" t="s">
        <v>18</v>
      </c>
      <c r="K254" s="723" t="s">
        <v>654</v>
      </c>
      <c r="L254" s="347" t="s">
        <v>20</v>
      </c>
      <c r="M254" s="691" t="s">
        <v>2205</v>
      </c>
      <c r="N254" s="688"/>
      <c r="O254" s="203"/>
      <c r="P254" s="203"/>
      <c r="Q254" s="203"/>
      <c r="R254" s="203"/>
      <c r="S254" s="203"/>
      <c r="T254" s="203"/>
      <c r="U254" s="203"/>
    </row>
    <row r="255" hidden="1" spans="1:21">
      <c r="A255" s="690" t="s">
        <v>2038</v>
      </c>
      <c r="B255" s="696" t="s">
        <v>2039</v>
      </c>
      <c r="C255" s="671" t="s">
        <v>2090</v>
      </c>
      <c r="D255" s="697">
        <v>5</v>
      </c>
      <c r="E255" s="281"/>
      <c r="F255" s="675"/>
      <c r="G255" s="675">
        <f>G254</f>
        <v>45744</v>
      </c>
      <c r="H255" s="676">
        <f>H254</f>
        <v>45765</v>
      </c>
      <c r="I255" s="723" t="s">
        <v>2204</v>
      </c>
      <c r="J255" s="714" t="s">
        <v>18</v>
      </c>
      <c r="K255" s="723" t="s">
        <v>654</v>
      </c>
      <c r="L255" s="347" t="s">
        <v>20</v>
      </c>
      <c r="M255" s="690" t="s">
        <v>2091</v>
      </c>
      <c r="N255" s="688"/>
      <c r="O255" s="203"/>
      <c r="P255" s="203"/>
      <c r="Q255" s="203"/>
      <c r="R255" s="203"/>
      <c r="S255" s="203"/>
      <c r="T255" s="203"/>
      <c r="U255" s="203"/>
    </row>
    <row r="256" hidden="1" spans="1:21">
      <c r="A256" s="690" t="s">
        <v>2038</v>
      </c>
      <c r="B256" s="696" t="s">
        <v>2039</v>
      </c>
      <c r="C256" s="671" t="s">
        <v>2092</v>
      </c>
      <c r="D256" s="697">
        <v>60</v>
      </c>
      <c r="E256" s="281"/>
      <c r="F256" s="675"/>
      <c r="G256" s="675">
        <f>G255</f>
        <v>45744</v>
      </c>
      <c r="H256" s="676">
        <f>H255</f>
        <v>45765</v>
      </c>
      <c r="I256" s="724" t="s">
        <v>2204</v>
      </c>
      <c r="J256" s="714" t="s">
        <v>18</v>
      </c>
      <c r="K256" s="723" t="s">
        <v>654</v>
      </c>
      <c r="L256" s="347" t="s">
        <v>20</v>
      </c>
      <c r="M256" s="690" t="s">
        <v>2091</v>
      </c>
      <c r="N256" s="688"/>
      <c r="O256" s="203"/>
      <c r="P256" s="203"/>
      <c r="Q256" s="203"/>
      <c r="R256" s="203"/>
      <c r="S256" s="203"/>
      <c r="T256" s="203"/>
      <c r="U256" s="203"/>
    </row>
    <row r="257" hidden="1" spans="1:21">
      <c r="A257" s="690" t="s">
        <v>2038</v>
      </c>
      <c r="B257" s="696" t="s">
        <v>2039</v>
      </c>
      <c r="C257" s="671" t="s">
        <v>2093</v>
      </c>
      <c r="D257" s="697">
        <v>5</v>
      </c>
      <c r="E257" s="281"/>
      <c r="F257" s="675"/>
      <c r="G257" s="675">
        <f>G256</f>
        <v>45744</v>
      </c>
      <c r="H257" s="676">
        <f>H256</f>
        <v>45765</v>
      </c>
      <c r="I257" s="723" t="s">
        <v>2204</v>
      </c>
      <c r="J257" s="714" t="s">
        <v>18</v>
      </c>
      <c r="K257" s="723" t="s">
        <v>654</v>
      </c>
      <c r="L257" s="347" t="s">
        <v>20</v>
      </c>
      <c r="M257" s="690" t="s">
        <v>2091</v>
      </c>
      <c r="N257" s="688"/>
      <c r="O257" s="203"/>
      <c r="P257" s="203"/>
      <c r="Q257" s="203"/>
      <c r="R257" s="203"/>
      <c r="S257" s="203"/>
      <c r="T257" s="203"/>
      <c r="U257" s="203"/>
    </row>
    <row r="258" hidden="1" spans="1:21">
      <c r="A258" s="690" t="s">
        <v>2038</v>
      </c>
      <c r="B258" s="696" t="s">
        <v>2039</v>
      </c>
      <c r="C258" s="671" t="s">
        <v>2094</v>
      </c>
      <c r="D258" s="697">
        <v>30</v>
      </c>
      <c r="E258" s="281"/>
      <c r="F258" s="675"/>
      <c r="G258" s="675">
        <f>G257</f>
        <v>45744</v>
      </c>
      <c r="H258" s="676">
        <f>H257</f>
        <v>45765</v>
      </c>
      <c r="I258" s="723" t="s">
        <v>2204</v>
      </c>
      <c r="J258" s="714" t="s">
        <v>18</v>
      </c>
      <c r="K258" s="723" t="s">
        <v>654</v>
      </c>
      <c r="L258" s="347" t="s">
        <v>20</v>
      </c>
      <c r="M258" s="690" t="s">
        <v>2091</v>
      </c>
      <c r="N258" s="688"/>
      <c r="O258" s="203"/>
      <c r="P258" s="203"/>
      <c r="Q258" s="203"/>
      <c r="R258" s="203"/>
      <c r="S258" s="203"/>
      <c r="T258" s="203"/>
      <c r="U258" s="203"/>
    </row>
    <row r="259" hidden="1" spans="1:21">
      <c r="A259" s="690" t="s">
        <v>2038</v>
      </c>
      <c r="B259" s="696" t="s">
        <v>2039</v>
      </c>
      <c r="C259" s="671" t="s">
        <v>2095</v>
      </c>
      <c r="D259" s="697">
        <v>30</v>
      </c>
      <c r="E259" s="281"/>
      <c r="F259" s="675"/>
      <c r="G259" s="675">
        <f>G258</f>
        <v>45744</v>
      </c>
      <c r="H259" s="676">
        <f>H258</f>
        <v>45765</v>
      </c>
      <c r="I259" s="723" t="s">
        <v>2204</v>
      </c>
      <c r="J259" s="714" t="s">
        <v>18</v>
      </c>
      <c r="K259" s="723" t="s">
        <v>654</v>
      </c>
      <c r="L259" s="347" t="s">
        <v>20</v>
      </c>
      <c r="M259" s="690" t="s">
        <v>2091</v>
      </c>
      <c r="N259" s="688"/>
      <c r="O259" s="203"/>
      <c r="P259" s="203"/>
      <c r="Q259" s="203"/>
      <c r="R259" s="203"/>
      <c r="S259" s="203"/>
      <c r="T259" s="203"/>
      <c r="U259" s="203"/>
    </row>
    <row r="260" hidden="1" spans="1:21">
      <c r="A260" s="690" t="s">
        <v>2038</v>
      </c>
      <c r="B260" s="696" t="s">
        <v>2039</v>
      </c>
      <c r="C260" s="673" t="s">
        <v>2087</v>
      </c>
      <c r="D260" s="697">
        <v>36</v>
      </c>
      <c r="E260" s="720" t="s">
        <v>2206</v>
      </c>
      <c r="F260" s="675"/>
      <c r="G260" s="675">
        <f>VLOOKUP(CLEAN(SUBSTITUTE(TRIM(MID(E:E,FIND("/",E:E)+1,LEN(E:E)))," ","")),'Customs Decl. &amp; Local Delivery'!D:I,6,0)</f>
        <v>45744</v>
      </c>
      <c r="H260" s="676">
        <f>VLOOKUP(CLEAN(SUBSTITUTE(TRIM(MID(E:E,FIND("/",E:E)+1,LEN(E:E)))," ","")),'Customs Decl. &amp; Local Delivery'!D:J,7,0)</f>
        <v>45765</v>
      </c>
      <c r="I260" s="723" t="s">
        <v>2207</v>
      </c>
      <c r="J260" s="714" t="s">
        <v>18</v>
      </c>
      <c r="K260" s="723" t="s">
        <v>654</v>
      </c>
      <c r="L260" s="347" t="s">
        <v>20</v>
      </c>
      <c r="M260" s="691" t="s">
        <v>2208</v>
      </c>
      <c r="N260" s="688"/>
      <c r="O260" s="203"/>
      <c r="P260" s="203"/>
      <c r="Q260" s="203"/>
      <c r="R260" s="203"/>
      <c r="S260" s="203"/>
      <c r="T260" s="203"/>
      <c r="U260" s="203"/>
    </row>
    <row r="261" hidden="1" spans="1:21">
      <c r="A261" s="690" t="s">
        <v>2038</v>
      </c>
      <c r="B261" s="696" t="s">
        <v>2039</v>
      </c>
      <c r="C261" s="671" t="s">
        <v>2090</v>
      </c>
      <c r="D261" s="697">
        <v>5</v>
      </c>
      <c r="E261" s="281"/>
      <c r="F261" s="675"/>
      <c r="G261" s="675">
        <f>G260</f>
        <v>45744</v>
      </c>
      <c r="H261" s="676">
        <f>H260</f>
        <v>45765</v>
      </c>
      <c r="I261" s="723" t="s">
        <v>2207</v>
      </c>
      <c r="J261" s="714" t="s">
        <v>18</v>
      </c>
      <c r="K261" s="723" t="s">
        <v>654</v>
      </c>
      <c r="L261" s="347" t="s">
        <v>20</v>
      </c>
      <c r="M261" s="690" t="s">
        <v>2091</v>
      </c>
      <c r="N261" s="688"/>
      <c r="O261" s="203"/>
      <c r="P261" s="203"/>
      <c r="Q261" s="203"/>
      <c r="R261" s="203"/>
      <c r="S261" s="203"/>
      <c r="T261" s="203"/>
      <c r="U261" s="203"/>
    </row>
    <row r="262" hidden="1" spans="1:21">
      <c r="A262" s="690" t="s">
        <v>2038</v>
      </c>
      <c r="B262" s="696" t="s">
        <v>2039</v>
      </c>
      <c r="C262" s="671" t="s">
        <v>2092</v>
      </c>
      <c r="D262" s="697">
        <v>60</v>
      </c>
      <c r="E262" s="281"/>
      <c r="F262" s="675"/>
      <c r="G262" s="675">
        <f>G261</f>
        <v>45744</v>
      </c>
      <c r="H262" s="676">
        <f>H261</f>
        <v>45765</v>
      </c>
      <c r="I262" s="724" t="s">
        <v>2207</v>
      </c>
      <c r="J262" s="714" t="s">
        <v>18</v>
      </c>
      <c r="K262" s="723" t="s">
        <v>654</v>
      </c>
      <c r="L262" s="347" t="s">
        <v>20</v>
      </c>
      <c r="M262" s="690" t="s">
        <v>2091</v>
      </c>
      <c r="N262" s="688"/>
      <c r="O262" s="203"/>
      <c r="P262" s="203"/>
      <c r="Q262" s="203"/>
      <c r="R262" s="203"/>
      <c r="S262" s="203"/>
      <c r="T262" s="203"/>
      <c r="U262" s="203"/>
    </row>
    <row r="263" hidden="1" spans="1:21">
      <c r="A263" s="690" t="s">
        <v>2038</v>
      </c>
      <c r="B263" s="696" t="s">
        <v>2039</v>
      </c>
      <c r="C263" s="671" t="s">
        <v>2093</v>
      </c>
      <c r="D263" s="697">
        <v>5</v>
      </c>
      <c r="E263" s="281"/>
      <c r="F263" s="675"/>
      <c r="G263" s="675">
        <f>G262</f>
        <v>45744</v>
      </c>
      <c r="H263" s="676">
        <f>H262</f>
        <v>45765</v>
      </c>
      <c r="I263" s="723" t="s">
        <v>2207</v>
      </c>
      <c r="J263" s="714" t="s">
        <v>18</v>
      </c>
      <c r="K263" s="723" t="s">
        <v>654</v>
      </c>
      <c r="L263" s="347" t="s">
        <v>20</v>
      </c>
      <c r="M263" s="690" t="s">
        <v>2091</v>
      </c>
      <c r="N263" s="688"/>
      <c r="O263" s="203"/>
      <c r="P263" s="203"/>
      <c r="Q263" s="203"/>
      <c r="R263" s="203"/>
      <c r="S263" s="203"/>
      <c r="T263" s="203"/>
      <c r="U263" s="203"/>
    </row>
    <row r="264" hidden="1" spans="1:21">
      <c r="A264" s="690" t="s">
        <v>2038</v>
      </c>
      <c r="B264" s="696" t="s">
        <v>2039</v>
      </c>
      <c r="C264" s="671" t="s">
        <v>2094</v>
      </c>
      <c r="D264" s="697">
        <v>30</v>
      </c>
      <c r="E264" s="281"/>
      <c r="F264" s="675"/>
      <c r="G264" s="675">
        <f>G263</f>
        <v>45744</v>
      </c>
      <c r="H264" s="676">
        <f>H263</f>
        <v>45765</v>
      </c>
      <c r="I264" s="723" t="s">
        <v>2207</v>
      </c>
      <c r="J264" s="714" t="s">
        <v>18</v>
      </c>
      <c r="K264" s="723" t="s">
        <v>654</v>
      </c>
      <c r="L264" s="347" t="s">
        <v>20</v>
      </c>
      <c r="M264" s="690" t="s">
        <v>2091</v>
      </c>
      <c r="N264" s="688"/>
      <c r="O264" s="203"/>
      <c r="P264" s="203"/>
      <c r="Q264" s="203"/>
      <c r="R264" s="203"/>
      <c r="S264" s="203"/>
      <c r="T264" s="203"/>
      <c r="U264" s="203"/>
    </row>
    <row r="265" hidden="1" spans="1:21">
      <c r="A265" s="690" t="s">
        <v>2038</v>
      </c>
      <c r="B265" s="696" t="s">
        <v>2039</v>
      </c>
      <c r="C265" s="671" t="s">
        <v>2095</v>
      </c>
      <c r="D265" s="697">
        <v>30</v>
      </c>
      <c r="E265" s="281"/>
      <c r="F265" s="675"/>
      <c r="G265" s="675">
        <f>G264</f>
        <v>45744</v>
      </c>
      <c r="H265" s="676">
        <f>H264</f>
        <v>45765</v>
      </c>
      <c r="I265" s="723" t="s">
        <v>2207</v>
      </c>
      <c r="J265" s="714" t="s">
        <v>18</v>
      </c>
      <c r="K265" s="723" t="s">
        <v>654</v>
      </c>
      <c r="L265" s="347" t="s">
        <v>20</v>
      </c>
      <c r="M265" s="690" t="s">
        <v>2091</v>
      </c>
      <c r="N265" s="688"/>
      <c r="O265" s="203"/>
      <c r="P265" s="203"/>
      <c r="Q265" s="203"/>
      <c r="R265" s="203"/>
      <c r="S265" s="203"/>
      <c r="T265" s="203"/>
      <c r="U265" s="203"/>
    </row>
    <row r="266" hidden="1" spans="1:21">
      <c r="A266" s="690" t="s">
        <v>2038</v>
      </c>
      <c r="B266" s="696" t="s">
        <v>2039</v>
      </c>
      <c r="C266" s="673" t="s">
        <v>2087</v>
      </c>
      <c r="D266" s="726">
        <v>32</v>
      </c>
      <c r="E266" s="720" t="s">
        <v>2209</v>
      </c>
      <c r="F266" s="675"/>
      <c r="G266" s="675">
        <f>VLOOKUP(CLEAN(SUBSTITUTE(TRIM(MID(E:E,FIND("/",E:E)+1,LEN(E:E)))," ","")),'Customs Decl. &amp; Local Delivery'!D:I,6,0)</f>
        <v>45744</v>
      </c>
      <c r="H266" s="676">
        <f>VLOOKUP(CLEAN(SUBSTITUTE(TRIM(MID(E:E,FIND("/",E:E)+1,LEN(E:E)))," ","")),'Customs Decl. &amp; Local Delivery'!D:J,7,0)</f>
        <v>45765</v>
      </c>
      <c r="I266" s="723" t="s">
        <v>2210</v>
      </c>
      <c r="J266" s="714" t="s">
        <v>18</v>
      </c>
      <c r="K266" s="691" t="s">
        <v>19</v>
      </c>
      <c r="L266" s="347" t="s">
        <v>20</v>
      </c>
      <c r="M266" s="727" t="s">
        <v>2211</v>
      </c>
      <c r="N266" s="688"/>
      <c r="O266" s="203"/>
      <c r="P266" s="203"/>
      <c r="Q266" s="203"/>
      <c r="R266" s="203"/>
      <c r="S266" s="203"/>
      <c r="T266" s="203"/>
      <c r="U266" s="203"/>
    </row>
    <row r="267" hidden="1" spans="1:21">
      <c r="A267" s="690" t="s">
        <v>2038</v>
      </c>
      <c r="B267" s="696" t="s">
        <v>2039</v>
      </c>
      <c r="C267" s="674" t="s">
        <v>2087</v>
      </c>
      <c r="D267" s="726">
        <v>4</v>
      </c>
      <c r="E267" s="281"/>
      <c r="F267" s="675"/>
      <c r="G267" s="675">
        <f t="shared" ref="G267:G272" si="4">G266</f>
        <v>45744</v>
      </c>
      <c r="H267" s="676">
        <f t="shared" ref="H267:H272" si="5">H266</f>
        <v>45765</v>
      </c>
      <c r="I267" s="723" t="s">
        <v>2210</v>
      </c>
      <c r="J267" s="714" t="s">
        <v>18</v>
      </c>
      <c r="K267" s="690" t="s">
        <v>19</v>
      </c>
      <c r="L267" s="347" t="s">
        <v>20</v>
      </c>
      <c r="M267" s="691" t="s">
        <v>2212</v>
      </c>
      <c r="N267" s="688"/>
      <c r="O267" s="512"/>
      <c r="P267" s="512"/>
      <c r="Q267" s="512"/>
      <c r="R267" s="512"/>
      <c r="S267" s="512"/>
      <c r="T267" s="512"/>
      <c r="U267" s="512"/>
    </row>
    <row r="268" hidden="1" spans="1:21">
      <c r="A268" s="690" t="s">
        <v>2038</v>
      </c>
      <c r="B268" s="696" t="s">
        <v>2039</v>
      </c>
      <c r="C268" s="671" t="s">
        <v>2090</v>
      </c>
      <c r="D268" s="250">
        <v>5</v>
      </c>
      <c r="E268" s="281"/>
      <c r="F268" s="675"/>
      <c r="G268" s="675">
        <f t="shared" si="4"/>
        <v>45744</v>
      </c>
      <c r="H268" s="676">
        <f t="shared" si="5"/>
        <v>45765</v>
      </c>
      <c r="I268" s="723" t="s">
        <v>2210</v>
      </c>
      <c r="J268" s="714" t="s">
        <v>18</v>
      </c>
      <c r="K268" s="690" t="s">
        <v>19</v>
      </c>
      <c r="L268" s="347" t="s">
        <v>20</v>
      </c>
      <c r="M268" s="691" t="s">
        <v>2213</v>
      </c>
      <c r="N268" s="688"/>
      <c r="O268" s="203"/>
      <c r="P268" s="203"/>
      <c r="Q268" s="203"/>
      <c r="R268" s="203"/>
      <c r="S268" s="203"/>
      <c r="T268" s="203"/>
      <c r="U268" s="203"/>
    </row>
    <row r="269" hidden="1" spans="1:21">
      <c r="A269" s="690" t="s">
        <v>2038</v>
      </c>
      <c r="B269" s="696" t="s">
        <v>2039</v>
      </c>
      <c r="C269" s="671" t="s">
        <v>2092</v>
      </c>
      <c r="D269" s="250">
        <v>60</v>
      </c>
      <c r="E269" s="281"/>
      <c r="F269" s="675"/>
      <c r="G269" s="675">
        <f t="shared" si="4"/>
        <v>45744</v>
      </c>
      <c r="H269" s="676">
        <f t="shared" si="5"/>
        <v>45765</v>
      </c>
      <c r="I269" s="724" t="s">
        <v>2210</v>
      </c>
      <c r="J269" s="714" t="s">
        <v>18</v>
      </c>
      <c r="K269" s="690" t="s">
        <v>19</v>
      </c>
      <c r="L269" s="347" t="s">
        <v>20</v>
      </c>
      <c r="M269" s="690" t="s">
        <v>2213</v>
      </c>
      <c r="N269" s="688"/>
      <c r="O269" s="203"/>
      <c r="P269" s="203"/>
      <c r="Q269" s="203"/>
      <c r="R269" s="203"/>
      <c r="S269" s="203"/>
      <c r="T269" s="203"/>
      <c r="U269" s="203"/>
    </row>
    <row r="270" hidden="1" spans="1:21">
      <c r="A270" s="690" t="s">
        <v>2038</v>
      </c>
      <c r="B270" s="696" t="s">
        <v>2039</v>
      </c>
      <c r="C270" s="671" t="s">
        <v>2093</v>
      </c>
      <c r="D270" s="250">
        <v>5</v>
      </c>
      <c r="E270" s="281"/>
      <c r="F270" s="675"/>
      <c r="G270" s="675">
        <f t="shared" si="4"/>
        <v>45744</v>
      </c>
      <c r="H270" s="676">
        <f t="shared" si="5"/>
        <v>45765</v>
      </c>
      <c r="I270" s="723" t="s">
        <v>2210</v>
      </c>
      <c r="J270" s="714" t="s">
        <v>18</v>
      </c>
      <c r="K270" s="690" t="s">
        <v>19</v>
      </c>
      <c r="L270" s="347" t="s">
        <v>20</v>
      </c>
      <c r="M270" s="690" t="s">
        <v>2213</v>
      </c>
      <c r="N270" s="688"/>
      <c r="O270" s="203"/>
      <c r="P270" s="203"/>
      <c r="Q270" s="203"/>
      <c r="R270" s="203"/>
      <c r="S270" s="203"/>
      <c r="T270" s="203"/>
      <c r="U270" s="203"/>
    </row>
    <row r="271" hidden="1" spans="1:21">
      <c r="A271" s="690" t="s">
        <v>2038</v>
      </c>
      <c r="B271" s="696" t="s">
        <v>2039</v>
      </c>
      <c r="C271" s="671" t="s">
        <v>2094</v>
      </c>
      <c r="D271" s="250">
        <v>30</v>
      </c>
      <c r="E271" s="281"/>
      <c r="F271" s="675"/>
      <c r="G271" s="675">
        <f t="shared" si="4"/>
        <v>45744</v>
      </c>
      <c r="H271" s="676">
        <f t="shared" si="5"/>
        <v>45765</v>
      </c>
      <c r="I271" s="723" t="s">
        <v>2210</v>
      </c>
      <c r="J271" s="714" t="s">
        <v>18</v>
      </c>
      <c r="K271" s="690" t="s">
        <v>19</v>
      </c>
      <c r="L271" s="347" t="s">
        <v>20</v>
      </c>
      <c r="M271" s="690" t="s">
        <v>2213</v>
      </c>
      <c r="N271" s="688"/>
      <c r="O271" s="203"/>
      <c r="P271" s="203"/>
      <c r="Q271" s="203"/>
      <c r="R271" s="203"/>
      <c r="S271" s="203"/>
      <c r="T271" s="203"/>
      <c r="U271" s="203"/>
    </row>
    <row r="272" hidden="1" spans="1:21">
      <c r="A272" s="690" t="s">
        <v>2038</v>
      </c>
      <c r="B272" s="696" t="s">
        <v>2039</v>
      </c>
      <c r="C272" s="671" t="s">
        <v>2095</v>
      </c>
      <c r="D272" s="250">
        <v>30</v>
      </c>
      <c r="E272" s="281"/>
      <c r="F272" s="675"/>
      <c r="G272" s="675">
        <f t="shared" si="4"/>
        <v>45744</v>
      </c>
      <c r="H272" s="676">
        <f t="shared" si="5"/>
        <v>45765</v>
      </c>
      <c r="I272" s="723" t="s">
        <v>2210</v>
      </c>
      <c r="J272" s="714" t="s">
        <v>18</v>
      </c>
      <c r="K272" s="690" t="s">
        <v>19</v>
      </c>
      <c r="L272" s="347" t="s">
        <v>20</v>
      </c>
      <c r="M272" s="690" t="s">
        <v>2213</v>
      </c>
      <c r="N272" s="688"/>
      <c r="O272" s="203"/>
      <c r="P272" s="203"/>
      <c r="Q272" s="203"/>
      <c r="R272" s="203"/>
      <c r="S272" s="203"/>
      <c r="T272" s="203"/>
      <c r="U272" s="203"/>
    </row>
    <row r="273" hidden="1" spans="1:21">
      <c r="A273" s="690" t="s">
        <v>2038</v>
      </c>
      <c r="B273" s="696" t="s">
        <v>2039</v>
      </c>
      <c r="C273" s="671" t="s">
        <v>2072</v>
      </c>
      <c r="D273" s="250">
        <v>30</v>
      </c>
      <c r="E273" s="720" t="s">
        <v>2214</v>
      </c>
      <c r="F273" s="675"/>
      <c r="G273" s="675">
        <f>VLOOKUP(CLEAN(SUBSTITUTE(TRIM(MID(E:E,FIND("/",E:E)+1,LEN(E:E)))," ","")),'Customs Decl. &amp; Local Delivery'!D:I,6,0)</f>
        <v>45744</v>
      </c>
      <c r="H273" s="676">
        <f>VLOOKUP(CLEAN(SUBSTITUTE(TRIM(MID(E:E,FIND("/",E:E)+1,LEN(E:E)))," ","")),'Customs Decl. &amp; Local Delivery'!D:J,7,0)</f>
        <v>45765</v>
      </c>
      <c r="I273" s="723" t="s">
        <v>2215</v>
      </c>
      <c r="J273" s="714" t="s">
        <v>18</v>
      </c>
      <c r="K273" s="690" t="s">
        <v>147</v>
      </c>
      <c r="L273" s="347" t="s">
        <v>20</v>
      </c>
      <c r="M273" s="691" t="s">
        <v>2216</v>
      </c>
      <c r="N273" s="684"/>
      <c r="O273" s="203"/>
      <c r="P273" s="203"/>
      <c r="Q273" s="203"/>
      <c r="R273" s="203"/>
      <c r="S273" s="203"/>
      <c r="T273" s="203"/>
      <c r="U273" s="203"/>
    </row>
    <row r="274" hidden="1" spans="1:21">
      <c r="A274" s="690" t="s">
        <v>2038</v>
      </c>
      <c r="B274" s="696" t="s">
        <v>2039</v>
      </c>
      <c r="C274" s="671" t="s">
        <v>2076</v>
      </c>
      <c r="D274" s="250">
        <v>30</v>
      </c>
      <c r="E274" s="281"/>
      <c r="F274" s="675"/>
      <c r="G274" s="675">
        <f>G273</f>
        <v>45744</v>
      </c>
      <c r="H274" s="676">
        <f>H273</f>
        <v>45765</v>
      </c>
      <c r="I274" s="723" t="s">
        <v>2215</v>
      </c>
      <c r="J274" s="714" t="s">
        <v>18</v>
      </c>
      <c r="K274" s="690" t="s">
        <v>147</v>
      </c>
      <c r="L274" s="347" t="s">
        <v>20</v>
      </c>
      <c r="M274" s="690" t="s">
        <v>2085</v>
      </c>
      <c r="N274" s="684"/>
      <c r="O274" s="203"/>
      <c r="P274" s="203"/>
      <c r="Q274" s="203"/>
      <c r="R274" s="203"/>
      <c r="S274" s="203"/>
      <c r="T274" s="203"/>
      <c r="U274" s="203"/>
    </row>
    <row r="275" hidden="1" spans="1:21">
      <c r="A275" s="690" t="s">
        <v>2038</v>
      </c>
      <c r="B275" s="696" t="s">
        <v>2039</v>
      </c>
      <c r="C275" s="673" t="s">
        <v>2087</v>
      </c>
      <c r="D275" s="250">
        <v>2</v>
      </c>
      <c r="E275" s="281"/>
      <c r="F275" s="675"/>
      <c r="G275" s="675">
        <f>G274</f>
        <v>45744</v>
      </c>
      <c r="H275" s="676">
        <f>H274</f>
        <v>45765</v>
      </c>
      <c r="I275" s="724" t="s">
        <v>2215</v>
      </c>
      <c r="J275" s="714" t="s">
        <v>18</v>
      </c>
      <c r="K275" s="690" t="s">
        <v>147</v>
      </c>
      <c r="L275" s="347" t="s">
        <v>20</v>
      </c>
      <c r="M275" s="690"/>
      <c r="N275" s="684"/>
      <c r="O275" s="203"/>
      <c r="P275" s="203"/>
      <c r="Q275" s="203"/>
      <c r="R275" s="203"/>
      <c r="S275" s="203"/>
      <c r="T275" s="203"/>
      <c r="U275" s="203"/>
    </row>
    <row r="276" hidden="1" spans="1:21">
      <c r="A276" s="690" t="s">
        <v>2038</v>
      </c>
      <c r="B276" s="696" t="s">
        <v>2039</v>
      </c>
      <c r="C276" s="671" t="s">
        <v>2090</v>
      </c>
      <c r="D276" s="250">
        <v>10</v>
      </c>
      <c r="E276" s="281"/>
      <c r="F276" s="675"/>
      <c r="G276" s="675">
        <f>G275</f>
        <v>45744</v>
      </c>
      <c r="H276" s="676">
        <f>H275</f>
        <v>45765</v>
      </c>
      <c r="I276" s="723" t="s">
        <v>2215</v>
      </c>
      <c r="J276" s="714" t="s">
        <v>18</v>
      </c>
      <c r="K276" s="690" t="s">
        <v>147</v>
      </c>
      <c r="L276" s="347" t="s">
        <v>20</v>
      </c>
      <c r="M276" s="690" t="s">
        <v>2091</v>
      </c>
      <c r="N276" s="684"/>
      <c r="O276" s="203"/>
      <c r="P276" s="203"/>
      <c r="Q276" s="203"/>
      <c r="R276" s="203"/>
      <c r="S276" s="203"/>
      <c r="T276" s="203"/>
      <c r="U276" s="203"/>
    </row>
    <row r="277" hidden="1" spans="1:21">
      <c r="A277" s="690" t="s">
        <v>2038</v>
      </c>
      <c r="B277" s="696" t="s">
        <v>2039</v>
      </c>
      <c r="C277" s="671" t="s">
        <v>2092</v>
      </c>
      <c r="D277" s="250">
        <v>40</v>
      </c>
      <c r="E277" s="281"/>
      <c r="F277" s="675"/>
      <c r="G277" s="675">
        <f>G276</f>
        <v>45744</v>
      </c>
      <c r="H277" s="676">
        <f>H276</f>
        <v>45765</v>
      </c>
      <c r="I277" s="723" t="s">
        <v>2215</v>
      </c>
      <c r="J277" s="714" t="s">
        <v>18</v>
      </c>
      <c r="K277" s="690" t="s">
        <v>147</v>
      </c>
      <c r="L277" s="347" t="s">
        <v>20</v>
      </c>
      <c r="M277" s="690" t="s">
        <v>2091</v>
      </c>
      <c r="N277" s="684"/>
      <c r="O277" s="203"/>
      <c r="P277" s="203"/>
      <c r="Q277" s="203"/>
      <c r="R277" s="203"/>
      <c r="S277" s="203"/>
      <c r="T277" s="203"/>
      <c r="U277" s="203"/>
    </row>
    <row r="278" hidden="1" spans="1:21">
      <c r="A278" s="690" t="s">
        <v>2038</v>
      </c>
      <c r="B278" s="696" t="s">
        <v>2039</v>
      </c>
      <c r="C278" s="671" t="s">
        <v>2093</v>
      </c>
      <c r="D278" s="250">
        <v>10</v>
      </c>
      <c r="E278" s="281"/>
      <c r="F278" s="675"/>
      <c r="G278" s="675">
        <f>G277</f>
        <v>45744</v>
      </c>
      <c r="H278" s="676">
        <f>H277</f>
        <v>45765</v>
      </c>
      <c r="I278" s="723" t="s">
        <v>2215</v>
      </c>
      <c r="J278" s="714" t="s">
        <v>18</v>
      </c>
      <c r="K278" s="690" t="s">
        <v>147</v>
      </c>
      <c r="L278" s="347" t="s">
        <v>20</v>
      </c>
      <c r="M278" s="690" t="s">
        <v>2091</v>
      </c>
      <c r="N278" s="684"/>
      <c r="O278" s="203"/>
      <c r="P278" s="203"/>
      <c r="Q278" s="203"/>
      <c r="R278" s="203"/>
      <c r="S278" s="203"/>
      <c r="T278" s="203"/>
      <c r="U278" s="203"/>
    </row>
    <row r="279" hidden="1" spans="1:21">
      <c r="A279" s="687" t="s">
        <v>400</v>
      </c>
      <c r="B279" s="672" t="s">
        <v>2217</v>
      </c>
      <c r="C279" s="674" t="s">
        <v>2040</v>
      </c>
      <c r="D279" s="313">
        <v>54</v>
      </c>
      <c r="E279" s="720" t="s">
        <v>2218</v>
      </c>
      <c r="F279" s="675"/>
      <c r="G279" s="675">
        <f>VLOOKUP(CLEAN(SUBSTITUTE(TRIM(MID(E:E,FIND("/",E:E)+1,LEN(E:E)))," ","")),'Customs Decl. &amp; Local Delivery'!D:I,6,0)</f>
        <v>45744</v>
      </c>
      <c r="H279" s="676">
        <f>VLOOKUP(CLEAN(SUBSTITUTE(TRIM(MID(E:E,FIND("/",E:E)+1,LEN(E:E)))," ","")),'Customs Decl. &amp; Local Delivery'!D:J,7,0)</f>
        <v>45765</v>
      </c>
      <c r="I279" s="724" t="s">
        <v>2219</v>
      </c>
      <c r="J279" s="728" t="s">
        <v>18</v>
      </c>
      <c r="K279" s="690" t="s">
        <v>654</v>
      </c>
      <c r="L279" s="347" t="s">
        <v>20</v>
      </c>
      <c r="M279" s="687" t="s">
        <v>2220</v>
      </c>
      <c r="N279" s="688"/>
      <c r="O279" s="203"/>
      <c r="P279" s="203"/>
      <c r="Q279" s="203"/>
      <c r="R279" s="203"/>
      <c r="S279" s="203"/>
      <c r="T279" s="203"/>
      <c r="U279" s="203"/>
    </row>
    <row r="280" hidden="1" spans="1:21">
      <c r="A280" s="687" t="s">
        <v>400</v>
      </c>
      <c r="B280" s="672" t="s">
        <v>2217</v>
      </c>
      <c r="C280" s="674" t="s">
        <v>2221</v>
      </c>
      <c r="D280" s="313">
        <v>98</v>
      </c>
      <c r="E280" s="281"/>
      <c r="F280" s="675"/>
      <c r="G280" s="675">
        <f>G279</f>
        <v>45744</v>
      </c>
      <c r="H280" s="676">
        <f>H279</f>
        <v>45765</v>
      </c>
      <c r="I280" s="724" t="s">
        <v>2219</v>
      </c>
      <c r="J280" s="728" t="s">
        <v>18</v>
      </c>
      <c r="K280" s="690" t="s">
        <v>654</v>
      </c>
      <c r="L280" s="347" t="s">
        <v>20</v>
      </c>
      <c r="M280" s="687" t="s">
        <v>2045</v>
      </c>
      <c r="N280" s="688"/>
      <c r="O280" s="203"/>
      <c r="P280" s="203"/>
      <c r="Q280" s="203"/>
      <c r="R280" s="203"/>
      <c r="S280" s="203"/>
      <c r="T280" s="203"/>
      <c r="U280" s="203"/>
    </row>
    <row r="281" hidden="1" spans="1:21">
      <c r="A281" s="687" t="s">
        <v>400</v>
      </c>
      <c r="B281" s="672" t="s">
        <v>2217</v>
      </c>
      <c r="C281" s="674" t="s">
        <v>2046</v>
      </c>
      <c r="D281" s="313">
        <v>20</v>
      </c>
      <c r="E281" s="281"/>
      <c r="F281" s="675"/>
      <c r="G281" s="675">
        <f>G280</f>
        <v>45744</v>
      </c>
      <c r="H281" s="676">
        <f>H280</f>
        <v>45765</v>
      </c>
      <c r="I281" s="723" t="s">
        <v>2219</v>
      </c>
      <c r="J281" s="728" t="s">
        <v>18</v>
      </c>
      <c r="K281" s="690" t="s">
        <v>654</v>
      </c>
      <c r="L281" s="347" t="s">
        <v>20</v>
      </c>
      <c r="M281" s="687" t="s">
        <v>2045</v>
      </c>
      <c r="N281" s="688"/>
      <c r="O281" s="203"/>
      <c r="P281" s="203"/>
      <c r="Q281" s="203"/>
      <c r="R281" s="203"/>
      <c r="S281" s="203"/>
      <c r="T281" s="203"/>
      <c r="U281" s="203"/>
    </row>
    <row r="282" hidden="1" spans="1:21">
      <c r="A282" s="687" t="s">
        <v>400</v>
      </c>
      <c r="B282" s="672" t="s">
        <v>2217</v>
      </c>
      <c r="C282" s="674" t="s">
        <v>2056</v>
      </c>
      <c r="D282" s="313">
        <v>47</v>
      </c>
      <c r="E282" s="281"/>
      <c r="F282" s="675"/>
      <c r="G282" s="675">
        <f>G281</f>
        <v>45744</v>
      </c>
      <c r="H282" s="676">
        <f>H281</f>
        <v>45765</v>
      </c>
      <c r="I282" s="723" t="s">
        <v>2219</v>
      </c>
      <c r="J282" s="728" t="s">
        <v>18</v>
      </c>
      <c r="K282" s="690" t="s">
        <v>654</v>
      </c>
      <c r="L282" s="347" t="s">
        <v>20</v>
      </c>
      <c r="M282" s="687" t="s">
        <v>2045</v>
      </c>
      <c r="N282" s="688"/>
      <c r="O282" s="203"/>
      <c r="P282" s="203"/>
      <c r="Q282" s="203"/>
      <c r="R282" s="203"/>
      <c r="S282" s="203"/>
      <c r="T282" s="203"/>
      <c r="U282" s="203"/>
    </row>
    <row r="283" hidden="1" spans="1:21">
      <c r="A283" s="687" t="s">
        <v>400</v>
      </c>
      <c r="B283" s="672" t="s">
        <v>2217</v>
      </c>
      <c r="C283" s="674" t="s">
        <v>2040</v>
      </c>
      <c r="D283" s="313">
        <v>54</v>
      </c>
      <c r="E283" s="720" t="s">
        <v>2222</v>
      </c>
      <c r="F283" s="675"/>
      <c r="G283" s="675">
        <f>VLOOKUP(CLEAN(SUBSTITUTE(TRIM(MID(E:E,FIND("/",E:E)+1,LEN(E:E)))," ","")),'Customs Decl. &amp; Local Delivery'!D:I,6,0)</f>
        <v>45744</v>
      </c>
      <c r="H283" s="676">
        <f>VLOOKUP(CLEAN(SUBSTITUTE(TRIM(MID(E:E,FIND("/",E:E)+1,LEN(E:E)))," ","")),'Customs Decl. &amp; Local Delivery'!D:J,7,0)</f>
        <v>45765</v>
      </c>
      <c r="I283" s="723" t="s">
        <v>2223</v>
      </c>
      <c r="J283" s="728" t="s">
        <v>18</v>
      </c>
      <c r="K283" s="690" t="s">
        <v>654</v>
      </c>
      <c r="L283" s="347" t="s">
        <v>20</v>
      </c>
      <c r="M283" s="687" t="s">
        <v>2224</v>
      </c>
      <c r="N283" s="688"/>
      <c r="O283" s="203"/>
      <c r="P283" s="203"/>
      <c r="Q283" s="203"/>
      <c r="R283" s="203"/>
      <c r="S283" s="203"/>
      <c r="T283" s="203"/>
      <c r="U283" s="203"/>
    </row>
    <row r="284" hidden="1" spans="1:21">
      <c r="A284" s="687" t="s">
        <v>400</v>
      </c>
      <c r="B284" s="672" t="s">
        <v>2217</v>
      </c>
      <c r="C284" s="674" t="s">
        <v>2221</v>
      </c>
      <c r="D284" s="313">
        <v>98</v>
      </c>
      <c r="E284" s="281"/>
      <c r="F284" s="675"/>
      <c r="G284" s="675">
        <f>G283</f>
        <v>45744</v>
      </c>
      <c r="H284" s="676">
        <f>H283</f>
        <v>45765</v>
      </c>
      <c r="I284" s="724" t="s">
        <v>2223</v>
      </c>
      <c r="J284" s="728" t="s">
        <v>18</v>
      </c>
      <c r="K284" s="690" t="s">
        <v>654</v>
      </c>
      <c r="L284" s="347" t="s">
        <v>20</v>
      </c>
      <c r="M284" s="687" t="s">
        <v>2045</v>
      </c>
      <c r="N284" s="688"/>
      <c r="O284" s="203"/>
      <c r="P284" s="203"/>
      <c r="Q284" s="203"/>
      <c r="R284" s="203"/>
      <c r="S284" s="203"/>
      <c r="T284" s="203"/>
      <c r="U284" s="203"/>
    </row>
    <row r="285" hidden="1" spans="1:21">
      <c r="A285" s="687" t="s">
        <v>400</v>
      </c>
      <c r="B285" s="672" t="s">
        <v>2217</v>
      </c>
      <c r="C285" s="674" t="s">
        <v>2046</v>
      </c>
      <c r="D285" s="313">
        <v>20</v>
      </c>
      <c r="E285" s="281"/>
      <c r="F285" s="675"/>
      <c r="G285" s="675">
        <f>G284</f>
        <v>45744</v>
      </c>
      <c r="H285" s="676">
        <f>H284</f>
        <v>45765</v>
      </c>
      <c r="I285" s="723" t="s">
        <v>2223</v>
      </c>
      <c r="J285" s="728" t="s">
        <v>18</v>
      </c>
      <c r="K285" s="690" t="s">
        <v>654</v>
      </c>
      <c r="L285" s="347" t="s">
        <v>20</v>
      </c>
      <c r="M285" s="687" t="s">
        <v>2045</v>
      </c>
      <c r="N285" s="688"/>
      <c r="O285" s="203"/>
      <c r="P285" s="203"/>
      <c r="Q285" s="203"/>
      <c r="R285" s="203"/>
      <c r="S285" s="203"/>
      <c r="T285" s="203"/>
      <c r="U285" s="203"/>
    </row>
    <row r="286" hidden="1" spans="1:21">
      <c r="A286" s="687" t="s">
        <v>400</v>
      </c>
      <c r="B286" s="672" t="s">
        <v>2217</v>
      </c>
      <c r="C286" s="674" t="s">
        <v>2056</v>
      </c>
      <c r="D286" s="313">
        <v>47</v>
      </c>
      <c r="E286" s="281"/>
      <c r="F286" s="675"/>
      <c r="G286" s="675">
        <f>G285</f>
        <v>45744</v>
      </c>
      <c r="H286" s="676">
        <f>H285</f>
        <v>45765</v>
      </c>
      <c r="I286" s="723" t="s">
        <v>2223</v>
      </c>
      <c r="J286" s="728" t="s">
        <v>18</v>
      </c>
      <c r="K286" s="690" t="s">
        <v>654</v>
      </c>
      <c r="L286" s="347" t="s">
        <v>20</v>
      </c>
      <c r="M286" s="687" t="s">
        <v>2045</v>
      </c>
      <c r="N286" s="688"/>
      <c r="O286" s="203"/>
      <c r="P286" s="203"/>
      <c r="Q286" s="203"/>
      <c r="R286" s="203"/>
      <c r="S286" s="203"/>
      <c r="T286" s="203"/>
      <c r="U286" s="203"/>
    </row>
    <row r="287" hidden="1" spans="1:21">
      <c r="A287" s="687" t="s">
        <v>400</v>
      </c>
      <c r="B287" s="672" t="s">
        <v>2217</v>
      </c>
      <c r="C287" s="674" t="s">
        <v>2040</v>
      </c>
      <c r="D287" s="313">
        <v>54</v>
      </c>
      <c r="E287" s="720" t="s">
        <v>2225</v>
      </c>
      <c r="F287" s="675"/>
      <c r="G287" s="675">
        <f>VLOOKUP(CLEAN(SUBSTITUTE(TRIM(MID(E:E,FIND("/",E:E)+1,LEN(E:E)))," ","")),'Customs Decl. &amp; Local Delivery'!D:I,6,0)</f>
        <v>45744</v>
      </c>
      <c r="H287" s="676">
        <f>VLOOKUP(CLEAN(SUBSTITUTE(TRIM(MID(E:E,FIND("/",E:E)+1,LEN(E:E)))," ","")),'Customs Decl. &amp; Local Delivery'!D:J,7,0)</f>
        <v>45765</v>
      </c>
      <c r="I287" s="723" t="s">
        <v>2226</v>
      </c>
      <c r="J287" s="728" t="s">
        <v>18</v>
      </c>
      <c r="K287" s="699" t="s">
        <v>147</v>
      </c>
      <c r="L287" s="347" t="s">
        <v>20</v>
      </c>
      <c r="M287" s="687" t="s">
        <v>2227</v>
      </c>
      <c r="N287" s="684"/>
      <c r="O287" s="203"/>
      <c r="P287" s="203"/>
      <c r="Q287" s="203"/>
      <c r="R287" s="203"/>
      <c r="S287" s="203"/>
      <c r="T287" s="203"/>
      <c r="U287" s="203"/>
    </row>
    <row r="288" hidden="1" spans="1:21">
      <c r="A288" s="687" t="s">
        <v>400</v>
      </c>
      <c r="B288" s="672" t="s">
        <v>2217</v>
      </c>
      <c r="C288" s="674" t="s">
        <v>2221</v>
      </c>
      <c r="D288" s="313">
        <v>98</v>
      </c>
      <c r="E288" s="281"/>
      <c r="F288" s="675"/>
      <c r="G288" s="675">
        <f>G287</f>
        <v>45744</v>
      </c>
      <c r="H288" s="676">
        <f>H287</f>
        <v>45765</v>
      </c>
      <c r="I288" s="724" t="s">
        <v>2226</v>
      </c>
      <c r="J288" s="728" t="s">
        <v>18</v>
      </c>
      <c r="K288" s="699" t="s">
        <v>147</v>
      </c>
      <c r="L288" s="347" t="s">
        <v>20</v>
      </c>
      <c r="M288" s="687" t="s">
        <v>2045</v>
      </c>
      <c r="N288" s="684"/>
      <c r="O288" s="203"/>
      <c r="P288" s="203"/>
      <c r="Q288" s="203"/>
      <c r="R288" s="203"/>
      <c r="S288" s="203"/>
      <c r="T288" s="203"/>
      <c r="U288" s="203"/>
    </row>
    <row r="289" hidden="1" spans="1:21">
      <c r="A289" s="687" t="s">
        <v>400</v>
      </c>
      <c r="B289" s="672" t="s">
        <v>2217</v>
      </c>
      <c r="C289" s="674" t="s">
        <v>2046</v>
      </c>
      <c r="D289" s="313">
        <v>20</v>
      </c>
      <c r="E289" s="281"/>
      <c r="F289" s="675"/>
      <c r="G289" s="675">
        <f>G288</f>
        <v>45744</v>
      </c>
      <c r="H289" s="676">
        <f>H288</f>
        <v>45765</v>
      </c>
      <c r="I289" s="723" t="s">
        <v>2226</v>
      </c>
      <c r="J289" s="728" t="s">
        <v>18</v>
      </c>
      <c r="K289" s="699" t="s">
        <v>147</v>
      </c>
      <c r="L289" s="347" t="s">
        <v>20</v>
      </c>
      <c r="M289" s="687" t="s">
        <v>2045</v>
      </c>
      <c r="N289" s="684"/>
      <c r="O289" s="203"/>
      <c r="P289" s="203"/>
      <c r="Q289" s="203"/>
      <c r="R289" s="203"/>
      <c r="S289" s="203"/>
      <c r="T289" s="203"/>
      <c r="U289" s="203"/>
    </row>
    <row r="290" hidden="1" spans="1:21">
      <c r="A290" s="687" t="s">
        <v>400</v>
      </c>
      <c r="B290" s="672" t="s">
        <v>2217</v>
      </c>
      <c r="C290" s="674" t="s">
        <v>2056</v>
      </c>
      <c r="D290" s="313">
        <v>47</v>
      </c>
      <c r="E290" s="281"/>
      <c r="F290" s="675"/>
      <c r="G290" s="675">
        <f>G289</f>
        <v>45744</v>
      </c>
      <c r="H290" s="676">
        <f>H289</f>
        <v>45765</v>
      </c>
      <c r="I290" s="723" t="s">
        <v>2226</v>
      </c>
      <c r="J290" s="728" t="s">
        <v>18</v>
      </c>
      <c r="K290" s="699" t="s">
        <v>147</v>
      </c>
      <c r="L290" s="347" t="s">
        <v>20</v>
      </c>
      <c r="M290" s="687" t="s">
        <v>2045</v>
      </c>
      <c r="N290" s="684"/>
      <c r="O290" s="203"/>
      <c r="P290" s="203"/>
      <c r="Q290" s="203"/>
      <c r="R290" s="203"/>
      <c r="S290" s="203"/>
      <c r="T290" s="203"/>
      <c r="U290" s="203"/>
    </row>
    <row r="291" hidden="1" spans="1:21">
      <c r="A291" s="687" t="s">
        <v>400</v>
      </c>
      <c r="B291" s="672" t="s">
        <v>2217</v>
      </c>
      <c r="C291" s="674" t="s">
        <v>2040</v>
      </c>
      <c r="D291" s="313">
        <v>54</v>
      </c>
      <c r="E291" s="720" t="s">
        <v>2228</v>
      </c>
      <c r="F291" s="675"/>
      <c r="G291" s="675">
        <f>VLOOKUP(CLEAN(SUBSTITUTE(TRIM(MID(E:E,FIND("/",E:E)+1,LEN(E:E)))," ","")),'Customs Decl. &amp; Local Delivery'!D:I,6,0)</f>
        <v>45744</v>
      </c>
      <c r="H291" s="676">
        <f>VLOOKUP(CLEAN(SUBSTITUTE(TRIM(MID(E:E,FIND("/",E:E)+1,LEN(E:E)))," ","")),'Customs Decl. &amp; Local Delivery'!D:J,7,0)</f>
        <v>45765</v>
      </c>
      <c r="I291" s="723" t="s">
        <v>2229</v>
      </c>
      <c r="J291" s="728" t="s">
        <v>18</v>
      </c>
      <c r="K291" s="699" t="s">
        <v>147</v>
      </c>
      <c r="L291" s="347" t="s">
        <v>20</v>
      </c>
      <c r="M291" s="687" t="s">
        <v>2230</v>
      </c>
      <c r="N291" s="684"/>
      <c r="O291" s="203"/>
      <c r="P291" s="203"/>
      <c r="Q291" s="203"/>
      <c r="R291" s="203"/>
      <c r="S291" s="203"/>
      <c r="T291" s="203"/>
      <c r="U291" s="203"/>
    </row>
    <row r="292" hidden="1" spans="1:21">
      <c r="A292" s="687" t="s">
        <v>400</v>
      </c>
      <c r="B292" s="672" t="s">
        <v>2217</v>
      </c>
      <c r="C292" s="674" t="s">
        <v>2221</v>
      </c>
      <c r="D292" s="313">
        <v>98</v>
      </c>
      <c r="E292" s="281"/>
      <c r="F292" s="675"/>
      <c r="G292" s="675">
        <f>G291</f>
        <v>45744</v>
      </c>
      <c r="H292" s="676">
        <f>H291</f>
        <v>45765</v>
      </c>
      <c r="I292" s="723" t="s">
        <v>2229</v>
      </c>
      <c r="J292" s="728" t="s">
        <v>18</v>
      </c>
      <c r="K292" s="699" t="s">
        <v>147</v>
      </c>
      <c r="L292" s="347" t="s">
        <v>20</v>
      </c>
      <c r="M292" s="687" t="s">
        <v>2045</v>
      </c>
      <c r="N292" s="684"/>
      <c r="O292" s="203"/>
      <c r="P292" s="203"/>
      <c r="Q292" s="203"/>
      <c r="R292" s="203"/>
      <c r="S292" s="203"/>
      <c r="T292" s="203"/>
      <c r="U292" s="203"/>
    </row>
    <row r="293" hidden="1" spans="1:21">
      <c r="A293" s="687" t="s">
        <v>400</v>
      </c>
      <c r="B293" s="672" t="s">
        <v>2217</v>
      </c>
      <c r="C293" s="674" t="s">
        <v>2046</v>
      </c>
      <c r="D293" s="313">
        <v>20</v>
      </c>
      <c r="E293" s="281"/>
      <c r="F293" s="675"/>
      <c r="G293" s="675">
        <f>G292</f>
        <v>45744</v>
      </c>
      <c r="H293" s="676">
        <f>H292</f>
        <v>45765</v>
      </c>
      <c r="I293" s="724" t="s">
        <v>2229</v>
      </c>
      <c r="J293" s="728" t="s">
        <v>18</v>
      </c>
      <c r="K293" s="699" t="s">
        <v>147</v>
      </c>
      <c r="L293" s="347" t="s">
        <v>20</v>
      </c>
      <c r="M293" s="687" t="s">
        <v>2045</v>
      </c>
      <c r="N293" s="684"/>
      <c r="O293" s="203"/>
      <c r="P293" s="203"/>
      <c r="Q293" s="203"/>
      <c r="R293" s="203"/>
      <c r="S293" s="203"/>
      <c r="T293" s="203"/>
      <c r="U293" s="203"/>
    </row>
    <row r="294" hidden="1" spans="1:21">
      <c r="A294" s="687" t="s">
        <v>400</v>
      </c>
      <c r="B294" s="672" t="s">
        <v>2217</v>
      </c>
      <c r="C294" s="674" t="s">
        <v>2056</v>
      </c>
      <c r="D294" s="313">
        <v>47</v>
      </c>
      <c r="E294" s="281"/>
      <c r="F294" s="675"/>
      <c r="G294" s="675">
        <f>G293</f>
        <v>45744</v>
      </c>
      <c r="H294" s="676">
        <f>H293</f>
        <v>45765</v>
      </c>
      <c r="I294" s="723" t="s">
        <v>2229</v>
      </c>
      <c r="J294" s="728" t="s">
        <v>18</v>
      </c>
      <c r="K294" s="699" t="s">
        <v>147</v>
      </c>
      <c r="L294" s="347" t="s">
        <v>20</v>
      </c>
      <c r="M294" s="687" t="s">
        <v>2045</v>
      </c>
      <c r="N294" s="684"/>
      <c r="O294" s="203"/>
      <c r="P294" s="203"/>
      <c r="Q294" s="203"/>
      <c r="R294" s="203"/>
      <c r="S294" s="203"/>
      <c r="T294" s="203"/>
      <c r="U294" s="203"/>
    </row>
    <row r="295" hidden="1" spans="1:21">
      <c r="A295" s="687" t="s">
        <v>400</v>
      </c>
      <c r="B295" s="672" t="s">
        <v>2217</v>
      </c>
      <c r="C295" s="674" t="s">
        <v>2040</v>
      </c>
      <c r="D295" s="313">
        <v>54</v>
      </c>
      <c r="E295" s="720" t="s">
        <v>2231</v>
      </c>
      <c r="F295" s="675"/>
      <c r="G295" s="675">
        <f>VLOOKUP(CLEAN(SUBSTITUTE(TRIM(MID(E:E,FIND("/",E:E)+1,LEN(E:E)))," ","")),'Customs Decl. &amp; Local Delivery'!D:I,6,0)</f>
        <v>45744</v>
      </c>
      <c r="H295" s="676">
        <f>VLOOKUP(CLEAN(SUBSTITUTE(TRIM(MID(E:E,FIND("/",E:E)+1,LEN(E:E)))," ","")),'Customs Decl. &amp; Local Delivery'!D:J,7,0)</f>
        <v>45765</v>
      </c>
      <c r="I295" s="723" t="s">
        <v>2232</v>
      </c>
      <c r="J295" s="728" t="s">
        <v>18</v>
      </c>
      <c r="K295" s="699" t="s">
        <v>147</v>
      </c>
      <c r="L295" s="347" t="s">
        <v>20</v>
      </c>
      <c r="M295" s="687" t="s">
        <v>2233</v>
      </c>
      <c r="N295" s="684"/>
      <c r="O295" s="203"/>
      <c r="P295" s="203"/>
      <c r="Q295" s="203"/>
      <c r="R295" s="203"/>
      <c r="S295" s="203"/>
      <c r="T295" s="203"/>
      <c r="U295" s="203"/>
    </row>
    <row r="296" hidden="1" spans="1:21">
      <c r="A296" s="687" t="s">
        <v>400</v>
      </c>
      <c r="B296" s="672" t="s">
        <v>2217</v>
      </c>
      <c r="C296" s="674" t="s">
        <v>2221</v>
      </c>
      <c r="D296" s="313">
        <v>98</v>
      </c>
      <c r="E296" s="281"/>
      <c r="F296" s="675"/>
      <c r="G296" s="675">
        <f>G295</f>
        <v>45744</v>
      </c>
      <c r="H296" s="676">
        <f>H295</f>
        <v>45765</v>
      </c>
      <c r="I296" s="723" t="s">
        <v>2232</v>
      </c>
      <c r="J296" s="728" t="s">
        <v>18</v>
      </c>
      <c r="K296" s="699" t="s">
        <v>147</v>
      </c>
      <c r="L296" s="347" t="s">
        <v>20</v>
      </c>
      <c r="M296" s="687" t="s">
        <v>2045</v>
      </c>
      <c r="N296" s="684"/>
      <c r="O296" s="203"/>
      <c r="P296" s="203"/>
      <c r="Q296" s="203"/>
      <c r="R296" s="203"/>
      <c r="S296" s="203"/>
      <c r="T296" s="203"/>
      <c r="U296" s="203"/>
    </row>
    <row r="297" hidden="1" spans="1:21">
      <c r="A297" s="687" t="s">
        <v>400</v>
      </c>
      <c r="B297" s="672" t="s">
        <v>2217</v>
      </c>
      <c r="C297" s="674" t="s">
        <v>2046</v>
      </c>
      <c r="D297" s="313">
        <v>20</v>
      </c>
      <c r="E297" s="281"/>
      <c r="F297" s="675"/>
      <c r="G297" s="675">
        <f>G296</f>
        <v>45744</v>
      </c>
      <c r="H297" s="676">
        <f>H296</f>
        <v>45765</v>
      </c>
      <c r="I297" s="724" t="s">
        <v>2232</v>
      </c>
      <c r="J297" s="728" t="s">
        <v>18</v>
      </c>
      <c r="K297" s="699" t="s">
        <v>147</v>
      </c>
      <c r="L297" s="347" t="s">
        <v>20</v>
      </c>
      <c r="M297" s="687" t="s">
        <v>2045</v>
      </c>
      <c r="N297" s="684"/>
      <c r="O297" s="203"/>
      <c r="P297" s="203"/>
      <c r="Q297" s="203"/>
      <c r="R297" s="203"/>
      <c r="S297" s="203"/>
      <c r="T297" s="203"/>
      <c r="U297" s="203"/>
    </row>
    <row r="298" hidden="1" spans="1:21">
      <c r="A298" s="687" t="s">
        <v>400</v>
      </c>
      <c r="B298" s="672" t="s">
        <v>2217</v>
      </c>
      <c r="C298" s="674" t="s">
        <v>2056</v>
      </c>
      <c r="D298" s="313">
        <v>47</v>
      </c>
      <c r="E298" s="281"/>
      <c r="F298" s="675"/>
      <c r="G298" s="675">
        <f>G297</f>
        <v>45744</v>
      </c>
      <c r="H298" s="676">
        <f>H297</f>
        <v>45765</v>
      </c>
      <c r="I298" s="723" t="s">
        <v>2232</v>
      </c>
      <c r="J298" s="728" t="s">
        <v>18</v>
      </c>
      <c r="K298" s="699" t="s">
        <v>147</v>
      </c>
      <c r="L298" s="347" t="s">
        <v>20</v>
      </c>
      <c r="M298" s="687" t="s">
        <v>2045</v>
      </c>
      <c r="N298" s="684"/>
      <c r="O298" s="203"/>
      <c r="P298" s="203"/>
      <c r="Q298" s="203"/>
      <c r="R298" s="203"/>
      <c r="S298" s="203"/>
      <c r="T298" s="203"/>
      <c r="U298" s="203"/>
    </row>
    <row r="299" hidden="1" spans="1:21">
      <c r="A299" s="687" t="s">
        <v>400</v>
      </c>
      <c r="B299" s="672" t="s">
        <v>2217</v>
      </c>
      <c r="C299" s="674" t="s">
        <v>2040</v>
      </c>
      <c r="D299" s="313">
        <v>54</v>
      </c>
      <c r="E299" s="720" t="s">
        <v>2234</v>
      </c>
      <c r="F299" s="675"/>
      <c r="G299" s="675">
        <f>VLOOKUP(CLEAN(SUBSTITUTE(TRIM(MID(E:E,FIND("/",E:E)+1,LEN(E:E)))," ","")),'Customs Decl. &amp; Local Delivery'!D:I,6,0)</f>
        <v>45744</v>
      </c>
      <c r="H299" s="676">
        <f>VLOOKUP(CLEAN(SUBSTITUTE(TRIM(MID(E:E,FIND("/",E:E)+1,LEN(E:E)))," ","")),'Customs Decl. &amp; Local Delivery'!D:J,7,0)</f>
        <v>45765</v>
      </c>
      <c r="I299" s="723" t="s">
        <v>2235</v>
      </c>
      <c r="J299" s="718" t="s">
        <v>18</v>
      </c>
      <c r="K299" s="699" t="s">
        <v>147</v>
      </c>
      <c r="L299" s="725" t="s">
        <v>20</v>
      </c>
      <c r="M299" s="687" t="s">
        <v>2236</v>
      </c>
      <c r="N299" s="684"/>
      <c r="O299" s="203"/>
      <c r="P299" s="203"/>
      <c r="Q299" s="203"/>
      <c r="R299" s="203"/>
      <c r="S299" s="203"/>
      <c r="T299" s="203"/>
      <c r="U299" s="203"/>
    </row>
    <row r="300" hidden="1" spans="1:21">
      <c r="A300" s="687" t="s">
        <v>400</v>
      </c>
      <c r="B300" s="672" t="s">
        <v>2217</v>
      </c>
      <c r="C300" s="674" t="s">
        <v>2221</v>
      </c>
      <c r="D300" s="313">
        <v>98</v>
      </c>
      <c r="E300" s="281"/>
      <c r="F300" s="675"/>
      <c r="G300" s="675">
        <f>G299</f>
        <v>45744</v>
      </c>
      <c r="H300" s="676">
        <f>H299</f>
        <v>45765</v>
      </c>
      <c r="I300" s="724" t="s">
        <v>2235</v>
      </c>
      <c r="J300" s="718" t="s">
        <v>18</v>
      </c>
      <c r="K300" s="699" t="s">
        <v>147</v>
      </c>
      <c r="L300" s="347" t="s">
        <v>20</v>
      </c>
      <c r="M300" s="687" t="s">
        <v>2045</v>
      </c>
      <c r="N300" s="684"/>
      <c r="O300" s="203"/>
      <c r="P300" s="203"/>
      <c r="Q300" s="203"/>
      <c r="R300" s="203"/>
      <c r="S300" s="203"/>
      <c r="T300" s="203"/>
      <c r="U300" s="203"/>
    </row>
    <row r="301" hidden="1" spans="1:21">
      <c r="A301" s="687" t="s">
        <v>400</v>
      </c>
      <c r="B301" s="672" t="s">
        <v>2217</v>
      </c>
      <c r="C301" s="674" t="s">
        <v>2046</v>
      </c>
      <c r="D301" s="313">
        <v>20</v>
      </c>
      <c r="E301" s="281"/>
      <c r="F301" s="675"/>
      <c r="G301" s="675">
        <f>G300</f>
        <v>45744</v>
      </c>
      <c r="H301" s="676">
        <f>H300</f>
        <v>45765</v>
      </c>
      <c r="I301" s="723" t="s">
        <v>2235</v>
      </c>
      <c r="J301" s="718" t="s">
        <v>18</v>
      </c>
      <c r="K301" s="699" t="s">
        <v>147</v>
      </c>
      <c r="L301" s="347" t="s">
        <v>20</v>
      </c>
      <c r="M301" s="687" t="s">
        <v>2045</v>
      </c>
      <c r="N301" s="684"/>
      <c r="O301" s="203"/>
      <c r="P301" s="203"/>
      <c r="Q301" s="203"/>
      <c r="R301" s="203"/>
      <c r="S301" s="203"/>
      <c r="T301" s="203"/>
      <c r="U301" s="203"/>
    </row>
    <row r="302" hidden="1" spans="1:21">
      <c r="A302" s="687" t="s">
        <v>400</v>
      </c>
      <c r="B302" s="672" t="s">
        <v>2217</v>
      </c>
      <c r="C302" s="674" t="s">
        <v>2056</v>
      </c>
      <c r="D302" s="313">
        <v>47</v>
      </c>
      <c r="E302" s="281"/>
      <c r="F302" s="675"/>
      <c r="G302" s="675">
        <f>G301</f>
        <v>45744</v>
      </c>
      <c r="H302" s="676">
        <f>H301</f>
        <v>45765</v>
      </c>
      <c r="I302" s="723" t="s">
        <v>2235</v>
      </c>
      <c r="J302" s="718" t="s">
        <v>18</v>
      </c>
      <c r="K302" s="699" t="s">
        <v>147</v>
      </c>
      <c r="L302" s="347" t="s">
        <v>20</v>
      </c>
      <c r="M302" s="687" t="s">
        <v>2045</v>
      </c>
      <c r="N302" s="684"/>
      <c r="O302" s="203"/>
      <c r="P302" s="203"/>
      <c r="Q302" s="203"/>
      <c r="R302" s="203"/>
      <c r="S302" s="203"/>
      <c r="T302" s="203"/>
      <c r="U302" s="203"/>
    </row>
    <row r="303" hidden="1" spans="1:21">
      <c r="A303" s="687" t="s">
        <v>400</v>
      </c>
      <c r="B303" s="672" t="s">
        <v>2217</v>
      </c>
      <c r="C303" s="674" t="s">
        <v>2040</v>
      </c>
      <c r="D303" s="313">
        <v>54</v>
      </c>
      <c r="E303" s="720" t="s">
        <v>2237</v>
      </c>
      <c r="F303" s="675"/>
      <c r="G303" s="675">
        <f>VLOOKUP(CLEAN(SUBSTITUTE(TRIM(MID(E:E,FIND("/",E:E)+1,LEN(E:E)))," ","")),'Customs Decl. &amp; Local Delivery'!D:I,6,0)</f>
        <v>45744</v>
      </c>
      <c r="H303" s="676">
        <f>VLOOKUP(CLEAN(SUBSTITUTE(TRIM(MID(E:E,FIND("/",E:E)+1,LEN(E:E)))," ","")),'Customs Decl. &amp; Local Delivery'!D:J,7,0)</f>
        <v>45765</v>
      </c>
      <c r="I303" s="723" t="s">
        <v>2238</v>
      </c>
      <c r="J303" s="718" t="s">
        <v>18</v>
      </c>
      <c r="K303" s="699" t="s">
        <v>147</v>
      </c>
      <c r="L303" s="725" t="s">
        <v>20</v>
      </c>
      <c r="M303" s="687" t="s">
        <v>2239</v>
      </c>
      <c r="N303" s="684"/>
      <c r="O303" s="203"/>
      <c r="P303" s="203"/>
      <c r="Q303" s="203"/>
      <c r="R303" s="203"/>
      <c r="S303" s="203"/>
      <c r="T303" s="203"/>
      <c r="U303" s="203"/>
    </row>
    <row r="304" hidden="1" spans="1:21">
      <c r="A304" s="687" t="s">
        <v>400</v>
      </c>
      <c r="B304" s="672" t="s">
        <v>2217</v>
      </c>
      <c r="C304" s="674" t="s">
        <v>2221</v>
      </c>
      <c r="D304" s="313">
        <v>98</v>
      </c>
      <c r="E304" s="281"/>
      <c r="F304" s="675"/>
      <c r="G304" s="675">
        <f>G303</f>
        <v>45744</v>
      </c>
      <c r="H304" s="676">
        <f>H303</f>
        <v>45765</v>
      </c>
      <c r="I304" s="724" t="s">
        <v>2238</v>
      </c>
      <c r="J304" s="718" t="s">
        <v>18</v>
      </c>
      <c r="K304" s="699" t="s">
        <v>147</v>
      </c>
      <c r="L304" s="347" t="s">
        <v>20</v>
      </c>
      <c r="M304" s="687" t="s">
        <v>2045</v>
      </c>
      <c r="N304" s="684"/>
      <c r="O304" s="203"/>
      <c r="P304" s="203"/>
      <c r="Q304" s="203"/>
      <c r="R304" s="203"/>
      <c r="S304" s="203"/>
      <c r="T304" s="203"/>
      <c r="U304" s="203"/>
    </row>
    <row r="305" hidden="1" spans="1:21">
      <c r="A305" s="687" t="s">
        <v>400</v>
      </c>
      <c r="B305" s="672" t="s">
        <v>2217</v>
      </c>
      <c r="C305" s="674" t="s">
        <v>2046</v>
      </c>
      <c r="D305" s="313">
        <v>20</v>
      </c>
      <c r="E305" s="281"/>
      <c r="F305" s="675"/>
      <c r="G305" s="675">
        <f>G304</f>
        <v>45744</v>
      </c>
      <c r="H305" s="676">
        <f>H304</f>
        <v>45765</v>
      </c>
      <c r="I305" s="723" t="s">
        <v>2238</v>
      </c>
      <c r="J305" s="718" t="s">
        <v>18</v>
      </c>
      <c r="K305" s="699" t="s">
        <v>147</v>
      </c>
      <c r="L305" s="347" t="s">
        <v>20</v>
      </c>
      <c r="M305" s="687" t="s">
        <v>2045</v>
      </c>
      <c r="N305" s="684"/>
      <c r="O305" s="203"/>
      <c r="P305" s="203"/>
      <c r="Q305" s="203"/>
      <c r="R305" s="203"/>
      <c r="S305" s="203"/>
      <c r="T305" s="203"/>
      <c r="U305" s="203"/>
    </row>
    <row r="306" hidden="1" spans="1:21">
      <c r="A306" s="687" t="s">
        <v>400</v>
      </c>
      <c r="B306" s="672" t="s">
        <v>2217</v>
      </c>
      <c r="C306" s="674" t="s">
        <v>2056</v>
      </c>
      <c r="D306" s="313">
        <v>47</v>
      </c>
      <c r="E306" s="281"/>
      <c r="F306" s="675"/>
      <c r="G306" s="675">
        <f>G305</f>
        <v>45744</v>
      </c>
      <c r="H306" s="676">
        <f>H305</f>
        <v>45765</v>
      </c>
      <c r="I306" s="723" t="s">
        <v>2238</v>
      </c>
      <c r="J306" s="718" t="s">
        <v>18</v>
      </c>
      <c r="K306" s="699" t="s">
        <v>147</v>
      </c>
      <c r="L306" s="347" t="s">
        <v>20</v>
      </c>
      <c r="M306" s="687" t="s">
        <v>2045</v>
      </c>
      <c r="N306" s="684"/>
      <c r="O306" s="203"/>
      <c r="P306" s="203"/>
      <c r="Q306" s="203"/>
      <c r="R306" s="203"/>
      <c r="S306" s="203"/>
      <c r="T306" s="203"/>
      <c r="U306" s="203"/>
    </row>
    <row r="307" hidden="1" spans="1:21">
      <c r="A307" s="687" t="s">
        <v>400</v>
      </c>
      <c r="B307" s="672" t="s">
        <v>2217</v>
      </c>
      <c r="C307" s="674" t="s">
        <v>2040</v>
      </c>
      <c r="D307" s="313">
        <v>54</v>
      </c>
      <c r="E307" s="720" t="s">
        <v>2240</v>
      </c>
      <c r="F307" s="675"/>
      <c r="G307" s="675">
        <f>VLOOKUP(CLEAN(SUBSTITUTE(TRIM(MID(E:E,FIND("/",E:E)+1,LEN(E:E)))," ","")),'Customs Decl. &amp; Local Delivery'!D:I,6,0)</f>
        <v>45744</v>
      </c>
      <c r="H307" s="676">
        <f>VLOOKUP(CLEAN(SUBSTITUTE(TRIM(MID(E:E,FIND("/",E:E)+1,LEN(E:E)))," ","")),'Customs Decl. &amp; Local Delivery'!D:J,7,0)</f>
        <v>45765</v>
      </c>
      <c r="I307" s="723" t="s">
        <v>2241</v>
      </c>
      <c r="J307" s="718" t="s">
        <v>18</v>
      </c>
      <c r="K307" s="699" t="s">
        <v>147</v>
      </c>
      <c r="L307" s="347" t="s">
        <v>20</v>
      </c>
      <c r="M307" s="687" t="s">
        <v>2242</v>
      </c>
      <c r="N307" s="684"/>
      <c r="O307" s="203"/>
      <c r="P307" s="203"/>
      <c r="Q307" s="203"/>
      <c r="R307" s="203"/>
      <c r="S307" s="203"/>
      <c r="T307" s="203"/>
      <c r="U307" s="203"/>
    </row>
    <row r="308" hidden="1" spans="1:21">
      <c r="A308" s="687" t="s">
        <v>400</v>
      </c>
      <c r="B308" s="672" t="s">
        <v>2217</v>
      </c>
      <c r="C308" s="674" t="s">
        <v>2221</v>
      </c>
      <c r="D308" s="313">
        <v>98</v>
      </c>
      <c r="E308" s="281"/>
      <c r="F308" s="675"/>
      <c r="G308" s="675">
        <f>G307</f>
        <v>45744</v>
      </c>
      <c r="H308" s="676">
        <f>H307</f>
        <v>45765</v>
      </c>
      <c r="I308" s="723" t="s">
        <v>2241</v>
      </c>
      <c r="J308" s="718" t="s">
        <v>18</v>
      </c>
      <c r="K308" s="699" t="s">
        <v>147</v>
      </c>
      <c r="L308" s="347" t="s">
        <v>20</v>
      </c>
      <c r="M308" s="687" t="s">
        <v>2045</v>
      </c>
      <c r="N308" s="684"/>
      <c r="O308" s="203"/>
      <c r="P308" s="203"/>
      <c r="Q308" s="203"/>
      <c r="R308" s="203"/>
      <c r="S308" s="203"/>
      <c r="T308" s="203"/>
      <c r="U308" s="203"/>
    </row>
    <row r="309" hidden="1" spans="1:21">
      <c r="A309" s="687" t="s">
        <v>400</v>
      </c>
      <c r="B309" s="672" t="s">
        <v>2217</v>
      </c>
      <c r="C309" s="674" t="s">
        <v>2046</v>
      </c>
      <c r="D309" s="313">
        <v>20</v>
      </c>
      <c r="E309" s="281"/>
      <c r="F309" s="675"/>
      <c r="G309" s="675">
        <f>G308</f>
        <v>45744</v>
      </c>
      <c r="H309" s="676">
        <f>H308</f>
        <v>45765</v>
      </c>
      <c r="I309" s="723" t="s">
        <v>2241</v>
      </c>
      <c r="J309" s="718" t="s">
        <v>18</v>
      </c>
      <c r="K309" s="699" t="s">
        <v>147</v>
      </c>
      <c r="L309" s="347" t="s">
        <v>20</v>
      </c>
      <c r="M309" s="687" t="s">
        <v>2045</v>
      </c>
      <c r="N309" s="684"/>
      <c r="O309" s="203"/>
      <c r="P309" s="203"/>
      <c r="Q309" s="203"/>
      <c r="R309" s="203"/>
      <c r="S309" s="203"/>
      <c r="T309" s="203"/>
      <c r="U309" s="203"/>
    </row>
    <row r="310" hidden="1" spans="1:21">
      <c r="A310" s="687" t="s">
        <v>400</v>
      </c>
      <c r="B310" s="672" t="s">
        <v>2217</v>
      </c>
      <c r="C310" s="674" t="s">
        <v>2056</v>
      </c>
      <c r="D310" s="313">
        <v>47</v>
      </c>
      <c r="E310" s="281"/>
      <c r="F310" s="675"/>
      <c r="G310" s="675">
        <f>G309</f>
        <v>45744</v>
      </c>
      <c r="H310" s="676">
        <f>H309</f>
        <v>45765</v>
      </c>
      <c r="I310" s="724" t="s">
        <v>2241</v>
      </c>
      <c r="J310" s="718" t="s">
        <v>18</v>
      </c>
      <c r="K310" s="699" t="s">
        <v>147</v>
      </c>
      <c r="L310" s="347" t="s">
        <v>20</v>
      </c>
      <c r="M310" s="687" t="s">
        <v>2045</v>
      </c>
      <c r="N310" s="684"/>
      <c r="O310" s="203"/>
      <c r="P310" s="203"/>
      <c r="Q310" s="203"/>
      <c r="R310" s="203"/>
      <c r="S310" s="203"/>
      <c r="T310" s="203"/>
      <c r="U310" s="203"/>
    </row>
    <row r="311" hidden="1" spans="1:21">
      <c r="A311" s="687" t="s">
        <v>400</v>
      </c>
      <c r="B311" s="672" t="s">
        <v>2217</v>
      </c>
      <c r="C311" s="674" t="s">
        <v>2040</v>
      </c>
      <c r="D311" s="313">
        <v>54</v>
      </c>
      <c r="E311" s="720" t="s">
        <v>2243</v>
      </c>
      <c r="F311" s="675"/>
      <c r="G311" s="675">
        <f>VLOOKUP(CLEAN(SUBSTITUTE(TRIM(MID(E:E,FIND("/",E:E)+1,LEN(E:E)))," ","")),'Customs Decl. &amp; Local Delivery'!D:I,6,0)</f>
        <v>45744</v>
      </c>
      <c r="H311" s="676">
        <f>VLOOKUP(CLEAN(SUBSTITUTE(TRIM(MID(E:E,FIND("/",E:E)+1,LEN(E:E)))," ","")),'Customs Decl. &amp; Local Delivery'!D:J,7,0)</f>
        <v>45765</v>
      </c>
      <c r="I311" s="723" t="s">
        <v>2244</v>
      </c>
      <c r="J311" s="718" t="s">
        <v>18</v>
      </c>
      <c r="K311" s="699" t="s">
        <v>147</v>
      </c>
      <c r="L311" s="347" t="s">
        <v>20</v>
      </c>
      <c r="M311" s="687" t="s">
        <v>2245</v>
      </c>
      <c r="N311" s="684"/>
      <c r="O311" s="203"/>
      <c r="P311" s="203"/>
      <c r="Q311" s="203"/>
      <c r="R311" s="203"/>
      <c r="S311" s="203"/>
      <c r="T311" s="203"/>
      <c r="U311" s="203"/>
    </row>
    <row r="312" hidden="1" spans="1:21">
      <c r="A312" s="687" t="s">
        <v>400</v>
      </c>
      <c r="B312" s="672" t="s">
        <v>2217</v>
      </c>
      <c r="C312" s="674" t="s">
        <v>2221</v>
      </c>
      <c r="D312" s="313">
        <v>98</v>
      </c>
      <c r="E312" s="281"/>
      <c r="F312" s="675"/>
      <c r="G312" s="675">
        <f>G311</f>
        <v>45744</v>
      </c>
      <c r="H312" s="676">
        <f>H311</f>
        <v>45765</v>
      </c>
      <c r="I312" s="724" t="s">
        <v>2244</v>
      </c>
      <c r="J312" s="718" t="s">
        <v>18</v>
      </c>
      <c r="K312" s="699" t="s">
        <v>147</v>
      </c>
      <c r="L312" s="347" t="s">
        <v>20</v>
      </c>
      <c r="M312" s="687" t="s">
        <v>2045</v>
      </c>
      <c r="N312" s="684"/>
      <c r="O312" s="203"/>
      <c r="P312" s="203"/>
      <c r="Q312" s="203"/>
      <c r="R312" s="203"/>
      <c r="S312" s="203"/>
      <c r="T312" s="203"/>
      <c r="U312" s="203"/>
    </row>
    <row r="313" hidden="1" spans="1:21">
      <c r="A313" s="687" t="s">
        <v>400</v>
      </c>
      <c r="B313" s="672" t="s">
        <v>2217</v>
      </c>
      <c r="C313" s="674" t="s">
        <v>2046</v>
      </c>
      <c r="D313" s="313">
        <v>20</v>
      </c>
      <c r="E313" s="281"/>
      <c r="F313" s="675"/>
      <c r="G313" s="675">
        <f>G312</f>
        <v>45744</v>
      </c>
      <c r="H313" s="676">
        <f>H312</f>
        <v>45765</v>
      </c>
      <c r="I313" s="723" t="s">
        <v>2244</v>
      </c>
      <c r="J313" s="718" t="s">
        <v>18</v>
      </c>
      <c r="K313" s="699" t="s">
        <v>147</v>
      </c>
      <c r="L313" s="347" t="s">
        <v>20</v>
      </c>
      <c r="M313" s="687" t="s">
        <v>2045</v>
      </c>
      <c r="N313" s="684"/>
      <c r="O313" s="203"/>
      <c r="P313" s="203"/>
      <c r="Q313" s="203"/>
      <c r="R313" s="203"/>
      <c r="S313" s="203"/>
      <c r="T313" s="203"/>
      <c r="U313" s="203"/>
    </row>
    <row r="314" hidden="1" spans="1:21">
      <c r="A314" s="687" t="s">
        <v>400</v>
      </c>
      <c r="B314" s="672" t="s">
        <v>2217</v>
      </c>
      <c r="C314" s="674" t="s">
        <v>2056</v>
      </c>
      <c r="D314" s="313">
        <v>47</v>
      </c>
      <c r="E314" s="281"/>
      <c r="F314" s="675"/>
      <c r="G314" s="675">
        <f>G313</f>
        <v>45744</v>
      </c>
      <c r="H314" s="676">
        <f>H313</f>
        <v>45765</v>
      </c>
      <c r="I314" s="723" t="s">
        <v>2244</v>
      </c>
      <c r="J314" s="718" t="s">
        <v>18</v>
      </c>
      <c r="K314" s="699" t="s">
        <v>147</v>
      </c>
      <c r="L314" s="347" t="s">
        <v>20</v>
      </c>
      <c r="M314" s="687" t="s">
        <v>2045</v>
      </c>
      <c r="N314" s="684"/>
      <c r="O314" s="203"/>
      <c r="P314" s="203"/>
      <c r="Q314" s="203"/>
      <c r="R314" s="203"/>
      <c r="S314" s="203"/>
      <c r="T314" s="203"/>
      <c r="U314" s="203"/>
    </row>
    <row r="315" ht="15.4" hidden="1" customHeight="1" spans="1:21">
      <c r="A315" s="690" t="s">
        <v>2038</v>
      </c>
      <c r="B315" s="696" t="s">
        <v>2039</v>
      </c>
      <c r="C315" s="674" t="s">
        <v>2087</v>
      </c>
      <c r="D315" s="697">
        <v>36</v>
      </c>
      <c r="E315" s="720" t="s">
        <v>2246</v>
      </c>
      <c r="F315" s="675"/>
      <c r="G315" s="675">
        <f>VLOOKUP(CLEAN(SUBSTITUTE(TRIM(MID(E:E,FIND("/",E:E)+1,LEN(E:E)))," ","")),'Customs Decl. &amp; Local Delivery'!D:I,6,0)</f>
        <v>45744</v>
      </c>
      <c r="H315" s="676">
        <f>VLOOKUP(CLEAN(SUBSTITUTE(TRIM(MID(E:E,FIND("/",E:E)+1,LEN(E:E)))," ","")),'Customs Decl. &amp; Local Delivery'!D:J,7,0)</f>
        <v>45764</v>
      </c>
      <c r="I315" s="723" t="s">
        <v>2247</v>
      </c>
      <c r="J315" s="714" t="s">
        <v>18</v>
      </c>
      <c r="K315" s="691" t="s">
        <v>2248</v>
      </c>
      <c r="L315" s="347" t="s">
        <v>20</v>
      </c>
      <c r="M315" s="691" t="s">
        <v>2249</v>
      </c>
      <c r="N315" s="688"/>
      <c r="O315" s="512"/>
      <c r="P315" s="512"/>
      <c r="Q315" s="512"/>
      <c r="R315" s="512"/>
      <c r="S315" s="512"/>
      <c r="T315" s="512"/>
      <c r="U315" s="512"/>
    </row>
    <row r="316" ht="15.4" hidden="1" customHeight="1" spans="1:21">
      <c r="A316" s="690" t="s">
        <v>2038</v>
      </c>
      <c r="B316" s="696" t="s">
        <v>2039</v>
      </c>
      <c r="C316" s="671" t="s">
        <v>2090</v>
      </c>
      <c r="D316" s="697">
        <v>5</v>
      </c>
      <c r="E316" s="281"/>
      <c r="F316" s="675"/>
      <c r="G316" s="675">
        <f>G315</f>
        <v>45744</v>
      </c>
      <c r="H316" s="676">
        <f>H315</f>
        <v>45764</v>
      </c>
      <c r="I316" s="723" t="s">
        <v>2247</v>
      </c>
      <c r="J316" s="714" t="s">
        <v>18</v>
      </c>
      <c r="K316" s="690" t="s">
        <v>2248</v>
      </c>
      <c r="L316" s="347" t="s">
        <v>20</v>
      </c>
      <c r="M316" s="690" t="s">
        <v>2091</v>
      </c>
      <c r="N316" s="688"/>
      <c r="O316" s="512"/>
      <c r="P316" s="512"/>
      <c r="Q316" s="512"/>
      <c r="R316" s="512"/>
      <c r="S316" s="512"/>
      <c r="T316" s="512"/>
      <c r="U316" s="512"/>
    </row>
    <row r="317" ht="15.4" hidden="1" customHeight="1" spans="1:21">
      <c r="A317" s="690" t="s">
        <v>2038</v>
      </c>
      <c r="B317" s="696" t="s">
        <v>2039</v>
      </c>
      <c r="C317" s="671" t="s">
        <v>2092</v>
      </c>
      <c r="D317" s="697">
        <v>60</v>
      </c>
      <c r="E317" s="281"/>
      <c r="F317" s="675"/>
      <c r="G317" s="675">
        <f>G316</f>
        <v>45744</v>
      </c>
      <c r="H317" s="676">
        <f>H316</f>
        <v>45764</v>
      </c>
      <c r="I317" s="724" t="s">
        <v>2247</v>
      </c>
      <c r="J317" s="714" t="s">
        <v>18</v>
      </c>
      <c r="K317" s="690" t="s">
        <v>2248</v>
      </c>
      <c r="L317" s="347" t="s">
        <v>20</v>
      </c>
      <c r="M317" s="690" t="s">
        <v>2091</v>
      </c>
      <c r="N317" s="688"/>
      <c r="O317" s="512"/>
      <c r="P317" s="512"/>
      <c r="Q317" s="512"/>
      <c r="R317" s="512"/>
      <c r="S317" s="512"/>
      <c r="T317" s="512"/>
      <c r="U317" s="512"/>
    </row>
    <row r="318" ht="15.4" hidden="1" customHeight="1" spans="1:21">
      <c r="A318" s="690" t="s">
        <v>2038</v>
      </c>
      <c r="B318" s="696" t="s">
        <v>2039</v>
      </c>
      <c r="C318" s="671" t="s">
        <v>2093</v>
      </c>
      <c r="D318" s="697">
        <v>5</v>
      </c>
      <c r="E318" s="281"/>
      <c r="F318" s="675"/>
      <c r="G318" s="675">
        <f>G317</f>
        <v>45744</v>
      </c>
      <c r="H318" s="676">
        <f>H317</f>
        <v>45764</v>
      </c>
      <c r="I318" s="724" t="s">
        <v>2247</v>
      </c>
      <c r="J318" s="714" t="s">
        <v>18</v>
      </c>
      <c r="K318" s="690" t="s">
        <v>2248</v>
      </c>
      <c r="L318" s="347" t="s">
        <v>20</v>
      </c>
      <c r="M318" s="690" t="s">
        <v>2091</v>
      </c>
      <c r="N318" s="688"/>
      <c r="O318" s="512"/>
      <c r="P318" s="512"/>
      <c r="Q318" s="512"/>
      <c r="R318" s="512"/>
      <c r="S318" s="512"/>
      <c r="T318" s="512"/>
      <c r="U318" s="512"/>
    </row>
    <row r="319" ht="15.4" hidden="1" customHeight="1" spans="1:21">
      <c r="A319" s="690" t="s">
        <v>2038</v>
      </c>
      <c r="B319" s="696" t="s">
        <v>2039</v>
      </c>
      <c r="C319" s="671" t="s">
        <v>2094</v>
      </c>
      <c r="D319" s="697">
        <v>30</v>
      </c>
      <c r="E319" s="281"/>
      <c r="F319" s="675"/>
      <c r="G319" s="675">
        <f>G318</f>
        <v>45744</v>
      </c>
      <c r="H319" s="676">
        <f>H318</f>
        <v>45764</v>
      </c>
      <c r="I319" s="723" t="s">
        <v>2247</v>
      </c>
      <c r="J319" s="714" t="s">
        <v>18</v>
      </c>
      <c r="K319" s="690" t="s">
        <v>2248</v>
      </c>
      <c r="L319" s="347" t="s">
        <v>20</v>
      </c>
      <c r="M319" s="729" t="s">
        <v>2091</v>
      </c>
      <c r="N319" s="688"/>
      <c r="O319" s="512"/>
      <c r="P319" s="512"/>
      <c r="Q319" s="512"/>
      <c r="R319" s="512"/>
      <c r="S319" s="512"/>
      <c r="T319" s="512"/>
      <c r="U319" s="512"/>
    </row>
    <row r="320" ht="15.4" hidden="1" customHeight="1" spans="1:21">
      <c r="A320" s="690" t="s">
        <v>2038</v>
      </c>
      <c r="B320" s="696" t="s">
        <v>2039</v>
      </c>
      <c r="C320" s="671" t="s">
        <v>2095</v>
      </c>
      <c r="D320" s="697">
        <v>30</v>
      </c>
      <c r="E320" s="281"/>
      <c r="F320" s="675"/>
      <c r="G320" s="675">
        <f>G319</f>
        <v>45744</v>
      </c>
      <c r="H320" s="676">
        <f>H319</f>
        <v>45764</v>
      </c>
      <c r="I320" s="723" t="s">
        <v>2247</v>
      </c>
      <c r="J320" s="714" t="s">
        <v>18</v>
      </c>
      <c r="K320" s="690" t="s">
        <v>2248</v>
      </c>
      <c r="L320" s="347" t="s">
        <v>20</v>
      </c>
      <c r="M320" s="729" t="s">
        <v>2091</v>
      </c>
      <c r="N320" s="688"/>
      <c r="O320" s="512"/>
      <c r="P320" s="512"/>
      <c r="Q320" s="512"/>
      <c r="R320" s="512"/>
      <c r="S320" s="512"/>
      <c r="T320" s="512"/>
      <c r="U320" s="512"/>
    </row>
    <row r="321" s="659" customFormat="1" ht="15.4" hidden="1" customHeight="1" spans="1:21">
      <c r="A321" s="690" t="s">
        <v>2112</v>
      </c>
      <c r="B321" s="707" t="s">
        <v>2113</v>
      </c>
      <c r="C321" s="671" t="s">
        <v>2092</v>
      </c>
      <c r="D321" s="313">
        <v>50</v>
      </c>
      <c r="E321" s="720" t="s">
        <v>2250</v>
      </c>
      <c r="F321" s="675"/>
      <c r="G321" s="675">
        <f>VLOOKUP(CLEAN(SUBSTITUTE(TRIM(MID(E:E,FIND("/",E:E)+1,LEN(E:E)))," ","")),'Customs Decl. &amp; Local Delivery'!D:I,6,0)</f>
        <v>45746</v>
      </c>
      <c r="H321" s="676">
        <f>VLOOKUP(CLEAN(SUBSTITUTE(TRIM(MID(E:E,FIND("/",E:E)+1,LEN(E:E)))," ","")),'Customs Decl. &amp; Local Delivery'!D:J,7,0)</f>
        <v>45765</v>
      </c>
      <c r="I321" s="733" t="s">
        <v>2251</v>
      </c>
      <c r="J321" s="699" t="s">
        <v>18</v>
      </c>
      <c r="K321" s="699" t="s">
        <v>147</v>
      </c>
      <c r="L321" s="725" t="s">
        <v>20</v>
      </c>
      <c r="M321" s="691" t="s">
        <v>2252</v>
      </c>
      <c r="N321" s="684"/>
      <c r="O321" s="203"/>
      <c r="P321" s="203"/>
      <c r="Q321" s="203"/>
      <c r="R321" s="203"/>
      <c r="S321" s="203"/>
      <c r="T321" s="203"/>
      <c r="U321" s="203"/>
    </row>
    <row r="322" s="659" customFormat="1" ht="15.4" hidden="1" customHeight="1" spans="1:21">
      <c r="A322" s="690" t="s">
        <v>2038</v>
      </c>
      <c r="B322" s="696" t="s">
        <v>2039</v>
      </c>
      <c r="C322" s="671" t="s">
        <v>2140</v>
      </c>
      <c r="D322" s="250">
        <v>70</v>
      </c>
      <c r="E322" s="281"/>
      <c r="F322" s="675"/>
      <c r="G322" s="675">
        <f>G321</f>
        <v>45746</v>
      </c>
      <c r="H322" s="676">
        <f>H321</f>
        <v>45765</v>
      </c>
      <c r="I322" s="734" t="s">
        <v>2251</v>
      </c>
      <c r="J322" s="690" t="s">
        <v>18</v>
      </c>
      <c r="K322" s="690" t="s">
        <v>147</v>
      </c>
      <c r="L322" s="347" t="s">
        <v>20</v>
      </c>
      <c r="M322" s="690" t="s">
        <v>2253</v>
      </c>
      <c r="N322" s="684"/>
      <c r="O322" s="203"/>
      <c r="P322" s="203"/>
      <c r="Q322" s="203"/>
      <c r="R322" s="203"/>
      <c r="S322" s="203"/>
      <c r="T322" s="203"/>
      <c r="U322" s="203"/>
    </row>
    <row r="323" s="659" customFormat="1" ht="15.4" hidden="1" customHeight="1" spans="1:21">
      <c r="A323" s="690" t="s">
        <v>2038</v>
      </c>
      <c r="B323" s="696" t="s">
        <v>2039</v>
      </c>
      <c r="C323" s="671" t="s">
        <v>2114</v>
      </c>
      <c r="D323" s="250">
        <v>100</v>
      </c>
      <c r="E323" s="281"/>
      <c r="F323" s="675"/>
      <c r="G323" s="675">
        <f>G322</f>
        <v>45746</v>
      </c>
      <c r="H323" s="676">
        <f>H322</f>
        <v>45765</v>
      </c>
      <c r="I323" s="733" t="s">
        <v>2251</v>
      </c>
      <c r="J323" s="690" t="s">
        <v>18</v>
      </c>
      <c r="K323" s="690" t="s">
        <v>147</v>
      </c>
      <c r="L323" s="347" t="s">
        <v>20</v>
      </c>
      <c r="M323" s="690" t="s">
        <v>2253</v>
      </c>
      <c r="N323" s="684"/>
      <c r="O323" s="203"/>
      <c r="P323" s="203"/>
      <c r="Q323" s="203"/>
      <c r="R323" s="203"/>
      <c r="S323" s="203"/>
      <c r="T323" s="203"/>
      <c r="U323" s="203"/>
    </row>
    <row r="324" s="659" customFormat="1" ht="15.4" hidden="1" customHeight="1" spans="1:21">
      <c r="A324" s="690" t="s">
        <v>2112</v>
      </c>
      <c r="B324" s="707" t="s">
        <v>2113</v>
      </c>
      <c r="C324" s="671" t="s">
        <v>2140</v>
      </c>
      <c r="D324" s="250">
        <v>100</v>
      </c>
      <c r="E324" s="281"/>
      <c r="F324" s="675"/>
      <c r="G324" s="675">
        <f>G323</f>
        <v>45746</v>
      </c>
      <c r="H324" s="676">
        <f>H323</f>
        <v>45765</v>
      </c>
      <c r="I324" s="734" t="s">
        <v>2251</v>
      </c>
      <c r="J324" s="699" t="s">
        <v>18</v>
      </c>
      <c r="K324" s="699" t="s">
        <v>147</v>
      </c>
      <c r="L324" s="347" t="s">
        <v>20</v>
      </c>
      <c r="M324" s="690" t="s">
        <v>2254</v>
      </c>
      <c r="N324" s="684"/>
      <c r="O324" s="203"/>
      <c r="P324" s="203"/>
      <c r="Q324" s="203"/>
      <c r="R324" s="203"/>
      <c r="S324" s="203"/>
      <c r="T324" s="203"/>
      <c r="U324" s="203"/>
    </row>
    <row r="325" ht="15.4" hidden="1" customHeight="1" spans="1:21">
      <c r="A325" s="690" t="s">
        <v>2112</v>
      </c>
      <c r="B325" s="707" t="s">
        <v>2113</v>
      </c>
      <c r="C325" s="671" t="s">
        <v>2188</v>
      </c>
      <c r="D325" s="250">
        <v>25</v>
      </c>
      <c r="E325" s="281"/>
      <c r="F325" s="675"/>
      <c r="G325" s="675">
        <f>G324</f>
        <v>45746</v>
      </c>
      <c r="H325" s="676">
        <f>H324</f>
        <v>45765</v>
      </c>
      <c r="I325" s="734" t="s">
        <v>2251</v>
      </c>
      <c r="J325" s="699" t="s">
        <v>18</v>
      </c>
      <c r="K325" s="699" t="s">
        <v>147</v>
      </c>
      <c r="L325" s="347" t="s">
        <v>20</v>
      </c>
      <c r="M325" s="735" t="s">
        <v>2255</v>
      </c>
      <c r="N325" s="684"/>
      <c r="O325" s="203"/>
      <c r="P325" s="203"/>
      <c r="Q325" s="203"/>
      <c r="R325" s="203"/>
      <c r="S325" s="203"/>
      <c r="T325" s="203"/>
      <c r="U325" s="203"/>
    </row>
    <row r="326" hidden="1" spans="1:21">
      <c r="A326" s="687" t="s">
        <v>400</v>
      </c>
      <c r="B326" s="672" t="s">
        <v>2217</v>
      </c>
      <c r="C326" s="674" t="s">
        <v>2040</v>
      </c>
      <c r="D326" s="313">
        <v>54</v>
      </c>
      <c r="E326" s="720" t="s">
        <v>2256</v>
      </c>
      <c r="F326" s="675"/>
      <c r="G326" s="675">
        <f>VLOOKUP(CLEAN(SUBSTITUTE(TRIM(MID(E:E,FIND("/",E:E)+1,LEN(E:E)))," ","")),'Customs Decl. &amp; Local Delivery'!D:I,6,0)</f>
        <v>45750</v>
      </c>
      <c r="H326" s="676">
        <f>VLOOKUP(CLEAN(SUBSTITUTE(TRIM(MID(E:E,FIND("/",E:E)+1,LEN(E:E)))," ","")),'Customs Decl. &amp; Local Delivery'!D:J,7,0)</f>
        <v>45770</v>
      </c>
      <c r="I326" s="736" t="s">
        <v>2257</v>
      </c>
      <c r="J326" s="687" t="s">
        <v>18</v>
      </c>
      <c r="K326" s="690" t="s">
        <v>147</v>
      </c>
      <c r="L326" s="347" t="s">
        <v>20</v>
      </c>
      <c r="M326" s="687" t="s">
        <v>2258</v>
      </c>
      <c r="N326" s="684"/>
      <c r="O326" s="203"/>
      <c r="P326" s="203"/>
      <c r="Q326" s="203"/>
      <c r="R326" s="203"/>
      <c r="S326" s="203"/>
      <c r="T326" s="203"/>
      <c r="U326" s="203"/>
    </row>
    <row r="327" hidden="1" spans="1:21">
      <c r="A327" s="687" t="s">
        <v>400</v>
      </c>
      <c r="B327" s="672" t="s">
        <v>2217</v>
      </c>
      <c r="C327" s="674" t="s">
        <v>2046</v>
      </c>
      <c r="D327" s="313">
        <v>20</v>
      </c>
      <c r="E327" s="281"/>
      <c r="F327" s="675"/>
      <c r="G327" s="675">
        <f>G326</f>
        <v>45750</v>
      </c>
      <c r="H327" s="676">
        <f>H326</f>
        <v>45770</v>
      </c>
      <c r="I327" s="736" t="s">
        <v>2257</v>
      </c>
      <c r="J327" s="687" t="s">
        <v>18</v>
      </c>
      <c r="K327" s="690" t="s">
        <v>147</v>
      </c>
      <c r="L327" s="347" t="s">
        <v>20</v>
      </c>
      <c r="M327" s="687" t="s">
        <v>2045</v>
      </c>
      <c r="N327" s="684"/>
      <c r="O327" s="203"/>
      <c r="P327" s="203"/>
      <c r="Q327" s="203"/>
      <c r="R327" s="203"/>
      <c r="S327" s="203"/>
      <c r="T327" s="203"/>
      <c r="U327" s="203"/>
    </row>
    <row r="328" hidden="1" spans="1:21">
      <c r="A328" s="687" t="s">
        <v>400</v>
      </c>
      <c r="B328" s="672" t="s">
        <v>2217</v>
      </c>
      <c r="C328" s="674" t="s">
        <v>2056</v>
      </c>
      <c r="D328" s="730">
        <v>46</v>
      </c>
      <c r="E328" s="281"/>
      <c r="F328" s="675"/>
      <c r="G328" s="675">
        <f>G327</f>
        <v>45750</v>
      </c>
      <c r="H328" s="676">
        <f>H327</f>
        <v>45770</v>
      </c>
      <c r="I328" s="736" t="s">
        <v>2257</v>
      </c>
      <c r="J328" s="687" t="s">
        <v>18</v>
      </c>
      <c r="K328" s="690" t="s">
        <v>147</v>
      </c>
      <c r="L328" s="347" t="s">
        <v>20</v>
      </c>
      <c r="M328" s="687" t="s">
        <v>2045</v>
      </c>
      <c r="N328" s="684"/>
      <c r="O328" s="203"/>
      <c r="P328" s="203"/>
      <c r="Q328" s="203"/>
      <c r="R328" s="203"/>
      <c r="S328" s="203"/>
      <c r="T328" s="203"/>
      <c r="U328" s="203"/>
    </row>
    <row r="329" s="179" customFormat="1" ht="15.4" hidden="1" customHeight="1" spans="1:21">
      <c r="A329" s="671" t="s">
        <v>477</v>
      </c>
      <c r="B329" s="672" t="s">
        <v>2065</v>
      </c>
      <c r="C329" s="671" t="s">
        <v>2044</v>
      </c>
      <c r="D329" s="250">
        <v>15</v>
      </c>
      <c r="E329" s="281"/>
      <c r="F329" s="675"/>
      <c r="G329" s="675">
        <f>G328</f>
        <v>45750</v>
      </c>
      <c r="H329" s="676">
        <f>H328</f>
        <v>45770</v>
      </c>
      <c r="I329" s="736" t="s">
        <v>2257</v>
      </c>
      <c r="J329" s="671" t="s">
        <v>18</v>
      </c>
      <c r="K329" s="672" t="s">
        <v>147</v>
      </c>
      <c r="L329" s="347" t="s">
        <v>20</v>
      </c>
      <c r="M329" s="690" t="s">
        <v>2259</v>
      </c>
      <c r="N329" s="684"/>
      <c r="O329" s="203"/>
      <c r="P329" s="203"/>
      <c r="Q329" s="203"/>
      <c r="R329" s="203"/>
      <c r="S329" s="203"/>
      <c r="T329" s="203"/>
      <c r="U329" s="203"/>
    </row>
    <row r="330" ht="15.4" hidden="1" customHeight="1" spans="1:21">
      <c r="A330" s="687" t="s">
        <v>400</v>
      </c>
      <c r="B330" s="672" t="s">
        <v>2217</v>
      </c>
      <c r="C330" s="674" t="s">
        <v>2221</v>
      </c>
      <c r="D330" s="313">
        <f>98-15</f>
        <v>83</v>
      </c>
      <c r="E330" s="281"/>
      <c r="F330" s="675"/>
      <c r="G330" s="675">
        <f>G329</f>
        <v>45750</v>
      </c>
      <c r="H330" s="676">
        <f>H329</f>
        <v>45770</v>
      </c>
      <c r="I330" s="736" t="s">
        <v>2257</v>
      </c>
      <c r="J330" s="687" t="s">
        <v>18</v>
      </c>
      <c r="K330" s="690" t="s">
        <v>147</v>
      </c>
      <c r="L330" s="347" t="s">
        <v>20</v>
      </c>
      <c r="M330" s="687" t="s">
        <v>2045</v>
      </c>
      <c r="N330" s="684"/>
      <c r="O330" s="203"/>
      <c r="P330" s="203"/>
      <c r="Q330" s="203"/>
      <c r="R330" s="203"/>
      <c r="S330" s="203"/>
      <c r="T330" s="203"/>
      <c r="U330" s="203"/>
    </row>
    <row r="331" hidden="1" spans="1:21">
      <c r="A331" s="687" t="s">
        <v>400</v>
      </c>
      <c r="B331" s="672" t="s">
        <v>2217</v>
      </c>
      <c r="C331" s="674" t="s">
        <v>2040</v>
      </c>
      <c r="D331" s="313">
        <v>54</v>
      </c>
      <c r="E331" s="720" t="s">
        <v>2260</v>
      </c>
      <c r="F331" s="675"/>
      <c r="G331" s="675">
        <f>VLOOKUP(CLEAN(SUBSTITUTE(TRIM(MID(E:E,FIND("/",E:E)+1,LEN(E:E)))," ","")),'Customs Decl. &amp; Local Delivery'!D:I,6,0)</f>
        <v>45750</v>
      </c>
      <c r="H331" s="676">
        <f>VLOOKUP(CLEAN(SUBSTITUTE(TRIM(MID(E:E,FIND("/",E:E)+1,LEN(E:E)))," ","")),'Customs Decl. &amp; Local Delivery'!D:J,7,0)</f>
        <v>45770</v>
      </c>
      <c r="I331" s="736" t="s">
        <v>2261</v>
      </c>
      <c r="J331" s="687" t="s">
        <v>18</v>
      </c>
      <c r="K331" s="690" t="s">
        <v>147</v>
      </c>
      <c r="L331" s="347" t="s">
        <v>20</v>
      </c>
      <c r="M331" s="687" t="s">
        <v>2262</v>
      </c>
      <c r="N331" s="684"/>
      <c r="O331" s="203"/>
      <c r="P331" s="203"/>
      <c r="Q331" s="203"/>
      <c r="R331" s="203"/>
      <c r="S331" s="203"/>
      <c r="T331" s="203"/>
      <c r="U331" s="203"/>
    </row>
    <row r="332" hidden="1" spans="1:21">
      <c r="A332" s="687" t="s">
        <v>400</v>
      </c>
      <c r="B332" s="672" t="s">
        <v>2217</v>
      </c>
      <c r="C332" s="674" t="s">
        <v>2221</v>
      </c>
      <c r="D332" s="313">
        <v>98</v>
      </c>
      <c r="E332" s="281"/>
      <c r="F332" s="675"/>
      <c r="G332" s="675">
        <f>G331</f>
        <v>45750</v>
      </c>
      <c r="H332" s="676">
        <f>H331</f>
        <v>45770</v>
      </c>
      <c r="I332" s="736" t="s">
        <v>2261</v>
      </c>
      <c r="J332" s="687" t="s">
        <v>18</v>
      </c>
      <c r="K332" s="690" t="s">
        <v>147</v>
      </c>
      <c r="L332" s="347" t="s">
        <v>20</v>
      </c>
      <c r="M332" s="687" t="s">
        <v>2045</v>
      </c>
      <c r="N332" s="684"/>
      <c r="O332" s="203"/>
      <c r="P332" s="203"/>
      <c r="Q332" s="203"/>
      <c r="R332" s="203"/>
      <c r="S332" s="203"/>
      <c r="T332" s="203"/>
      <c r="U332" s="203"/>
    </row>
    <row r="333" hidden="1" spans="1:21">
      <c r="A333" s="687" t="s">
        <v>400</v>
      </c>
      <c r="B333" s="672" t="s">
        <v>2217</v>
      </c>
      <c r="C333" s="674" t="s">
        <v>2046</v>
      </c>
      <c r="D333" s="313">
        <v>20</v>
      </c>
      <c r="E333" s="281"/>
      <c r="F333" s="675"/>
      <c r="G333" s="675">
        <f>G332</f>
        <v>45750</v>
      </c>
      <c r="H333" s="676">
        <f>H332</f>
        <v>45770</v>
      </c>
      <c r="I333" s="736" t="s">
        <v>2261</v>
      </c>
      <c r="J333" s="687" t="s">
        <v>18</v>
      </c>
      <c r="K333" s="690" t="s">
        <v>147</v>
      </c>
      <c r="L333" s="347" t="s">
        <v>20</v>
      </c>
      <c r="M333" s="687" t="s">
        <v>2045</v>
      </c>
      <c r="N333" s="684"/>
      <c r="O333" s="203"/>
      <c r="P333" s="203"/>
      <c r="Q333" s="203"/>
      <c r="R333" s="203"/>
      <c r="S333" s="203"/>
      <c r="T333" s="203"/>
      <c r="U333" s="203"/>
    </row>
    <row r="334" ht="15.4" hidden="1" customHeight="1" spans="1:21">
      <c r="A334" s="671" t="s">
        <v>153</v>
      </c>
      <c r="B334" s="671" t="s">
        <v>2061</v>
      </c>
      <c r="C334" s="671" t="s">
        <v>2056</v>
      </c>
      <c r="D334" s="250">
        <v>3</v>
      </c>
      <c r="E334" s="281"/>
      <c r="F334" s="675"/>
      <c r="G334" s="675">
        <f>G333</f>
        <v>45750</v>
      </c>
      <c r="H334" s="676">
        <f>H333</f>
        <v>45770</v>
      </c>
      <c r="I334" s="736" t="s">
        <v>2261</v>
      </c>
      <c r="J334" s="671" t="s">
        <v>18</v>
      </c>
      <c r="K334" s="672" t="s">
        <v>147</v>
      </c>
      <c r="L334" s="347" t="s">
        <v>20</v>
      </c>
      <c r="M334" s="690" t="s">
        <v>2263</v>
      </c>
      <c r="N334" s="684"/>
      <c r="O334" s="203"/>
      <c r="P334" s="203"/>
      <c r="Q334" s="203"/>
      <c r="R334" s="203"/>
      <c r="S334" s="203"/>
      <c r="T334" s="203"/>
      <c r="U334" s="203"/>
    </row>
    <row r="335" ht="15.4" hidden="1" customHeight="1" spans="1:21">
      <c r="A335" s="671" t="s">
        <v>477</v>
      </c>
      <c r="B335" s="672" t="s">
        <v>2065</v>
      </c>
      <c r="C335" s="671" t="s">
        <v>2056</v>
      </c>
      <c r="D335" s="250">
        <v>2</v>
      </c>
      <c r="E335" s="281"/>
      <c r="F335" s="675"/>
      <c r="G335" s="675">
        <f>G334</f>
        <v>45750</v>
      </c>
      <c r="H335" s="676">
        <f>H334</f>
        <v>45770</v>
      </c>
      <c r="I335" s="736" t="s">
        <v>2261</v>
      </c>
      <c r="J335" s="671" t="s">
        <v>18</v>
      </c>
      <c r="K335" s="672" t="s">
        <v>147</v>
      </c>
      <c r="L335" s="347" t="s">
        <v>20</v>
      </c>
      <c r="M335" s="690" t="s">
        <v>2263</v>
      </c>
      <c r="N335" s="684"/>
      <c r="O335" s="203"/>
      <c r="P335" s="203"/>
      <c r="Q335" s="203"/>
      <c r="R335" s="203"/>
      <c r="S335" s="203"/>
      <c r="T335" s="203"/>
      <c r="U335" s="203"/>
    </row>
    <row r="336" ht="15.4" hidden="1" customHeight="1" spans="1:21">
      <c r="A336" s="687" t="s">
        <v>400</v>
      </c>
      <c r="B336" s="672" t="s">
        <v>2217</v>
      </c>
      <c r="C336" s="674" t="s">
        <v>2056</v>
      </c>
      <c r="D336" s="730">
        <v>42</v>
      </c>
      <c r="E336" s="281"/>
      <c r="F336" s="675"/>
      <c r="G336" s="675">
        <f>G335</f>
        <v>45750</v>
      </c>
      <c r="H336" s="676">
        <f>H335</f>
        <v>45770</v>
      </c>
      <c r="I336" s="736" t="s">
        <v>2261</v>
      </c>
      <c r="J336" s="687" t="s">
        <v>18</v>
      </c>
      <c r="K336" s="690" t="s">
        <v>147</v>
      </c>
      <c r="L336" s="347" t="s">
        <v>20</v>
      </c>
      <c r="M336" s="687" t="s">
        <v>2045</v>
      </c>
      <c r="N336" s="684"/>
      <c r="O336" s="203"/>
      <c r="P336" s="203"/>
      <c r="Q336" s="203"/>
      <c r="R336" s="203"/>
      <c r="S336" s="203"/>
      <c r="T336" s="203"/>
      <c r="U336" s="203"/>
    </row>
    <row r="337" hidden="1" spans="1:21">
      <c r="A337" s="687" t="s">
        <v>400</v>
      </c>
      <c r="B337" s="672" t="s">
        <v>2217</v>
      </c>
      <c r="C337" s="674" t="s">
        <v>2040</v>
      </c>
      <c r="D337" s="313">
        <v>54</v>
      </c>
      <c r="E337" s="720" t="s">
        <v>2264</v>
      </c>
      <c r="F337" s="675"/>
      <c r="G337" s="675">
        <f>VLOOKUP(CLEAN(SUBSTITUTE(TRIM(MID(E:E,FIND("/",E:E)+1,LEN(E:E)))," ","")),'Customs Decl. &amp; Local Delivery'!D:I,6,0)</f>
        <v>45750</v>
      </c>
      <c r="H337" s="676">
        <f>VLOOKUP(CLEAN(SUBSTITUTE(TRIM(MID(E:E,FIND("/",E:E)+1,LEN(E:E)))," ","")),'Customs Decl. &amp; Local Delivery'!D:J,7,0)</f>
        <v>45770</v>
      </c>
      <c r="I337" s="736" t="s">
        <v>2265</v>
      </c>
      <c r="J337" s="687" t="s">
        <v>18</v>
      </c>
      <c r="K337" s="690" t="s">
        <v>147</v>
      </c>
      <c r="L337" s="347" t="s">
        <v>20</v>
      </c>
      <c r="M337" s="687" t="s">
        <v>2266</v>
      </c>
      <c r="N337" s="684"/>
      <c r="O337" s="203"/>
      <c r="P337" s="203"/>
      <c r="Q337" s="203"/>
      <c r="R337" s="203"/>
      <c r="S337" s="203"/>
      <c r="T337" s="203"/>
      <c r="U337" s="203"/>
    </row>
    <row r="338" hidden="1" spans="1:21">
      <c r="A338" s="687" t="s">
        <v>400</v>
      </c>
      <c r="B338" s="672" t="s">
        <v>2217</v>
      </c>
      <c r="C338" s="674" t="s">
        <v>2221</v>
      </c>
      <c r="D338" s="313">
        <v>98</v>
      </c>
      <c r="E338" s="281"/>
      <c r="F338" s="675"/>
      <c r="G338" s="675">
        <f>G337</f>
        <v>45750</v>
      </c>
      <c r="H338" s="676">
        <f>H337</f>
        <v>45770</v>
      </c>
      <c r="I338" s="736" t="s">
        <v>2265</v>
      </c>
      <c r="J338" s="687" t="s">
        <v>18</v>
      </c>
      <c r="K338" s="690" t="s">
        <v>147</v>
      </c>
      <c r="L338" s="347" t="s">
        <v>20</v>
      </c>
      <c r="M338" s="687" t="s">
        <v>2045</v>
      </c>
      <c r="N338" s="684"/>
      <c r="O338" s="203"/>
      <c r="P338" s="203"/>
      <c r="Q338" s="203"/>
      <c r="R338" s="203"/>
      <c r="S338" s="203"/>
      <c r="T338" s="203"/>
      <c r="U338" s="203"/>
    </row>
    <row r="339" hidden="1" spans="1:21">
      <c r="A339" s="687" t="s">
        <v>400</v>
      </c>
      <c r="B339" s="672" t="s">
        <v>2217</v>
      </c>
      <c r="C339" s="674" t="s">
        <v>2046</v>
      </c>
      <c r="D339" s="313">
        <v>20</v>
      </c>
      <c r="E339" s="281"/>
      <c r="F339" s="675"/>
      <c r="G339" s="675">
        <f>G338</f>
        <v>45750</v>
      </c>
      <c r="H339" s="676">
        <f>H338</f>
        <v>45770</v>
      </c>
      <c r="I339" s="736" t="s">
        <v>2265</v>
      </c>
      <c r="J339" s="687" t="s">
        <v>18</v>
      </c>
      <c r="K339" s="690" t="s">
        <v>147</v>
      </c>
      <c r="L339" s="347" t="s">
        <v>20</v>
      </c>
      <c r="M339" s="687" t="s">
        <v>2045</v>
      </c>
      <c r="N339" s="684"/>
      <c r="O339" s="203"/>
      <c r="P339" s="203"/>
      <c r="Q339" s="203"/>
      <c r="R339" s="203"/>
      <c r="S339" s="203"/>
      <c r="T339" s="203"/>
      <c r="U339" s="203"/>
    </row>
    <row r="340" hidden="1" spans="1:21">
      <c r="A340" s="687" t="s">
        <v>400</v>
      </c>
      <c r="B340" s="672" t="s">
        <v>2217</v>
      </c>
      <c r="C340" s="674" t="s">
        <v>2056</v>
      </c>
      <c r="D340" s="313">
        <v>47</v>
      </c>
      <c r="E340" s="281"/>
      <c r="F340" s="675"/>
      <c r="G340" s="675">
        <f>G339</f>
        <v>45750</v>
      </c>
      <c r="H340" s="676">
        <f>H339</f>
        <v>45770</v>
      </c>
      <c r="I340" s="736" t="s">
        <v>2265</v>
      </c>
      <c r="J340" s="687" t="s">
        <v>18</v>
      </c>
      <c r="K340" s="690" t="s">
        <v>147</v>
      </c>
      <c r="L340" s="347" t="s">
        <v>20</v>
      </c>
      <c r="M340" s="687" t="s">
        <v>2045</v>
      </c>
      <c r="N340" s="684"/>
      <c r="O340" s="203"/>
      <c r="P340" s="203"/>
      <c r="Q340" s="203"/>
      <c r="R340" s="203"/>
      <c r="S340" s="203"/>
      <c r="T340" s="203"/>
      <c r="U340" s="203"/>
    </row>
    <row r="341" hidden="1" spans="1:21">
      <c r="A341" s="687" t="s">
        <v>400</v>
      </c>
      <c r="B341" s="672" t="s">
        <v>2217</v>
      </c>
      <c r="C341" s="674" t="s">
        <v>2040</v>
      </c>
      <c r="D341" s="313">
        <v>54</v>
      </c>
      <c r="E341" s="720" t="s">
        <v>2267</v>
      </c>
      <c r="F341" s="675"/>
      <c r="G341" s="675">
        <f>VLOOKUP(CLEAN(SUBSTITUTE(TRIM(MID(E:E,FIND("/",E:E)+1,LEN(E:E)))," ","")),'Customs Decl. &amp; Local Delivery'!D:I,6,0)</f>
        <v>45750</v>
      </c>
      <c r="H341" s="676">
        <f>VLOOKUP(CLEAN(SUBSTITUTE(TRIM(MID(E:E,FIND("/",E:E)+1,LEN(E:E)))," ","")),'Customs Decl. &amp; Local Delivery'!D:J,7,0)</f>
        <v>45770</v>
      </c>
      <c r="I341" s="736" t="s">
        <v>2268</v>
      </c>
      <c r="J341" s="687" t="s">
        <v>18</v>
      </c>
      <c r="K341" s="690" t="s">
        <v>147</v>
      </c>
      <c r="L341" s="725" t="s">
        <v>20</v>
      </c>
      <c r="M341" s="687" t="s">
        <v>2269</v>
      </c>
      <c r="N341" s="684"/>
      <c r="O341" s="203"/>
      <c r="P341" s="203"/>
      <c r="Q341" s="203"/>
      <c r="R341" s="203"/>
      <c r="S341" s="203"/>
      <c r="T341" s="203"/>
      <c r="U341" s="203"/>
    </row>
    <row r="342" hidden="1" spans="1:21">
      <c r="A342" s="687" t="s">
        <v>400</v>
      </c>
      <c r="B342" s="672" t="s">
        <v>2217</v>
      </c>
      <c r="C342" s="674" t="s">
        <v>2221</v>
      </c>
      <c r="D342" s="313">
        <v>98</v>
      </c>
      <c r="E342" s="281"/>
      <c r="F342" s="675"/>
      <c r="G342" s="675">
        <f>G341</f>
        <v>45750</v>
      </c>
      <c r="H342" s="676">
        <f>H341</f>
        <v>45770</v>
      </c>
      <c r="I342" s="736" t="s">
        <v>2268</v>
      </c>
      <c r="J342" s="687" t="s">
        <v>18</v>
      </c>
      <c r="K342" s="690" t="s">
        <v>147</v>
      </c>
      <c r="L342" s="347" t="s">
        <v>20</v>
      </c>
      <c r="M342" s="687" t="s">
        <v>2045</v>
      </c>
      <c r="N342" s="684"/>
      <c r="O342" s="203"/>
      <c r="P342" s="203"/>
      <c r="Q342" s="203"/>
      <c r="R342" s="203"/>
      <c r="S342" s="203"/>
      <c r="T342" s="203"/>
      <c r="U342" s="203"/>
    </row>
    <row r="343" hidden="1" spans="1:21">
      <c r="A343" s="687" t="s">
        <v>400</v>
      </c>
      <c r="B343" s="672" t="s">
        <v>2217</v>
      </c>
      <c r="C343" s="674" t="s">
        <v>2046</v>
      </c>
      <c r="D343" s="313">
        <v>20</v>
      </c>
      <c r="E343" s="281"/>
      <c r="F343" s="675"/>
      <c r="G343" s="675">
        <f>G342</f>
        <v>45750</v>
      </c>
      <c r="H343" s="676">
        <f>H342</f>
        <v>45770</v>
      </c>
      <c r="I343" s="736" t="s">
        <v>2268</v>
      </c>
      <c r="J343" s="687" t="s">
        <v>18</v>
      </c>
      <c r="K343" s="690" t="s">
        <v>147</v>
      </c>
      <c r="L343" s="347" t="s">
        <v>20</v>
      </c>
      <c r="M343" s="687" t="s">
        <v>2045</v>
      </c>
      <c r="N343" s="684"/>
      <c r="O343" s="203"/>
      <c r="P343" s="203"/>
      <c r="Q343" s="203"/>
      <c r="R343" s="203"/>
      <c r="S343" s="203"/>
      <c r="T343" s="203"/>
      <c r="U343" s="203"/>
    </row>
    <row r="344" hidden="1" spans="1:21">
      <c r="A344" s="687" t="s">
        <v>400</v>
      </c>
      <c r="B344" s="672" t="s">
        <v>2217</v>
      </c>
      <c r="C344" s="674" t="s">
        <v>2056</v>
      </c>
      <c r="D344" s="313">
        <v>47</v>
      </c>
      <c r="E344" s="281"/>
      <c r="F344" s="675"/>
      <c r="G344" s="675">
        <f>G343</f>
        <v>45750</v>
      </c>
      <c r="H344" s="676">
        <f>H343</f>
        <v>45770</v>
      </c>
      <c r="I344" s="736" t="s">
        <v>2268</v>
      </c>
      <c r="J344" s="687" t="s">
        <v>18</v>
      </c>
      <c r="K344" s="690" t="s">
        <v>147</v>
      </c>
      <c r="L344" s="347" t="s">
        <v>20</v>
      </c>
      <c r="M344" s="687" t="s">
        <v>2045</v>
      </c>
      <c r="N344" s="684"/>
      <c r="O344" s="203"/>
      <c r="P344" s="203"/>
      <c r="Q344" s="203"/>
      <c r="R344" s="203"/>
      <c r="S344" s="203"/>
      <c r="T344" s="203"/>
      <c r="U344" s="203"/>
    </row>
    <row r="345" hidden="1" spans="1:21">
      <c r="A345" s="687" t="s">
        <v>400</v>
      </c>
      <c r="B345" s="672" t="s">
        <v>2217</v>
      </c>
      <c r="C345" s="674" t="s">
        <v>2040</v>
      </c>
      <c r="D345" s="313">
        <v>54</v>
      </c>
      <c r="E345" s="720" t="s">
        <v>2270</v>
      </c>
      <c r="F345" s="675"/>
      <c r="G345" s="675">
        <f>VLOOKUP(CLEAN(SUBSTITUTE(TRIM(MID(E:E,FIND("/",E:E)+1,LEN(E:E)))," ","")),'Customs Decl. &amp; Local Delivery'!D:I,6,0)</f>
        <v>45750</v>
      </c>
      <c r="H345" s="676">
        <f>VLOOKUP(CLEAN(SUBSTITUTE(TRIM(MID(E:E,FIND("/",E:E)+1,LEN(E:E)))," ","")),'Customs Decl. &amp; Local Delivery'!D:J,7,0)</f>
        <v>45770</v>
      </c>
      <c r="I345" s="736" t="s">
        <v>2271</v>
      </c>
      <c r="J345" s="687" t="s">
        <v>18</v>
      </c>
      <c r="K345" s="690" t="s">
        <v>147</v>
      </c>
      <c r="L345" s="347" t="s">
        <v>20</v>
      </c>
      <c r="M345" s="687" t="s">
        <v>2272</v>
      </c>
      <c r="N345" s="684"/>
      <c r="O345" s="203"/>
      <c r="P345" s="203"/>
      <c r="Q345" s="203"/>
      <c r="R345" s="203"/>
      <c r="S345" s="203"/>
      <c r="T345" s="203"/>
      <c r="U345" s="203"/>
    </row>
    <row r="346" hidden="1" spans="1:21">
      <c r="A346" s="687" t="s">
        <v>400</v>
      </c>
      <c r="B346" s="672" t="s">
        <v>2217</v>
      </c>
      <c r="C346" s="674" t="s">
        <v>2221</v>
      </c>
      <c r="D346" s="313">
        <v>98</v>
      </c>
      <c r="E346" s="281"/>
      <c r="F346" s="675"/>
      <c r="G346" s="675">
        <f>G345</f>
        <v>45750</v>
      </c>
      <c r="H346" s="676">
        <f>H345</f>
        <v>45770</v>
      </c>
      <c r="I346" s="736" t="s">
        <v>2271</v>
      </c>
      <c r="J346" s="687" t="s">
        <v>18</v>
      </c>
      <c r="K346" s="690" t="s">
        <v>147</v>
      </c>
      <c r="L346" s="347" t="s">
        <v>20</v>
      </c>
      <c r="M346" s="687" t="s">
        <v>2045</v>
      </c>
      <c r="N346" s="684"/>
      <c r="O346" s="203"/>
      <c r="P346" s="203"/>
      <c r="Q346" s="203"/>
      <c r="R346" s="203"/>
      <c r="S346" s="203"/>
      <c r="T346" s="203"/>
      <c r="U346" s="203"/>
    </row>
    <row r="347" hidden="1" spans="1:21">
      <c r="A347" s="687" t="s">
        <v>400</v>
      </c>
      <c r="B347" s="672" t="s">
        <v>2217</v>
      </c>
      <c r="C347" s="674" t="s">
        <v>2046</v>
      </c>
      <c r="D347" s="313">
        <v>20</v>
      </c>
      <c r="E347" s="281"/>
      <c r="F347" s="675"/>
      <c r="G347" s="675">
        <f>G346</f>
        <v>45750</v>
      </c>
      <c r="H347" s="676">
        <f>H346</f>
        <v>45770</v>
      </c>
      <c r="I347" s="736" t="s">
        <v>2271</v>
      </c>
      <c r="J347" s="687" t="s">
        <v>18</v>
      </c>
      <c r="K347" s="690" t="s">
        <v>147</v>
      </c>
      <c r="L347" s="347" t="s">
        <v>20</v>
      </c>
      <c r="M347" s="687" t="s">
        <v>2045</v>
      </c>
      <c r="N347" s="684"/>
      <c r="O347" s="203"/>
      <c r="P347" s="203"/>
      <c r="Q347" s="203"/>
      <c r="R347" s="203"/>
      <c r="S347" s="203"/>
      <c r="T347" s="203"/>
      <c r="U347" s="203"/>
    </row>
    <row r="348" hidden="1" spans="1:21">
      <c r="A348" s="687" t="s">
        <v>400</v>
      </c>
      <c r="B348" s="672" t="s">
        <v>2217</v>
      </c>
      <c r="C348" s="674" t="s">
        <v>2056</v>
      </c>
      <c r="D348" s="313">
        <v>47</v>
      </c>
      <c r="E348" s="281"/>
      <c r="F348" s="675"/>
      <c r="G348" s="675">
        <f>G347</f>
        <v>45750</v>
      </c>
      <c r="H348" s="676">
        <f>H347</f>
        <v>45770</v>
      </c>
      <c r="I348" s="737" t="s">
        <v>2271</v>
      </c>
      <c r="J348" s="687" t="s">
        <v>18</v>
      </c>
      <c r="K348" s="690" t="s">
        <v>147</v>
      </c>
      <c r="L348" s="347" t="s">
        <v>20</v>
      </c>
      <c r="M348" s="687" t="s">
        <v>2045</v>
      </c>
      <c r="N348" s="684"/>
      <c r="O348" s="203"/>
      <c r="P348" s="203"/>
      <c r="Q348" s="203"/>
      <c r="R348" s="203"/>
      <c r="S348" s="203"/>
      <c r="T348" s="203"/>
      <c r="U348" s="203"/>
    </row>
    <row r="349" hidden="1" spans="1:21">
      <c r="A349" s="687" t="s">
        <v>400</v>
      </c>
      <c r="B349" s="672" t="s">
        <v>2217</v>
      </c>
      <c r="C349" s="674" t="s">
        <v>2040</v>
      </c>
      <c r="D349" s="313">
        <v>54</v>
      </c>
      <c r="E349" s="720" t="s">
        <v>2273</v>
      </c>
      <c r="F349" s="675"/>
      <c r="G349" s="675">
        <f>VLOOKUP(CLEAN(SUBSTITUTE(TRIM(MID(E:E,FIND("/",E:E)+1,LEN(E:E)))," ","")),'Customs Decl. &amp; Local Delivery'!D:I,6,0)</f>
        <v>45750</v>
      </c>
      <c r="H349" s="676">
        <f>VLOOKUP(CLEAN(SUBSTITUTE(TRIM(MID(E:E,FIND("/",E:E)+1,LEN(E:E)))," ","")),'Customs Decl. &amp; Local Delivery'!D:J,7,0)</f>
        <v>45770</v>
      </c>
      <c r="I349" s="736" t="s">
        <v>2274</v>
      </c>
      <c r="J349" s="687" t="s">
        <v>18</v>
      </c>
      <c r="K349" s="690" t="s">
        <v>147</v>
      </c>
      <c r="L349" s="347" t="s">
        <v>20</v>
      </c>
      <c r="M349" s="687" t="s">
        <v>2275</v>
      </c>
      <c r="N349" s="684"/>
      <c r="O349" s="203"/>
      <c r="P349" s="203"/>
      <c r="Q349" s="203"/>
      <c r="R349" s="203"/>
      <c r="S349" s="203"/>
      <c r="T349" s="203"/>
      <c r="U349" s="203"/>
    </row>
    <row r="350" hidden="1" spans="1:21">
      <c r="A350" s="687" t="s">
        <v>400</v>
      </c>
      <c r="B350" s="672" t="s">
        <v>2217</v>
      </c>
      <c r="C350" s="674" t="s">
        <v>2221</v>
      </c>
      <c r="D350" s="313">
        <v>98</v>
      </c>
      <c r="E350" s="281"/>
      <c r="F350" s="675"/>
      <c r="G350" s="675">
        <f>G349</f>
        <v>45750</v>
      </c>
      <c r="H350" s="676">
        <f>H349</f>
        <v>45770</v>
      </c>
      <c r="I350" s="736" t="s">
        <v>2274</v>
      </c>
      <c r="J350" s="687" t="s">
        <v>18</v>
      </c>
      <c r="K350" s="690" t="s">
        <v>147</v>
      </c>
      <c r="L350" s="347" t="s">
        <v>20</v>
      </c>
      <c r="M350" s="687" t="s">
        <v>2045</v>
      </c>
      <c r="N350" s="684"/>
      <c r="O350" s="203"/>
      <c r="P350" s="203"/>
      <c r="Q350" s="203"/>
      <c r="R350" s="203"/>
      <c r="S350" s="203"/>
      <c r="T350" s="203"/>
      <c r="U350" s="203"/>
    </row>
    <row r="351" hidden="1" spans="1:21">
      <c r="A351" s="687" t="s">
        <v>400</v>
      </c>
      <c r="B351" s="672" t="s">
        <v>2217</v>
      </c>
      <c r="C351" s="674" t="s">
        <v>2046</v>
      </c>
      <c r="D351" s="313">
        <v>20</v>
      </c>
      <c r="E351" s="281"/>
      <c r="F351" s="675"/>
      <c r="G351" s="675">
        <f>G350</f>
        <v>45750</v>
      </c>
      <c r="H351" s="676">
        <f>H350</f>
        <v>45770</v>
      </c>
      <c r="I351" s="736" t="s">
        <v>2274</v>
      </c>
      <c r="J351" s="687" t="s">
        <v>18</v>
      </c>
      <c r="K351" s="690" t="s">
        <v>147</v>
      </c>
      <c r="L351" s="347" t="s">
        <v>20</v>
      </c>
      <c r="M351" s="687" t="s">
        <v>2045</v>
      </c>
      <c r="N351" s="684"/>
      <c r="O351" s="203"/>
      <c r="P351" s="203"/>
      <c r="Q351" s="203"/>
      <c r="R351" s="203"/>
      <c r="S351" s="203"/>
      <c r="T351" s="203"/>
      <c r="U351" s="203"/>
    </row>
    <row r="352" hidden="1" spans="1:21">
      <c r="A352" s="687" t="s">
        <v>400</v>
      </c>
      <c r="B352" s="672" t="s">
        <v>2217</v>
      </c>
      <c r="C352" s="674" t="s">
        <v>2056</v>
      </c>
      <c r="D352" s="313">
        <v>47</v>
      </c>
      <c r="E352" s="281"/>
      <c r="F352" s="675"/>
      <c r="G352" s="675">
        <f>G351</f>
        <v>45750</v>
      </c>
      <c r="H352" s="676">
        <f>H351</f>
        <v>45770</v>
      </c>
      <c r="I352" s="736" t="s">
        <v>2274</v>
      </c>
      <c r="J352" s="687" t="s">
        <v>18</v>
      </c>
      <c r="K352" s="690" t="s">
        <v>147</v>
      </c>
      <c r="L352" s="347" t="s">
        <v>20</v>
      </c>
      <c r="M352" s="687" t="s">
        <v>2045</v>
      </c>
      <c r="N352" s="684"/>
      <c r="O352" s="203"/>
      <c r="P352" s="203"/>
      <c r="Q352" s="203"/>
      <c r="R352" s="203"/>
      <c r="S352" s="203"/>
      <c r="T352" s="203"/>
      <c r="U352" s="203"/>
    </row>
    <row r="353" ht="15.4" hidden="1" customHeight="1" spans="1:21">
      <c r="A353" s="687" t="s">
        <v>400</v>
      </c>
      <c r="B353" s="672" t="s">
        <v>2217</v>
      </c>
      <c r="C353" s="674" t="s">
        <v>2072</v>
      </c>
      <c r="D353" s="290">
        <v>32</v>
      </c>
      <c r="E353" s="720" t="s">
        <v>2276</v>
      </c>
      <c r="F353" s="675"/>
      <c r="G353" s="675">
        <f>VLOOKUP(CLEAN(SUBSTITUTE(TRIM(MID(E:E,FIND("/",E:E)+1,LEN(E:E)))," ","")),'Customs Decl. &amp; Local Delivery'!D:I,6,0)</f>
        <v>45750</v>
      </c>
      <c r="H353" s="676">
        <f>VLOOKUP(CLEAN(SUBSTITUTE(TRIM(MID(E:E,FIND("/",E:E)+1,LEN(E:E)))," ","")),'Customs Decl. &amp; Local Delivery'!D:J,7,0)</f>
        <v>45770</v>
      </c>
      <c r="I353" s="738" t="s">
        <v>2277</v>
      </c>
      <c r="J353" s="687" t="s">
        <v>18</v>
      </c>
      <c r="K353" s="690" t="s">
        <v>147</v>
      </c>
      <c r="L353" s="347" t="s">
        <v>20</v>
      </c>
      <c r="M353" s="687" t="s">
        <v>2278</v>
      </c>
      <c r="N353" s="684"/>
      <c r="O353" s="203"/>
      <c r="P353" s="203"/>
      <c r="Q353" s="203"/>
      <c r="R353" s="203"/>
      <c r="S353" s="203"/>
      <c r="T353" s="203"/>
      <c r="U353" s="203"/>
    </row>
    <row r="354" ht="15.4" hidden="1" customHeight="1" spans="1:21">
      <c r="A354" s="687" t="s">
        <v>400</v>
      </c>
      <c r="B354" s="672" t="s">
        <v>2217</v>
      </c>
      <c r="C354" s="674" t="s">
        <v>2076</v>
      </c>
      <c r="D354" s="290">
        <v>32</v>
      </c>
      <c r="E354" s="281"/>
      <c r="F354" s="675"/>
      <c r="G354" s="675">
        <f>G353</f>
        <v>45750</v>
      </c>
      <c r="H354" s="676">
        <f>H353</f>
        <v>45770</v>
      </c>
      <c r="I354" s="738" t="s">
        <v>2277</v>
      </c>
      <c r="J354" s="687" t="s">
        <v>18</v>
      </c>
      <c r="K354" s="690" t="s">
        <v>147</v>
      </c>
      <c r="L354" s="347" t="s">
        <v>20</v>
      </c>
      <c r="M354" s="690"/>
      <c r="N354" s="684"/>
      <c r="O354" s="203"/>
      <c r="P354" s="203"/>
      <c r="Q354" s="203"/>
      <c r="R354" s="203"/>
      <c r="S354" s="203"/>
      <c r="T354" s="203"/>
      <c r="U354" s="203"/>
    </row>
    <row r="355" ht="15.4" hidden="1" customHeight="1" spans="1:21">
      <c r="A355" s="687" t="s">
        <v>400</v>
      </c>
      <c r="B355" s="672" t="s">
        <v>2217</v>
      </c>
      <c r="C355" s="674" t="s">
        <v>2279</v>
      </c>
      <c r="D355" s="290">
        <v>32</v>
      </c>
      <c r="E355" s="281"/>
      <c r="F355" s="675"/>
      <c r="G355" s="675">
        <f>G354</f>
        <v>45750</v>
      </c>
      <c r="H355" s="676">
        <f>H354</f>
        <v>45770</v>
      </c>
      <c r="I355" s="738" t="s">
        <v>2277</v>
      </c>
      <c r="J355" s="687" t="s">
        <v>18</v>
      </c>
      <c r="K355" s="690" t="s">
        <v>147</v>
      </c>
      <c r="L355" s="347" t="s">
        <v>20</v>
      </c>
      <c r="M355" s="687" t="s">
        <v>2280</v>
      </c>
      <c r="N355" s="684"/>
      <c r="O355" s="203"/>
      <c r="P355" s="203"/>
      <c r="Q355" s="203"/>
      <c r="R355" s="203"/>
      <c r="S355" s="203"/>
      <c r="T355" s="203"/>
      <c r="U355" s="203"/>
    </row>
    <row r="356" ht="15.4" hidden="1" customHeight="1" spans="1:21">
      <c r="A356" s="731" t="s">
        <v>400</v>
      </c>
      <c r="B356" s="672" t="s">
        <v>2217</v>
      </c>
      <c r="C356" s="674" t="s">
        <v>2072</v>
      </c>
      <c r="D356" s="290">
        <v>32</v>
      </c>
      <c r="E356" s="720" t="s">
        <v>2281</v>
      </c>
      <c r="F356" s="675"/>
      <c r="G356" s="675">
        <f>VLOOKUP(CLEAN(SUBSTITUTE(TRIM(MID(E:E,FIND("/",E:E)+1,LEN(E:E)))," ","")),'Customs Decl. &amp; Local Delivery'!D:I,6,0)</f>
        <v>45750</v>
      </c>
      <c r="H356" s="676">
        <f>VLOOKUP(CLEAN(SUBSTITUTE(TRIM(MID(E:E,FIND("/",E:E)+1,LEN(E:E)))," ","")),'Customs Decl. &amp; Local Delivery'!D:J,7,0)</f>
        <v>45770</v>
      </c>
      <c r="I356" s="739" t="s">
        <v>2282</v>
      </c>
      <c r="J356" s="731" t="s">
        <v>18</v>
      </c>
      <c r="K356" s="729" t="s">
        <v>147</v>
      </c>
      <c r="L356" s="740" t="s">
        <v>20</v>
      </c>
      <c r="M356" s="687" t="s">
        <v>2283</v>
      </c>
      <c r="N356" s="684"/>
      <c r="O356" s="203"/>
      <c r="P356" s="203"/>
      <c r="Q356" s="203"/>
      <c r="R356" s="203"/>
      <c r="S356" s="203"/>
      <c r="T356" s="203"/>
      <c r="U356" s="203"/>
    </row>
    <row r="357" s="179" customFormat="1" ht="15.4" hidden="1" customHeight="1" spans="1:21">
      <c r="A357" s="671" t="s">
        <v>2038</v>
      </c>
      <c r="B357" s="672" t="s">
        <v>2039</v>
      </c>
      <c r="C357" s="671" t="s">
        <v>2076</v>
      </c>
      <c r="D357" s="250">
        <v>32</v>
      </c>
      <c r="E357" s="281"/>
      <c r="F357" s="675"/>
      <c r="G357" s="675">
        <f>G356</f>
        <v>45750</v>
      </c>
      <c r="H357" s="676">
        <f>H356</f>
        <v>45770</v>
      </c>
      <c r="I357" s="737" t="s">
        <v>2282</v>
      </c>
      <c r="J357" s="671" t="s">
        <v>18</v>
      </c>
      <c r="K357" s="672" t="s">
        <v>147</v>
      </c>
      <c r="L357" s="740" t="s">
        <v>20</v>
      </c>
      <c r="M357" s="690" t="s">
        <v>2085</v>
      </c>
      <c r="N357" s="684"/>
      <c r="O357" s="203"/>
      <c r="P357" s="203"/>
      <c r="Q357" s="203"/>
      <c r="R357" s="203"/>
      <c r="S357" s="203"/>
      <c r="T357" s="203"/>
      <c r="U357" s="203"/>
    </row>
    <row r="358" ht="15.4" hidden="1" customHeight="1" spans="1:21">
      <c r="A358" s="731" t="s">
        <v>400</v>
      </c>
      <c r="B358" s="672" t="s">
        <v>2217</v>
      </c>
      <c r="C358" s="674" t="s">
        <v>2072</v>
      </c>
      <c r="D358" s="290">
        <v>32</v>
      </c>
      <c r="E358" s="720" t="s">
        <v>2284</v>
      </c>
      <c r="F358" s="675"/>
      <c r="G358" s="675">
        <f>VLOOKUP(CLEAN(SUBSTITUTE(TRIM(MID(E:E,FIND("/",E:E)+1,LEN(E:E)))," ","")),'Customs Decl. &amp; Local Delivery'!D:I,6,0)</f>
        <v>45750</v>
      </c>
      <c r="H358" s="676">
        <f>VLOOKUP(CLEAN(SUBSTITUTE(TRIM(MID(E:E,FIND("/",E:E)+1,LEN(E:E)))," ","")),'Customs Decl. &amp; Local Delivery'!D:J,7,0)</f>
        <v>45770</v>
      </c>
      <c r="I358" s="739" t="s">
        <v>2285</v>
      </c>
      <c r="J358" s="731" t="s">
        <v>18</v>
      </c>
      <c r="K358" s="729" t="s">
        <v>147</v>
      </c>
      <c r="L358" s="741" t="s">
        <v>20</v>
      </c>
      <c r="M358" s="687" t="s">
        <v>2286</v>
      </c>
      <c r="N358" s="684"/>
      <c r="O358" s="203"/>
      <c r="P358" s="203"/>
      <c r="Q358" s="203"/>
      <c r="R358" s="203"/>
      <c r="S358" s="203"/>
      <c r="T358" s="203"/>
      <c r="U358" s="203"/>
    </row>
    <row r="359" ht="15.4" hidden="1" customHeight="1" spans="1:21">
      <c r="A359" s="690" t="s">
        <v>2038</v>
      </c>
      <c r="B359" s="687" t="s">
        <v>2039</v>
      </c>
      <c r="C359" s="671" t="s">
        <v>2076</v>
      </c>
      <c r="D359" s="250">
        <v>32</v>
      </c>
      <c r="E359" s="281"/>
      <c r="F359" s="675"/>
      <c r="G359" s="675">
        <f>G358</f>
        <v>45750</v>
      </c>
      <c r="H359" s="676">
        <f>H358</f>
        <v>45770</v>
      </c>
      <c r="I359" s="742" t="s">
        <v>2285</v>
      </c>
      <c r="J359" s="690" t="s">
        <v>18</v>
      </c>
      <c r="K359" s="690" t="s">
        <v>147</v>
      </c>
      <c r="L359" s="743" t="s">
        <v>20</v>
      </c>
      <c r="M359" s="690" t="s">
        <v>2085</v>
      </c>
      <c r="N359" s="684"/>
      <c r="O359" s="203"/>
      <c r="P359" s="203"/>
      <c r="Q359" s="203"/>
      <c r="R359" s="203"/>
      <c r="S359" s="203"/>
      <c r="T359" s="203"/>
      <c r="U359" s="203"/>
    </row>
    <row r="360" hidden="1" spans="1:21">
      <c r="A360" s="687" t="s">
        <v>400</v>
      </c>
      <c r="B360" s="672" t="s">
        <v>2217</v>
      </c>
      <c r="C360" s="674" t="s">
        <v>2072</v>
      </c>
      <c r="D360" s="290">
        <v>32</v>
      </c>
      <c r="E360" s="720" t="s">
        <v>2287</v>
      </c>
      <c r="F360" s="675"/>
      <c r="G360" s="675">
        <f>VLOOKUP(CLEAN(SUBSTITUTE(TRIM(MID(E:E,FIND("/",E:E)+1,LEN(E:E)))," ","")),'Customs Decl. &amp; Local Delivery'!D:I,6,0)</f>
        <v>45750</v>
      </c>
      <c r="H360" s="676">
        <f>VLOOKUP(CLEAN(SUBSTITUTE(TRIM(MID(E:E,FIND("/",E:E)+1,LEN(E:E)))," ","")),'Customs Decl. &amp; Local Delivery'!D:J,7,0)</f>
        <v>45770</v>
      </c>
      <c r="I360" s="736" t="s">
        <v>2288</v>
      </c>
      <c r="J360" s="687" t="s">
        <v>18</v>
      </c>
      <c r="K360" s="690" t="s">
        <v>147</v>
      </c>
      <c r="L360" s="744" t="s">
        <v>20</v>
      </c>
      <c r="M360" s="687" t="s">
        <v>2289</v>
      </c>
      <c r="N360" s="684"/>
      <c r="O360" s="203"/>
      <c r="P360" s="203"/>
      <c r="Q360" s="203"/>
      <c r="R360" s="203"/>
      <c r="S360" s="203"/>
      <c r="T360" s="203"/>
      <c r="U360" s="203"/>
    </row>
    <row r="361" hidden="1" spans="1:21">
      <c r="A361" s="687" t="s">
        <v>400</v>
      </c>
      <c r="B361" s="672" t="s">
        <v>2217</v>
      </c>
      <c r="C361" s="674" t="s">
        <v>2076</v>
      </c>
      <c r="D361" s="290">
        <v>32</v>
      </c>
      <c r="E361" s="281"/>
      <c r="F361" s="675"/>
      <c r="G361" s="675">
        <f>G360</f>
        <v>45750</v>
      </c>
      <c r="H361" s="676">
        <f>H360</f>
        <v>45770</v>
      </c>
      <c r="I361" s="736" t="s">
        <v>2288</v>
      </c>
      <c r="J361" s="687" t="s">
        <v>18</v>
      </c>
      <c r="K361" s="690" t="s">
        <v>147</v>
      </c>
      <c r="L361" s="744" t="s">
        <v>20</v>
      </c>
      <c r="M361" s="690"/>
      <c r="N361" s="684"/>
      <c r="O361" s="203"/>
      <c r="P361" s="203"/>
      <c r="Q361" s="203"/>
      <c r="R361" s="203"/>
      <c r="S361" s="203"/>
      <c r="T361" s="203"/>
      <c r="U361" s="203"/>
    </row>
    <row r="362" hidden="1" spans="1:21">
      <c r="A362" s="687" t="s">
        <v>400</v>
      </c>
      <c r="B362" s="672" t="s">
        <v>2217</v>
      </c>
      <c r="C362" s="674" t="s">
        <v>2279</v>
      </c>
      <c r="D362" s="290">
        <v>32</v>
      </c>
      <c r="E362" s="281"/>
      <c r="F362" s="675"/>
      <c r="G362" s="675">
        <f>G361</f>
        <v>45750</v>
      </c>
      <c r="H362" s="676">
        <f>H361</f>
        <v>45770</v>
      </c>
      <c r="I362" s="736" t="s">
        <v>2288</v>
      </c>
      <c r="J362" s="687" t="s">
        <v>18</v>
      </c>
      <c r="K362" s="690" t="s">
        <v>147</v>
      </c>
      <c r="L362" s="744" t="s">
        <v>20</v>
      </c>
      <c r="M362" s="687" t="s">
        <v>2280</v>
      </c>
      <c r="N362" s="684"/>
      <c r="O362" s="203"/>
      <c r="P362" s="203"/>
      <c r="Q362" s="203"/>
      <c r="R362" s="203"/>
      <c r="S362" s="203"/>
      <c r="T362" s="203"/>
      <c r="U362" s="203"/>
    </row>
    <row r="363" hidden="1" spans="1:21">
      <c r="A363" s="671" t="s">
        <v>2038</v>
      </c>
      <c r="B363" s="672" t="s">
        <v>2039</v>
      </c>
      <c r="C363" s="671" t="s">
        <v>2072</v>
      </c>
      <c r="D363" s="250">
        <v>28</v>
      </c>
      <c r="E363" s="720" t="s">
        <v>2290</v>
      </c>
      <c r="F363" s="675"/>
      <c r="G363" s="675">
        <f>VLOOKUP(CLEAN(SUBSTITUTE(TRIM(MID(E:E,FIND("/",E:E)+1,LEN(E:E)))," ","")),'Customs Decl. &amp; Local Delivery'!D:I,6,0)</f>
        <v>45750</v>
      </c>
      <c r="H363" s="676">
        <f>VLOOKUP(CLEAN(SUBSTITUTE(TRIM(MID(E:E,FIND("/",E:E)+1,LEN(E:E)))," ","")),'Customs Decl. &amp; Local Delivery'!D:J,7,0)</f>
        <v>45770</v>
      </c>
      <c r="I363" s="745" t="s">
        <v>2291</v>
      </c>
      <c r="J363" s="671" t="s">
        <v>18</v>
      </c>
      <c r="K363" s="672" t="s">
        <v>147</v>
      </c>
      <c r="L363" s="741" t="s">
        <v>20</v>
      </c>
      <c r="M363" s="691" t="s">
        <v>2292</v>
      </c>
      <c r="N363" s="684"/>
      <c r="O363" s="203"/>
      <c r="P363" s="203"/>
      <c r="Q363" s="203"/>
      <c r="R363" s="203"/>
      <c r="S363" s="203"/>
      <c r="T363" s="203"/>
      <c r="U363" s="203"/>
    </row>
    <row r="364" hidden="1" spans="1:21">
      <c r="A364" s="671" t="s">
        <v>2038</v>
      </c>
      <c r="B364" s="672" t="s">
        <v>2039</v>
      </c>
      <c r="C364" s="671" t="s">
        <v>2076</v>
      </c>
      <c r="D364" s="250">
        <v>28</v>
      </c>
      <c r="E364" s="281"/>
      <c r="F364" s="675"/>
      <c r="G364" s="675">
        <f>G363</f>
        <v>45750</v>
      </c>
      <c r="H364" s="676">
        <f>H363</f>
        <v>45770</v>
      </c>
      <c r="I364" s="745" t="s">
        <v>2291</v>
      </c>
      <c r="J364" s="671" t="s">
        <v>18</v>
      </c>
      <c r="K364" s="672" t="s">
        <v>147</v>
      </c>
      <c r="L364" s="744" t="s">
        <v>20</v>
      </c>
      <c r="M364" s="690" t="s">
        <v>2085</v>
      </c>
      <c r="N364" s="684"/>
      <c r="O364" s="203"/>
      <c r="P364" s="203"/>
      <c r="Q364" s="203"/>
      <c r="R364" s="203"/>
      <c r="S364" s="203"/>
      <c r="T364" s="203"/>
      <c r="U364" s="203"/>
    </row>
    <row r="365" hidden="1" spans="1:21">
      <c r="A365" s="690" t="s">
        <v>2112</v>
      </c>
      <c r="B365" s="707" t="s">
        <v>2113</v>
      </c>
      <c r="C365" s="671" t="s">
        <v>2090</v>
      </c>
      <c r="D365" s="270">
        <v>50</v>
      </c>
      <c r="E365" s="281"/>
      <c r="F365" s="675"/>
      <c r="G365" s="675">
        <f>G364</f>
        <v>45750</v>
      </c>
      <c r="H365" s="676">
        <f>H364</f>
        <v>45770</v>
      </c>
      <c r="I365" s="745" t="s">
        <v>2291</v>
      </c>
      <c r="J365" s="690" t="s">
        <v>18</v>
      </c>
      <c r="K365" s="690" t="s">
        <v>147</v>
      </c>
      <c r="L365" s="740" t="s">
        <v>20</v>
      </c>
      <c r="M365" s="687"/>
      <c r="N365" s="684"/>
      <c r="O365" s="203"/>
      <c r="P365" s="203"/>
      <c r="Q365" s="203"/>
      <c r="R365" s="203"/>
      <c r="S365" s="203"/>
      <c r="T365" s="203"/>
      <c r="U365" s="203"/>
    </row>
    <row r="366" hidden="1" spans="1:21">
      <c r="A366" s="690" t="s">
        <v>2112</v>
      </c>
      <c r="B366" s="707" t="s">
        <v>2113</v>
      </c>
      <c r="C366" s="671" t="s">
        <v>2092</v>
      </c>
      <c r="D366" s="270">
        <v>20</v>
      </c>
      <c r="E366" s="281"/>
      <c r="F366" s="675"/>
      <c r="G366" s="675">
        <f>G365</f>
        <v>45750</v>
      </c>
      <c r="H366" s="676">
        <f>H365</f>
        <v>45770</v>
      </c>
      <c r="I366" s="745" t="s">
        <v>2291</v>
      </c>
      <c r="J366" s="690" t="s">
        <v>18</v>
      </c>
      <c r="K366" s="690" t="s">
        <v>147</v>
      </c>
      <c r="L366" s="347" t="s">
        <v>20</v>
      </c>
      <c r="M366" s="687"/>
      <c r="N366" s="684"/>
      <c r="O366" s="203"/>
      <c r="P366" s="203"/>
      <c r="Q366" s="203"/>
      <c r="R366" s="203"/>
      <c r="S366" s="203"/>
      <c r="T366" s="203"/>
      <c r="U366" s="203"/>
    </row>
    <row r="367" ht="15.4" hidden="1" customHeight="1" spans="1:21">
      <c r="A367" s="687" t="s">
        <v>400</v>
      </c>
      <c r="B367" s="672" t="s">
        <v>2217</v>
      </c>
      <c r="C367" s="674" t="s">
        <v>2056</v>
      </c>
      <c r="D367" s="313">
        <v>5</v>
      </c>
      <c r="E367" s="281"/>
      <c r="F367" s="675"/>
      <c r="G367" s="675">
        <f>G366</f>
        <v>45750</v>
      </c>
      <c r="H367" s="676">
        <f>H366</f>
        <v>45770</v>
      </c>
      <c r="I367" s="746" t="s">
        <v>2291</v>
      </c>
      <c r="J367" s="687" t="s">
        <v>18</v>
      </c>
      <c r="K367" s="690" t="s">
        <v>147</v>
      </c>
      <c r="L367" s="347" t="s">
        <v>20</v>
      </c>
      <c r="M367" s="687" t="s">
        <v>2045</v>
      </c>
      <c r="N367" s="684"/>
      <c r="O367" s="203"/>
      <c r="P367" s="203"/>
      <c r="Q367" s="203"/>
      <c r="R367" s="203"/>
      <c r="S367" s="203"/>
      <c r="T367" s="203"/>
      <c r="U367" s="203"/>
    </row>
    <row r="368" ht="15.4" hidden="1" customHeight="1" spans="1:21">
      <c r="A368" s="671" t="s">
        <v>2038</v>
      </c>
      <c r="B368" s="672" t="s">
        <v>2039</v>
      </c>
      <c r="C368" s="671" t="s">
        <v>2072</v>
      </c>
      <c r="D368" s="250">
        <v>12</v>
      </c>
      <c r="E368" s="720" t="s">
        <v>2293</v>
      </c>
      <c r="F368" s="675"/>
      <c r="G368" s="675">
        <f>VLOOKUP(CLEAN(SUBSTITUTE(TRIM(MID(E:E,FIND("/",E:E)+1,LEN(E:E)))," ","")),'Customs Decl. &amp; Local Delivery'!D:I,6,0)</f>
        <v>45750</v>
      </c>
      <c r="H368" s="676">
        <f>VLOOKUP(CLEAN(SUBSTITUTE(TRIM(MID(E:E,FIND("/",E:E)+1,LEN(E:E)))," ","")),'Customs Decl. &amp; Local Delivery'!D:J,7,0)</f>
        <v>45770</v>
      </c>
      <c r="I368" s="729" t="s">
        <v>2294</v>
      </c>
      <c r="J368" s="747" t="s">
        <v>18</v>
      </c>
      <c r="K368" s="690" t="s">
        <v>147</v>
      </c>
      <c r="L368" s="347" t="s">
        <v>20</v>
      </c>
      <c r="M368" s="691" t="s">
        <v>2295</v>
      </c>
      <c r="N368" s="684"/>
      <c r="O368" s="203"/>
      <c r="P368" s="203"/>
      <c r="Q368" s="203"/>
      <c r="R368" s="203"/>
      <c r="S368" s="203"/>
      <c r="T368" s="203"/>
      <c r="U368" s="203"/>
    </row>
    <row r="369" s="179" customFormat="1" ht="15.4" hidden="1" customHeight="1" spans="1:21">
      <c r="A369" s="671" t="s">
        <v>2038</v>
      </c>
      <c r="B369" s="672" t="s">
        <v>2039</v>
      </c>
      <c r="C369" s="671" t="s">
        <v>2072</v>
      </c>
      <c r="D369" s="250">
        <v>28</v>
      </c>
      <c r="E369" s="281"/>
      <c r="F369" s="675"/>
      <c r="G369" s="675">
        <f>G368</f>
        <v>45750</v>
      </c>
      <c r="H369" s="676">
        <f>H368</f>
        <v>45770</v>
      </c>
      <c r="I369" s="690" t="s">
        <v>2294</v>
      </c>
      <c r="J369" s="747" t="s">
        <v>18</v>
      </c>
      <c r="K369" s="690" t="s">
        <v>147</v>
      </c>
      <c r="L369" s="347" t="s">
        <v>20</v>
      </c>
      <c r="M369" s="690" t="s">
        <v>2296</v>
      </c>
      <c r="N369" s="684"/>
      <c r="O369" s="203"/>
      <c r="P369" s="203"/>
      <c r="Q369" s="203"/>
      <c r="R369" s="203"/>
      <c r="S369" s="203"/>
      <c r="T369" s="203"/>
      <c r="U369" s="203"/>
    </row>
    <row r="370" hidden="1" spans="1:21">
      <c r="A370" s="690" t="s">
        <v>2038</v>
      </c>
      <c r="B370" s="696" t="s">
        <v>2039</v>
      </c>
      <c r="C370" s="671" t="s">
        <v>2140</v>
      </c>
      <c r="D370" s="250">
        <v>130</v>
      </c>
      <c r="E370" s="281"/>
      <c r="F370" s="675"/>
      <c r="G370" s="675">
        <f>G369</f>
        <v>45750</v>
      </c>
      <c r="H370" s="676">
        <f>H369</f>
        <v>45770</v>
      </c>
      <c r="I370" s="691" t="s">
        <v>2294</v>
      </c>
      <c r="J370" s="714" t="s">
        <v>18</v>
      </c>
      <c r="K370" s="690" t="s">
        <v>147</v>
      </c>
      <c r="L370" s="347" t="s">
        <v>20</v>
      </c>
      <c r="M370" s="690" t="s">
        <v>2297</v>
      </c>
      <c r="N370" s="684"/>
      <c r="O370" s="203"/>
      <c r="P370" s="203"/>
      <c r="Q370" s="203"/>
      <c r="R370" s="203"/>
      <c r="S370" s="203"/>
      <c r="T370" s="203"/>
      <c r="U370" s="203"/>
    </row>
    <row r="371" hidden="1" spans="1:21">
      <c r="A371" s="690" t="s">
        <v>2112</v>
      </c>
      <c r="B371" s="707" t="s">
        <v>2113</v>
      </c>
      <c r="C371" s="671" t="s">
        <v>2090</v>
      </c>
      <c r="D371" s="270">
        <v>70</v>
      </c>
      <c r="E371" s="281"/>
      <c r="F371" s="675"/>
      <c r="G371" s="675">
        <f>G370</f>
        <v>45750</v>
      </c>
      <c r="H371" s="676">
        <f>H370</f>
        <v>45770</v>
      </c>
      <c r="I371" s="691" t="s">
        <v>2294</v>
      </c>
      <c r="J371" s="714" t="s">
        <v>18</v>
      </c>
      <c r="K371" s="672" t="s">
        <v>19</v>
      </c>
      <c r="L371" s="347" t="s">
        <v>20</v>
      </c>
      <c r="M371" s="687" t="s">
        <v>2211</v>
      </c>
      <c r="N371" s="688"/>
      <c r="O371" s="203"/>
      <c r="P371" s="203"/>
      <c r="Q371" s="203"/>
      <c r="R371" s="203"/>
      <c r="S371" s="203"/>
      <c r="T371" s="203"/>
      <c r="U371" s="203"/>
    </row>
    <row r="372" ht="15.4" hidden="1" customHeight="1" spans="1:21">
      <c r="A372" s="687" t="s">
        <v>400</v>
      </c>
      <c r="B372" s="672" t="s">
        <v>2217</v>
      </c>
      <c r="C372" s="671" t="s">
        <v>2072</v>
      </c>
      <c r="D372" s="250">
        <v>4</v>
      </c>
      <c r="E372" s="720" t="s">
        <v>2298</v>
      </c>
      <c r="F372" s="675"/>
      <c r="G372" s="675">
        <f>VLOOKUP(CLEAN(SUBSTITUTE(TRIM(MID(E:E,FIND("/",E:E)+1,LEN(E:E)))," ","")),'Customs Decl. &amp; Local Delivery'!D:I,6,0)</f>
        <v>45750</v>
      </c>
      <c r="H372" s="676">
        <f>VLOOKUP(CLEAN(SUBSTITUTE(TRIM(MID(E:E,FIND("/",E:E)+1,LEN(E:E)))," ","")),'Customs Decl. &amp; Local Delivery'!D:J,7,0)</f>
        <v>45773</v>
      </c>
      <c r="I372" s="731" t="s">
        <v>2299</v>
      </c>
      <c r="J372" s="718" t="s">
        <v>207</v>
      </c>
      <c r="K372" s="718" t="s">
        <v>19</v>
      </c>
      <c r="L372" s="725" t="s">
        <v>20</v>
      </c>
      <c r="M372" s="687" t="s">
        <v>2300</v>
      </c>
      <c r="N372" s="688"/>
      <c r="O372" s="512"/>
      <c r="P372" s="512"/>
      <c r="Q372" s="512"/>
      <c r="R372" s="512"/>
      <c r="S372" s="512"/>
      <c r="T372" s="512"/>
      <c r="U372" s="512"/>
    </row>
    <row r="373" ht="15.4" hidden="1" customHeight="1" spans="1:21">
      <c r="A373" s="687" t="s">
        <v>400</v>
      </c>
      <c r="B373" s="672" t="s">
        <v>2217</v>
      </c>
      <c r="C373" s="671" t="s">
        <v>2076</v>
      </c>
      <c r="D373" s="250">
        <v>4</v>
      </c>
      <c r="E373" s="281"/>
      <c r="F373" s="675"/>
      <c r="G373" s="675">
        <f>G372</f>
        <v>45750</v>
      </c>
      <c r="H373" s="676">
        <f>H372</f>
        <v>45773</v>
      </c>
      <c r="I373" s="731" t="s">
        <v>2299</v>
      </c>
      <c r="J373" s="718" t="s">
        <v>207</v>
      </c>
      <c r="K373" s="718" t="s">
        <v>19</v>
      </c>
      <c r="L373" s="347" t="s">
        <v>20</v>
      </c>
      <c r="M373" s="690" t="s">
        <v>2085</v>
      </c>
      <c r="N373" s="688"/>
      <c r="O373" s="512"/>
      <c r="P373" s="512"/>
      <c r="Q373" s="512"/>
      <c r="R373" s="512"/>
      <c r="S373" s="512"/>
      <c r="T373" s="512"/>
      <c r="U373" s="512"/>
    </row>
    <row r="374" ht="15.4" hidden="1" customHeight="1" spans="1:21">
      <c r="A374" s="687" t="s">
        <v>400</v>
      </c>
      <c r="B374" s="672" t="s">
        <v>2217</v>
      </c>
      <c r="C374" s="674" t="s">
        <v>2279</v>
      </c>
      <c r="D374" s="313">
        <v>4</v>
      </c>
      <c r="E374" s="281"/>
      <c r="F374" s="675"/>
      <c r="G374" s="675">
        <f>G373</f>
        <v>45750</v>
      </c>
      <c r="H374" s="676">
        <f>H373</f>
        <v>45773</v>
      </c>
      <c r="I374" s="731" t="s">
        <v>2299</v>
      </c>
      <c r="J374" s="718" t="s">
        <v>207</v>
      </c>
      <c r="K374" s="718" t="s">
        <v>19</v>
      </c>
      <c r="L374" s="347" t="s">
        <v>20</v>
      </c>
      <c r="M374" s="672"/>
      <c r="N374" s="688"/>
      <c r="O374" s="512"/>
      <c r="P374" s="512"/>
      <c r="Q374" s="512"/>
      <c r="R374" s="512"/>
      <c r="S374" s="512"/>
      <c r="T374" s="512"/>
      <c r="U374" s="512"/>
    </row>
    <row r="375" s="660" customFormat="1" ht="15.4" hidden="1" customHeight="1" spans="1:21">
      <c r="A375" s="690" t="s">
        <v>2038</v>
      </c>
      <c r="B375" s="687" t="s">
        <v>2039</v>
      </c>
      <c r="C375" s="671" t="s">
        <v>2072</v>
      </c>
      <c r="D375" s="250">
        <v>32</v>
      </c>
      <c r="E375" s="720" t="s">
        <v>2301</v>
      </c>
      <c r="F375" s="675"/>
      <c r="G375" s="675">
        <f>VLOOKUP(CLEAN(SUBSTITUTE(TRIM(MID(E:E,FIND("/",E:E)+1,LEN(E:E)))," ","")),'Customs Decl. &amp; Local Delivery'!D:I,6,0)</f>
        <v>45750</v>
      </c>
      <c r="H375" s="676">
        <f>VLOOKUP(CLEAN(SUBSTITUTE(TRIM(MID(E:E,FIND("/",E:E)+1,LEN(E:E)))," ","")),'Customs Decl. &amp; Local Delivery'!D:J,7,0)</f>
        <v>45783</v>
      </c>
      <c r="I375" s="748" t="s">
        <v>2302</v>
      </c>
      <c r="J375" s="714" t="s">
        <v>18</v>
      </c>
      <c r="K375" s="690" t="s">
        <v>147</v>
      </c>
      <c r="L375" s="743" t="s">
        <v>20</v>
      </c>
      <c r="M375" s="749" t="s">
        <v>2303</v>
      </c>
      <c r="N375" s="684"/>
      <c r="O375" s="203"/>
      <c r="P375" s="203"/>
      <c r="Q375" s="203"/>
      <c r="R375" s="203"/>
      <c r="S375" s="203"/>
      <c r="T375" s="203"/>
      <c r="U375" s="203"/>
    </row>
    <row r="376" s="660" customFormat="1" ht="15.4" hidden="1" customHeight="1" spans="1:21">
      <c r="A376" s="671" t="s">
        <v>2038</v>
      </c>
      <c r="B376" s="672" t="s">
        <v>2039</v>
      </c>
      <c r="C376" s="671" t="s">
        <v>2072</v>
      </c>
      <c r="D376" s="250">
        <v>20</v>
      </c>
      <c r="E376" s="281"/>
      <c r="F376" s="675"/>
      <c r="G376" s="675">
        <f>G375</f>
        <v>45750</v>
      </c>
      <c r="H376" s="676">
        <f>H375</f>
        <v>45783</v>
      </c>
      <c r="I376" s="748" t="s">
        <v>2302</v>
      </c>
      <c r="J376" s="747" t="s">
        <v>18</v>
      </c>
      <c r="K376" s="672" t="s">
        <v>147</v>
      </c>
      <c r="L376" s="740" t="s">
        <v>20</v>
      </c>
      <c r="M376" s="690" t="s">
        <v>2304</v>
      </c>
      <c r="N376" s="684"/>
      <c r="O376" s="203"/>
      <c r="P376" s="203"/>
      <c r="Q376" s="203"/>
      <c r="R376" s="203"/>
      <c r="S376" s="203"/>
      <c r="T376" s="203"/>
      <c r="U376" s="203"/>
    </row>
    <row r="377" s="660" customFormat="1" ht="30" hidden="1" spans="1:21">
      <c r="A377" s="687" t="s">
        <v>910</v>
      </c>
      <c r="B377" s="690" t="s">
        <v>2305</v>
      </c>
      <c r="C377" s="732" t="s">
        <v>2090</v>
      </c>
      <c r="D377" s="313">
        <v>528</v>
      </c>
      <c r="E377" s="720" t="s">
        <v>2306</v>
      </c>
      <c r="F377" s="675"/>
      <c r="G377" s="675">
        <f>VLOOKUP(CLEAN(SUBSTITUTE(TRIM(MID(E:E,FIND("/",E:E)+1,LEN(E:E)))," ","")),'Customs Decl. &amp; Local Delivery'!D:I,6,0)</f>
        <v>45760</v>
      </c>
      <c r="H377" s="676">
        <f>VLOOKUP(CLEAN(SUBSTITUTE(TRIM(MID(E:E,FIND("/",E:E)+1,LEN(E:E)))," ","")),'Customs Decl. &amp; Local Delivery'!D:J,7,0)</f>
        <v>45778</v>
      </c>
      <c r="I377" s="690" t="s">
        <v>2307</v>
      </c>
      <c r="J377" s="687" t="s">
        <v>18</v>
      </c>
      <c r="K377" s="687" t="s">
        <v>147</v>
      </c>
      <c r="L377" s="725" t="s">
        <v>20</v>
      </c>
      <c r="M377" s="690" t="s">
        <v>2308</v>
      </c>
      <c r="N377" s="684"/>
      <c r="O377" s="203"/>
      <c r="P377" s="203"/>
      <c r="Q377" s="203"/>
      <c r="R377" s="203"/>
      <c r="S377" s="203"/>
      <c r="T377" s="203"/>
      <c r="U377" s="203"/>
    </row>
    <row r="378" s="179" customFormat="1" ht="30" hidden="1" spans="1:21">
      <c r="A378" s="687" t="s">
        <v>910</v>
      </c>
      <c r="B378" s="690" t="s">
        <v>2305</v>
      </c>
      <c r="C378" s="732" t="s">
        <v>2090</v>
      </c>
      <c r="D378" s="313">
        <v>528</v>
      </c>
      <c r="E378" s="720" t="s">
        <v>2309</v>
      </c>
      <c r="F378" s="675"/>
      <c r="G378" s="675">
        <f>VLOOKUP(CLEAN(SUBSTITUTE(TRIM(MID(E:E,FIND("/",E:E)+1,LEN(E:E)))," ","")),'Customs Decl. &amp; Local Delivery'!D:I,6,0)</f>
        <v>45760</v>
      </c>
      <c r="H378" s="676">
        <f>VLOOKUP(CLEAN(SUBSTITUTE(TRIM(MID(E:E,FIND("/",E:E)+1,LEN(E:E)))," ","")),'Customs Decl. &amp; Local Delivery'!D:J,7,0)</f>
        <v>45778</v>
      </c>
      <c r="I378" s="690" t="s">
        <v>2307</v>
      </c>
      <c r="J378" s="687" t="s">
        <v>18</v>
      </c>
      <c r="K378" s="687" t="s">
        <v>147</v>
      </c>
      <c r="L378" s="725" t="s">
        <v>20</v>
      </c>
      <c r="M378" s="690" t="s">
        <v>2310</v>
      </c>
      <c r="N378" s="684"/>
      <c r="O378" s="203"/>
      <c r="P378" s="203"/>
      <c r="Q378" s="203"/>
      <c r="R378" s="203"/>
      <c r="S378" s="203"/>
      <c r="T378" s="203"/>
      <c r="U378" s="203"/>
    </row>
    <row r="379" s="179" customFormat="1" ht="30" hidden="1" spans="1:21">
      <c r="A379" s="687" t="s">
        <v>910</v>
      </c>
      <c r="B379" s="690" t="s">
        <v>2305</v>
      </c>
      <c r="C379" s="732" t="s">
        <v>2090</v>
      </c>
      <c r="D379" s="313">
        <v>528</v>
      </c>
      <c r="E379" s="720" t="s">
        <v>2311</v>
      </c>
      <c r="F379" s="675"/>
      <c r="G379" s="675">
        <f>VLOOKUP(CLEAN(SUBSTITUTE(TRIM(MID(E:E,FIND("/",E:E)+1,LEN(E:E)))," ","")),'Customs Decl. &amp; Local Delivery'!D:I,6,0)</f>
        <v>45760</v>
      </c>
      <c r="H379" s="676">
        <f>VLOOKUP(CLEAN(SUBSTITUTE(TRIM(MID(E:E,FIND("/",E:E)+1,LEN(E:E)))," ","")),'Customs Decl. &amp; Local Delivery'!D:J,7,0)</f>
        <v>45778</v>
      </c>
      <c r="I379" s="690" t="s">
        <v>2307</v>
      </c>
      <c r="J379" s="687" t="s">
        <v>18</v>
      </c>
      <c r="K379" s="687" t="s">
        <v>147</v>
      </c>
      <c r="L379" s="725" t="s">
        <v>20</v>
      </c>
      <c r="M379" s="690" t="s">
        <v>2310</v>
      </c>
      <c r="N379" s="684"/>
      <c r="O379" s="203"/>
      <c r="P379" s="203"/>
      <c r="Q379" s="203"/>
      <c r="R379" s="203"/>
      <c r="S379" s="203"/>
      <c r="T379" s="203"/>
      <c r="U379" s="203"/>
    </row>
    <row r="380" s="660" customFormat="1" ht="30" hidden="1" spans="1:21">
      <c r="A380" s="687" t="s">
        <v>910</v>
      </c>
      <c r="B380" s="690" t="s">
        <v>2305</v>
      </c>
      <c r="C380" s="732" t="s">
        <v>2090</v>
      </c>
      <c r="D380" s="313">
        <v>528</v>
      </c>
      <c r="E380" s="720" t="s">
        <v>2312</v>
      </c>
      <c r="F380" s="675"/>
      <c r="G380" s="675">
        <f>VLOOKUP(CLEAN(SUBSTITUTE(TRIM(MID(E:E,FIND("/",E:E)+1,LEN(E:E)))," ","")),'Customs Decl. &amp; Local Delivery'!D:I,6,0)</f>
        <v>45762</v>
      </c>
      <c r="H380" s="676">
        <f>VLOOKUP(CLEAN(SUBSTITUTE(TRIM(MID(E:E,FIND("/",E:E)+1,LEN(E:E)))," ","")),'Customs Decl. &amp; Local Delivery'!D:J,7,0)</f>
        <v>45778</v>
      </c>
      <c r="I380" s="732" t="s">
        <v>2313</v>
      </c>
      <c r="J380" s="750" t="s">
        <v>18</v>
      </c>
      <c r="K380" s="687" t="s">
        <v>147</v>
      </c>
      <c r="L380" s="725" t="s">
        <v>20</v>
      </c>
      <c r="M380" s="690" t="s">
        <v>2314</v>
      </c>
      <c r="N380" s="684"/>
      <c r="O380" s="203"/>
      <c r="P380" s="203"/>
      <c r="Q380" s="203"/>
      <c r="R380" s="203"/>
      <c r="S380" s="203"/>
      <c r="T380" s="203"/>
      <c r="U380" s="203"/>
    </row>
    <row r="381" s="660" customFormat="1" ht="30" hidden="1" spans="1:21">
      <c r="A381" s="687" t="s">
        <v>910</v>
      </c>
      <c r="B381" s="690" t="s">
        <v>2305</v>
      </c>
      <c r="C381" s="732" t="s">
        <v>2090</v>
      </c>
      <c r="D381" s="313">
        <v>528</v>
      </c>
      <c r="E381" s="720" t="s">
        <v>2315</v>
      </c>
      <c r="F381" s="675"/>
      <c r="G381" s="675">
        <f>VLOOKUP(CLEAN(SUBSTITUTE(TRIM(MID(E:E,FIND("/",E:E)+1,LEN(E:E)))," ","")),'Customs Decl. &amp; Local Delivery'!D:I,6,0)</f>
        <v>45762</v>
      </c>
      <c r="H381" s="676">
        <f>VLOOKUP(CLEAN(SUBSTITUTE(TRIM(MID(E:E,FIND("/",E:E)+1,LEN(E:E)))," ","")),'Customs Decl. &amp; Local Delivery'!D:J,7,0)</f>
        <v>45778</v>
      </c>
      <c r="I381" s="690" t="s">
        <v>2316</v>
      </c>
      <c r="J381" s="750" t="s">
        <v>18</v>
      </c>
      <c r="K381" s="687" t="s">
        <v>147</v>
      </c>
      <c r="L381" s="725" t="s">
        <v>20</v>
      </c>
      <c r="M381" s="690" t="s">
        <v>2317</v>
      </c>
      <c r="N381" s="684"/>
      <c r="O381" s="203"/>
      <c r="P381" s="203"/>
      <c r="Q381" s="203"/>
      <c r="R381" s="203"/>
      <c r="S381" s="203"/>
      <c r="T381" s="203"/>
      <c r="U381" s="203"/>
    </row>
    <row r="382" s="660" customFormat="1" ht="15.4" hidden="1" customHeight="1" spans="1:21">
      <c r="A382" s="687" t="s">
        <v>400</v>
      </c>
      <c r="B382" s="672" t="s">
        <v>2217</v>
      </c>
      <c r="C382" s="674" t="s">
        <v>2072</v>
      </c>
      <c r="D382" s="290">
        <v>12</v>
      </c>
      <c r="E382" s="720" t="s">
        <v>2318</v>
      </c>
      <c r="F382" s="675"/>
      <c r="G382" s="675">
        <f>VLOOKUP(CLEAN(SUBSTITUTE(TRIM(MID(E:E,FIND("/",E:E)+1,LEN(E:E)))," ","")),'Customs Decl. &amp; Local Delivery'!D:I,6,0)</f>
        <v>45770</v>
      </c>
      <c r="H382" s="676">
        <f>VLOOKUP(CLEAN(SUBSTITUTE(TRIM(MID(E:E,FIND("/",E:E)+1,LEN(E:E)))," ","")),'Customs Decl. &amp; Local Delivery'!D:J,7,0)</f>
        <v>45787</v>
      </c>
      <c r="I382" s="748" t="s">
        <v>2319</v>
      </c>
      <c r="J382" s="750" t="s">
        <v>18</v>
      </c>
      <c r="K382" s="690" t="s">
        <v>147</v>
      </c>
      <c r="L382" s="725" t="s">
        <v>20</v>
      </c>
      <c r="M382" s="687" t="s">
        <v>2320</v>
      </c>
      <c r="N382" s="684"/>
      <c r="O382" s="203"/>
      <c r="P382" s="203"/>
      <c r="Q382" s="203"/>
      <c r="R382" s="203"/>
      <c r="S382" s="203"/>
      <c r="T382" s="203"/>
      <c r="U382" s="203"/>
    </row>
    <row r="383" s="660" customFormat="1" ht="15.4" hidden="1" customHeight="1" spans="1:21">
      <c r="A383" s="687" t="s">
        <v>400</v>
      </c>
      <c r="B383" s="672" t="s">
        <v>2217</v>
      </c>
      <c r="C383" s="674" t="s">
        <v>2221</v>
      </c>
      <c r="D383" s="313">
        <v>15</v>
      </c>
      <c r="E383" s="281"/>
      <c r="F383" s="675"/>
      <c r="G383" s="675">
        <f t="shared" ref="G383:G390" si="6">G382</f>
        <v>45770</v>
      </c>
      <c r="H383" s="676">
        <f t="shared" ref="H383:H390" si="7">H382</f>
        <v>45787</v>
      </c>
      <c r="I383" s="748" t="s">
        <v>2319</v>
      </c>
      <c r="J383" s="750" t="s">
        <v>18</v>
      </c>
      <c r="K383" s="690" t="s">
        <v>147</v>
      </c>
      <c r="L383" s="347" t="s">
        <v>20</v>
      </c>
      <c r="M383" s="687" t="s">
        <v>2321</v>
      </c>
      <c r="N383" s="684"/>
      <c r="O383" s="203"/>
      <c r="P383" s="203"/>
      <c r="Q383" s="203"/>
      <c r="R383" s="203"/>
      <c r="S383" s="203"/>
      <c r="T383" s="203"/>
      <c r="U383" s="203"/>
    </row>
    <row r="384" s="660" customFormat="1" ht="15.4" hidden="1" customHeight="1" spans="1:21">
      <c r="A384" s="687" t="s">
        <v>400</v>
      </c>
      <c r="B384" s="672" t="s">
        <v>2217</v>
      </c>
      <c r="C384" s="674" t="s">
        <v>2056</v>
      </c>
      <c r="D384" s="313">
        <v>1</v>
      </c>
      <c r="E384" s="281"/>
      <c r="F384" s="675"/>
      <c r="G384" s="675">
        <f t="shared" si="6"/>
        <v>45770</v>
      </c>
      <c r="H384" s="676">
        <f t="shared" si="7"/>
        <v>45787</v>
      </c>
      <c r="I384" s="748" t="s">
        <v>2319</v>
      </c>
      <c r="J384" s="750" t="s">
        <v>18</v>
      </c>
      <c r="K384" s="690" t="s">
        <v>147</v>
      </c>
      <c r="L384" s="347" t="s">
        <v>20</v>
      </c>
      <c r="M384" s="687" t="s">
        <v>2322</v>
      </c>
      <c r="N384" s="684"/>
      <c r="O384" s="203"/>
      <c r="P384" s="203"/>
      <c r="Q384" s="203"/>
      <c r="R384" s="203"/>
      <c r="S384" s="203"/>
      <c r="T384" s="203"/>
      <c r="U384" s="203"/>
    </row>
    <row r="385" s="660" customFormat="1" ht="15.4" hidden="1" customHeight="1" spans="1:21">
      <c r="A385" s="687" t="s">
        <v>400</v>
      </c>
      <c r="B385" s="672" t="s">
        <v>2217</v>
      </c>
      <c r="C385" s="674" t="s">
        <v>2076</v>
      </c>
      <c r="D385" s="290">
        <v>32</v>
      </c>
      <c r="E385" s="281"/>
      <c r="F385" s="675"/>
      <c r="G385" s="675">
        <f t="shared" si="6"/>
        <v>45770</v>
      </c>
      <c r="H385" s="676">
        <f t="shared" si="7"/>
        <v>45787</v>
      </c>
      <c r="I385" s="748" t="s">
        <v>2319</v>
      </c>
      <c r="J385" s="750" t="s">
        <v>18</v>
      </c>
      <c r="K385" s="690" t="s">
        <v>147</v>
      </c>
      <c r="L385" s="347" t="s">
        <v>20</v>
      </c>
      <c r="M385" s="690" t="s">
        <v>2323</v>
      </c>
      <c r="N385" s="684"/>
      <c r="O385" s="203"/>
      <c r="P385" s="203"/>
      <c r="Q385" s="203"/>
      <c r="R385" s="203"/>
      <c r="S385" s="203"/>
      <c r="T385" s="203"/>
      <c r="U385" s="203"/>
    </row>
    <row r="386" s="660" customFormat="1" ht="15.4" hidden="1" customHeight="1" spans="1:21">
      <c r="A386" s="687" t="s">
        <v>400</v>
      </c>
      <c r="B386" s="672" t="s">
        <v>2217</v>
      </c>
      <c r="C386" s="674" t="s">
        <v>2279</v>
      </c>
      <c r="D386" s="290">
        <v>32</v>
      </c>
      <c r="E386" s="281"/>
      <c r="F386" s="675"/>
      <c r="G386" s="675">
        <f t="shared" si="6"/>
        <v>45770</v>
      </c>
      <c r="H386" s="676">
        <f t="shared" si="7"/>
        <v>45787</v>
      </c>
      <c r="I386" s="748" t="s">
        <v>2319</v>
      </c>
      <c r="J386" s="750" t="s">
        <v>18</v>
      </c>
      <c r="K386" s="690" t="s">
        <v>147</v>
      </c>
      <c r="L386" s="347" t="s">
        <v>20</v>
      </c>
      <c r="M386" s="687" t="s">
        <v>2280</v>
      </c>
      <c r="N386" s="684"/>
      <c r="O386" s="203"/>
      <c r="P386" s="203"/>
      <c r="Q386" s="203"/>
      <c r="R386" s="203"/>
      <c r="S386" s="203"/>
      <c r="T386" s="203"/>
      <c r="U386" s="203"/>
    </row>
    <row r="387" s="660" customFormat="1" ht="15.4" hidden="1" customHeight="1" spans="1:21">
      <c r="A387" s="687" t="s">
        <v>400</v>
      </c>
      <c r="B387" s="672" t="s">
        <v>2217</v>
      </c>
      <c r="C387" s="674" t="s">
        <v>2076</v>
      </c>
      <c r="D387" s="290">
        <v>10</v>
      </c>
      <c r="E387" s="281"/>
      <c r="F387" s="675"/>
      <c r="G387" s="675">
        <f t="shared" si="6"/>
        <v>45770</v>
      </c>
      <c r="H387" s="676">
        <f t="shared" si="7"/>
        <v>45787</v>
      </c>
      <c r="I387" s="748" t="s">
        <v>2319</v>
      </c>
      <c r="J387" s="750" t="s">
        <v>18</v>
      </c>
      <c r="K387" s="690" t="s">
        <v>147</v>
      </c>
      <c r="L387" s="347" t="s">
        <v>20</v>
      </c>
      <c r="M387" s="690" t="s">
        <v>2324</v>
      </c>
      <c r="N387" s="684"/>
      <c r="O387" s="203"/>
      <c r="P387" s="203"/>
      <c r="Q387" s="203"/>
      <c r="R387" s="203"/>
      <c r="S387" s="203"/>
      <c r="T387" s="203"/>
      <c r="U387" s="203"/>
    </row>
    <row r="388" s="660" customFormat="1" ht="15.4" hidden="1" customHeight="1" spans="1:21">
      <c r="A388" s="687" t="s">
        <v>400</v>
      </c>
      <c r="B388" s="672" t="s">
        <v>2217</v>
      </c>
      <c r="C388" s="674" t="s">
        <v>2279</v>
      </c>
      <c r="D388" s="290">
        <v>10</v>
      </c>
      <c r="E388" s="281"/>
      <c r="F388" s="675"/>
      <c r="G388" s="675">
        <f t="shared" si="6"/>
        <v>45770</v>
      </c>
      <c r="H388" s="676">
        <f t="shared" si="7"/>
        <v>45787</v>
      </c>
      <c r="I388" s="748" t="s">
        <v>2319</v>
      </c>
      <c r="J388" s="750" t="s">
        <v>18</v>
      </c>
      <c r="K388" s="690" t="s">
        <v>147</v>
      </c>
      <c r="L388" s="347" t="s">
        <v>20</v>
      </c>
      <c r="M388" s="687" t="s">
        <v>2325</v>
      </c>
      <c r="N388" s="684"/>
      <c r="O388" s="203"/>
      <c r="P388" s="203"/>
      <c r="Q388" s="203"/>
      <c r="R388" s="203"/>
      <c r="S388" s="203"/>
      <c r="T388" s="203"/>
      <c r="U388" s="203"/>
    </row>
    <row r="389" s="660" customFormat="1" ht="15.4" hidden="1" customHeight="1" spans="1:21">
      <c r="A389" s="687" t="s">
        <v>400</v>
      </c>
      <c r="B389" s="672" t="s">
        <v>2217</v>
      </c>
      <c r="C389" s="674" t="s">
        <v>2076</v>
      </c>
      <c r="D389" s="290">
        <v>3</v>
      </c>
      <c r="E389" s="281"/>
      <c r="F389" s="675"/>
      <c r="G389" s="675">
        <f t="shared" si="6"/>
        <v>45770</v>
      </c>
      <c r="H389" s="676">
        <f t="shared" si="7"/>
        <v>45787</v>
      </c>
      <c r="I389" s="748" t="s">
        <v>2319</v>
      </c>
      <c r="J389" s="750" t="s">
        <v>18</v>
      </c>
      <c r="K389" s="690" t="s">
        <v>147</v>
      </c>
      <c r="L389" s="347" t="s">
        <v>20</v>
      </c>
      <c r="M389" s="690" t="s">
        <v>2323</v>
      </c>
      <c r="N389" s="684"/>
      <c r="O389" s="203"/>
      <c r="P389" s="203"/>
      <c r="Q389" s="203"/>
      <c r="R389" s="203"/>
      <c r="S389" s="203"/>
      <c r="T389" s="203"/>
      <c r="U389" s="203"/>
    </row>
    <row r="390" s="660" customFormat="1" ht="15.4" hidden="1" customHeight="1" spans="1:21">
      <c r="A390" s="687" t="s">
        <v>400</v>
      </c>
      <c r="B390" s="672" t="s">
        <v>2217</v>
      </c>
      <c r="C390" s="674" t="s">
        <v>2279</v>
      </c>
      <c r="D390" s="290">
        <v>3</v>
      </c>
      <c r="E390" s="281"/>
      <c r="F390" s="675"/>
      <c r="G390" s="675">
        <f t="shared" si="6"/>
        <v>45770</v>
      </c>
      <c r="H390" s="676">
        <f t="shared" si="7"/>
        <v>45787</v>
      </c>
      <c r="I390" s="748" t="s">
        <v>2319</v>
      </c>
      <c r="J390" s="750" t="s">
        <v>18</v>
      </c>
      <c r="K390" s="690" t="s">
        <v>147</v>
      </c>
      <c r="L390" s="347" t="s">
        <v>20</v>
      </c>
      <c r="M390" s="687" t="s">
        <v>2280</v>
      </c>
      <c r="N390" s="684"/>
      <c r="O390" s="203"/>
      <c r="P390" s="203"/>
      <c r="Q390" s="203"/>
      <c r="R390" s="203"/>
      <c r="S390" s="203"/>
      <c r="T390" s="203"/>
      <c r="U390" s="203"/>
    </row>
    <row r="391" s="660" customFormat="1" ht="15.4" hidden="1" customHeight="1" spans="1:21">
      <c r="A391" s="687" t="s">
        <v>400</v>
      </c>
      <c r="B391" s="672" t="s">
        <v>2217</v>
      </c>
      <c r="C391" s="674" t="s">
        <v>2076</v>
      </c>
      <c r="D391" s="290">
        <v>31</v>
      </c>
      <c r="E391" s="720" t="s">
        <v>2326</v>
      </c>
      <c r="F391" s="675"/>
      <c r="G391" s="675">
        <f>VLOOKUP(CLEAN(SUBSTITUTE(TRIM(MID(E:E,FIND("/",E:E)+1,LEN(E:E)))," ","")),'Customs Decl. &amp; Local Delivery'!D:I,6,0)</f>
        <v>45770</v>
      </c>
      <c r="H391" s="676">
        <f>VLOOKUP(CLEAN(SUBSTITUTE(TRIM(MID(E:E,FIND("/",E:E)+1,LEN(E:E)))," ","")),'Customs Decl. &amp; Local Delivery'!D:J,7,0)</f>
        <v>45787</v>
      </c>
      <c r="I391" s="748" t="s">
        <v>2327</v>
      </c>
      <c r="J391" s="750" t="s">
        <v>18</v>
      </c>
      <c r="K391" s="690" t="s">
        <v>147</v>
      </c>
      <c r="L391" s="725" t="s">
        <v>20</v>
      </c>
      <c r="M391" s="732" t="s">
        <v>2328</v>
      </c>
      <c r="N391" s="684"/>
      <c r="O391" s="203"/>
      <c r="P391" s="203"/>
      <c r="Q391" s="203"/>
      <c r="R391" s="203"/>
      <c r="S391" s="203"/>
      <c r="T391" s="203"/>
      <c r="U391" s="203"/>
    </row>
    <row r="392" s="660" customFormat="1" ht="15.4" hidden="1" customHeight="1" spans="1:21">
      <c r="A392" s="687" t="s">
        <v>400</v>
      </c>
      <c r="B392" s="672" t="s">
        <v>2217</v>
      </c>
      <c r="C392" s="674" t="s">
        <v>2279</v>
      </c>
      <c r="D392" s="290">
        <v>31</v>
      </c>
      <c r="E392" s="281"/>
      <c r="F392" s="675"/>
      <c r="G392" s="675">
        <f t="shared" ref="G392:G397" si="8">G391</f>
        <v>45770</v>
      </c>
      <c r="H392" s="676">
        <f t="shared" ref="H392:H397" si="9">H391</f>
        <v>45787</v>
      </c>
      <c r="I392" s="748" t="s">
        <v>2327</v>
      </c>
      <c r="J392" s="750" t="s">
        <v>18</v>
      </c>
      <c r="K392" s="690" t="s">
        <v>147</v>
      </c>
      <c r="L392" s="347" t="s">
        <v>20</v>
      </c>
      <c r="M392" s="687" t="s">
        <v>2329</v>
      </c>
      <c r="N392" s="684"/>
      <c r="O392" s="203"/>
      <c r="P392" s="203"/>
      <c r="Q392" s="203"/>
      <c r="R392" s="203"/>
      <c r="S392" s="203"/>
      <c r="T392" s="203"/>
      <c r="U392" s="203"/>
    </row>
    <row r="393" s="660" customFormat="1" ht="15.4" hidden="1" customHeight="1" spans="1:21">
      <c r="A393" s="687" t="s">
        <v>910</v>
      </c>
      <c r="B393" s="690" t="s">
        <v>2305</v>
      </c>
      <c r="C393" s="732" t="s">
        <v>2090</v>
      </c>
      <c r="D393" s="313">
        <f>570-528</f>
        <v>42</v>
      </c>
      <c r="E393" s="281"/>
      <c r="F393" s="675"/>
      <c r="G393" s="675">
        <f t="shared" si="8"/>
        <v>45770</v>
      </c>
      <c r="H393" s="676">
        <f t="shared" si="9"/>
        <v>45787</v>
      </c>
      <c r="I393" s="748" t="s">
        <v>2327</v>
      </c>
      <c r="J393" s="687" t="s">
        <v>18</v>
      </c>
      <c r="K393" s="687" t="s">
        <v>147</v>
      </c>
      <c r="L393" s="347" t="s">
        <v>20</v>
      </c>
      <c r="M393" s="690" t="s">
        <v>2330</v>
      </c>
      <c r="N393" s="684"/>
      <c r="O393" s="203"/>
      <c r="P393" s="203"/>
      <c r="Q393" s="203"/>
      <c r="R393" s="203"/>
      <c r="S393" s="203"/>
      <c r="T393" s="203"/>
      <c r="U393" s="203"/>
    </row>
    <row r="394" s="660" customFormat="1" ht="15.4" hidden="1" customHeight="1" spans="1:21">
      <c r="A394" s="687" t="s">
        <v>910</v>
      </c>
      <c r="B394" s="690" t="s">
        <v>2305</v>
      </c>
      <c r="C394" s="732" t="s">
        <v>2090</v>
      </c>
      <c r="D394" s="313">
        <f>570-528</f>
        <v>42</v>
      </c>
      <c r="E394" s="281"/>
      <c r="F394" s="675"/>
      <c r="G394" s="675">
        <f t="shared" si="8"/>
        <v>45770</v>
      </c>
      <c r="H394" s="676">
        <f t="shared" si="9"/>
        <v>45787</v>
      </c>
      <c r="I394" s="748" t="s">
        <v>2327</v>
      </c>
      <c r="J394" s="687" t="s">
        <v>18</v>
      </c>
      <c r="K394" s="687" t="s">
        <v>147</v>
      </c>
      <c r="L394" s="347" t="s">
        <v>20</v>
      </c>
      <c r="M394" s="690" t="s">
        <v>2331</v>
      </c>
      <c r="N394" s="684"/>
      <c r="O394" s="203"/>
      <c r="P394" s="203"/>
      <c r="Q394" s="203"/>
      <c r="R394" s="203"/>
      <c r="S394" s="203"/>
      <c r="T394" s="203"/>
      <c r="U394" s="203"/>
    </row>
    <row r="395" s="660" customFormat="1" ht="15.4" hidden="1" customHeight="1" spans="1:21">
      <c r="A395" s="687" t="s">
        <v>910</v>
      </c>
      <c r="B395" s="690" t="s">
        <v>2305</v>
      </c>
      <c r="C395" s="732" t="s">
        <v>2090</v>
      </c>
      <c r="D395" s="313">
        <f>570-528</f>
        <v>42</v>
      </c>
      <c r="E395" s="281"/>
      <c r="F395" s="675"/>
      <c r="G395" s="675">
        <f t="shared" si="8"/>
        <v>45770</v>
      </c>
      <c r="H395" s="676">
        <f t="shared" si="9"/>
        <v>45787</v>
      </c>
      <c r="I395" s="748" t="s">
        <v>2327</v>
      </c>
      <c r="J395" s="687" t="s">
        <v>18</v>
      </c>
      <c r="K395" s="687" t="s">
        <v>147</v>
      </c>
      <c r="L395" s="347" t="s">
        <v>20</v>
      </c>
      <c r="M395" s="690" t="s">
        <v>2332</v>
      </c>
      <c r="N395" s="684"/>
      <c r="O395" s="203"/>
      <c r="P395" s="203"/>
      <c r="Q395" s="203"/>
      <c r="R395" s="203"/>
      <c r="S395" s="203"/>
      <c r="T395" s="203"/>
      <c r="U395" s="203"/>
    </row>
    <row r="396" s="660" customFormat="1" ht="15.4" hidden="1" customHeight="1" spans="1:21">
      <c r="A396" s="687" t="s">
        <v>910</v>
      </c>
      <c r="B396" s="690" t="s">
        <v>2305</v>
      </c>
      <c r="C396" s="732" t="s">
        <v>2090</v>
      </c>
      <c r="D396" s="313">
        <v>42</v>
      </c>
      <c r="E396" s="281"/>
      <c r="F396" s="675"/>
      <c r="G396" s="675">
        <f t="shared" si="8"/>
        <v>45770</v>
      </c>
      <c r="H396" s="676">
        <f t="shared" si="9"/>
        <v>45787</v>
      </c>
      <c r="I396" s="748" t="s">
        <v>2327</v>
      </c>
      <c r="J396" s="750" t="s">
        <v>18</v>
      </c>
      <c r="K396" s="687" t="s">
        <v>147</v>
      </c>
      <c r="L396" s="347" t="s">
        <v>20</v>
      </c>
      <c r="M396" s="690" t="s">
        <v>2333</v>
      </c>
      <c r="N396" s="684"/>
      <c r="O396" s="203"/>
      <c r="P396" s="203"/>
      <c r="Q396" s="203"/>
      <c r="R396" s="203"/>
      <c r="S396" s="203"/>
      <c r="T396" s="203"/>
      <c r="U396" s="203"/>
    </row>
    <row r="397" s="660" customFormat="1" ht="15.4" hidden="1" customHeight="1" spans="1:21">
      <c r="A397" s="687" t="s">
        <v>910</v>
      </c>
      <c r="B397" s="690" t="s">
        <v>2305</v>
      </c>
      <c r="C397" s="732" t="s">
        <v>2090</v>
      </c>
      <c r="D397" s="313">
        <v>42</v>
      </c>
      <c r="E397" s="281"/>
      <c r="F397" s="675"/>
      <c r="G397" s="675">
        <f t="shared" si="8"/>
        <v>45770</v>
      </c>
      <c r="H397" s="676">
        <f t="shared" si="9"/>
        <v>45787</v>
      </c>
      <c r="I397" s="748" t="s">
        <v>2327</v>
      </c>
      <c r="J397" s="750" t="s">
        <v>18</v>
      </c>
      <c r="K397" s="687" t="s">
        <v>147</v>
      </c>
      <c r="L397" s="347" t="s">
        <v>20</v>
      </c>
      <c r="M397" s="690" t="s">
        <v>2334</v>
      </c>
      <c r="N397" s="684"/>
      <c r="O397" s="203"/>
      <c r="P397" s="203"/>
      <c r="Q397" s="203"/>
      <c r="R397" s="203"/>
      <c r="S397" s="203"/>
      <c r="T397" s="203"/>
      <c r="U397" s="203"/>
    </row>
    <row r="398" s="660" customFormat="1" ht="15.4" hidden="1" customHeight="1" spans="1:21">
      <c r="A398" s="687" t="s">
        <v>910</v>
      </c>
      <c r="B398" s="690" t="s">
        <v>2305</v>
      </c>
      <c r="C398" s="732" t="s">
        <v>2087</v>
      </c>
      <c r="D398" s="313">
        <v>36</v>
      </c>
      <c r="E398" s="674" t="s">
        <v>2335</v>
      </c>
      <c r="F398" s="675"/>
      <c r="G398" s="675">
        <f>VLOOKUP(CLEAN(SUBSTITUTE(TRIM(MID(E:E,FIND("/",E:E)+1,LEN(E:E)))," ","")),'Customs Decl. &amp; Local Delivery'!D:I,6,0)</f>
        <v>45772</v>
      </c>
      <c r="H398" s="676">
        <f>VLOOKUP(CLEAN(SUBSTITUTE(TRIM(MID(E:E,FIND("/",E:E)+1,LEN(E:E)))," ","")),'Customs Decl. &amp; Local Delivery'!D:J,7,0)</f>
        <v>45803</v>
      </c>
      <c r="I398" s="690" t="s">
        <v>2336</v>
      </c>
      <c r="J398" s="760" t="s">
        <v>18</v>
      </c>
      <c r="K398" s="687" t="s">
        <v>2248</v>
      </c>
      <c r="L398" s="347" t="s">
        <v>20</v>
      </c>
      <c r="M398" s="687" t="s">
        <v>2337</v>
      </c>
      <c r="N398" s="761"/>
      <c r="O398" s="762"/>
      <c r="P398" s="762"/>
      <c r="Q398" s="762"/>
      <c r="R398" s="762"/>
      <c r="S398" s="762"/>
      <c r="T398" s="762"/>
      <c r="U398" s="762"/>
    </row>
    <row r="399" s="660" customFormat="1" ht="15.4" hidden="1" customHeight="1" spans="1:21">
      <c r="A399" s="687" t="s">
        <v>910</v>
      </c>
      <c r="B399" s="690" t="s">
        <v>2305</v>
      </c>
      <c r="C399" s="732" t="s">
        <v>2090</v>
      </c>
      <c r="D399" s="313">
        <v>36</v>
      </c>
      <c r="E399" s="281"/>
      <c r="F399" s="675"/>
      <c r="G399" s="675">
        <f>G398</f>
        <v>45772</v>
      </c>
      <c r="H399" s="676">
        <f>H398</f>
        <v>45803</v>
      </c>
      <c r="I399" s="690" t="s">
        <v>2336</v>
      </c>
      <c r="J399" s="760" t="s">
        <v>18</v>
      </c>
      <c r="K399" s="687" t="s">
        <v>2248</v>
      </c>
      <c r="L399" s="347" t="s">
        <v>20</v>
      </c>
      <c r="M399" s="690" t="s">
        <v>2338</v>
      </c>
      <c r="N399" s="761"/>
      <c r="O399" s="762"/>
      <c r="P399" s="762"/>
      <c r="Q399" s="762"/>
      <c r="R399" s="762"/>
      <c r="S399" s="762"/>
      <c r="T399" s="762"/>
      <c r="U399" s="762"/>
    </row>
    <row r="400" s="660" customFormat="1" ht="15.4" hidden="1" customHeight="1" spans="1:21">
      <c r="A400" s="687" t="s">
        <v>910</v>
      </c>
      <c r="B400" s="690" t="s">
        <v>2305</v>
      </c>
      <c r="C400" s="732" t="s">
        <v>2093</v>
      </c>
      <c r="D400" s="313">
        <v>20</v>
      </c>
      <c r="E400" s="281"/>
      <c r="F400" s="675"/>
      <c r="G400" s="675">
        <f>G399</f>
        <v>45772</v>
      </c>
      <c r="H400" s="676">
        <f>H399</f>
        <v>45803</v>
      </c>
      <c r="I400" s="690" t="s">
        <v>2336</v>
      </c>
      <c r="J400" s="760" t="s">
        <v>18</v>
      </c>
      <c r="K400" s="687" t="s">
        <v>2248</v>
      </c>
      <c r="L400" s="347" t="s">
        <v>20</v>
      </c>
      <c r="M400" s="690" t="s">
        <v>2339</v>
      </c>
      <c r="N400" s="761"/>
      <c r="O400" s="762"/>
      <c r="P400" s="762"/>
      <c r="Q400" s="762"/>
      <c r="R400" s="762"/>
      <c r="S400" s="762"/>
      <c r="T400" s="762"/>
      <c r="U400" s="762"/>
    </row>
    <row r="401" s="660" customFormat="1" ht="15.4" hidden="1" customHeight="1" spans="1:21">
      <c r="A401" s="687" t="s">
        <v>910</v>
      </c>
      <c r="B401" s="690" t="s">
        <v>2305</v>
      </c>
      <c r="C401" s="732" t="s">
        <v>2094</v>
      </c>
      <c r="D401" s="313">
        <v>15</v>
      </c>
      <c r="E401" s="69"/>
      <c r="F401" s="675"/>
      <c r="G401" s="675">
        <f>G400</f>
        <v>45772</v>
      </c>
      <c r="H401" s="676">
        <f>H400</f>
        <v>45803</v>
      </c>
      <c r="I401" s="690" t="s">
        <v>2336</v>
      </c>
      <c r="J401" s="760" t="s">
        <v>18</v>
      </c>
      <c r="K401" s="687" t="s">
        <v>2248</v>
      </c>
      <c r="L401" s="347" t="s">
        <v>20</v>
      </c>
      <c r="M401" s="690"/>
      <c r="N401" s="761"/>
      <c r="O401" s="762"/>
      <c r="P401" s="762"/>
      <c r="Q401" s="762"/>
      <c r="R401" s="762"/>
      <c r="S401" s="762"/>
      <c r="T401" s="762"/>
      <c r="U401" s="762"/>
    </row>
    <row r="402" s="660" customFormat="1" ht="15.4" hidden="1" customHeight="1" spans="1:21">
      <c r="A402" s="687" t="s">
        <v>910</v>
      </c>
      <c r="B402" s="690" t="s">
        <v>2305</v>
      </c>
      <c r="C402" s="732" t="s">
        <v>2340</v>
      </c>
      <c r="D402" s="313">
        <v>8</v>
      </c>
      <c r="E402" s="281"/>
      <c r="F402" s="675"/>
      <c r="G402" s="675">
        <f>G401</f>
        <v>45772</v>
      </c>
      <c r="H402" s="676">
        <f>H401</f>
        <v>45803</v>
      </c>
      <c r="I402" s="690" t="s">
        <v>2336</v>
      </c>
      <c r="J402" s="760" t="s">
        <v>18</v>
      </c>
      <c r="K402" s="687" t="s">
        <v>2248</v>
      </c>
      <c r="L402" s="347" t="s">
        <v>20</v>
      </c>
      <c r="M402" s="690"/>
      <c r="N402" s="761"/>
      <c r="O402" s="762"/>
      <c r="P402" s="762"/>
      <c r="Q402" s="762"/>
      <c r="R402" s="762"/>
      <c r="S402" s="762"/>
      <c r="T402" s="762"/>
      <c r="U402" s="762"/>
    </row>
    <row r="403" s="660" customFormat="1" ht="15.4" hidden="1" customHeight="1" spans="1:21">
      <c r="A403" s="687" t="s">
        <v>910</v>
      </c>
      <c r="B403" s="690" t="s">
        <v>2305</v>
      </c>
      <c r="C403" s="732" t="s">
        <v>2095</v>
      </c>
      <c r="D403" s="313">
        <v>30</v>
      </c>
      <c r="E403" s="281"/>
      <c r="F403" s="675"/>
      <c r="G403" s="675">
        <f>G402</f>
        <v>45772</v>
      </c>
      <c r="H403" s="676">
        <f>H402</f>
        <v>45803</v>
      </c>
      <c r="I403" s="690" t="s">
        <v>2336</v>
      </c>
      <c r="J403" s="760" t="s">
        <v>18</v>
      </c>
      <c r="K403" s="687" t="s">
        <v>2248</v>
      </c>
      <c r="L403" s="347" t="s">
        <v>20</v>
      </c>
      <c r="M403" s="690"/>
      <c r="N403" s="761"/>
      <c r="O403" s="762"/>
      <c r="P403" s="762"/>
      <c r="Q403" s="762"/>
      <c r="R403" s="762"/>
      <c r="S403" s="762"/>
      <c r="T403" s="762"/>
      <c r="U403" s="762"/>
    </row>
    <row r="404" s="660" customFormat="1" ht="15.4" hidden="1" customHeight="1" spans="1:21">
      <c r="A404" s="687" t="s">
        <v>910</v>
      </c>
      <c r="B404" s="690" t="s">
        <v>2305</v>
      </c>
      <c r="C404" s="732" t="s">
        <v>2087</v>
      </c>
      <c r="D404" s="313">
        <v>36</v>
      </c>
      <c r="E404" s="674" t="s">
        <v>2341</v>
      </c>
      <c r="F404" s="675"/>
      <c r="G404" s="675">
        <f>VLOOKUP(CLEAN(SUBSTITUTE(TRIM(MID(E:E,FIND("/",E:E)+1,LEN(E:E)))," ","")),'Customs Decl. &amp; Local Delivery'!D:I,6,0)</f>
        <v>45772</v>
      </c>
      <c r="H404" s="676">
        <f>VLOOKUP(CLEAN(SUBSTITUTE(TRIM(MID(E:E,FIND("/",E:E)+1,LEN(E:E)))," ","")),'Customs Decl. &amp; Local Delivery'!D:J,7,0)</f>
        <v>45803</v>
      </c>
      <c r="I404" s="690" t="s">
        <v>2336</v>
      </c>
      <c r="J404" s="760" t="s">
        <v>18</v>
      </c>
      <c r="K404" s="751" t="s">
        <v>2342</v>
      </c>
      <c r="L404" s="347" t="s">
        <v>20</v>
      </c>
      <c r="M404" s="687" t="s">
        <v>2337</v>
      </c>
      <c r="N404" s="761"/>
      <c r="O404" s="762"/>
      <c r="P404" s="762"/>
      <c r="Q404" s="762"/>
      <c r="R404" s="762"/>
      <c r="S404" s="762"/>
      <c r="T404" s="762"/>
      <c r="U404" s="762"/>
    </row>
    <row r="405" s="660" customFormat="1" ht="15.4" hidden="1" customHeight="1" spans="1:21">
      <c r="A405" s="687" t="s">
        <v>910</v>
      </c>
      <c r="B405" s="690" t="s">
        <v>2305</v>
      </c>
      <c r="C405" s="732" t="s">
        <v>2090</v>
      </c>
      <c r="D405" s="313">
        <v>36</v>
      </c>
      <c r="E405" s="281"/>
      <c r="F405" s="675"/>
      <c r="G405" s="675">
        <f>G404</f>
        <v>45772</v>
      </c>
      <c r="H405" s="676">
        <f>H404</f>
        <v>45803</v>
      </c>
      <c r="I405" s="690" t="s">
        <v>2336</v>
      </c>
      <c r="J405" s="760" t="s">
        <v>18</v>
      </c>
      <c r="K405" s="751" t="s">
        <v>2342</v>
      </c>
      <c r="L405" s="347" t="s">
        <v>20</v>
      </c>
      <c r="M405" s="687" t="s">
        <v>2343</v>
      </c>
      <c r="N405" s="761"/>
      <c r="O405" s="762"/>
      <c r="P405" s="762"/>
      <c r="Q405" s="762"/>
      <c r="R405" s="762"/>
      <c r="S405" s="762"/>
      <c r="T405" s="762"/>
      <c r="U405" s="762"/>
    </row>
    <row r="406" s="660" customFormat="1" ht="15.4" hidden="1" customHeight="1" spans="1:21">
      <c r="A406" s="687" t="s">
        <v>910</v>
      </c>
      <c r="B406" s="690" t="s">
        <v>2305</v>
      </c>
      <c r="C406" s="732" t="s">
        <v>2093</v>
      </c>
      <c r="D406" s="313">
        <v>20</v>
      </c>
      <c r="E406" s="281"/>
      <c r="F406" s="675"/>
      <c r="G406" s="675">
        <f>G405</f>
        <v>45772</v>
      </c>
      <c r="H406" s="676">
        <f>H405</f>
        <v>45803</v>
      </c>
      <c r="I406" s="690" t="s">
        <v>2336</v>
      </c>
      <c r="J406" s="760" t="s">
        <v>18</v>
      </c>
      <c r="K406" s="751" t="s">
        <v>2342</v>
      </c>
      <c r="L406" s="347" t="s">
        <v>20</v>
      </c>
      <c r="M406" s="687"/>
      <c r="N406" s="761"/>
      <c r="O406" s="762"/>
      <c r="P406" s="762"/>
      <c r="Q406" s="762"/>
      <c r="R406" s="762"/>
      <c r="S406" s="762"/>
      <c r="T406" s="762"/>
      <c r="U406" s="762"/>
    </row>
    <row r="407" s="660" customFormat="1" ht="15.4" hidden="1" customHeight="1" spans="1:21">
      <c r="A407" s="687" t="s">
        <v>910</v>
      </c>
      <c r="B407" s="690" t="s">
        <v>2305</v>
      </c>
      <c r="C407" s="732" t="s">
        <v>2094</v>
      </c>
      <c r="D407" s="313">
        <v>15</v>
      </c>
      <c r="E407" s="281"/>
      <c r="F407" s="675"/>
      <c r="G407" s="675">
        <f>G406</f>
        <v>45772</v>
      </c>
      <c r="H407" s="676">
        <f>H406</f>
        <v>45803</v>
      </c>
      <c r="I407" s="690" t="s">
        <v>2336</v>
      </c>
      <c r="J407" s="760" t="s">
        <v>18</v>
      </c>
      <c r="K407" s="751" t="s">
        <v>2342</v>
      </c>
      <c r="L407" s="347" t="s">
        <v>20</v>
      </c>
      <c r="M407" s="687"/>
      <c r="N407" s="761"/>
      <c r="O407" s="762"/>
      <c r="P407" s="762"/>
      <c r="Q407" s="762"/>
      <c r="R407" s="762"/>
      <c r="S407" s="762"/>
      <c r="T407" s="762"/>
      <c r="U407" s="762"/>
    </row>
    <row r="408" s="660" customFormat="1" ht="15.4" hidden="1" customHeight="1" spans="1:21">
      <c r="A408" s="687" t="s">
        <v>910</v>
      </c>
      <c r="B408" s="690" t="s">
        <v>2305</v>
      </c>
      <c r="C408" s="732" t="s">
        <v>2340</v>
      </c>
      <c r="D408" s="313">
        <v>8</v>
      </c>
      <c r="E408" s="281"/>
      <c r="F408" s="675"/>
      <c r="G408" s="675">
        <f>G407</f>
        <v>45772</v>
      </c>
      <c r="H408" s="676">
        <f>H407</f>
        <v>45803</v>
      </c>
      <c r="I408" s="690" t="s">
        <v>2336</v>
      </c>
      <c r="J408" s="760" t="s">
        <v>18</v>
      </c>
      <c r="K408" s="751" t="s">
        <v>2342</v>
      </c>
      <c r="L408" s="347" t="s">
        <v>20</v>
      </c>
      <c r="M408" s="687"/>
      <c r="N408" s="761"/>
      <c r="O408" s="762"/>
      <c r="P408" s="762"/>
      <c r="Q408" s="762"/>
      <c r="R408" s="762"/>
      <c r="S408" s="762"/>
      <c r="T408" s="762"/>
      <c r="U408" s="762"/>
    </row>
    <row r="409" s="660" customFormat="1" ht="15.4" hidden="1" customHeight="1" spans="1:21">
      <c r="A409" s="687" t="s">
        <v>910</v>
      </c>
      <c r="B409" s="690" t="s">
        <v>2305</v>
      </c>
      <c r="C409" s="732" t="s">
        <v>2095</v>
      </c>
      <c r="D409" s="313">
        <v>30</v>
      </c>
      <c r="E409" s="281"/>
      <c r="F409" s="675"/>
      <c r="G409" s="675">
        <f>G408</f>
        <v>45772</v>
      </c>
      <c r="H409" s="676">
        <f>H408</f>
        <v>45803</v>
      </c>
      <c r="I409" s="690" t="s">
        <v>2336</v>
      </c>
      <c r="J409" s="760" t="s">
        <v>18</v>
      </c>
      <c r="K409" s="751" t="s">
        <v>2342</v>
      </c>
      <c r="L409" s="347" t="s">
        <v>20</v>
      </c>
      <c r="M409" s="687"/>
      <c r="N409" s="761"/>
      <c r="O409" s="762"/>
      <c r="P409" s="762"/>
      <c r="Q409" s="762"/>
      <c r="R409" s="762"/>
      <c r="S409" s="762"/>
      <c r="T409" s="762"/>
      <c r="U409" s="762"/>
    </row>
    <row r="410" s="660" customFormat="1" ht="15.4" hidden="1" customHeight="1" spans="1:21">
      <c r="A410" s="687" t="s">
        <v>910</v>
      </c>
      <c r="B410" s="690" t="s">
        <v>2305</v>
      </c>
      <c r="C410" s="732" t="s">
        <v>2087</v>
      </c>
      <c r="D410" s="313">
        <v>36</v>
      </c>
      <c r="E410" s="674" t="s">
        <v>2344</v>
      </c>
      <c r="F410" s="675"/>
      <c r="G410" s="675">
        <f>VLOOKUP(CLEAN(SUBSTITUTE(TRIM(MID(E:E,FIND("/",E:E)+1,LEN(E:E)))," ","")),'Customs Decl. &amp; Local Delivery'!D:I,6,0)</f>
        <v>45772</v>
      </c>
      <c r="H410" s="676">
        <f>VLOOKUP(CLEAN(SUBSTITUTE(TRIM(MID(E:E,FIND("/",E:E)+1,LEN(E:E)))," ","")),'Customs Decl. &amp; Local Delivery'!D:J,7,0)</f>
        <v>45803</v>
      </c>
      <c r="I410" s="690" t="s">
        <v>2336</v>
      </c>
      <c r="J410" s="760" t="s">
        <v>18</v>
      </c>
      <c r="K410" s="687" t="s">
        <v>2248</v>
      </c>
      <c r="L410" s="347" t="s">
        <v>20</v>
      </c>
      <c r="M410" s="687" t="s">
        <v>2337</v>
      </c>
      <c r="N410" s="761"/>
      <c r="O410" s="762"/>
      <c r="P410" s="762"/>
      <c r="Q410" s="762"/>
      <c r="R410" s="762"/>
      <c r="S410" s="762"/>
      <c r="T410" s="762"/>
      <c r="U410" s="762"/>
    </row>
    <row r="411" s="660" customFormat="1" ht="15.4" hidden="1" customHeight="1" spans="1:21">
      <c r="A411" s="687" t="s">
        <v>910</v>
      </c>
      <c r="B411" s="690" t="s">
        <v>2305</v>
      </c>
      <c r="C411" s="732" t="s">
        <v>2090</v>
      </c>
      <c r="D411" s="313">
        <v>36</v>
      </c>
      <c r="E411" s="281"/>
      <c r="F411" s="675"/>
      <c r="G411" s="675">
        <f>G410</f>
        <v>45772</v>
      </c>
      <c r="H411" s="676">
        <f>H410</f>
        <v>45803</v>
      </c>
      <c r="I411" s="690" t="s">
        <v>2336</v>
      </c>
      <c r="J411" s="760" t="s">
        <v>18</v>
      </c>
      <c r="K411" s="687" t="s">
        <v>2248</v>
      </c>
      <c r="L411" s="347" t="s">
        <v>20</v>
      </c>
      <c r="M411" s="687" t="s">
        <v>2339</v>
      </c>
      <c r="N411" s="761"/>
      <c r="O411" s="762"/>
      <c r="P411" s="762"/>
      <c r="Q411" s="762"/>
      <c r="R411" s="762"/>
      <c r="S411" s="762"/>
      <c r="T411" s="762"/>
      <c r="U411" s="762"/>
    </row>
    <row r="412" s="660" customFormat="1" ht="15.4" hidden="1" customHeight="1" spans="1:21">
      <c r="A412" s="687" t="s">
        <v>910</v>
      </c>
      <c r="B412" s="690" t="s">
        <v>2305</v>
      </c>
      <c r="C412" s="732" t="s">
        <v>2093</v>
      </c>
      <c r="D412" s="313">
        <v>20</v>
      </c>
      <c r="E412" s="281"/>
      <c r="F412" s="675"/>
      <c r="G412" s="675">
        <f>G411</f>
        <v>45772</v>
      </c>
      <c r="H412" s="676">
        <f>H411</f>
        <v>45803</v>
      </c>
      <c r="I412" s="690" t="s">
        <v>2336</v>
      </c>
      <c r="J412" s="760" t="s">
        <v>18</v>
      </c>
      <c r="K412" s="687" t="s">
        <v>2248</v>
      </c>
      <c r="L412" s="347" t="s">
        <v>20</v>
      </c>
      <c r="M412" s="687"/>
      <c r="N412" s="761"/>
      <c r="O412" s="762"/>
      <c r="P412" s="762"/>
      <c r="Q412" s="762"/>
      <c r="R412" s="762"/>
      <c r="S412" s="762"/>
      <c r="T412" s="762"/>
      <c r="U412" s="762"/>
    </row>
    <row r="413" s="660" customFormat="1" ht="15.4" hidden="1" customHeight="1" spans="1:21">
      <c r="A413" s="687" t="s">
        <v>910</v>
      </c>
      <c r="B413" s="690" t="s">
        <v>2305</v>
      </c>
      <c r="C413" s="732" t="s">
        <v>2094</v>
      </c>
      <c r="D413" s="313">
        <v>15</v>
      </c>
      <c r="E413" s="281"/>
      <c r="F413" s="675"/>
      <c r="G413" s="675">
        <f>G412</f>
        <v>45772</v>
      </c>
      <c r="H413" s="676">
        <f>H412</f>
        <v>45803</v>
      </c>
      <c r="I413" s="690" t="s">
        <v>2336</v>
      </c>
      <c r="J413" s="760" t="s">
        <v>18</v>
      </c>
      <c r="K413" s="687" t="s">
        <v>2248</v>
      </c>
      <c r="L413" s="347" t="s">
        <v>20</v>
      </c>
      <c r="M413" s="687"/>
      <c r="N413" s="761"/>
      <c r="O413" s="762"/>
      <c r="P413" s="762"/>
      <c r="Q413" s="762"/>
      <c r="R413" s="762"/>
      <c r="S413" s="762"/>
      <c r="T413" s="762"/>
      <c r="U413" s="762"/>
    </row>
    <row r="414" s="660" customFormat="1" ht="15.4" hidden="1" customHeight="1" spans="1:21">
      <c r="A414" s="687" t="s">
        <v>910</v>
      </c>
      <c r="B414" s="690" t="s">
        <v>2305</v>
      </c>
      <c r="C414" s="732" t="s">
        <v>2340</v>
      </c>
      <c r="D414" s="313">
        <v>8</v>
      </c>
      <c r="E414" s="69"/>
      <c r="F414" s="675"/>
      <c r="G414" s="675">
        <f>G413</f>
        <v>45772</v>
      </c>
      <c r="H414" s="676">
        <f>H413</f>
        <v>45803</v>
      </c>
      <c r="I414" s="690" t="s">
        <v>2336</v>
      </c>
      <c r="J414" s="760" t="s">
        <v>18</v>
      </c>
      <c r="K414" s="687" t="s">
        <v>2248</v>
      </c>
      <c r="L414" s="347" t="s">
        <v>20</v>
      </c>
      <c r="M414" s="687"/>
      <c r="N414" s="761"/>
      <c r="O414" s="762"/>
      <c r="P414" s="762"/>
      <c r="Q414" s="762"/>
      <c r="R414" s="762"/>
      <c r="S414" s="762"/>
      <c r="T414" s="762"/>
      <c r="U414" s="762"/>
    </row>
    <row r="415" s="660" customFormat="1" ht="15.4" hidden="1" customHeight="1" spans="1:21">
      <c r="A415" s="751" t="s">
        <v>910</v>
      </c>
      <c r="B415" s="685" t="s">
        <v>2305</v>
      </c>
      <c r="C415" s="752" t="s">
        <v>2095</v>
      </c>
      <c r="D415" s="317">
        <v>30</v>
      </c>
      <c r="E415" s="281"/>
      <c r="F415" s="675"/>
      <c r="G415" s="753">
        <f>G414</f>
        <v>45772</v>
      </c>
      <c r="H415" s="754">
        <f>H414</f>
        <v>45803</v>
      </c>
      <c r="I415" s="685" t="s">
        <v>2336</v>
      </c>
      <c r="J415" s="760" t="s">
        <v>18</v>
      </c>
      <c r="K415" s="687" t="s">
        <v>2248</v>
      </c>
      <c r="L415" s="347" t="s">
        <v>20</v>
      </c>
      <c r="M415" s="687"/>
      <c r="N415" s="761"/>
      <c r="O415" s="762"/>
      <c r="P415" s="762"/>
      <c r="Q415" s="762"/>
      <c r="R415" s="762"/>
      <c r="S415" s="762"/>
      <c r="T415" s="762"/>
      <c r="U415" s="762"/>
    </row>
    <row r="416" s="660" customFormat="1" ht="15.4" hidden="1" customHeight="1" spans="1:21">
      <c r="A416" s="687" t="s">
        <v>910</v>
      </c>
      <c r="B416" s="690" t="s">
        <v>2305</v>
      </c>
      <c r="C416" s="732" t="s">
        <v>2087</v>
      </c>
      <c r="D416" s="313">
        <v>36</v>
      </c>
      <c r="E416" s="674" t="s">
        <v>2345</v>
      </c>
      <c r="F416" s="675"/>
      <c r="G416" s="675">
        <f>VLOOKUP(CLEAN(SUBSTITUTE(TRIM(MID(E:E,FIND("/",E:E)+1,LEN(E:E)))," ","")),'Customs Decl. &amp; Local Delivery'!D:I,6,0)</f>
        <v>45774</v>
      </c>
      <c r="H416" s="676">
        <f>VLOOKUP(CLEAN(SUBSTITUTE(TRIM(MID(E:E,FIND("/",E:E)+1,LEN(E:E)))," ","")),'Customs Decl. &amp; Local Delivery'!D:J,7,0)</f>
        <v>45802</v>
      </c>
      <c r="I416" s="687" t="s">
        <v>2346</v>
      </c>
      <c r="J416" s="760" t="s">
        <v>18</v>
      </c>
      <c r="K416" s="687" t="s">
        <v>2248</v>
      </c>
      <c r="L416" s="347" t="s">
        <v>20</v>
      </c>
      <c r="M416" s="687" t="s">
        <v>2347</v>
      </c>
      <c r="N416" s="761"/>
      <c r="O416" s="762"/>
      <c r="P416" s="762"/>
      <c r="Q416" s="762"/>
      <c r="R416" s="762"/>
      <c r="S416" s="762"/>
      <c r="T416" s="762"/>
      <c r="U416" s="762"/>
    </row>
    <row r="417" s="660" customFormat="1" ht="15.4" hidden="1" customHeight="1" spans="1:21">
      <c r="A417" s="687" t="s">
        <v>910</v>
      </c>
      <c r="B417" s="690" t="s">
        <v>2305</v>
      </c>
      <c r="C417" s="732" t="s">
        <v>2090</v>
      </c>
      <c r="D417" s="313">
        <v>36</v>
      </c>
      <c r="E417" s="281"/>
      <c r="F417" s="675"/>
      <c r="G417" s="675">
        <f>G416</f>
        <v>45774</v>
      </c>
      <c r="H417" s="676">
        <f>H416</f>
        <v>45802</v>
      </c>
      <c r="I417" s="690" t="s">
        <v>2346</v>
      </c>
      <c r="J417" s="760" t="s">
        <v>18</v>
      </c>
      <c r="K417" s="687" t="s">
        <v>2248</v>
      </c>
      <c r="L417" s="347" t="s">
        <v>20</v>
      </c>
      <c r="M417" s="687" t="s">
        <v>2339</v>
      </c>
      <c r="N417" s="761"/>
      <c r="O417" s="762"/>
      <c r="P417" s="762"/>
      <c r="Q417" s="762"/>
      <c r="R417" s="762"/>
      <c r="S417" s="762"/>
      <c r="T417" s="762"/>
      <c r="U417" s="762"/>
    </row>
    <row r="418" s="660" customFormat="1" ht="15.4" hidden="1" customHeight="1" spans="1:21">
      <c r="A418" s="687" t="s">
        <v>910</v>
      </c>
      <c r="B418" s="690" t="s">
        <v>2305</v>
      </c>
      <c r="C418" s="732" t="s">
        <v>2093</v>
      </c>
      <c r="D418" s="313">
        <v>20</v>
      </c>
      <c r="E418" s="281"/>
      <c r="F418" s="675"/>
      <c r="G418" s="675">
        <f>G417</f>
        <v>45774</v>
      </c>
      <c r="H418" s="676">
        <f>H417</f>
        <v>45802</v>
      </c>
      <c r="I418" s="690" t="s">
        <v>2346</v>
      </c>
      <c r="J418" s="760" t="s">
        <v>18</v>
      </c>
      <c r="K418" s="687" t="s">
        <v>2248</v>
      </c>
      <c r="L418" s="347" t="s">
        <v>20</v>
      </c>
      <c r="M418" s="687"/>
      <c r="N418" s="761"/>
      <c r="O418" s="762"/>
      <c r="P418" s="762"/>
      <c r="Q418" s="762"/>
      <c r="R418" s="762"/>
      <c r="S418" s="762"/>
      <c r="T418" s="762"/>
      <c r="U418" s="762"/>
    </row>
    <row r="419" s="660" customFormat="1" ht="15.4" hidden="1" customHeight="1" spans="1:21">
      <c r="A419" s="687" t="s">
        <v>910</v>
      </c>
      <c r="B419" s="690" t="s">
        <v>2305</v>
      </c>
      <c r="C419" s="732" t="s">
        <v>2094</v>
      </c>
      <c r="D419" s="313">
        <v>15</v>
      </c>
      <c r="E419" s="281"/>
      <c r="F419" s="675"/>
      <c r="G419" s="675">
        <f>G418</f>
        <v>45774</v>
      </c>
      <c r="H419" s="676">
        <f>H418</f>
        <v>45802</v>
      </c>
      <c r="I419" s="690" t="s">
        <v>2346</v>
      </c>
      <c r="J419" s="760" t="s">
        <v>18</v>
      </c>
      <c r="K419" s="687" t="s">
        <v>2248</v>
      </c>
      <c r="L419" s="347" t="s">
        <v>20</v>
      </c>
      <c r="M419" s="687"/>
      <c r="N419" s="761"/>
      <c r="O419" s="762"/>
      <c r="P419" s="762"/>
      <c r="Q419" s="762"/>
      <c r="R419" s="762"/>
      <c r="S419" s="762"/>
      <c r="T419" s="762"/>
      <c r="U419" s="762"/>
    </row>
    <row r="420" s="660" customFormat="1" ht="15.4" hidden="1" customHeight="1" spans="1:21">
      <c r="A420" s="687" t="s">
        <v>910</v>
      </c>
      <c r="B420" s="690" t="s">
        <v>2305</v>
      </c>
      <c r="C420" s="732" t="s">
        <v>2340</v>
      </c>
      <c r="D420" s="313">
        <v>8</v>
      </c>
      <c r="E420" s="69"/>
      <c r="F420" s="675"/>
      <c r="G420" s="675">
        <f>G419</f>
        <v>45774</v>
      </c>
      <c r="H420" s="676">
        <f>H419</f>
        <v>45802</v>
      </c>
      <c r="I420" s="690" t="s">
        <v>2346</v>
      </c>
      <c r="J420" s="760" t="s">
        <v>18</v>
      </c>
      <c r="K420" s="687" t="s">
        <v>2248</v>
      </c>
      <c r="L420" s="347" t="s">
        <v>20</v>
      </c>
      <c r="M420" s="687"/>
      <c r="N420" s="761"/>
      <c r="O420" s="762"/>
      <c r="P420" s="762"/>
      <c r="Q420" s="762"/>
      <c r="R420" s="762"/>
      <c r="S420" s="762"/>
      <c r="T420" s="762"/>
      <c r="U420" s="762"/>
    </row>
    <row r="421" s="660" customFormat="1" ht="15.4" hidden="1" customHeight="1" spans="1:21">
      <c r="A421" s="687" t="s">
        <v>910</v>
      </c>
      <c r="B421" s="690" t="s">
        <v>2305</v>
      </c>
      <c r="C421" s="732" t="s">
        <v>2095</v>
      </c>
      <c r="D421" s="313">
        <v>30</v>
      </c>
      <c r="E421" s="281"/>
      <c r="F421" s="675"/>
      <c r="G421" s="675">
        <f>G420</f>
        <v>45774</v>
      </c>
      <c r="H421" s="676">
        <f>H420</f>
        <v>45802</v>
      </c>
      <c r="I421" s="690" t="s">
        <v>2346</v>
      </c>
      <c r="J421" s="760" t="s">
        <v>18</v>
      </c>
      <c r="K421" s="687" t="s">
        <v>2248</v>
      </c>
      <c r="L421" s="347" t="s">
        <v>20</v>
      </c>
      <c r="M421" s="687"/>
      <c r="N421" s="761"/>
      <c r="O421" s="762"/>
      <c r="P421" s="762"/>
      <c r="Q421" s="762"/>
      <c r="R421" s="762"/>
      <c r="S421" s="762"/>
      <c r="T421" s="762"/>
      <c r="U421" s="762"/>
    </row>
    <row r="422" s="660" customFormat="1" ht="15.4" hidden="1" customHeight="1" spans="1:21">
      <c r="A422" s="687" t="s">
        <v>910</v>
      </c>
      <c r="B422" s="690" t="s">
        <v>2305</v>
      </c>
      <c r="C422" s="732" t="s">
        <v>2087</v>
      </c>
      <c r="D422" s="313">
        <v>36</v>
      </c>
      <c r="E422" s="674" t="s">
        <v>2348</v>
      </c>
      <c r="F422" s="675"/>
      <c r="G422" s="675">
        <f>VLOOKUP(CLEAN(SUBSTITUTE(TRIM(MID(E:E,FIND("/",E:E)+1,LEN(E:E)))," ","")),'Customs Decl. &amp; Local Delivery'!D:I,6,0)</f>
        <v>45775</v>
      </c>
      <c r="H422" s="676">
        <f>VLOOKUP(CLEAN(SUBSTITUTE(TRIM(MID(E:E,FIND("/",E:E)+1,LEN(E:E)))," ","")),'Customs Decl. &amp; Local Delivery'!D:J,7,0)</f>
        <v>45801</v>
      </c>
      <c r="I422" s="685" t="s">
        <v>2349</v>
      </c>
      <c r="J422" s="687" t="s">
        <v>18</v>
      </c>
      <c r="K422" s="687" t="s">
        <v>654</v>
      </c>
      <c r="L422" s="347" t="s">
        <v>20</v>
      </c>
      <c r="M422" s="687" t="s">
        <v>2350</v>
      </c>
      <c r="N422" s="761"/>
      <c r="O422" s="762"/>
      <c r="P422" s="762"/>
      <c r="Q422" s="762"/>
      <c r="R422" s="762"/>
      <c r="S422" s="762"/>
      <c r="T422" s="762"/>
      <c r="U422" s="762"/>
    </row>
    <row r="423" s="660" customFormat="1" ht="15.4" hidden="1" customHeight="1" spans="1:21">
      <c r="A423" s="687" t="s">
        <v>910</v>
      </c>
      <c r="B423" s="690" t="s">
        <v>2305</v>
      </c>
      <c r="C423" s="732" t="s">
        <v>2090</v>
      </c>
      <c r="D423" s="313">
        <v>36</v>
      </c>
      <c r="E423" s="281"/>
      <c r="F423" s="675"/>
      <c r="G423" s="675">
        <f>G422</f>
        <v>45775</v>
      </c>
      <c r="H423" s="676">
        <f>H422</f>
        <v>45801</v>
      </c>
      <c r="I423" s="685" t="s">
        <v>2349</v>
      </c>
      <c r="J423" s="763" t="s">
        <v>18</v>
      </c>
      <c r="K423" s="687" t="s">
        <v>654</v>
      </c>
      <c r="L423" s="347" t="s">
        <v>20</v>
      </c>
      <c r="M423" s="687" t="s">
        <v>2351</v>
      </c>
      <c r="N423" s="761"/>
      <c r="O423" s="762"/>
      <c r="P423" s="762"/>
      <c r="Q423" s="762"/>
      <c r="R423" s="762"/>
      <c r="S423" s="762"/>
      <c r="T423" s="762"/>
      <c r="U423" s="762"/>
    </row>
    <row r="424" s="660" customFormat="1" ht="15.4" hidden="1" customHeight="1" spans="1:21">
      <c r="A424" s="687" t="s">
        <v>910</v>
      </c>
      <c r="B424" s="690" t="s">
        <v>2305</v>
      </c>
      <c r="C424" s="732" t="s">
        <v>2093</v>
      </c>
      <c r="D424" s="313">
        <v>20</v>
      </c>
      <c r="E424" s="281"/>
      <c r="F424" s="675"/>
      <c r="G424" s="675">
        <f>G423</f>
        <v>45775</v>
      </c>
      <c r="H424" s="676">
        <f>H423</f>
        <v>45801</v>
      </c>
      <c r="I424" s="685" t="s">
        <v>2349</v>
      </c>
      <c r="J424" s="751" t="s">
        <v>18</v>
      </c>
      <c r="K424" s="687" t="s">
        <v>654</v>
      </c>
      <c r="L424" s="347" t="s">
        <v>20</v>
      </c>
      <c r="M424" s="687"/>
      <c r="N424" s="761"/>
      <c r="O424" s="762"/>
      <c r="P424" s="762"/>
      <c r="Q424" s="762"/>
      <c r="R424" s="762"/>
      <c r="S424" s="762"/>
      <c r="T424" s="762"/>
      <c r="U424" s="762"/>
    </row>
    <row r="425" s="660" customFormat="1" ht="15.4" hidden="1" customHeight="1" spans="1:21">
      <c r="A425" s="687" t="s">
        <v>910</v>
      </c>
      <c r="B425" s="690" t="s">
        <v>2305</v>
      </c>
      <c r="C425" s="732" t="s">
        <v>2094</v>
      </c>
      <c r="D425" s="313">
        <v>15</v>
      </c>
      <c r="E425" s="281"/>
      <c r="F425" s="675"/>
      <c r="G425" s="675">
        <f>G424</f>
        <v>45775</v>
      </c>
      <c r="H425" s="676">
        <f>H424</f>
        <v>45801</v>
      </c>
      <c r="I425" s="685" t="s">
        <v>2349</v>
      </c>
      <c r="J425" s="751" t="s">
        <v>18</v>
      </c>
      <c r="K425" s="687" t="s">
        <v>654</v>
      </c>
      <c r="L425" s="347" t="s">
        <v>20</v>
      </c>
      <c r="M425" s="687"/>
      <c r="N425" s="761"/>
      <c r="O425" s="762"/>
      <c r="P425" s="762"/>
      <c r="Q425" s="762"/>
      <c r="R425" s="762"/>
      <c r="S425" s="762"/>
      <c r="T425" s="762"/>
      <c r="U425" s="762"/>
    </row>
    <row r="426" s="660" customFormat="1" ht="15.4" hidden="1" customHeight="1" spans="1:21">
      <c r="A426" s="687" t="s">
        <v>910</v>
      </c>
      <c r="B426" s="690" t="s">
        <v>2305</v>
      </c>
      <c r="C426" s="732" t="s">
        <v>2340</v>
      </c>
      <c r="D426" s="313">
        <v>8</v>
      </c>
      <c r="E426" s="281"/>
      <c r="F426" s="675"/>
      <c r="G426" s="675">
        <f>G425</f>
        <v>45775</v>
      </c>
      <c r="H426" s="676">
        <f>H425</f>
        <v>45801</v>
      </c>
      <c r="I426" s="685" t="s">
        <v>2349</v>
      </c>
      <c r="J426" s="751" t="s">
        <v>18</v>
      </c>
      <c r="K426" s="687" t="s">
        <v>654</v>
      </c>
      <c r="L426" s="347" t="s">
        <v>20</v>
      </c>
      <c r="M426" s="687"/>
      <c r="N426" s="761"/>
      <c r="O426" s="762"/>
      <c r="P426" s="762"/>
      <c r="Q426" s="762"/>
      <c r="R426" s="762"/>
      <c r="S426" s="762"/>
      <c r="T426" s="762"/>
      <c r="U426" s="762"/>
    </row>
    <row r="427" s="660" customFormat="1" ht="15.4" hidden="1" customHeight="1" spans="1:21">
      <c r="A427" s="687" t="s">
        <v>910</v>
      </c>
      <c r="B427" s="690" t="s">
        <v>2305</v>
      </c>
      <c r="C427" s="732" t="s">
        <v>2095</v>
      </c>
      <c r="D427" s="313">
        <v>30</v>
      </c>
      <c r="E427" s="281"/>
      <c r="F427" s="675"/>
      <c r="G427" s="675">
        <f>G426</f>
        <v>45775</v>
      </c>
      <c r="H427" s="676">
        <f>H426</f>
        <v>45801</v>
      </c>
      <c r="I427" s="685" t="s">
        <v>2349</v>
      </c>
      <c r="J427" s="751" t="s">
        <v>18</v>
      </c>
      <c r="K427" s="687" t="s">
        <v>654</v>
      </c>
      <c r="L427" s="347" t="s">
        <v>20</v>
      </c>
      <c r="M427" s="687"/>
      <c r="N427" s="761"/>
      <c r="O427" s="762"/>
      <c r="P427" s="762"/>
      <c r="Q427" s="762"/>
      <c r="R427" s="762"/>
      <c r="S427" s="762"/>
      <c r="T427" s="762"/>
      <c r="U427" s="762"/>
    </row>
    <row r="428" s="660" customFormat="1" ht="15.4" hidden="1" customHeight="1" spans="1:21">
      <c r="A428" s="687" t="s">
        <v>910</v>
      </c>
      <c r="B428" s="690" t="s">
        <v>2305</v>
      </c>
      <c r="C428" s="732" t="s">
        <v>2087</v>
      </c>
      <c r="D428" s="313">
        <v>36</v>
      </c>
      <c r="E428" s="674" t="s">
        <v>2352</v>
      </c>
      <c r="F428" s="675"/>
      <c r="G428" s="675">
        <f>VLOOKUP(CLEAN(SUBSTITUTE(TRIM(MID(E:E,FIND("/",E:E)+1,LEN(E:E)))," ","")),'Customs Decl. &amp; Local Delivery'!D:I,6,0)</f>
        <v>45775</v>
      </c>
      <c r="H428" s="676">
        <f>VLOOKUP(CLEAN(SUBSTITUTE(TRIM(MID(E:E,FIND("/",E:E)+1,LEN(E:E)))," ","")),'Customs Decl. &amp; Local Delivery'!D:J,7,0)</f>
        <v>45801</v>
      </c>
      <c r="I428" s="685" t="s">
        <v>2349</v>
      </c>
      <c r="J428" s="687" t="s">
        <v>18</v>
      </c>
      <c r="K428" s="687" t="s">
        <v>654</v>
      </c>
      <c r="L428" s="347" t="s">
        <v>20</v>
      </c>
      <c r="M428" s="687" t="s">
        <v>2350</v>
      </c>
      <c r="N428" s="761"/>
      <c r="O428" s="762"/>
      <c r="P428" s="762"/>
      <c r="Q428" s="762"/>
      <c r="R428" s="762"/>
      <c r="S428" s="762"/>
      <c r="T428" s="762"/>
      <c r="U428" s="762"/>
    </row>
    <row r="429" s="660" customFormat="1" ht="15.4" hidden="1" customHeight="1" spans="1:21">
      <c r="A429" s="687" t="s">
        <v>910</v>
      </c>
      <c r="B429" s="690" t="s">
        <v>2305</v>
      </c>
      <c r="C429" s="732" t="s">
        <v>2090</v>
      </c>
      <c r="D429" s="313">
        <v>36</v>
      </c>
      <c r="E429" s="281"/>
      <c r="F429" s="675"/>
      <c r="G429" s="675">
        <f>G428</f>
        <v>45775</v>
      </c>
      <c r="H429" s="676">
        <f>H428</f>
        <v>45801</v>
      </c>
      <c r="I429" s="685" t="s">
        <v>2349</v>
      </c>
      <c r="J429" s="763" t="s">
        <v>18</v>
      </c>
      <c r="K429" s="687" t="s">
        <v>654</v>
      </c>
      <c r="L429" s="347" t="s">
        <v>20</v>
      </c>
      <c r="M429" s="687" t="s">
        <v>2351</v>
      </c>
      <c r="N429" s="761"/>
      <c r="O429" s="762"/>
      <c r="P429" s="762"/>
      <c r="Q429" s="762"/>
      <c r="R429" s="762"/>
      <c r="S429" s="762"/>
      <c r="T429" s="762"/>
      <c r="U429" s="762"/>
    </row>
    <row r="430" s="660" customFormat="1" ht="15.4" hidden="1" customHeight="1" spans="1:21">
      <c r="A430" s="687" t="s">
        <v>910</v>
      </c>
      <c r="B430" s="690" t="s">
        <v>2305</v>
      </c>
      <c r="C430" s="732" t="s">
        <v>2093</v>
      </c>
      <c r="D430" s="313">
        <v>20</v>
      </c>
      <c r="E430" s="281"/>
      <c r="F430" s="675"/>
      <c r="G430" s="675">
        <f>G429</f>
        <v>45775</v>
      </c>
      <c r="H430" s="676">
        <f>H429</f>
        <v>45801</v>
      </c>
      <c r="I430" s="685" t="s">
        <v>2349</v>
      </c>
      <c r="J430" s="751" t="s">
        <v>18</v>
      </c>
      <c r="K430" s="687" t="s">
        <v>654</v>
      </c>
      <c r="L430" s="347" t="s">
        <v>20</v>
      </c>
      <c r="M430" s="687"/>
      <c r="N430" s="761"/>
      <c r="O430" s="762"/>
      <c r="P430" s="762"/>
      <c r="Q430" s="762"/>
      <c r="R430" s="762"/>
      <c r="S430" s="762"/>
      <c r="T430" s="762"/>
      <c r="U430" s="762"/>
    </row>
    <row r="431" s="660" customFormat="1" ht="15.4" hidden="1" customHeight="1" spans="1:21">
      <c r="A431" s="687" t="s">
        <v>910</v>
      </c>
      <c r="B431" s="690" t="s">
        <v>2305</v>
      </c>
      <c r="C431" s="732" t="s">
        <v>2094</v>
      </c>
      <c r="D431" s="313">
        <v>15</v>
      </c>
      <c r="E431" s="281"/>
      <c r="F431" s="675"/>
      <c r="G431" s="675">
        <f>G430</f>
        <v>45775</v>
      </c>
      <c r="H431" s="676">
        <f>H430</f>
        <v>45801</v>
      </c>
      <c r="I431" s="685" t="s">
        <v>2349</v>
      </c>
      <c r="J431" s="751" t="s">
        <v>18</v>
      </c>
      <c r="K431" s="687" t="s">
        <v>654</v>
      </c>
      <c r="L431" s="347" t="s">
        <v>20</v>
      </c>
      <c r="M431" s="687"/>
      <c r="N431" s="761"/>
      <c r="O431" s="762"/>
      <c r="P431" s="762"/>
      <c r="Q431" s="762"/>
      <c r="R431" s="762"/>
      <c r="S431" s="762"/>
      <c r="T431" s="762"/>
      <c r="U431" s="762"/>
    </row>
    <row r="432" s="660" customFormat="1" ht="15.4" hidden="1" customHeight="1" spans="1:21">
      <c r="A432" s="687" t="s">
        <v>910</v>
      </c>
      <c r="B432" s="690" t="s">
        <v>2305</v>
      </c>
      <c r="C432" s="732" t="s">
        <v>2340</v>
      </c>
      <c r="D432" s="313">
        <v>8</v>
      </c>
      <c r="E432" s="281"/>
      <c r="F432" s="675"/>
      <c r="G432" s="675">
        <f>G431</f>
        <v>45775</v>
      </c>
      <c r="H432" s="676">
        <f>H431</f>
        <v>45801</v>
      </c>
      <c r="I432" s="685" t="s">
        <v>2349</v>
      </c>
      <c r="J432" s="751" t="s">
        <v>18</v>
      </c>
      <c r="K432" s="687" t="s">
        <v>654</v>
      </c>
      <c r="L432" s="347" t="s">
        <v>20</v>
      </c>
      <c r="M432" s="687"/>
      <c r="N432" s="761"/>
      <c r="O432" s="762"/>
      <c r="P432" s="762"/>
      <c r="Q432" s="762"/>
      <c r="R432" s="762"/>
      <c r="S432" s="762"/>
      <c r="T432" s="762"/>
      <c r="U432" s="762"/>
    </row>
    <row r="433" s="660" customFormat="1" ht="15.4" hidden="1" customHeight="1" spans="1:21">
      <c r="A433" s="687" t="s">
        <v>910</v>
      </c>
      <c r="B433" s="690" t="s">
        <v>2305</v>
      </c>
      <c r="C433" s="732" t="s">
        <v>2095</v>
      </c>
      <c r="D433" s="313">
        <v>30</v>
      </c>
      <c r="E433" s="281"/>
      <c r="F433" s="675"/>
      <c r="G433" s="675">
        <f>G432</f>
        <v>45775</v>
      </c>
      <c r="H433" s="676">
        <f>H432</f>
        <v>45801</v>
      </c>
      <c r="I433" s="685" t="s">
        <v>2349</v>
      </c>
      <c r="J433" s="751" t="s">
        <v>18</v>
      </c>
      <c r="K433" s="687" t="s">
        <v>654</v>
      </c>
      <c r="L433" s="347" t="s">
        <v>20</v>
      </c>
      <c r="M433" s="687"/>
      <c r="N433" s="761"/>
      <c r="O433" s="762"/>
      <c r="P433" s="762"/>
      <c r="Q433" s="762"/>
      <c r="R433" s="762"/>
      <c r="S433" s="762"/>
      <c r="T433" s="762"/>
      <c r="U433" s="762"/>
    </row>
    <row r="434" s="660" customFormat="1" ht="15.4" hidden="1" customHeight="1" spans="1:21">
      <c r="A434" s="687" t="s">
        <v>910</v>
      </c>
      <c r="B434" s="690" t="s">
        <v>2305</v>
      </c>
      <c r="C434" s="732" t="s">
        <v>2087</v>
      </c>
      <c r="D434" s="313">
        <v>36</v>
      </c>
      <c r="E434" s="674" t="s">
        <v>2353</v>
      </c>
      <c r="F434" s="675"/>
      <c r="G434" s="675">
        <f>VLOOKUP(CLEAN(SUBSTITUTE(TRIM(MID(E:E,FIND("/",E:E)+1,LEN(E:E)))," ","")),'Customs Decl. &amp; Local Delivery'!D:I,6,0)</f>
        <v>45775</v>
      </c>
      <c r="H434" s="676">
        <f>VLOOKUP(CLEAN(SUBSTITUTE(TRIM(MID(E:E,FIND("/",E:E)+1,LEN(E:E)))," ","")),'Customs Decl. &amp; Local Delivery'!D:J,7,0)</f>
        <v>45801</v>
      </c>
      <c r="I434" s="685" t="s">
        <v>2349</v>
      </c>
      <c r="J434" s="760" t="s">
        <v>18</v>
      </c>
      <c r="K434" s="751" t="s">
        <v>2248</v>
      </c>
      <c r="L434" s="347" t="s">
        <v>20</v>
      </c>
      <c r="M434" s="687" t="s">
        <v>2350</v>
      </c>
      <c r="N434" s="761"/>
      <c r="O434" s="762"/>
      <c r="P434" s="762"/>
      <c r="Q434" s="762"/>
      <c r="R434" s="762"/>
      <c r="S434" s="762"/>
      <c r="T434" s="762"/>
      <c r="U434" s="762"/>
    </row>
    <row r="435" s="660" customFormat="1" ht="15.4" hidden="1" customHeight="1" spans="1:21">
      <c r="A435" s="687" t="s">
        <v>910</v>
      </c>
      <c r="B435" s="690" t="s">
        <v>2305</v>
      </c>
      <c r="C435" s="732" t="s">
        <v>2090</v>
      </c>
      <c r="D435" s="313">
        <v>36</v>
      </c>
      <c r="E435" s="331"/>
      <c r="F435" s="703"/>
      <c r="G435" s="703">
        <f>G434</f>
        <v>45775</v>
      </c>
      <c r="H435" s="755">
        <f>H434</f>
        <v>45801</v>
      </c>
      <c r="I435" s="685" t="s">
        <v>2349</v>
      </c>
      <c r="J435" s="760" t="s">
        <v>18</v>
      </c>
      <c r="K435" s="751" t="s">
        <v>2248</v>
      </c>
      <c r="L435" s="347" t="s">
        <v>20</v>
      </c>
      <c r="M435" s="687" t="s">
        <v>2339</v>
      </c>
      <c r="N435" s="761"/>
      <c r="O435" s="762"/>
      <c r="P435" s="762"/>
      <c r="Q435" s="762"/>
      <c r="R435" s="762"/>
      <c r="S435" s="762"/>
      <c r="T435" s="762"/>
      <c r="U435" s="762"/>
    </row>
    <row r="436" s="660" customFormat="1" ht="15.4" hidden="1" customHeight="1" spans="1:21">
      <c r="A436" s="687" t="s">
        <v>910</v>
      </c>
      <c r="B436" s="690" t="s">
        <v>2305</v>
      </c>
      <c r="C436" s="732" t="s">
        <v>2093</v>
      </c>
      <c r="D436" s="313">
        <v>20</v>
      </c>
      <c r="E436" s="331"/>
      <c r="F436" s="703"/>
      <c r="G436" s="703">
        <f>G435</f>
        <v>45775</v>
      </c>
      <c r="H436" s="755">
        <f>H435</f>
        <v>45801</v>
      </c>
      <c r="I436" s="685" t="s">
        <v>2349</v>
      </c>
      <c r="J436" s="760" t="s">
        <v>18</v>
      </c>
      <c r="K436" s="751" t="s">
        <v>2248</v>
      </c>
      <c r="L436" s="347" t="s">
        <v>20</v>
      </c>
      <c r="M436" s="687"/>
      <c r="N436" s="761"/>
      <c r="O436" s="762"/>
      <c r="P436" s="762"/>
      <c r="Q436" s="762"/>
      <c r="R436" s="762"/>
      <c r="S436" s="762"/>
      <c r="T436" s="762"/>
      <c r="U436" s="762"/>
    </row>
    <row r="437" s="660" customFormat="1" ht="15.4" hidden="1" customHeight="1" spans="1:21">
      <c r="A437" s="687" t="s">
        <v>910</v>
      </c>
      <c r="B437" s="690" t="s">
        <v>2305</v>
      </c>
      <c r="C437" s="732" t="s">
        <v>2094</v>
      </c>
      <c r="D437" s="313">
        <v>15</v>
      </c>
      <c r="E437" s="331"/>
      <c r="F437" s="703"/>
      <c r="G437" s="703">
        <f>G436</f>
        <v>45775</v>
      </c>
      <c r="H437" s="755">
        <f>H436</f>
        <v>45801</v>
      </c>
      <c r="I437" s="685" t="s">
        <v>2349</v>
      </c>
      <c r="J437" s="760" t="s">
        <v>18</v>
      </c>
      <c r="K437" s="751" t="s">
        <v>2248</v>
      </c>
      <c r="L437" s="347" t="s">
        <v>20</v>
      </c>
      <c r="M437" s="687"/>
      <c r="N437" s="761"/>
      <c r="O437" s="762"/>
      <c r="P437" s="762"/>
      <c r="Q437" s="762"/>
      <c r="R437" s="762"/>
      <c r="S437" s="762"/>
      <c r="T437" s="762"/>
      <c r="U437" s="762"/>
    </row>
    <row r="438" s="660" customFormat="1" ht="15.4" hidden="1" customHeight="1" spans="1:21">
      <c r="A438" s="687" t="s">
        <v>910</v>
      </c>
      <c r="B438" s="690" t="s">
        <v>2305</v>
      </c>
      <c r="C438" s="732" t="s">
        <v>2340</v>
      </c>
      <c r="D438" s="313">
        <v>8</v>
      </c>
      <c r="E438" s="331"/>
      <c r="F438" s="703"/>
      <c r="G438" s="703">
        <f>G437</f>
        <v>45775</v>
      </c>
      <c r="H438" s="755">
        <f>H437</f>
        <v>45801</v>
      </c>
      <c r="I438" s="685" t="s">
        <v>2349</v>
      </c>
      <c r="J438" s="760" t="s">
        <v>18</v>
      </c>
      <c r="K438" s="751" t="s">
        <v>2248</v>
      </c>
      <c r="L438" s="347" t="s">
        <v>20</v>
      </c>
      <c r="M438" s="687"/>
      <c r="N438" s="761"/>
      <c r="O438" s="762"/>
      <c r="P438" s="762"/>
      <c r="Q438" s="762"/>
      <c r="R438" s="762"/>
      <c r="S438" s="762"/>
      <c r="T438" s="762"/>
      <c r="U438" s="762"/>
    </row>
    <row r="439" s="660" customFormat="1" ht="15.4" hidden="1" customHeight="1" spans="1:21">
      <c r="A439" s="751" t="s">
        <v>910</v>
      </c>
      <c r="B439" s="685" t="s">
        <v>2305</v>
      </c>
      <c r="C439" s="752" t="s">
        <v>2095</v>
      </c>
      <c r="D439" s="317">
        <v>30</v>
      </c>
      <c r="E439" s="331"/>
      <c r="F439" s="703"/>
      <c r="G439" s="703">
        <f>G438</f>
        <v>45775</v>
      </c>
      <c r="H439" s="755">
        <f>H438</f>
        <v>45801</v>
      </c>
      <c r="I439" s="685" t="s">
        <v>2349</v>
      </c>
      <c r="J439" s="760" t="s">
        <v>18</v>
      </c>
      <c r="K439" s="751" t="s">
        <v>2248</v>
      </c>
      <c r="L439" s="347" t="s">
        <v>20</v>
      </c>
      <c r="M439" s="687"/>
      <c r="N439" s="761"/>
      <c r="O439" s="762"/>
      <c r="P439" s="762"/>
      <c r="Q439" s="762"/>
      <c r="R439" s="762"/>
      <c r="S439" s="762"/>
      <c r="T439" s="762"/>
      <c r="U439" s="762"/>
    </row>
    <row r="440" s="479" customFormat="1" ht="15.4" hidden="1" customHeight="1" spans="1:21">
      <c r="A440" s="687" t="s">
        <v>910</v>
      </c>
      <c r="B440" s="690" t="s">
        <v>2305</v>
      </c>
      <c r="C440" s="732" t="s">
        <v>2182</v>
      </c>
      <c r="D440" s="313">
        <v>25</v>
      </c>
      <c r="E440" s="690" t="s">
        <v>2354</v>
      </c>
      <c r="F440" s="703"/>
      <c r="G440" s="703">
        <v>45777</v>
      </c>
      <c r="H440" s="713">
        <v>45792</v>
      </c>
      <c r="I440" s="690" t="s">
        <v>2355</v>
      </c>
      <c r="J440" s="751" t="s">
        <v>18</v>
      </c>
      <c r="K440" s="751" t="s">
        <v>147</v>
      </c>
      <c r="L440" s="725" t="s">
        <v>20</v>
      </c>
      <c r="M440" s="690" t="s">
        <v>2356</v>
      </c>
      <c r="N440" s="684"/>
      <c r="O440" s="203"/>
      <c r="P440" s="203"/>
      <c r="Q440" s="203"/>
      <c r="R440" s="203"/>
      <c r="S440" s="203"/>
      <c r="T440" s="203"/>
      <c r="U440" s="203"/>
    </row>
    <row r="441" s="660" customFormat="1" ht="15.4" hidden="1" customHeight="1" spans="1:21">
      <c r="A441" s="687" t="s">
        <v>910</v>
      </c>
      <c r="B441" s="690" t="s">
        <v>2305</v>
      </c>
      <c r="C441" s="732" t="s">
        <v>2087</v>
      </c>
      <c r="D441" s="313">
        <v>36</v>
      </c>
      <c r="E441" s="756" t="s">
        <v>2357</v>
      </c>
      <c r="F441" s="675"/>
      <c r="G441" s="675">
        <f>VLOOKUP(CLEAN(SUBSTITUTE(TRIM(MID(E:E,FIND("/",E:E)+1,LEN(E:E)))," ","")),'Customs Decl. &amp; Local Delivery'!D:I,6,0)</f>
        <v>45778</v>
      </c>
      <c r="H441" s="676">
        <f>VLOOKUP(CLEAN(SUBSTITUTE(TRIM(MID(E:E,FIND("/",E:E)+1,LEN(E:E)))," ","")),'Customs Decl. &amp; Local Delivery'!D:J,7,0)</f>
        <v>45792</v>
      </c>
      <c r="I441" s="751" t="s">
        <v>2358</v>
      </c>
      <c r="J441" s="687" t="s">
        <v>18</v>
      </c>
      <c r="K441" s="760" t="s">
        <v>147</v>
      </c>
      <c r="L441" s="347" t="s">
        <v>20</v>
      </c>
      <c r="M441" s="690" t="s">
        <v>2359</v>
      </c>
      <c r="N441" s="684"/>
      <c r="O441" s="203"/>
      <c r="P441" s="203"/>
      <c r="Q441" s="203"/>
      <c r="R441" s="203"/>
      <c r="S441" s="203"/>
      <c r="T441" s="203"/>
      <c r="U441" s="203"/>
    </row>
    <row r="442" s="660" customFormat="1" ht="15.4" hidden="1" customHeight="1" spans="1:21">
      <c r="A442" s="687" t="s">
        <v>910</v>
      </c>
      <c r="B442" s="690" t="s">
        <v>2305</v>
      </c>
      <c r="C442" s="732" t="s">
        <v>2090</v>
      </c>
      <c r="D442" s="313">
        <v>20</v>
      </c>
      <c r="E442" s="757"/>
      <c r="F442" s="675"/>
      <c r="G442" s="675">
        <f>G441</f>
        <v>45778</v>
      </c>
      <c r="H442" s="676">
        <f>H441</f>
        <v>45792</v>
      </c>
      <c r="I442" s="751" t="s">
        <v>2358</v>
      </c>
      <c r="J442" s="687" t="s">
        <v>18</v>
      </c>
      <c r="K442" s="760" t="s">
        <v>147</v>
      </c>
      <c r="L442" s="347" t="s">
        <v>20</v>
      </c>
      <c r="M442" s="687" t="s">
        <v>2360</v>
      </c>
      <c r="N442" s="684"/>
      <c r="O442" s="203"/>
      <c r="P442" s="203"/>
      <c r="Q442" s="203"/>
      <c r="R442" s="203"/>
      <c r="S442" s="203"/>
      <c r="T442" s="203"/>
      <c r="U442" s="203"/>
    </row>
    <row r="443" s="660" customFormat="1" ht="27.75" hidden="1" customHeight="1" spans="1:21">
      <c r="A443" s="751" t="s">
        <v>910</v>
      </c>
      <c r="B443" s="685" t="s">
        <v>2305</v>
      </c>
      <c r="C443" s="752" t="s">
        <v>2340</v>
      </c>
      <c r="D443" s="317">
        <v>10</v>
      </c>
      <c r="E443" s="757"/>
      <c r="F443" s="675"/>
      <c r="G443" s="675">
        <f>G442</f>
        <v>45778</v>
      </c>
      <c r="H443" s="676">
        <f>H442</f>
        <v>45792</v>
      </c>
      <c r="I443" s="751" t="s">
        <v>2358</v>
      </c>
      <c r="J443" s="751" t="s">
        <v>18</v>
      </c>
      <c r="K443" s="760" t="s">
        <v>147</v>
      </c>
      <c r="L443" s="347" t="s">
        <v>20</v>
      </c>
      <c r="M443" s="687" t="s">
        <v>2361</v>
      </c>
      <c r="N443" s="684"/>
      <c r="O443" s="203"/>
      <c r="P443" s="203"/>
      <c r="Q443" s="203"/>
      <c r="R443" s="203"/>
      <c r="S443" s="203"/>
      <c r="T443" s="203"/>
      <c r="U443" s="203"/>
    </row>
    <row r="444" s="660" customFormat="1" ht="15.4" hidden="1" customHeight="1" spans="1:21">
      <c r="A444" s="687" t="s">
        <v>910</v>
      </c>
      <c r="B444" s="690" t="s">
        <v>2305</v>
      </c>
      <c r="C444" s="732" t="s">
        <v>2087</v>
      </c>
      <c r="D444" s="313">
        <v>36</v>
      </c>
      <c r="E444" s="756" t="s">
        <v>2362</v>
      </c>
      <c r="F444" s="675"/>
      <c r="G444" s="675">
        <f>VLOOKUP(CLEAN(SUBSTITUTE(TRIM(MID(E:E,FIND("/",E:E)+1,LEN(E:E)))," ","")),'Customs Decl. &amp; Local Delivery'!D:I,6,0)</f>
        <v>45778</v>
      </c>
      <c r="H444" s="676">
        <f>VLOOKUP(CLEAN(SUBSTITUTE(TRIM(MID(E:E,FIND("/",E:E)+1,LEN(E:E)))," ","")),'Customs Decl. &amp; Local Delivery'!D:J,7,0)</f>
        <v>45792</v>
      </c>
      <c r="I444" s="751" t="s">
        <v>2363</v>
      </c>
      <c r="J444" s="751" t="s">
        <v>18</v>
      </c>
      <c r="K444" s="751" t="s">
        <v>147</v>
      </c>
      <c r="L444" s="347" t="s">
        <v>20</v>
      </c>
      <c r="M444" s="687" t="s">
        <v>2359</v>
      </c>
      <c r="N444" s="684"/>
      <c r="O444" s="203"/>
      <c r="P444" s="203"/>
      <c r="Q444" s="203"/>
      <c r="R444" s="203"/>
      <c r="S444" s="203"/>
      <c r="T444" s="203"/>
      <c r="U444" s="203"/>
    </row>
    <row r="445" s="660" customFormat="1" ht="15.4" hidden="1" customHeight="1" spans="1:21">
      <c r="A445" s="687" t="s">
        <v>910</v>
      </c>
      <c r="B445" s="690" t="s">
        <v>2305</v>
      </c>
      <c r="C445" s="732" t="s">
        <v>2090</v>
      </c>
      <c r="D445" s="313">
        <v>36</v>
      </c>
      <c r="E445" s="281"/>
      <c r="F445" s="675"/>
      <c r="G445" s="675">
        <f>G444</f>
        <v>45778</v>
      </c>
      <c r="H445" s="676">
        <f>H444</f>
        <v>45792</v>
      </c>
      <c r="I445" s="751" t="s">
        <v>2363</v>
      </c>
      <c r="J445" s="751" t="s">
        <v>18</v>
      </c>
      <c r="K445" s="751" t="s">
        <v>147</v>
      </c>
      <c r="L445" s="347" t="s">
        <v>20</v>
      </c>
      <c r="M445" s="687" t="s">
        <v>2364</v>
      </c>
      <c r="N445" s="684"/>
      <c r="O445" s="203"/>
      <c r="P445" s="203"/>
      <c r="Q445" s="203"/>
      <c r="R445" s="203"/>
      <c r="S445" s="203"/>
      <c r="T445" s="203"/>
      <c r="U445" s="203"/>
    </row>
    <row r="446" s="660" customFormat="1" ht="15.4" hidden="1" customHeight="1" spans="1:21">
      <c r="A446" s="751" t="s">
        <v>910</v>
      </c>
      <c r="B446" s="685" t="s">
        <v>2305</v>
      </c>
      <c r="C446" s="752" t="s">
        <v>2340</v>
      </c>
      <c r="D446" s="317">
        <v>8</v>
      </c>
      <c r="E446" s="281"/>
      <c r="F446" s="675"/>
      <c r="G446" s="675">
        <f>G445</f>
        <v>45778</v>
      </c>
      <c r="H446" s="676">
        <f>H445</f>
        <v>45792</v>
      </c>
      <c r="I446" s="751" t="s">
        <v>2363</v>
      </c>
      <c r="J446" s="751" t="s">
        <v>18</v>
      </c>
      <c r="K446" s="751" t="s">
        <v>147</v>
      </c>
      <c r="L446" s="347" t="s">
        <v>20</v>
      </c>
      <c r="M446" s="687" t="s">
        <v>2365</v>
      </c>
      <c r="N446" s="684"/>
      <c r="O446" s="203"/>
      <c r="P446" s="203"/>
      <c r="Q446" s="203"/>
      <c r="R446" s="203"/>
      <c r="S446" s="203"/>
      <c r="T446" s="203"/>
      <c r="U446" s="203"/>
    </row>
    <row r="447" s="660" customFormat="1" ht="15.4" hidden="1" customHeight="1" spans="1:21">
      <c r="A447" s="687" t="s">
        <v>910</v>
      </c>
      <c r="B447" s="690" t="s">
        <v>2305</v>
      </c>
      <c r="C447" s="758" t="s">
        <v>2087</v>
      </c>
      <c r="D447" s="350">
        <v>36</v>
      </c>
      <c r="E447" s="756" t="s">
        <v>2366</v>
      </c>
      <c r="F447" s="675"/>
      <c r="G447" s="675">
        <f>VLOOKUP(CLEAN(SUBSTITUTE(TRIM(MID(E:E,FIND("/",E:E)+1,LEN(E:E)))," ","")),'Customs Decl. &amp; Local Delivery'!D:I,6,0)</f>
        <v>45778</v>
      </c>
      <c r="H447" s="676">
        <f>VLOOKUP(CLEAN(SUBSTITUTE(TRIM(MID(E:E,FIND("/",E:E)+1,LEN(E:E)))," ","")),'Customs Decl. &amp; Local Delivery'!D:J,7,0)</f>
        <v>45792</v>
      </c>
      <c r="I447" s="690" t="s">
        <v>2367</v>
      </c>
      <c r="J447" s="750" t="s">
        <v>18</v>
      </c>
      <c r="K447" s="760" t="s">
        <v>2368</v>
      </c>
      <c r="L447" s="347" t="s">
        <v>20</v>
      </c>
      <c r="M447" s="687" t="s">
        <v>2369</v>
      </c>
      <c r="N447" s="761"/>
      <c r="O447" s="762"/>
      <c r="P447" s="762"/>
      <c r="Q447" s="762"/>
      <c r="R447" s="762"/>
      <c r="S447" s="762"/>
      <c r="T447" s="762"/>
      <c r="U447" s="762"/>
    </row>
    <row r="448" s="660" customFormat="1" ht="15.4" hidden="1" customHeight="1" spans="1:21">
      <c r="A448" s="687" t="s">
        <v>910</v>
      </c>
      <c r="B448" s="690" t="s">
        <v>2305</v>
      </c>
      <c r="C448" s="758" t="s">
        <v>2090</v>
      </c>
      <c r="D448" s="350">
        <v>20</v>
      </c>
      <c r="E448" s="281"/>
      <c r="F448" s="703"/>
      <c r="G448" s="703">
        <f t="shared" ref="G448:G454" si="10">G447</f>
        <v>45778</v>
      </c>
      <c r="H448" s="759">
        <f t="shared" ref="H448:H454" si="11">H447</f>
        <v>45792</v>
      </c>
      <c r="I448" s="690" t="s">
        <v>2367</v>
      </c>
      <c r="J448" s="750" t="s">
        <v>18</v>
      </c>
      <c r="K448" s="760" t="s">
        <v>2368</v>
      </c>
      <c r="L448" s="347" t="s">
        <v>20</v>
      </c>
      <c r="M448" s="690" t="s">
        <v>2370</v>
      </c>
      <c r="N448" s="761"/>
      <c r="O448" s="762"/>
      <c r="P448" s="762"/>
      <c r="Q448" s="762"/>
      <c r="R448" s="762"/>
      <c r="S448" s="762"/>
      <c r="T448" s="762"/>
      <c r="U448" s="762"/>
    </row>
    <row r="449" s="660" customFormat="1" ht="15.4" hidden="1" customHeight="1" spans="1:21">
      <c r="A449" s="687" t="s">
        <v>910</v>
      </c>
      <c r="B449" s="690" t="s">
        <v>2305</v>
      </c>
      <c r="C449" s="758" t="s">
        <v>2090</v>
      </c>
      <c r="D449" s="350">
        <v>28</v>
      </c>
      <c r="E449" s="764"/>
      <c r="F449" s="703"/>
      <c r="G449" s="703">
        <f t="shared" si="10"/>
        <v>45778</v>
      </c>
      <c r="H449" s="759">
        <f t="shared" si="11"/>
        <v>45792</v>
      </c>
      <c r="I449" s="690" t="s">
        <v>2367</v>
      </c>
      <c r="J449" s="750" t="s">
        <v>18</v>
      </c>
      <c r="K449" s="760" t="s">
        <v>2368</v>
      </c>
      <c r="L449" s="347" t="s">
        <v>20</v>
      </c>
      <c r="M449" s="687" t="s">
        <v>2371</v>
      </c>
      <c r="N449" s="761"/>
      <c r="O449" s="762"/>
      <c r="P449" s="762"/>
      <c r="Q449" s="762"/>
      <c r="R449" s="762"/>
      <c r="S449" s="762"/>
      <c r="T449" s="762"/>
      <c r="U449" s="762"/>
    </row>
    <row r="450" s="660" customFormat="1" ht="15.4" hidden="1" customHeight="1" spans="1:21">
      <c r="A450" s="687" t="s">
        <v>910</v>
      </c>
      <c r="B450" s="751" t="s">
        <v>2372</v>
      </c>
      <c r="C450" s="765" t="s">
        <v>2090</v>
      </c>
      <c r="D450" s="380">
        <v>8</v>
      </c>
      <c r="E450" s="764"/>
      <c r="F450" s="703"/>
      <c r="G450" s="703">
        <f t="shared" si="10"/>
        <v>45778</v>
      </c>
      <c r="H450" s="759">
        <f t="shared" si="11"/>
        <v>45792</v>
      </c>
      <c r="I450" s="690" t="s">
        <v>2367</v>
      </c>
      <c r="J450" s="750" t="s">
        <v>18</v>
      </c>
      <c r="K450" s="760" t="s">
        <v>2368</v>
      </c>
      <c r="L450" s="347" t="s">
        <v>20</v>
      </c>
      <c r="M450" s="687"/>
      <c r="N450" s="761"/>
      <c r="O450" s="762"/>
      <c r="P450" s="762"/>
      <c r="Q450" s="762"/>
      <c r="R450" s="762"/>
      <c r="S450" s="762"/>
      <c r="T450" s="762"/>
      <c r="U450" s="762"/>
    </row>
    <row r="451" s="660" customFormat="1" ht="15.4" hidden="1" customHeight="1" spans="1:21">
      <c r="A451" s="687" t="s">
        <v>910</v>
      </c>
      <c r="B451" s="690" t="s">
        <v>2305</v>
      </c>
      <c r="C451" s="758" t="s">
        <v>2340</v>
      </c>
      <c r="D451" s="350">
        <v>10</v>
      </c>
      <c r="E451" s="281"/>
      <c r="F451" s="703"/>
      <c r="G451" s="703">
        <f t="shared" si="10"/>
        <v>45778</v>
      </c>
      <c r="H451" s="759">
        <f t="shared" si="11"/>
        <v>45792</v>
      </c>
      <c r="I451" s="690" t="s">
        <v>2367</v>
      </c>
      <c r="J451" s="750" t="s">
        <v>18</v>
      </c>
      <c r="K451" s="760" t="s">
        <v>2368</v>
      </c>
      <c r="L451" s="347" t="s">
        <v>20</v>
      </c>
      <c r="M451" s="687" t="s">
        <v>2373</v>
      </c>
      <c r="N451" s="761"/>
      <c r="O451" s="762"/>
      <c r="P451" s="762"/>
      <c r="Q451" s="762"/>
      <c r="R451" s="762"/>
      <c r="S451" s="762"/>
      <c r="T451" s="762"/>
      <c r="U451" s="762"/>
    </row>
    <row r="452" s="660" customFormat="1" ht="15.4" hidden="1" customHeight="1" spans="1:21">
      <c r="A452" s="687" t="s">
        <v>910</v>
      </c>
      <c r="B452" s="690" t="s">
        <v>2305</v>
      </c>
      <c r="C452" s="758" t="s">
        <v>2340</v>
      </c>
      <c r="D452" s="350">
        <v>8</v>
      </c>
      <c r="E452" s="281"/>
      <c r="F452" s="703"/>
      <c r="G452" s="703">
        <f t="shared" si="10"/>
        <v>45778</v>
      </c>
      <c r="H452" s="759">
        <f t="shared" si="11"/>
        <v>45792</v>
      </c>
      <c r="I452" s="690" t="s">
        <v>2367</v>
      </c>
      <c r="J452" s="750" t="s">
        <v>18</v>
      </c>
      <c r="K452" s="760" t="s">
        <v>2368</v>
      </c>
      <c r="L452" s="347" t="s">
        <v>20</v>
      </c>
      <c r="M452" s="687" t="s">
        <v>2374</v>
      </c>
      <c r="N452" s="761"/>
      <c r="O452" s="762"/>
      <c r="P452" s="762"/>
      <c r="Q452" s="762"/>
      <c r="R452" s="762"/>
      <c r="S452" s="762"/>
      <c r="T452" s="762"/>
      <c r="U452" s="762"/>
    </row>
    <row r="453" s="660" customFormat="1" ht="15.4" hidden="1" customHeight="1" spans="1:21">
      <c r="A453" s="687" t="s">
        <v>910</v>
      </c>
      <c r="B453" s="690" t="s">
        <v>2305</v>
      </c>
      <c r="C453" s="758" t="s">
        <v>2340</v>
      </c>
      <c r="D453" s="350">
        <v>8</v>
      </c>
      <c r="E453" s="281"/>
      <c r="F453" s="703"/>
      <c r="G453" s="703">
        <f t="shared" si="10"/>
        <v>45778</v>
      </c>
      <c r="H453" s="759">
        <f t="shared" si="11"/>
        <v>45792</v>
      </c>
      <c r="I453" s="690" t="s">
        <v>2367</v>
      </c>
      <c r="J453" s="750" t="s">
        <v>18</v>
      </c>
      <c r="K453" s="760" t="s">
        <v>2368</v>
      </c>
      <c r="L453" s="347" t="s">
        <v>20</v>
      </c>
      <c r="M453" s="687" t="s">
        <v>2375</v>
      </c>
      <c r="N453" s="761"/>
      <c r="O453" s="762"/>
      <c r="P453" s="762"/>
      <c r="Q453" s="762"/>
      <c r="R453" s="762"/>
      <c r="S453" s="762"/>
      <c r="T453" s="762"/>
      <c r="U453" s="762"/>
    </row>
    <row r="454" s="660" customFormat="1" ht="15.4" hidden="1" customHeight="1" spans="1:21">
      <c r="A454" s="687" t="s">
        <v>910</v>
      </c>
      <c r="B454" s="690" t="s">
        <v>2305</v>
      </c>
      <c r="C454" s="758" t="s">
        <v>2340</v>
      </c>
      <c r="D454" s="350">
        <v>8</v>
      </c>
      <c r="E454" s="69"/>
      <c r="F454" s="703"/>
      <c r="G454" s="703">
        <f t="shared" si="10"/>
        <v>45778</v>
      </c>
      <c r="H454" s="759">
        <f t="shared" si="11"/>
        <v>45792</v>
      </c>
      <c r="I454" s="690" t="s">
        <v>2367</v>
      </c>
      <c r="J454" s="750" t="s">
        <v>18</v>
      </c>
      <c r="K454" s="760" t="s">
        <v>2368</v>
      </c>
      <c r="L454" s="347" t="s">
        <v>20</v>
      </c>
      <c r="M454" s="687" t="s">
        <v>2376</v>
      </c>
      <c r="N454" s="761"/>
      <c r="O454" s="762"/>
      <c r="P454" s="762"/>
      <c r="Q454" s="762"/>
      <c r="R454" s="762"/>
      <c r="S454" s="762"/>
      <c r="T454" s="762"/>
      <c r="U454" s="762"/>
    </row>
    <row r="455" s="660" customFormat="1" ht="15.4" hidden="1" customHeight="1" spans="1:21">
      <c r="A455" s="687" t="s">
        <v>910</v>
      </c>
      <c r="B455" s="690" t="s">
        <v>2305</v>
      </c>
      <c r="C455" s="732" t="s">
        <v>2040</v>
      </c>
      <c r="D455" s="313">
        <v>54</v>
      </c>
      <c r="E455" s="674" t="s">
        <v>2377</v>
      </c>
      <c r="F455" s="675"/>
      <c r="G455" s="675">
        <f>VLOOKUP(CLEAN(SUBSTITUTE(TRIM(MID(E:E,FIND("/",E:E)+1,LEN(E:E)))," ","")),'Customs Decl. &amp; Local Delivery'!D:I,6,0)</f>
        <v>45786</v>
      </c>
      <c r="H455" s="676">
        <f>VLOOKUP(CLEAN(SUBSTITUTE(TRIM(MID(E:E,FIND("/",E:E)+1,LEN(E:E)))," ","")),'Customs Decl. &amp; Local Delivery'!D:J,7,0)</f>
        <v>45802</v>
      </c>
      <c r="I455" s="751" t="s">
        <v>2378</v>
      </c>
      <c r="J455" s="751" t="s">
        <v>18</v>
      </c>
      <c r="K455" s="751" t="s">
        <v>147</v>
      </c>
      <c r="L455" s="347" t="s">
        <v>20</v>
      </c>
      <c r="M455" s="690" t="s">
        <v>2370</v>
      </c>
      <c r="N455" s="684"/>
      <c r="O455" s="203"/>
      <c r="P455" s="203"/>
      <c r="Q455" s="203"/>
      <c r="R455" s="203"/>
      <c r="S455" s="203"/>
      <c r="T455" s="203"/>
      <c r="U455" s="203"/>
    </row>
    <row r="456" s="660" customFormat="1" ht="15.4" hidden="1" customHeight="1" spans="1:21">
      <c r="A456" s="687" t="s">
        <v>910</v>
      </c>
      <c r="B456" s="690" t="s">
        <v>2305</v>
      </c>
      <c r="C456" s="732" t="s">
        <v>2090</v>
      </c>
      <c r="D456" s="313">
        <v>20</v>
      </c>
      <c r="E456" s="281"/>
      <c r="F456" s="675"/>
      <c r="G456" s="675">
        <f t="shared" ref="G456:G461" si="12">G455</f>
        <v>45786</v>
      </c>
      <c r="H456" s="676">
        <f t="shared" ref="H456:H461" si="13">H455</f>
        <v>45802</v>
      </c>
      <c r="I456" s="751" t="s">
        <v>2378</v>
      </c>
      <c r="J456" s="751" t="s">
        <v>18</v>
      </c>
      <c r="K456" s="751" t="s">
        <v>147</v>
      </c>
      <c r="L456" s="347" t="s">
        <v>20</v>
      </c>
      <c r="M456" s="687" t="s">
        <v>2379</v>
      </c>
      <c r="N456" s="684"/>
      <c r="O456" s="203"/>
      <c r="P456" s="203"/>
      <c r="Q456" s="203"/>
      <c r="R456" s="203"/>
      <c r="S456" s="203"/>
      <c r="T456" s="203"/>
      <c r="U456" s="203"/>
    </row>
    <row r="457" s="660" customFormat="1" ht="15.4" hidden="1" customHeight="1" spans="1:21">
      <c r="A457" s="687" t="s">
        <v>910</v>
      </c>
      <c r="B457" s="690" t="s">
        <v>2305</v>
      </c>
      <c r="C457" s="732" t="s">
        <v>2092</v>
      </c>
      <c r="D457" s="313">
        <v>45</v>
      </c>
      <c r="E457" s="281"/>
      <c r="F457" s="675"/>
      <c r="G457" s="675">
        <f t="shared" si="12"/>
        <v>45786</v>
      </c>
      <c r="H457" s="676">
        <f t="shared" si="13"/>
        <v>45802</v>
      </c>
      <c r="I457" s="751" t="s">
        <v>2378</v>
      </c>
      <c r="J457" s="751" t="s">
        <v>18</v>
      </c>
      <c r="K457" s="751" t="s">
        <v>147</v>
      </c>
      <c r="L457" s="347" t="s">
        <v>20</v>
      </c>
      <c r="M457" s="687"/>
      <c r="N457" s="684"/>
      <c r="O457" s="203"/>
      <c r="P457" s="203"/>
      <c r="Q457" s="203"/>
      <c r="R457" s="203"/>
      <c r="S457" s="203"/>
      <c r="T457" s="203"/>
      <c r="U457" s="203"/>
    </row>
    <row r="458" s="660" customFormat="1" ht="15.4" hidden="1" customHeight="1" spans="1:21">
      <c r="A458" s="687" t="s">
        <v>910</v>
      </c>
      <c r="B458" s="690" t="s">
        <v>2305</v>
      </c>
      <c r="C458" s="732" t="s">
        <v>2093</v>
      </c>
      <c r="D458" s="313">
        <v>25</v>
      </c>
      <c r="E458" s="281"/>
      <c r="F458" s="675"/>
      <c r="G458" s="675">
        <f t="shared" si="12"/>
        <v>45786</v>
      </c>
      <c r="H458" s="676">
        <f t="shared" si="13"/>
        <v>45802</v>
      </c>
      <c r="I458" s="751" t="s">
        <v>2378</v>
      </c>
      <c r="J458" s="751" t="s">
        <v>18</v>
      </c>
      <c r="K458" s="751" t="s">
        <v>147</v>
      </c>
      <c r="L458" s="347" t="s">
        <v>20</v>
      </c>
      <c r="M458" s="687"/>
      <c r="N458" s="684"/>
      <c r="O458" s="203"/>
      <c r="P458" s="203"/>
      <c r="Q458" s="203"/>
      <c r="R458" s="203"/>
      <c r="S458" s="203"/>
      <c r="T458" s="203"/>
      <c r="U458" s="203"/>
    </row>
    <row r="459" s="660" customFormat="1" ht="15.4" hidden="1" customHeight="1" spans="1:21">
      <c r="A459" s="687" t="s">
        <v>910</v>
      </c>
      <c r="B459" s="690" t="s">
        <v>2305</v>
      </c>
      <c r="C459" s="732" t="s">
        <v>2094</v>
      </c>
      <c r="D459" s="313">
        <v>25</v>
      </c>
      <c r="E459" s="281"/>
      <c r="F459" s="675"/>
      <c r="G459" s="675">
        <f t="shared" si="12"/>
        <v>45786</v>
      </c>
      <c r="H459" s="676">
        <f t="shared" si="13"/>
        <v>45802</v>
      </c>
      <c r="I459" s="751" t="s">
        <v>2378</v>
      </c>
      <c r="J459" s="751" t="s">
        <v>18</v>
      </c>
      <c r="K459" s="751" t="s">
        <v>147</v>
      </c>
      <c r="L459" s="347" t="s">
        <v>20</v>
      </c>
      <c r="M459" s="687"/>
      <c r="N459" s="684"/>
      <c r="O459" s="203"/>
      <c r="P459" s="203"/>
      <c r="Q459" s="203"/>
      <c r="R459" s="203"/>
      <c r="S459" s="203"/>
      <c r="T459" s="203"/>
      <c r="U459" s="203"/>
    </row>
    <row r="460" s="660" customFormat="1" ht="15.4" hidden="1" customHeight="1" spans="1:21">
      <c r="A460" s="687" t="s">
        <v>910</v>
      </c>
      <c r="B460" s="690" t="s">
        <v>2305</v>
      </c>
      <c r="C460" s="732" t="s">
        <v>2340</v>
      </c>
      <c r="D460" s="313">
        <v>10</v>
      </c>
      <c r="E460" s="281"/>
      <c r="F460" s="675"/>
      <c r="G460" s="675">
        <f t="shared" si="12"/>
        <v>45786</v>
      </c>
      <c r="H460" s="676">
        <f t="shared" si="13"/>
        <v>45802</v>
      </c>
      <c r="I460" s="751" t="s">
        <v>2378</v>
      </c>
      <c r="J460" s="751" t="s">
        <v>18</v>
      </c>
      <c r="K460" s="751" t="s">
        <v>147</v>
      </c>
      <c r="L460" s="347" t="s">
        <v>20</v>
      </c>
      <c r="M460" s="687"/>
      <c r="N460" s="684"/>
      <c r="O460" s="203"/>
      <c r="P460" s="203"/>
      <c r="Q460" s="203"/>
      <c r="R460" s="203"/>
      <c r="S460" s="203"/>
      <c r="T460" s="203"/>
      <c r="U460" s="203"/>
    </row>
    <row r="461" s="660" customFormat="1" ht="15.4" hidden="1" customHeight="1" spans="1:21">
      <c r="A461" s="687" t="s">
        <v>910</v>
      </c>
      <c r="B461" s="690" t="s">
        <v>2305</v>
      </c>
      <c r="C461" s="732" t="s">
        <v>2095</v>
      </c>
      <c r="D461" s="313">
        <v>45</v>
      </c>
      <c r="E461" s="281"/>
      <c r="F461" s="675"/>
      <c r="G461" s="675">
        <f t="shared" si="12"/>
        <v>45786</v>
      </c>
      <c r="H461" s="676">
        <f t="shared" si="13"/>
        <v>45802</v>
      </c>
      <c r="I461" s="751" t="s">
        <v>2378</v>
      </c>
      <c r="J461" s="751" t="s">
        <v>18</v>
      </c>
      <c r="K461" s="751" t="s">
        <v>147</v>
      </c>
      <c r="L461" s="347" t="s">
        <v>20</v>
      </c>
      <c r="M461" s="687"/>
      <c r="N461" s="684"/>
      <c r="O461" s="203"/>
      <c r="P461" s="203"/>
      <c r="Q461" s="203"/>
      <c r="R461" s="203"/>
      <c r="S461" s="203"/>
      <c r="T461" s="203"/>
      <c r="U461" s="203"/>
    </row>
    <row r="462" s="660" customFormat="1" ht="15.4" hidden="1" customHeight="1" spans="1:21">
      <c r="A462" s="687" t="s">
        <v>910</v>
      </c>
      <c r="B462" s="690" t="s">
        <v>2305</v>
      </c>
      <c r="C462" s="732" t="s">
        <v>2087</v>
      </c>
      <c r="D462" s="313">
        <v>36</v>
      </c>
      <c r="E462" s="758" t="s">
        <v>2380</v>
      </c>
      <c r="F462" s="675"/>
      <c r="G462" s="675">
        <f>VLOOKUP(CLEAN(SUBSTITUTE(TRIM(MID(E:E,FIND("/",E:E)+1,LEN(E:E)))," ","")),'Customs Decl. &amp; Local Delivery'!D:I,6,0)</f>
        <v>45781</v>
      </c>
      <c r="H462" s="676">
        <f>VLOOKUP(CLEAN(SUBSTITUTE(TRIM(MID(E:E,FIND("/",E:E)+1,LEN(E:E)))," ","")),'Customs Decl. &amp; Local Delivery'!D:J,7,0)</f>
        <v>45798</v>
      </c>
      <c r="I462" s="672" t="s">
        <v>2381</v>
      </c>
      <c r="J462" s="751" t="s">
        <v>18</v>
      </c>
      <c r="K462" s="751" t="s">
        <v>2382</v>
      </c>
      <c r="L462" s="347" t="s">
        <v>20</v>
      </c>
      <c r="M462" s="687" t="s">
        <v>2383</v>
      </c>
      <c r="N462" s="761"/>
      <c r="O462" s="762"/>
      <c r="P462" s="762"/>
      <c r="Q462" s="762"/>
      <c r="R462" s="762"/>
      <c r="S462" s="762"/>
      <c r="T462" s="762"/>
      <c r="U462" s="762"/>
    </row>
    <row r="463" s="660" customFormat="1" ht="15.4" hidden="1" customHeight="1" spans="1:21">
      <c r="A463" s="687" t="s">
        <v>910</v>
      </c>
      <c r="B463" s="690" t="s">
        <v>2305</v>
      </c>
      <c r="C463" s="732" t="s">
        <v>2095</v>
      </c>
      <c r="D463" s="313">
        <v>35</v>
      </c>
      <c r="E463" s="281"/>
      <c r="F463" s="675"/>
      <c r="G463" s="675">
        <f>G462</f>
        <v>45781</v>
      </c>
      <c r="H463" s="676">
        <f>H462</f>
        <v>45798</v>
      </c>
      <c r="I463" s="672" t="s">
        <v>2381</v>
      </c>
      <c r="J463" s="751" t="s">
        <v>18</v>
      </c>
      <c r="K463" s="751" t="s">
        <v>2382</v>
      </c>
      <c r="L463" s="347" t="s">
        <v>20</v>
      </c>
      <c r="M463" s="687" t="s">
        <v>2384</v>
      </c>
      <c r="N463" s="761"/>
      <c r="O463" s="762"/>
      <c r="P463" s="762"/>
      <c r="Q463" s="762"/>
      <c r="R463" s="762"/>
      <c r="S463" s="762"/>
      <c r="T463" s="762"/>
      <c r="U463" s="762"/>
    </row>
    <row r="464" s="660" customFormat="1" ht="15.4" hidden="1" customHeight="1" spans="1:21">
      <c r="A464" s="687" t="s">
        <v>910</v>
      </c>
      <c r="B464" s="690" t="s">
        <v>2305</v>
      </c>
      <c r="C464" s="732" t="s">
        <v>2114</v>
      </c>
      <c r="D464" s="313">
        <v>150</v>
      </c>
      <c r="E464" s="281"/>
      <c r="F464" s="675"/>
      <c r="G464" s="675">
        <f>G463</f>
        <v>45781</v>
      </c>
      <c r="H464" s="676">
        <f>H463</f>
        <v>45798</v>
      </c>
      <c r="I464" s="672" t="s">
        <v>2381</v>
      </c>
      <c r="J464" s="751" t="s">
        <v>18</v>
      </c>
      <c r="K464" s="751" t="s">
        <v>2382</v>
      </c>
      <c r="L464" s="347" t="s">
        <v>20</v>
      </c>
      <c r="M464" s="690"/>
      <c r="N464" s="761"/>
      <c r="O464" s="762"/>
      <c r="P464" s="762"/>
      <c r="Q464" s="762"/>
      <c r="R464" s="762"/>
      <c r="S464" s="762"/>
      <c r="T464" s="762"/>
      <c r="U464" s="762"/>
    </row>
    <row r="465" s="660" customFormat="1" ht="15.4" hidden="1" customHeight="1" spans="1:21">
      <c r="A465" s="687" t="s">
        <v>910</v>
      </c>
      <c r="B465" s="690" t="s">
        <v>2305</v>
      </c>
      <c r="C465" s="732" t="s">
        <v>2087</v>
      </c>
      <c r="D465" s="313">
        <v>36</v>
      </c>
      <c r="E465" s="758" t="s">
        <v>2385</v>
      </c>
      <c r="F465" s="675"/>
      <c r="G465" s="675">
        <f>VLOOKUP(CLEAN(SUBSTITUTE(TRIM(MID(E:E,FIND("/",E:E)+1,LEN(E:E)))," ","")),'Customs Decl. &amp; Local Delivery'!D:I,6,0)</f>
        <v>45781</v>
      </c>
      <c r="H465" s="676">
        <f>VLOOKUP(CLEAN(SUBSTITUTE(TRIM(MID(E:E,FIND("/",E:E)+1,LEN(E:E)))," ","")),'Customs Decl. &amp; Local Delivery'!D:J,7,0)</f>
        <v>45798</v>
      </c>
      <c r="I465" s="672" t="s">
        <v>2386</v>
      </c>
      <c r="J465" s="751" t="s">
        <v>18</v>
      </c>
      <c r="K465" s="690" t="s">
        <v>654</v>
      </c>
      <c r="L465" s="725" t="s">
        <v>20</v>
      </c>
      <c r="M465" s="687" t="s">
        <v>2387</v>
      </c>
      <c r="N465" s="761"/>
      <c r="O465" s="762"/>
      <c r="P465" s="762"/>
      <c r="Q465" s="762"/>
      <c r="R465" s="762"/>
      <c r="S465" s="762"/>
      <c r="T465" s="762"/>
      <c r="U465" s="762"/>
    </row>
    <row r="466" s="660" customFormat="1" ht="15.4" hidden="1" customHeight="1" spans="1:21">
      <c r="A466" s="687" t="s">
        <v>910</v>
      </c>
      <c r="B466" s="690" t="s">
        <v>2305</v>
      </c>
      <c r="C466" s="732" t="s">
        <v>2095</v>
      </c>
      <c r="D466" s="313">
        <v>35</v>
      </c>
      <c r="E466" s="281"/>
      <c r="F466" s="675"/>
      <c r="G466" s="675">
        <f>G465</f>
        <v>45781</v>
      </c>
      <c r="H466" s="676">
        <f>H465</f>
        <v>45798</v>
      </c>
      <c r="I466" s="672" t="s">
        <v>2386</v>
      </c>
      <c r="J466" s="751" t="s">
        <v>18</v>
      </c>
      <c r="K466" s="690" t="s">
        <v>654</v>
      </c>
      <c r="L466" s="347" t="s">
        <v>20</v>
      </c>
      <c r="M466" s="687" t="s">
        <v>2388</v>
      </c>
      <c r="N466" s="761"/>
      <c r="O466" s="762"/>
      <c r="P466" s="762"/>
      <c r="Q466" s="762"/>
      <c r="R466" s="762"/>
      <c r="S466" s="762"/>
      <c r="T466" s="762"/>
      <c r="U466" s="762"/>
    </row>
    <row r="467" s="660" customFormat="1" ht="15.4" hidden="1" customHeight="1" spans="1:21">
      <c r="A467" s="687" t="s">
        <v>910</v>
      </c>
      <c r="B467" s="690" t="s">
        <v>2305</v>
      </c>
      <c r="C467" s="732" t="s">
        <v>2114</v>
      </c>
      <c r="D467" s="313">
        <v>150</v>
      </c>
      <c r="E467" s="281"/>
      <c r="F467" s="675"/>
      <c r="G467" s="675">
        <f>G466</f>
        <v>45781</v>
      </c>
      <c r="H467" s="676">
        <f>H466</f>
        <v>45798</v>
      </c>
      <c r="I467" s="672" t="s">
        <v>2386</v>
      </c>
      <c r="J467" s="751" t="s">
        <v>18</v>
      </c>
      <c r="K467" s="690" t="s">
        <v>654</v>
      </c>
      <c r="L467" s="347" t="s">
        <v>20</v>
      </c>
      <c r="M467" s="690" t="s">
        <v>2388</v>
      </c>
      <c r="N467" s="761"/>
      <c r="O467" s="762"/>
      <c r="P467" s="762"/>
      <c r="Q467" s="762"/>
      <c r="R467" s="762"/>
      <c r="S467" s="762"/>
      <c r="T467" s="762"/>
      <c r="U467" s="762"/>
    </row>
    <row r="468" s="660" customFormat="1" ht="15.4" hidden="1" customHeight="1" spans="1:21">
      <c r="A468" s="687" t="s">
        <v>910</v>
      </c>
      <c r="B468" s="690" t="s">
        <v>2305</v>
      </c>
      <c r="C468" s="732" t="s">
        <v>2087</v>
      </c>
      <c r="D468" s="313">
        <v>24</v>
      </c>
      <c r="E468" s="758" t="s">
        <v>2389</v>
      </c>
      <c r="F468" s="675"/>
      <c r="G468" s="675">
        <f>VLOOKUP(CLEAN(SUBSTITUTE(TRIM(MID(E:E,FIND("/",E:E)+1,LEN(E:E)))," ","")),'Customs Decl. &amp; Local Delivery'!D:I,6,0)</f>
        <v>45781</v>
      </c>
      <c r="H468" s="676">
        <f>VLOOKUP(CLEAN(SUBSTITUTE(TRIM(MID(E:E,FIND("/",E:E)+1,LEN(E:E)))," ","")),'Customs Decl. &amp; Local Delivery'!D:J,7,0)</f>
        <v>45798</v>
      </c>
      <c r="I468" s="672" t="s">
        <v>2390</v>
      </c>
      <c r="J468" s="751" t="s">
        <v>18</v>
      </c>
      <c r="K468" s="751" t="s">
        <v>147</v>
      </c>
      <c r="L468" s="347" t="s">
        <v>20</v>
      </c>
      <c r="M468" s="687" t="s">
        <v>2383</v>
      </c>
      <c r="N468" s="684"/>
      <c r="O468" s="771"/>
      <c r="P468" s="203"/>
      <c r="Q468" s="203"/>
      <c r="R468" s="203"/>
      <c r="S468" s="203"/>
      <c r="T468" s="203"/>
      <c r="U468" s="203"/>
    </row>
    <row r="469" s="660" customFormat="1" ht="15.4" hidden="1" customHeight="1" spans="1:21">
      <c r="A469" s="687" t="s">
        <v>910</v>
      </c>
      <c r="B469" s="690" t="s">
        <v>2305</v>
      </c>
      <c r="C469" s="732" t="s">
        <v>2095</v>
      </c>
      <c r="D469" s="313">
        <v>63</v>
      </c>
      <c r="E469" s="69"/>
      <c r="F469" s="675"/>
      <c r="G469" s="675">
        <f>G468</f>
        <v>45781</v>
      </c>
      <c r="H469" s="676">
        <f>H468</f>
        <v>45798</v>
      </c>
      <c r="I469" s="672" t="s">
        <v>2390</v>
      </c>
      <c r="J469" s="751" t="s">
        <v>18</v>
      </c>
      <c r="K469" s="751" t="s">
        <v>147</v>
      </c>
      <c r="L469" s="347" t="s">
        <v>20</v>
      </c>
      <c r="M469" s="687"/>
      <c r="N469" s="684"/>
      <c r="O469" s="771"/>
      <c r="P469" s="203"/>
      <c r="Q469" s="203"/>
      <c r="R469" s="203"/>
      <c r="S469" s="203"/>
      <c r="T469" s="203"/>
      <c r="U469" s="203"/>
    </row>
    <row r="470" s="660" customFormat="1" ht="15.4" hidden="1" customHeight="1" spans="1:21">
      <c r="A470" s="687" t="s">
        <v>910</v>
      </c>
      <c r="B470" s="690" t="s">
        <v>2305</v>
      </c>
      <c r="C470" s="732" t="s">
        <v>2391</v>
      </c>
      <c r="D470" s="313">
        <v>32</v>
      </c>
      <c r="E470" s="281"/>
      <c r="F470" s="675"/>
      <c r="G470" s="675">
        <f>G469</f>
        <v>45781</v>
      </c>
      <c r="H470" s="676">
        <f>H469</f>
        <v>45798</v>
      </c>
      <c r="I470" s="672" t="s">
        <v>2390</v>
      </c>
      <c r="J470" s="751" t="s">
        <v>18</v>
      </c>
      <c r="K470" s="751" t="s">
        <v>147</v>
      </c>
      <c r="L470" s="347" t="s">
        <v>20</v>
      </c>
      <c r="M470" s="687"/>
      <c r="N470" s="684"/>
      <c r="O470" s="771"/>
      <c r="P470" s="203"/>
      <c r="Q470" s="203"/>
      <c r="R470" s="203"/>
      <c r="S470" s="203"/>
      <c r="T470" s="203"/>
      <c r="U470" s="203"/>
    </row>
    <row r="471" s="660" customFormat="1" ht="15.4" hidden="1" customHeight="1" spans="1:21">
      <c r="A471" s="687" t="s">
        <v>910</v>
      </c>
      <c r="B471" s="690" t="s">
        <v>2305</v>
      </c>
      <c r="C471" s="732" t="s">
        <v>2140</v>
      </c>
      <c r="D471" s="313">
        <f>100-16</f>
        <v>84</v>
      </c>
      <c r="E471" s="281"/>
      <c r="F471" s="675"/>
      <c r="G471" s="675">
        <f>G470</f>
        <v>45781</v>
      </c>
      <c r="H471" s="676">
        <f>H470</f>
        <v>45798</v>
      </c>
      <c r="I471" s="672" t="s">
        <v>2390</v>
      </c>
      <c r="J471" s="751" t="s">
        <v>18</v>
      </c>
      <c r="K471" s="751" t="s">
        <v>147</v>
      </c>
      <c r="L471" s="347" t="s">
        <v>20</v>
      </c>
      <c r="M471" s="687"/>
      <c r="N471" s="684"/>
      <c r="O471" s="771"/>
      <c r="P471" s="203"/>
      <c r="Q471" s="203"/>
      <c r="R471" s="203"/>
      <c r="S471" s="203"/>
      <c r="T471" s="203"/>
      <c r="U471" s="203"/>
    </row>
    <row r="472" s="660" customFormat="1" ht="15.4" hidden="1" customHeight="1" spans="1:21">
      <c r="A472" s="687" t="s">
        <v>910</v>
      </c>
      <c r="B472" s="690" t="s">
        <v>2305</v>
      </c>
      <c r="C472" s="732" t="s">
        <v>2114</v>
      </c>
      <c r="D472" s="313">
        <v>50</v>
      </c>
      <c r="E472" s="281"/>
      <c r="F472" s="675"/>
      <c r="G472" s="675">
        <f>G471</f>
        <v>45781</v>
      </c>
      <c r="H472" s="676">
        <f>H471</f>
        <v>45798</v>
      </c>
      <c r="I472" s="672" t="s">
        <v>2390</v>
      </c>
      <c r="J472" s="751" t="s">
        <v>18</v>
      </c>
      <c r="K472" s="751" t="s">
        <v>147</v>
      </c>
      <c r="L472" s="347" t="s">
        <v>20</v>
      </c>
      <c r="M472" s="690"/>
      <c r="N472" s="684"/>
      <c r="O472" s="771"/>
      <c r="P472" s="203"/>
      <c r="Q472" s="203"/>
      <c r="R472" s="203"/>
      <c r="S472" s="203"/>
      <c r="T472" s="203"/>
      <c r="U472" s="203"/>
    </row>
    <row r="473" s="660" customFormat="1" ht="15.4" hidden="1" customHeight="1" spans="1:21">
      <c r="A473" s="687" t="s">
        <v>910</v>
      </c>
      <c r="B473" s="690" t="s">
        <v>2305</v>
      </c>
      <c r="C473" s="732" t="s">
        <v>2182</v>
      </c>
      <c r="D473" s="313">
        <v>30</v>
      </c>
      <c r="E473" s="281"/>
      <c r="F473" s="675"/>
      <c r="G473" s="675">
        <f>G472</f>
        <v>45781</v>
      </c>
      <c r="H473" s="676">
        <f>H472</f>
        <v>45798</v>
      </c>
      <c r="I473" s="672" t="s">
        <v>2390</v>
      </c>
      <c r="J473" s="751" t="s">
        <v>18</v>
      </c>
      <c r="K473" s="751" t="s">
        <v>147</v>
      </c>
      <c r="L473" s="347" t="s">
        <v>20</v>
      </c>
      <c r="M473" s="690"/>
      <c r="N473" s="684"/>
      <c r="O473" s="771"/>
      <c r="P473" s="203"/>
      <c r="Q473" s="203"/>
      <c r="R473" s="203"/>
      <c r="S473" s="203"/>
      <c r="T473" s="203"/>
      <c r="U473" s="203"/>
    </row>
    <row r="474" s="660" customFormat="1" ht="15.4" hidden="1" customHeight="1" spans="1:21">
      <c r="A474" s="687" t="s">
        <v>910</v>
      </c>
      <c r="B474" s="690" t="s">
        <v>2305</v>
      </c>
      <c r="C474" s="732" t="s">
        <v>2040</v>
      </c>
      <c r="D474" s="313">
        <v>52</v>
      </c>
      <c r="E474" s="758" t="s">
        <v>2392</v>
      </c>
      <c r="F474" s="675"/>
      <c r="G474" s="675">
        <f>VLOOKUP(CLEAN(SUBSTITUTE(TRIM(MID(E:E,FIND("/",E:E)+1,LEN(E:E)))," ","")),'Customs Decl. &amp; Local Delivery'!D:I,6,0)</f>
        <v>45781</v>
      </c>
      <c r="H474" s="676">
        <f>VLOOKUP(CLEAN(SUBSTITUTE(TRIM(MID(E:E,FIND("/",E:E)+1,LEN(E:E)))," ","")),'Customs Decl. &amp; Local Delivery'!D:J,7,0)</f>
        <v>45798</v>
      </c>
      <c r="I474" s="772" t="s">
        <v>2393</v>
      </c>
      <c r="J474" s="751" t="s">
        <v>18</v>
      </c>
      <c r="K474" s="751" t="s">
        <v>147</v>
      </c>
      <c r="L474" s="725" t="s">
        <v>20</v>
      </c>
      <c r="M474" s="690" t="s">
        <v>2370</v>
      </c>
      <c r="N474" s="684"/>
      <c r="O474" s="203"/>
      <c r="P474" s="203"/>
      <c r="Q474" s="203"/>
      <c r="R474" s="203"/>
      <c r="S474" s="203"/>
      <c r="T474" s="203"/>
      <c r="U474" s="203"/>
    </row>
    <row r="475" s="660" customFormat="1" ht="15.4" hidden="1" customHeight="1" spans="1:21">
      <c r="A475" s="687" t="s">
        <v>910</v>
      </c>
      <c r="B475" s="690" t="s">
        <v>2305</v>
      </c>
      <c r="C475" s="732" t="s">
        <v>2087</v>
      </c>
      <c r="D475" s="313">
        <v>2</v>
      </c>
      <c r="E475" s="281"/>
      <c r="F475" s="675"/>
      <c r="G475" s="675">
        <f>G482</f>
        <v>45781</v>
      </c>
      <c r="H475" s="676">
        <f>H482</f>
        <v>45798</v>
      </c>
      <c r="I475" s="772" t="s">
        <v>2393</v>
      </c>
      <c r="J475" s="751" t="s">
        <v>18</v>
      </c>
      <c r="K475" s="751" t="s">
        <v>147</v>
      </c>
      <c r="L475" s="347" t="s">
        <v>20</v>
      </c>
      <c r="M475" s="687" t="s">
        <v>2394</v>
      </c>
      <c r="N475" s="684"/>
      <c r="O475" s="203"/>
      <c r="P475" s="203"/>
      <c r="Q475" s="203"/>
      <c r="R475" s="203"/>
      <c r="S475" s="203"/>
      <c r="T475" s="203"/>
      <c r="U475" s="203"/>
    </row>
    <row r="476" s="660" customFormat="1" ht="15.4" hidden="1" customHeight="1" spans="1:21">
      <c r="A476" s="687" t="s">
        <v>910</v>
      </c>
      <c r="B476" s="690" t="s">
        <v>2305</v>
      </c>
      <c r="C476" s="732" t="s">
        <v>2090</v>
      </c>
      <c r="D476" s="313">
        <v>20</v>
      </c>
      <c r="E476" s="281"/>
      <c r="F476" s="675"/>
      <c r="G476" s="675">
        <f>G483</f>
        <v>45781</v>
      </c>
      <c r="H476" s="676">
        <f>H483</f>
        <v>45798</v>
      </c>
      <c r="I476" s="772" t="s">
        <v>2393</v>
      </c>
      <c r="J476" s="751" t="s">
        <v>18</v>
      </c>
      <c r="K476" s="751" t="s">
        <v>147</v>
      </c>
      <c r="L476" s="347" t="s">
        <v>20</v>
      </c>
      <c r="M476" s="687" t="s">
        <v>2383</v>
      </c>
      <c r="N476" s="684"/>
      <c r="O476" s="771"/>
      <c r="P476" s="203"/>
      <c r="Q476" s="203"/>
      <c r="R476" s="203"/>
      <c r="S476" s="203"/>
      <c r="T476" s="203"/>
      <c r="U476" s="203"/>
    </row>
    <row r="477" s="660" customFormat="1" ht="15.4" hidden="1" customHeight="1" spans="1:21">
      <c r="A477" s="687" t="s">
        <v>910</v>
      </c>
      <c r="B477" s="690" t="s">
        <v>2305</v>
      </c>
      <c r="C477" s="732" t="s">
        <v>2092</v>
      </c>
      <c r="D477" s="313">
        <v>45</v>
      </c>
      <c r="E477" s="281"/>
      <c r="F477" s="675"/>
      <c r="G477" s="675">
        <f>G475</f>
        <v>45781</v>
      </c>
      <c r="H477" s="676">
        <f>H475</f>
        <v>45798</v>
      </c>
      <c r="I477" s="772" t="s">
        <v>2393</v>
      </c>
      <c r="J477" s="751" t="s">
        <v>18</v>
      </c>
      <c r="K477" s="751" t="s">
        <v>147</v>
      </c>
      <c r="L477" s="347" t="s">
        <v>20</v>
      </c>
      <c r="M477" s="687"/>
      <c r="N477" s="684"/>
      <c r="O477" s="771"/>
      <c r="P477" s="203"/>
      <c r="Q477" s="203"/>
      <c r="R477" s="203"/>
      <c r="S477" s="203"/>
      <c r="T477" s="203"/>
      <c r="U477" s="203"/>
    </row>
    <row r="478" s="660" customFormat="1" ht="15.4" hidden="1" customHeight="1" spans="1:21">
      <c r="A478" s="687" t="s">
        <v>910</v>
      </c>
      <c r="B478" s="690" t="s">
        <v>2305</v>
      </c>
      <c r="C478" s="732" t="s">
        <v>2093</v>
      </c>
      <c r="D478" s="313">
        <v>25</v>
      </c>
      <c r="E478" s="281"/>
      <c r="F478" s="675"/>
      <c r="G478" s="675">
        <f>G477</f>
        <v>45781</v>
      </c>
      <c r="H478" s="676">
        <f>H477</f>
        <v>45798</v>
      </c>
      <c r="I478" s="772" t="s">
        <v>2393</v>
      </c>
      <c r="J478" s="751" t="s">
        <v>18</v>
      </c>
      <c r="K478" s="751" t="s">
        <v>147</v>
      </c>
      <c r="L478" s="347" t="s">
        <v>20</v>
      </c>
      <c r="M478" s="687"/>
      <c r="N478" s="684"/>
      <c r="O478" s="771"/>
      <c r="P478" s="203"/>
      <c r="Q478" s="203"/>
      <c r="R478" s="203"/>
      <c r="S478" s="203"/>
      <c r="T478" s="203"/>
      <c r="U478" s="203"/>
    </row>
    <row r="479" s="660" customFormat="1" ht="15.4" hidden="1" customHeight="1" spans="1:21">
      <c r="A479" s="687" t="s">
        <v>910</v>
      </c>
      <c r="B479" s="690" t="s">
        <v>2305</v>
      </c>
      <c r="C479" s="732" t="s">
        <v>2094</v>
      </c>
      <c r="D479" s="313">
        <v>25</v>
      </c>
      <c r="E479" s="281"/>
      <c r="F479" s="675"/>
      <c r="G479" s="675">
        <f>G478</f>
        <v>45781</v>
      </c>
      <c r="H479" s="676">
        <f>H478</f>
        <v>45798</v>
      </c>
      <c r="I479" s="772" t="s">
        <v>2393</v>
      </c>
      <c r="J479" s="751" t="s">
        <v>18</v>
      </c>
      <c r="K479" s="751" t="s">
        <v>147</v>
      </c>
      <c r="L479" s="347" t="s">
        <v>20</v>
      </c>
      <c r="M479" s="687"/>
      <c r="N479" s="684"/>
      <c r="O479" s="771"/>
      <c r="P479" s="203"/>
      <c r="Q479" s="203"/>
      <c r="R479" s="203"/>
      <c r="S479" s="203"/>
      <c r="T479" s="203"/>
      <c r="U479" s="203"/>
    </row>
    <row r="480" s="660" customFormat="1" ht="15.4" hidden="1" customHeight="1" spans="1:21">
      <c r="A480" s="687" t="s">
        <v>910</v>
      </c>
      <c r="B480" s="690" t="s">
        <v>2305</v>
      </c>
      <c r="C480" s="732" t="s">
        <v>2340</v>
      </c>
      <c r="D480" s="313">
        <v>10</v>
      </c>
      <c r="E480" s="281"/>
      <c r="F480" s="675"/>
      <c r="G480" s="675">
        <f>G479</f>
        <v>45781</v>
      </c>
      <c r="H480" s="676">
        <f>H479</f>
        <v>45798</v>
      </c>
      <c r="I480" s="772" t="s">
        <v>2393</v>
      </c>
      <c r="J480" s="751" t="s">
        <v>18</v>
      </c>
      <c r="K480" s="751" t="s">
        <v>147</v>
      </c>
      <c r="L480" s="347" t="s">
        <v>20</v>
      </c>
      <c r="M480" s="687"/>
      <c r="N480" s="684"/>
      <c r="O480" s="771"/>
      <c r="P480" s="203"/>
      <c r="Q480" s="203"/>
      <c r="R480" s="203"/>
      <c r="S480" s="203"/>
      <c r="T480" s="203"/>
      <c r="U480" s="203"/>
    </row>
    <row r="481" s="660" customFormat="1" ht="15.4" hidden="1" customHeight="1" spans="1:21">
      <c r="A481" s="687" t="s">
        <v>910</v>
      </c>
      <c r="B481" s="690" t="s">
        <v>2305</v>
      </c>
      <c r="C481" s="732" t="s">
        <v>2095</v>
      </c>
      <c r="D481" s="313">
        <v>45</v>
      </c>
      <c r="E481" s="281"/>
      <c r="F481" s="675"/>
      <c r="G481" s="675">
        <f>G480</f>
        <v>45781</v>
      </c>
      <c r="H481" s="676">
        <f>H480</f>
        <v>45798</v>
      </c>
      <c r="I481" s="772" t="s">
        <v>2393</v>
      </c>
      <c r="J481" s="751" t="s">
        <v>18</v>
      </c>
      <c r="K481" s="751" t="s">
        <v>147</v>
      </c>
      <c r="L481" s="347" t="s">
        <v>20</v>
      </c>
      <c r="M481" s="687"/>
      <c r="N481" s="684"/>
      <c r="O481" s="203"/>
      <c r="P481" s="203"/>
      <c r="Q481" s="203"/>
      <c r="R481" s="203"/>
      <c r="S481" s="203"/>
      <c r="T481" s="203"/>
      <c r="U481" s="203"/>
    </row>
    <row r="482" s="660" customFormat="1" ht="15.4" hidden="1" customHeight="1" spans="1:21">
      <c r="A482" s="687" t="s">
        <v>910</v>
      </c>
      <c r="B482" s="690" t="s">
        <v>2305</v>
      </c>
      <c r="C482" s="758" t="s">
        <v>2040</v>
      </c>
      <c r="D482" s="350">
        <v>54</v>
      </c>
      <c r="E482" s="758" t="s">
        <v>2395</v>
      </c>
      <c r="F482" s="675"/>
      <c r="G482" s="675">
        <f>VLOOKUP(CLEAN(SUBSTITUTE(TRIM(MID(E:E,FIND("/",E:E)+1,LEN(E:E)))," ","")),'Customs Decl. &amp; Local Delivery'!D:I,6,0)</f>
        <v>45781</v>
      </c>
      <c r="H482" s="676">
        <f>VLOOKUP(CLEAN(SUBSTITUTE(TRIM(MID(E:E,FIND("/",E:E)+1,LEN(E:E)))," ","")),'Customs Decl. &amp; Local Delivery'!D:J,7,0)</f>
        <v>45798</v>
      </c>
      <c r="I482" s="672" t="s">
        <v>2396</v>
      </c>
      <c r="J482" s="751" t="s">
        <v>18</v>
      </c>
      <c r="K482" s="751" t="s">
        <v>147</v>
      </c>
      <c r="L482" s="725" t="s">
        <v>20</v>
      </c>
      <c r="M482" s="690" t="s">
        <v>2370</v>
      </c>
      <c r="N482" s="684"/>
      <c r="O482" s="203"/>
      <c r="P482" s="203"/>
      <c r="Q482" s="203"/>
      <c r="R482" s="203"/>
      <c r="S482" s="203"/>
      <c r="T482" s="203"/>
      <c r="U482" s="203"/>
    </row>
    <row r="483" s="660" customFormat="1" ht="15.4" hidden="1" customHeight="1" spans="1:21">
      <c r="A483" s="687" t="s">
        <v>910</v>
      </c>
      <c r="B483" s="690" t="s">
        <v>2305</v>
      </c>
      <c r="C483" s="732" t="s">
        <v>2090</v>
      </c>
      <c r="D483" s="313">
        <v>20</v>
      </c>
      <c r="E483" s="281"/>
      <c r="F483" s="675"/>
      <c r="G483" s="675">
        <f t="shared" ref="G483:G488" si="14">G482</f>
        <v>45781</v>
      </c>
      <c r="H483" s="676">
        <f t="shared" ref="H483:H488" si="15">H482</f>
        <v>45798</v>
      </c>
      <c r="I483" s="672" t="s">
        <v>2396</v>
      </c>
      <c r="J483" s="751" t="s">
        <v>18</v>
      </c>
      <c r="K483" s="751" t="s">
        <v>147</v>
      </c>
      <c r="L483" s="347" t="s">
        <v>20</v>
      </c>
      <c r="M483" s="687" t="s">
        <v>2383</v>
      </c>
      <c r="N483" s="684"/>
      <c r="O483" s="203"/>
      <c r="P483" s="203"/>
      <c r="Q483" s="203"/>
      <c r="R483" s="203"/>
      <c r="S483" s="203"/>
      <c r="T483" s="203"/>
      <c r="U483" s="203"/>
    </row>
    <row r="484" s="660" customFormat="1" ht="15.4" hidden="1" customHeight="1" spans="1:21">
      <c r="A484" s="687" t="s">
        <v>910</v>
      </c>
      <c r="B484" s="690" t="s">
        <v>2305</v>
      </c>
      <c r="C484" s="732" t="s">
        <v>2092</v>
      </c>
      <c r="D484" s="313">
        <v>45</v>
      </c>
      <c r="E484" s="281"/>
      <c r="F484" s="675"/>
      <c r="G484" s="675">
        <f t="shared" si="14"/>
        <v>45781</v>
      </c>
      <c r="H484" s="676">
        <f t="shared" si="15"/>
        <v>45798</v>
      </c>
      <c r="I484" s="672" t="s">
        <v>2396</v>
      </c>
      <c r="J484" s="751" t="s">
        <v>18</v>
      </c>
      <c r="K484" s="751" t="s">
        <v>147</v>
      </c>
      <c r="L484" s="347" t="s">
        <v>20</v>
      </c>
      <c r="M484" s="687"/>
      <c r="N484" s="684"/>
      <c r="O484" s="203"/>
      <c r="P484" s="203"/>
      <c r="Q484" s="203"/>
      <c r="R484" s="203"/>
      <c r="S484" s="203"/>
      <c r="T484" s="203"/>
      <c r="U484" s="203"/>
    </row>
    <row r="485" s="660" customFormat="1" ht="15.4" hidden="1" customHeight="1" spans="1:21">
      <c r="A485" s="687" t="s">
        <v>910</v>
      </c>
      <c r="B485" s="690" t="s">
        <v>2305</v>
      </c>
      <c r="C485" s="732" t="s">
        <v>2093</v>
      </c>
      <c r="D485" s="313">
        <v>25</v>
      </c>
      <c r="E485" s="281"/>
      <c r="F485" s="675"/>
      <c r="G485" s="675">
        <f t="shared" si="14"/>
        <v>45781</v>
      </c>
      <c r="H485" s="676">
        <f t="shared" si="15"/>
        <v>45798</v>
      </c>
      <c r="I485" s="672" t="s">
        <v>2396</v>
      </c>
      <c r="J485" s="751" t="s">
        <v>18</v>
      </c>
      <c r="K485" s="751" t="s">
        <v>147</v>
      </c>
      <c r="L485" s="347" t="s">
        <v>20</v>
      </c>
      <c r="M485" s="687"/>
      <c r="N485" s="684"/>
      <c r="O485" s="203"/>
      <c r="P485" s="203"/>
      <c r="Q485" s="203"/>
      <c r="R485" s="203"/>
      <c r="S485" s="203"/>
      <c r="T485" s="203"/>
      <c r="U485" s="203"/>
    </row>
    <row r="486" s="660" customFormat="1" ht="15.4" hidden="1" customHeight="1" spans="1:21">
      <c r="A486" s="687" t="s">
        <v>910</v>
      </c>
      <c r="B486" s="690" t="s">
        <v>2305</v>
      </c>
      <c r="C486" s="732" t="s">
        <v>2094</v>
      </c>
      <c r="D486" s="313">
        <v>25</v>
      </c>
      <c r="E486" s="281"/>
      <c r="F486" s="675"/>
      <c r="G486" s="675">
        <f t="shared" si="14"/>
        <v>45781</v>
      </c>
      <c r="H486" s="676">
        <f t="shared" si="15"/>
        <v>45798</v>
      </c>
      <c r="I486" s="672" t="s">
        <v>2396</v>
      </c>
      <c r="J486" s="751" t="s">
        <v>18</v>
      </c>
      <c r="K486" s="751" t="s">
        <v>147</v>
      </c>
      <c r="L486" s="347" t="s">
        <v>20</v>
      </c>
      <c r="M486" s="687"/>
      <c r="N486" s="684"/>
      <c r="O486" s="203"/>
      <c r="P486" s="203"/>
      <c r="Q486" s="203"/>
      <c r="R486" s="203"/>
      <c r="S486" s="203"/>
      <c r="T486" s="203"/>
      <c r="U486" s="203"/>
    </row>
    <row r="487" s="660" customFormat="1" ht="15.4" hidden="1" customHeight="1" spans="1:21">
      <c r="A487" s="687" t="s">
        <v>910</v>
      </c>
      <c r="B487" s="690" t="s">
        <v>2305</v>
      </c>
      <c r="C487" s="732" t="s">
        <v>2340</v>
      </c>
      <c r="D487" s="313">
        <v>10</v>
      </c>
      <c r="E487" s="281"/>
      <c r="F487" s="675"/>
      <c r="G487" s="675">
        <f t="shared" si="14"/>
        <v>45781</v>
      </c>
      <c r="H487" s="676">
        <f t="shared" si="15"/>
        <v>45798</v>
      </c>
      <c r="I487" s="672" t="s">
        <v>2396</v>
      </c>
      <c r="J487" s="751" t="s">
        <v>18</v>
      </c>
      <c r="K487" s="751" t="s">
        <v>147</v>
      </c>
      <c r="L487" s="347" t="s">
        <v>20</v>
      </c>
      <c r="M487" s="687"/>
      <c r="N487" s="684"/>
      <c r="O487" s="203"/>
      <c r="P487" s="203"/>
      <c r="Q487" s="203"/>
      <c r="R487" s="203"/>
      <c r="S487" s="203"/>
      <c r="T487" s="203"/>
      <c r="U487" s="203"/>
    </row>
    <row r="488" s="660" customFormat="1" ht="15.4" hidden="1" customHeight="1" spans="1:21">
      <c r="A488" s="687" t="s">
        <v>910</v>
      </c>
      <c r="B488" s="690" t="s">
        <v>2305</v>
      </c>
      <c r="C488" s="732" t="s">
        <v>2095</v>
      </c>
      <c r="D488" s="313">
        <v>45</v>
      </c>
      <c r="E488" s="281"/>
      <c r="F488" s="675"/>
      <c r="G488" s="675">
        <f t="shared" si="14"/>
        <v>45781</v>
      </c>
      <c r="H488" s="676">
        <f t="shared" si="15"/>
        <v>45798</v>
      </c>
      <c r="I488" s="672" t="s">
        <v>2396</v>
      </c>
      <c r="J488" s="751" t="s">
        <v>18</v>
      </c>
      <c r="K488" s="751" t="s">
        <v>147</v>
      </c>
      <c r="L488" s="347" t="s">
        <v>20</v>
      </c>
      <c r="M488" s="687"/>
      <c r="N488" s="684"/>
      <c r="O488" s="203"/>
      <c r="P488" s="203"/>
      <c r="Q488" s="203"/>
      <c r="R488" s="203"/>
      <c r="S488" s="203"/>
      <c r="T488" s="203"/>
      <c r="U488" s="203"/>
    </row>
    <row r="489" s="660" customFormat="1" ht="15.4" hidden="1" customHeight="1" spans="1:21">
      <c r="A489" s="687" t="s">
        <v>910</v>
      </c>
      <c r="B489" s="690" t="s">
        <v>2305</v>
      </c>
      <c r="C489" s="732" t="s">
        <v>2087</v>
      </c>
      <c r="D489" s="313">
        <v>32</v>
      </c>
      <c r="E489" s="756" t="s">
        <v>2397</v>
      </c>
      <c r="F489" s="675"/>
      <c r="G489" s="675">
        <f>VLOOKUP(CLEAN(SUBSTITUTE(TRIM(MID(E:E,FIND("/",E:E)+1,LEN(E:E)))," ","")),'Customs Decl. &amp; Local Delivery'!D:I,6,0)</f>
        <v>45781</v>
      </c>
      <c r="H489" s="676">
        <f>VLOOKUP(CLEAN(SUBSTITUTE(TRIM(MID(E:E,FIND("/",E:E)+1,LEN(E:E)))," ","")),'Customs Decl. &amp; Local Delivery'!D:J,7,0)</f>
        <v>45798</v>
      </c>
      <c r="I489" s="687" t="s">
        <v>2398</v>
      </c>
      <c r="J489" s="760" t="s">
        <v>18</v>
      </c>
      <c r="K489" s="751" t="s">
        <v>2399</v>
      </c>
      <c r="L489" s="347" t="s">
        <v>20</v>
      </c>
      <c r="M489" s="687" t="s">
        <v>2400</v>
      </c>
      <c r="N489" s="761"/>
      <c r="O489" s="762"/>
      <c r="P489" s="762"/>
      <c r="Q489" s="762"/>
      <c r="R489" s="762"/>
      <c r="S489" s="762"/>
      <c r="T489" s="762"/>
      <c r="U489" s="762"/>
    </row>
    <row r="490" s="660" customFormat="1" ht="15.4" hidden="1" customHeight="1" spans="1:21">
      <c r="A490" s="687" t="s">
        <v>910</v>
      </c>
      <c r="B490" s="690" t="s">
        <v>2305</v>
      </c>
      <c r="C490" s="732" t="s">
        <v>2279</v>
      </c>
      <c r="D490" s="313">
        <v>16</v>
      </c>
      <c r="E490" s="766"/>
      <c r="F490" s="675"/>
      <c r="G490" s="675">
        <f>G489</f>
        <v>45781</v>
      </c>
      <c r="H490" s="676">
        <f>H489</f>
        <v>45798</v>
      </c>
      <c r="I490" s="687" t="s">
        <v>2398</v>
      </c>
      <c r="J490" s="760" t="s">
        <v>18</v>
      </c>
      <c r="K490" s="751" t="s">
        <v>2399</v>
      </c>
      <c r="L490" s="347" t="s">
        <v>20</v>
      </c>
      <c r="M490" s="687" t="s">
        <v>2401</v>
      </c>
      <c r="N490" s="761"/>
      <c r="O490" s="762"/>
      <c r="P490" s="762"/>
      <c r="Q490" s="762"/>
      <c r="R490" s="762"/>
      <c r="S490" s="762"/>
      <c r="T490" s="762"/>
      <c r="U490" s="762"/>
    </row>
    <row r="491" s="660" customFormat="1" ht="15.4" hidden="1" customHeight="1" spans="1:21">
      <c r="A491" s="687" t="s">
        <v>910</v>
      </c>
      <c r="B491" s="690" t="s">
        <v>2305</v>
      </c>
      <c r="C491" s="732" t="s">
        <v>2076</v>
      </c>
      <c r="D491" s="313">
        <v>16</v>
      </c>
      <c r="E491" s="69"/>
      <c r="F491" s="675"/>
      <c r="G491" s="675">
        <f>G490</f>
        <v>45781</v>
      </c>
      <c r="H491" s="676">
        <f>H490</f>
        <v>45798</v>
      </c>
      <c r="I491" s="687" t="s">
        <v>2398</v>
      </c>
      <c r="J491" s="760" t="s">
        <v>18</v>
      </c>
      <c r="K491" s="751" t="s">
        <v>2399</v>
      </c>
      <c r="L491" s="347" t="s">
        <v>20</v>
      </c>
      <c r="M491" s="690" t="s">
        <v>2402</v>
      </c>
      <c r="N491" s="761"/>
      <c r="O491" s="762"/>
      <c r="P491" s="762"/>
      <c r="Q491" s="762"/>
      <c r="R491" s="762"/>
      <c r="S491" s="762"/>
      <c r="T491" s="762"/>
      <c r="U491" s="762"/>
    </row>
    <row r="492" s="660" customFormat="1" ht="15.4" hidden="1" customHeight="1" spans="1:21">
      <c r="A492" s="687" t="s">
        <v>910</v>
      </c>
      <c r="B492" s="687" t="s">
        <v>2372</v>
      </c>
      <c r="C492" s="732" t="s">
        <v>2087</v>
      </c>
      <c r="D492" s="250">
        <v>32</v>
      </c>
      <c r="E492" s="756" t="s">
        <v>2403</v>
      </c>
      <c r="F492" s="675"/>
      <c r="G492" s="675">
        <f>VLOOKUP(CLEAN(SUBSTITUTE(TRIM(MID(E:E,FIND("/",E:E)+1,LEN(E:E)))," ","")),'Customs Decl. &amp; Local Delivery'!D:I,6,0)</f>
        <v>45781</v>
      </c>
      <c r="H492" s="767">
        <f>VLOOKUP(CLEAN(SUBSTITUTE(TRIM(MID(E:E,FIND("/",E:E)+1,LEN(E:E)))," ","")),'Customs Decl. &amp; Local Delivery'!D:J,7,0)</f>
        <v>45798</v>
      </c>
      <c r="I492" s="687" t="s">
        <v>2404</v>
      </c>
      <c r="J492" s="760" t="s">
        <v>18</v>
      </c>
      <c r="K492" s="751" t="s">
        <v>2405</v>
      </c>
      <c r="L492" s="347" t="s">
        <v>20</v>
      </c>
      <c r="M492" s="687" t="s">
        <v>2406</v>
      </c>
      <c r="N492" s="761"/>
      <c r="O492" s="762"/>
      <c r="P492" s="762"/>
      <c r="Q492" s="762"/>
      <c r="R492" s="762"/>
      <c r="S492" s="762"/>
      <c r="T492" s="762"/>
      <c r="U492" s="762"/>
    </row>
    <row r="493" s="660" customFormat="1" ht="15.4" hidden="1" customHeight="1" spans="1:21">
      <c r="A493" s="687" t="s">
        <v>910</v>
      </c>
      <c r="B493" s="690" t="s">
        <v>2305</v>
      </c>
      <c r="C493" s="732" t="s">
        <v>2279</v>
      </c>
      <c r="D493" s="313">
        <v>17</v>
      </c>
      <c r="E493" s="766"/>
      <c r="F493" s="675"/>
      <c r="G493" s="675">
        <f>G492</f>
        <v>45781</v>
      </c>
      <c r="H493" s="767">
        <f>H492</f>
        <v>45798</v>
      </c>
      <c r="I493" s="687" t="s">
        <v>2404</v>
      </c>
      <c r="J493" s="760" t="s">
        <v>18</v>
      </c>
      <c r="K493" s="751" t="s">
        <v>2405</v>
      </c>
      <c r="L493" s="347" t="s">
        <v>20</v>
      </c>
      <c r="M493" s="687" t="s">
        <v>2407</v>
      </c>
      <c r="N493" s="761"/>
      <c r="O493" s="762"/>
      <c r="P493" s="762"/>
      <c r="Q493" s="762"/>
      <c r="R493" s="762"/>
      <c r="S493" s="762"/>
      <c r="T493" s="762"/>
      <c r="U493" s="762"/>
    </row>
    <row r="494" s="660" customFormat="1" ht="15.4" hidden="1" customHeight="1" spans="1:21">
      <c r="A494" s="687" t="s">
        <v>910</v>
      </c>
      <c r="B494" s="690" t="s">
        <v>2305</v>
      </c>
      <c r="C494" s="732" t="s">
        <v>2076</v>
      </c>
      <c r="D494" s="313">
        <v>17</v>
      </c>
      <c r="E494" s="281"/>
      <c r="F494" s="675"/>
      <c r="G494" s="675">
        <f>G493</f>
        <v>45781</v>
      </c>
      <c r="H494" s="767">
        <f>H493</f>
        <v>45798</v>
      </c>
      <c r="I494" s="687" t="s">
        <v>2404</v>
      </c>
      <c r="J494" s="760" t="s">
        <v>18</v>
      </c>
      <c r="K494" s="751" t="s">
        <v>2405</v>
      </c>
      <c r="L494" s="347" t="s">
        <v>20</v>
      </c>
      <c r="M494" s="687" t="s">
        <v>2408</v>
      </c>
      <c r="N494" s="761"/>
      <c r="O494" s="762"/>
      <c r="P494" s="762"/>
      <c r="Q494" s="762"/>
      <c r="R494" s="762"/>
      <c r="S494" s="762"/>
      <c r="T494" s="762"/>
      <c r="U494" s="762"/>
    </row>
    <row r="495" s="660" customFormat="1" hidden="1" spans="1:21">
      <c r="A495" s="687" t="s">
        <v>910</v>
      </c>
      <c r="B495" s="690" t="s">
        <v>2305</v>
      </c>
      <c r="C495" s="732" t="s">
        <v>2087</v>
      </c>
      <c r="D495" s="313">
        <v>36</v>
      </c>
      <c r="E495" s="756" t="s">
        <v>2409</v>
      </c>
      <c r="F495" s="675"/>
      <c r="G495" s="675">
        <f>VLOOKUP(CLEAN(SUBSTITUTE(TRIM(MID(E:E,FIND("/",E:E)+1,LEN(E:E)))," ","")),'Customs Decl. &amp; Local Delivery'!D:I,6,0)</f>
        <v>45781</v>
      </c>
      <c r="H495" s="676">
        <f>VLOOKUP(CLEAN(SUBSTITUTE(TRIM(MID(E:E,FIND("/",E:E)+1,LEN(E:E)))," ","")),'Customs Decl. &amp; Local Delivery'!D:J,7,0)</f>
        <v>45798</v>
      </c>
      <c r="I495" s="687" t="s">
        <v>2410</v>
      </c>
      <c r="J495" s="687" t="s">
        <v>18</v>
      </c>
      <c r="K495" s="687" t="s">
        <v>2411</v>
      </c>
      <c r="L495" s="347" t="s">
        <v>20</v>
      </c>
      <c r="M495" s="687" t="s">
        <v>2412</v>
      </c>
      <c r="N495" s="761"/>
      <c r="O495" s="762"/>
      <c r="P495" s="762"/>
      <c r="Q495" s="762"/>
      <c r="R495" s="762"/>
      <c r="S495" s="762"/>
      <c r="T495" s="762"/>
      <c r="U495" s="762"/>
    </row>
    <row r="496" s="660" customFormat="1" ht="15.4" hidden="1" customHeight="1" spans="1:21">
      <c r="A496" s="687" t="s">
        <v>1267</v>
      </c>
      <c r="B496" s="690" t="s">
        <v>2413</v>
      </c>
      <c r="C496" s="732" t="s">
        <v>2414</v>
      </c>
      <c r="D496" s="313">
        <v>85</v>
      </c>
      <c r="E496" s="281"/>
      <c r="F496" s="675"/>
      <c r="G496" s="675">
        <f>G495</f>
        <v>45781</v>
      </c>
      <c r="H496" s="676">
        <f>H495</f>
        <v>45798</v>
      </c>
      <c r="I496" s="687" t="s">
        <v>2410</v>
      </c>
      <c r="J496" s="687" t="s">
        <v>18</v>
      </c>
      <c r="K496" s="687" t="s">
        <v>2411</v>
      </c>
      <c r="L496" s="347" t="s">
        <v>20</v>
      </c>
      <c r="M496" s="687" t="s">
        <v>2415</v>
      </c>
      <c r="N496" s="761"/>
      <c r="O496" s="762"/>
      <c r="P496" s="762"/>
      <c r="Q496" s="762"/>
      <c r="R496" s="762"/>
      <c r="S496" s="762"/>
      <c r="T496" s="762"/>
      <c r="U496" s="762"/>
    </row>
    <row r="497" s="660" customFormat="1" ht="15.4" hidden="1" customHeight="1" spans="1:21">
      <c r="A497" s="687" t="s">
        <v>1267</v>
      </c>
      <c r="B497" s="690" t="s">
        <v>2413</v>
      </c>
      <c r="C497" s="732" t="s">
        <v>2416</v>
      </c>
      <c r="D497" s="313">
        <v>20</v>
      </c>
      <c r="E497" s="281"/>
      <c r="F497" s="675"/>
      <c r="G497" s="675">
        <f>G496</f>
        <v>45781</v>
      </c>
      <c r="H497" s="676">
        <f>H496</f>
        <v>45798</v>
      </c>
      <c r="I497" s="687" t="s">
        <v>2410</v>
      </c>
      <c r="J497" s="687" t="s">
        <v>18</v>
      </c>
      <c r="K497" s="687" t="s">
        <v>2411</v>
      </c>
      <c r="L497" s="347" t="s">
        <v>20</v>
      </c>
      <c r="M497" s="687" t="s">
        <v>2415</v>
      </c>
      <c r="N497" s="761"/>
      <c r="O497" s="762"/>
      <c r="P497" s="762"/>
      <c r="Q497" s="762"/>
      <c r="R497" s="762"/>
      <c r="S497" s="762"/>
      <c r="T497" s="762"/>
      <c r="U497" s="762"/>
    </row>
    <row r="498" s="660" customFormat="1" ht="15.4" hidden="1" customHeight="1" spans="1:21">
      <c r="A498" s="687" t="s">
        <v>1267</v>
      </c>
      <c r="B498" s="690" t="s">
        <v>2413</v>
      </c>
      <c r="C498" s="732" t="s">
        <v>2417</v>
      </c>
      <c r="D498" s="313">
        <v>40</v>
      </c>
      <c r="E498" s="281"/>
      <c r="F498" s="675"/>
      <c r="G498" s="675">
        <f>G497</f>
        <v>45781</v>
      </c>
      <c r="H498" s="676">
        <f>H497</f>
        <v>45798</v>
      </c>
      <c r="I498" s="687" t="s">
        <v>2410</v>
      </c>
      <c r="J498" s="687" t="s">
        <v>18</v>
      </c>
      <c r="K498" s="687" t="s">
        <v>2411</v>
      </c>
      <c r="L498" s="347" t="s">
        <v>20</v>
      </c>
      <c r="M498" s="687" t="s">
        <v>2415</v>
      </c>
      <c r="N498" s="761"/>
      <c r="O498" s="762"/>
      <c r="P498" s="762"/>
      <c r="Q498" s="762"/>
      <c r="R498" s="762"/>
      <c r="S498" s="762"/>
      <c r="T498" s="762"/>
      <c r="U498" s="762"/>
    </row>
    <row r="499" s="660" customFormat="1" ht="15.4" hidden="1" customHeight="1" spans="1:21">
      <c r="A499" s="687" t="s">
        <v>1267</v>
      </c>
      <c r="B499" s="690" t="s">
        <v>2413</v>
      </c>
      <c r="C499" s="732" t="s">
        <v>2418</v>
      </c>
      <c r="D499" s="313">
        <v>105</v>
      </c>
      <c r="E499" s="281"/>
      <c r="F499" s="675"/>
      <c r="G499" s="675">
        <f>G498</f>
        <v>45781</v>
      </c>
      <c r="H499" s="676">
        <f>H498</f>
        <v>45798</v>
      </c>
      <c r="I499" s="687" t="s">
        <v>2410</v>
      </c>
      <c r="J499" s="687" t="s">
        <v>18</v>
      </c>
      <c r="K499" s="687" t="s">
        <v>2411</v>
      </c>
      <c r="L499" s="347" t="s">
        <v>20</v>
      </c>
      <c r="M499" s="687" t="s">
        <v>2415</v>
      </c>
      <c r="N499" s="761"/>
      <c r="O499" s="762"/>
      <c r="P499" s="762"/>
      <c r="Q499" s="762"/>
      <c r="R499" s="762"/>
      <c r="S499" s="762"/>
      <c r="T499" s="762"/>
      <c r="U499" s="762"/>
    </row>
    <row r="500" s="660" customFormat="1" ht="15.4" hidden="1" customHeight="1" spans="1:21">
      <c r="A500" s="687" t="s">
        <v>910</v>
      </c>
      <c r="B500" s="768" t="s">
        <v>2305</v>
      </c>
      <c r="C500" s="769" t="s">
        <v>2087</v>
      </c>
      <c r="D500" s="770">
        <v>36</v>
      </c>
      <c r="E500" s="756" t="s">
        <v>2419</v>
      </c>
      <c r="F500" s="675"/>
      <c r="G500" s="675">
        <f>VLOOKUP(CLEAN(SUBSTITUTE(TRIM(MID(E:E,FIND("/",E:E)+1,LEN(E:E)))," ","")),'Customs Decl. &amp; Local Delivery'!D:I,6,0)</f>
        <v>45781</v>
      </c>
      <c r="H500" s="676">
        <f>VLOOKUP(CLEAN(SUBSTITUTE(TRIM(MID(E:E,FIND("/",E:E)+1,LEN(E:E)))," ","")),'Customs Decl. &amp; Local Delivery'!D:J,7,0)</f>
        <v>45798</v>
      </c>
      <c r="I500" s="687" t="s">
        <v>2420</v>
      </c>
      <c r="J500" s="773" t="s">
        <v>18</v>
      </c>
      <c r="K500" s="687" t="s">
        <v>654</v>
      </c>
      <c r="L500" s="348" t="s">
        <v>20</v>
      </c>
      <c r="M500" s="687" t="s">
        <v>2421</v>
      </c>
      <c r="N500" s="761"/>
      <c r="O500" s="762"/>
      <c r="P500" s="762"/>
      <c r="Q500" s="762"/>
      <c r="R500" s="762"/>
      <c r="S500" s="762"/>
      <c r="T500" s="762"/>
      <c r="U500" s="762"/>
    </row>
    <row r="501" s="660" customFormat="1" ht="15.4" hidden="1" customHeight="1" spans="1:21">
      <c r="A501" s="687" t="s">
        <v>910</v>
      </c>
      <c r="B501" s="690" t="s">
        <v>2305</v>
      </c>
      <c r="C501" s="732" t="s">
        <v>2090</v>
      </c>
      <c r="D501" s="313">
        <v>20</v>
      </c>
      <c r="E501" s="281"/>
      <c r="F501" s="675"/>
      <c r="G501" s="675">
        <f>G500</f>
        <v>45781</v>
      </c>
      <c r="H501" s="676">
        <f>H500</f>
        <v>45798</v>
      </c>
      <c r="I501" s="687" t="s">
        <v>2420</v>
      </c>
      <c r="J501" s="774" t="s">
        <v>18</v>
      </c>
      <c r="K501" s="687" t="s">
        <v>654</v>
      </c>
      <c r="L501" s="348" t="s">
        <v>20</v>
      </c>
      <c r="M501" s="687" t="s">
        <v>2422</v>
      </c>
      <c r="N501" s="761"/>
      <c r="O501" s="775"/>
      <c r="P501" s="762"/>
      <c r="Q501" s="762"/>
      <c r="R501" s="762"/>
      <c r="S501" s="762"/>
      <c r="T501" s="762"/>
      <c r="U501" s="762"/>
    </row>
    <row r="502" s="660" customFormat="1" hidden="1" spans="1:21">
      <c r="A502" s="687" t="s">
        <v>910</v>
      </c>
      <c r="B502" s="690" t="s">
        <v>2305</v>
      </c>
      <c r="C502" s="732" t="s">
        <v>2340</v>
      </c>
      <c r="D502" s="313">
        <v>10</v>
      </c>
      <c r="E502" s="281"/>
      <c r="F502" s="675"/>
      <c r="G502" s="675">
        <f>G501</f>
        <v>45781</v>
      </c>
      <c r="H502" s="676">
        <f>H501</f>
        <v>45798</v>
      </c>
      <c r="I502" s="687" t="s">
        <v>2420</v>
      </c>
      <c r="J502" s="774" t="s">
        <v>18</v>
      </c>
      <c r="K502" s="687" t="s">
        <v>654</v>
      </c>
      <c r="L502" s="348" t="s">
        <v>20</v>
      </c>
      <c r="M502" s="687" t="s">
        <v>2351</v>
      </c>
      <c r="N502" s="761"/>
      <c r="O502" s="762"/>
      <c r="P502" s="762"/>
      <c r="Q502" s="762"/>
      <c r="R502" s="762" t="s">
        <v>2423</v>
      </c>
      <c r="S502" s="762"/>
      <c r="T502" s="762"/>
      <c r="U502" s="762"/>
    </row>
    <row r="503" s="660" customFormat="1" ht="15.4" hidden="1" customHeight="1" spans="1:21">
      <c r="A503" s="687" t="s">
        <v>910</v>
      </c>
      <c r="B503" s="690" t="s">
        <v>2305</v>
      </c>
      <c r="C503" s="732" t="s">
        <v>2087</v>
      </c>
      <c r="D503" s="313">
        <v>36</v>
      </c>
      <c r="E503" s="756" t="s">
        <v>2424</v>
      </c>
      <c r="F503" s="675"/>
      <c r="G503" s="675">
        <f>VLOOKUP(CLEAN(SUBSTITUTE(TRIM(MID(E:E,FIND("/",E:E)+1,LEN(E:E)))," ","")),'Customs Decl. &amp; Local Delivery'!D:I,6,0)</f>
        <v>45781</v>
      </c>
      <c r="H503" s="676">
        <f>VLOOKUP(CLEAN(SUBSTITUTE(TRIM(MID(E:E,FIND("/",E:E)+1,LEN(E:E)))," ","")),'Customs Decl. &amp; Local Delivery'!D:J,7,0)</f>
        <v>45798</v>
      </c>
      <c r="I503" s="751" t="s">
        <v>2425</v>
      </c>
      <c r="J503" s="751" t="s">
        <v>18</v>
      </c>
      <c r="K503" s="751" t="s">
        <v>19</v>
      </c>
      <c r="L503" s="347" t="s">
        <v>20</v>
      </c>
      <c r="M503" s="687" t="s">
        <v>2383</v>
      </c>
      <c r="N503" s="761"/>
      <c r="O503" s="762"/>
      <c r="P503" s="762"/>
      <c r="Q503" s="762"/>
      <c r="R503" s="762"/>
      <c r="S503" s="762"/>
      <c r="T503" s="762"/>
      <c r="U503" s="762"/>
    </row>
    <row r="504" s="660" customFormat="1" ht="15.4" hidden="1" customHeight="1" spans="1:21">
      <c r="A504" s="687" t="s">
        <v>910</v>
      </c>
      <c r="B504" s="690" t="s">
        <v>2305</v>
      </c>
      <c r="C504" s="732" t="s">
        <v>2090</v>
      </c>
      <c r="D504" s="313">
        <v>20</v>
      </c>
      <c r="E504" s="281"/>
      <c r="F504" s="675"/>
      <c r="G504" s="675">
        <f>G503</f>
        <v>45781</v>
      </c>
      <c r="H504" s="676">
        <f>H503</f>
        <v>45798</v>
      </c>
      <c r="I504" s="751" t="s">
        <v>2425</v>
      </c>
      <c r="J504" s="751" t="s">
        <v>18</v>
      </c>
      <c r="K504" s="751" t="s">
        <v>19</v>
      </c>
      <c r="L504" s="347" t="s">
        <v>20</v>
      </c>
      <c r="M504" s="687" t="s">
        <v>2422</v>
      </c>
      <c r="N504" s="761"/>
      <c r="O504" s="762"/>
      <c r="P504" s="762"/>
      <c r="Q504" s="762"/>
      <c r="R504" s="762"/>
      <c r="S504" s="762"/>
      <c r="T504" s="762"/>
      <c r="U504" s="762"/>
    </row>
    <row r="505" s="660" customFormat="1" hidden="1" spans="1:21">
      <c r="A505" s="687" t="s">
        <v>910</v>
      </c>
      <c r="B505" s="690" t="s">
        <v>2305</v>
      </c>
      <c r="C505" s="732" t="s">
        <v>2340</v>
      </c>
      <c r="D505" s="313">
        <v>10</v>
      </c>
      <c r="E505" s="69"/>
      <c r="F505" s="675"/>
      <c r="G505" s="675">
        <f>G504</f>
        <v>45781</v>
      </c>
      <c r="H505" s="676">
        <f>H504</f>
        <v>45798</v>
      </c>
      <c r="I505" s="751" t="s">
        <v>2425</v>
      </c>
      <c r="J505" s="751" t="s">
        <v>18</v>
      </c>
      <c r="K505" s="751" t="s">
        <v>19</v>
      </c>
      <c r="L505" s="347" t="s">
        <v>20</v>
      </c>
      <c r="M505" s="687" t="s">
        <v>2426</v>
      </c>
      <c r="N505" s="761"/>
      <c r="O505" s="762"/>
      <c r="P505" s="762"/>
      <c r="Q505" s="762"/>
      <c r="R505" s="762"/>
      <c r="S505" s="762"/>
      <c r="T505" s="762"/>
      <c r="U505" s="762"/>
    </row>
    <row r="506" s="660" customFormat="1" ht="15.4" hidden="1" customHeight="1" spans="1:21">
      <c r="A506" s="687" t="s">
        <v>910</v>
      </c>
      <c r="B506" s="690" t="s">
        <v>2305</v>
      </c>
      <c r="C506" s="758" t="s">
        <v>2040</v>
      </c>
      <c r="D506" s="350">
        <v>44</v>
      </c>
      <c r="E506" s="756" t="s">
        <v>2427</v>
      </c>
      <c r="F506" s="675"/>
      <c r="G506" s="675">
        <f>VLOOKUP(CLEAN(SUBSTITUTE(TRIM(MID(E:E,FIND("/",E:E)+1,LEN(E:E)))," ","")),'Customs Decl. &amp; Local Delivery'!D:I,6,0)</f>
        <v>45781</v>
      </c>
      <c r="H506" s="676">
        <f>VLOOKUP(CLEAN(SUBSTITUTE(TRIM(MID(E:E,FIND("/",E:E)+1,LEN(E:E)))," ","")),'Customs Decl. &amp; Local Delivery'!D:J,7,0)</f>
        <v>45798</v>
      </c>
      <c r="I506" s="751" t="s">
        <v>2428</v>
      </c>
      <c r="J506" s="751" t="s">
        <v>18</v>
      </c>
      <c r="K506" s="751" t="s">
        <v>147</v>
      </c>
      <c r="L506" s="347" t="s">
        <v>20</v>
      </c>
      <c r="M506" s="687" t="s">
        <v>2429</v>
      </c>
      <c r="N506" s="684"/>
      <c r="O506" s="203"/>
      <c r="P506" s="203"/>
      <c r="Q506" s="203"/>
      <c r="R506" s="203"/>
      <c r="S506" s="203"/>
      <c r="T506" s="203"/>
      <c r="U506" s="203"/>
    </row>
    <row r="507" s="660" customFormat="1" ht="15.4" hidden="1" customHeight="1" spans="1:21">
      <c r="A507" s="687" t="s">
        <v>910</v>
      </c>
      <c r="B507" s="690" t="s">
        <v>2305</v>
      </c>
      <c r="C507" s="758" t="s">
        <v>2140</v>
      </c>
      <c r="D507" s="350">
        <v>55</v>
      </c>
      <c r="E507" s="281"/>
      <c r="F507" s="675"/>
      <c r="G507" s="675">
        <f>G506</f>
        <v>45781</v>
      </c>
      <c r="H507" s="676">
        <f>H506</f>
        <v>45798</v>
      </c>
      <c r="I507" s="751" t="s">
        <v>2428</v>
      </c>
      <c r="J507" s="751" t="s">
        <v>18</v>
      </c>
      <c r="K507" s="751" t="s">
        <v>147</v>
      </c>
      <c r="L507" s="347" t="s">
        <v>20</v>
      </c>
      <c r="M507" s="690" t="s">
        <v>2430</v>
      </c>
      <c r="N507" s="684"/>
      <c r="O507" s="203"/>
      <c r="P507" s="203"/>
      <c r="Q507" s="203"/>
      <c r="R507" s="203"/>
      <c r="S507" s="203"/>
      <c r="T507" s="203"/>
      <c r="U507" s="203"/>
    </row>
    <row r="508" s="660" customFormat="1" ht="15.4" hidden="1" customHeight="1" spans="1:21">
      <c r="A508" s="687" t="s">
        <v>910</v>
      </c>
      <c r="B508" s="690" t="s">
        <v>2305</v>
      </c>
      <c r="C508" s="758" t="s">
        <v>2114</v>
      </c>
      <c r="D508" s="350">
        <v>78</v>
      </c>
      <c r="E508" s="281"/>
      <c r="F508" s="675"/>
      <c r="G508" s="675">
        <f>G507</f>
        <v>45781</v>
      </c>
      <c r="H508" s="676">
        <f>H507</f>
        <v>45798</v>
      </c>
      <c r="I508" s="751" t="s">
        <v>2428</v>
      </c>
      <c r="J508" s="751" t="s">
        <v>18</v>
      </c>
      <c r="K508" s="751" t="s">
        <v>147</v>
      </c>
      <c r="L508" s="347" t="s">
        <v>20</v>
      </c>
      <c r="M508" s="690"/>
      <c r="N508" s="684"/>
      <c r="O508" s="203"/>
      <c r="P508" s="203"/>
      <c r="Q508" s="203"/>
      <c r="R508" s="203"/>
      <c r="S508" s="203"/>
      <c r="T508" s="203"/>
      <c r="U508" s="203"/>
    </row>
    <row r="509" s="660" customFormat="1" ht="15.4" hidden="1" customHeight="1" spans="1:21">
      <c r="A509" s="687" t="s">
        <v>910</v>
      </c>
      <c r="B509" s="690" t="s">
        <v>2305</v>
      </c>
      <c r="C509" s="758" t="s">
        <v>2182</v>
      </c>
      <c r="D509" s="350">
        <v>106</v>
      </c>
      <c r="E509" s="281"/>
      <c r="F509" s="675"/>
      <c r="G509" s="675">
        <f>G508</f>
        <v>45781</v>
      </c>
      <c r="H509" s="676">
        <f>H508</f>
        <v>45798</v>
      </c>
      <c r="I509" s="751" t="s">
        <v>2428</v>
      </c>
      <c r="J509" s="751" t="s">
        <v>18</v>
      </c>
      <c r="K509" s="751" t="s">
        <v>147</v>
      </c>
      <c r="L509" s="347" t="s">
        <v>20</v>
      </c>
      <c r="M509" s="690"/>
      <c r="N509" s="684"/>
      <c r="O509" s="203"/>
      <c r="P509" s="203"/>
      <c r="Q509" s="203"/>
      <c r="R509" s="203"/>
      <c r="S509" s="203"/>
      <c r="T509" s="203"/>
      <c r="U509" s="203"/>
    </row>
    <row r="510" s="660" customFormat="1" ht="15.4" hidden="1" customHeight="1" spans="1:21">
      <c r="A510" s="687" t="s">
        <v>910</v>
      </c>
      <c r="B510" s="690" t="s">
        <v>2305</v>
      </c>
      <c r="C510" s="732" t="s">
        <v>2087</v>
      </c>
      <c r="D510" s="313">
        <v>36</v>
      </c>
      <c r="E510" s="674" t="s">
        <v>2431</v>
      </c>
      <c r="F510" s="675"/>
      <c r="G510" s="675">
        <f>VLOOKUP(CLEAN(SUBSTITUTE(TRIM(MID(E:E,FIND("/",E:E)+1,LEN(E:E)))," ","")),'Customs Decl. &amp; Local Delivery'!D:I,6,0)</f>
        <v>45785</v>
      </c>
      <c r="H510" s="676">
        <f>VLOOKUP(CLEAN(SUBSTITUTE(TRIM(MID(E:E,FIND("/",E:E)+1,LEN(E:E)))," ","")),'Customs Decl. &amp; Local Delivery'!D:J,7,0)</f>
        <v>45803</v>
      </c>
      <c r="I510" s="751" t="s">
        <v>2432</v>
      </c>
      <c r="J510" s="687" t="s">
        <v>18</v>
      </c>
      <c r="K510" s="776" t="s">
        <v>147</v>
      </c>
      <c r="L510" s="347" t="s">
        <v>20</v>
      </c>
      <c r="M510" s="687" t="s">
        <v>2383</v>
      </c>
      <c r="N510" s="684"/>
      <c r="O510" s="203"/>
      <c r="P510" s="203"/>
      <c r="Q510" s="203"/>
      <c r="R510" s="203"/>
      <c r="S510" s="203"/>
      <c r="T510" s="203"/>
      <c r="U510" s="203"/>
    </row>
    <row r="511" s="660" customFormat="1" ht="30" hidden="1" spans="1:21">
      <c r="A511" s="687" t="s">
        <v>910</v>
      </c>
      <c r="B511" s="690" t="s">
        <v>2305</v>
      </c>
      <c r="C511" s="732" t="s">
        <v>2090</v>
      </c>
      <c r="D511" s="313">
        <v>20</v>
      </c>
      <c r="E511" s="757"/>
      <c r="F511" s="675"/>
      <c r="G511" s="675">
        <f>G510</f>
        <v>45785</v>
      </c>
      <c r="H511" s="676">
        <f>H510</f>
        <v>45803</v>
      </c>
      <c r="I511" s="751" t="s">
        <v>2432</v>
      </c>
      <c r="J511" s="777" t="s">
        <v>18</v>
      </c>
      <c r="K511" s="778" t="s">
        <v>147</v>
      </c>
      <c r="L511" s="347" t="s">
        <v>20</v>
      </c>
      <c r="M511" s="779" t="s">
        <v>2433</v>
      </c>
      <c r="N511" s="684"/>
      <c r="O511" s="203"/>
      <c r="P511" s="203"/>
      <c r="Q511" s="203"/>
      <c r="R511" s="203"/>
      <c r="S511" s="203"/>
      <c r="T511" s="203"/>
      <c r="U511" s="203"/>
    </row>
    <row r="512" s="660" customFormat="1" hidden="1" spans="1:21">
      <c r="A512" s="687" t="s">
        <v>910</v>
      </c>
      <c r="B512" s="690" t="s">
        <v>2305</v>
      </c>
      <c r="C512" s="732" t="s">
        <v>2340</v>
      </c>
      <c r="D512" s="313">
        <v>10</v>
      </c>
      <c r="E512" s="757"/>
      <c r="F512" s="675"/>
      <c r="G512" s="753">
        <f>G511</f>
        <v>45785</v>
      </c>
      <c r="H512" s="754">
        <f>H511</f>
        <v>45803</v>
      </c>
      <c r="I512" s="751" t="s">
        <v>2432</v>
      </c>
      <c r="J512" s="751" t="s">
        <v>18</v>
      </c>
      <c r="K512" s="751" t="s">
        <v>147</v>
      </c>
      <c r="L512" s="347" t="s">
        <v>20</v>
      </c>
      <c r="M512" s="687"/>
      <c r="N512" s="684"/>
      <c r="O512" s="203"/>
      <c r="P512" s="203"/>
      <c r="Q512" s="203"/>
      <c r="R512" s="203"/>
      <c r="S512" s="203"/>
      <c r="T512" s="203"/>
      <c r="U512" s="203"/>
    </row>
    <row r="513" s="660" customFormat="1" ht="15.4" hidden="1" customHeight="1" spans="1:21">
      <c r="A513" s="687" t="s">
        <v>910</v>
      </c>
      <c r="B513" s="690" t="s">
        <v>2305</v>
      </c>
      <c r="C513" s="758" t="s">
        <v>2087</v>
      </c>
      <c r="D513" s="350">
        <v>36</v>
      </c>
      <c r="E513" s="756" t="s">
        <v>2434</v>
      </c>
      <c r="F513" s="675"/>
      <c r="G513" s="675">
        <f>VLOOKUP(CLEAN(SUBSTITUTE(TRIM(MID(E:E,FIND("/",E:E)+1,LEN(E:E)))," ","")),'Customs Decl. &amp; Local Delivery'!D:I,6,0)</f>
        <v>45785</v>
      </c>
      <c r="H513" s="676">
        <f>VLOOKUP(CLEAN(SUBSTITUTE(TRIM(MID(E:E,FIND("/",E:E)+1,LEN(E:E)))," ","")),'Customs Decl. &amp; Local Delivery'!D:J,7,0)</f>
        <v>45803</v>
      </c>
      <c r="I513" s="687" t="s">
        <v>2435</v>
      </c>
      <c r="J513" s="687" t="s">
        <v>18</v>
      </c>
      <c r="K513" s="687" t="s">
        <v>654</v>
      </c>
      <c r="L513" s="347" t="s">
        <v>20</v>
      </c>
      <c r="M513" s="687" t="s">
        <v>2436</v>
      </c>
      <c r="N513" s="761"/>
      <c r="O513" s="762"/>
      <c r="P513" s="762"/>
      <c r="Q513" s="762"/>
      <c r="S513" s="762"/>
      <c r="T513" s="762"/>
      <c r="U513" s="762"/>
    </row>
    <row r="514" s="660" customFormat="1" ht="15.4" hidden="1" customHeight="1" spans="1:21">
      <c r="A514" s="687" t="s">
        <v>910</v>
      </c>
      <c r="B514" s="690" t="s">
        <v>2305</v>
      </c>
      <c r="C514" s="758" t="s">
        <v>2092</v>
      </c>
      <c r="D514" s="350">
        <v>45</v>
      </c>
      <c r="E514" s="281"/>
      <c r="F514" s="675"/>
      <c r="G514" s="675">
        <f>G513</f>
        <v>45785</v>
      </c>
      <c r="H514" s="676">
        <f>H513</f>
        <v>45803</v>
      </c>
      <c r="I514" s="687" t="s">
        <v>2435</v>
      </c>
      <c r="J514" s="783" t="s">
        <v>18</v>
      </c>
      <c r="K514" s="687" t="s">
        <v>654</v>
      </c>
      <c r="L514" s="347" t="s">
        <v>20</v>
      </c>
      <c r="M514" s="780" t="s">
        <v>2351</v>
      </c>
      <c r="N514" s="761"/>
      <c r="O514" s="762"/>
      <c r="P514" s="762"/>
      <c r="Q514" s="762"/>
      <c r="R514" s="762"/>
      <c r="S514" s="762"/>
      <c r="T514" s="762"/>
      <c r="U514" s="762"/>
    </row>
    <row r="515" s="660" customFormat="1" ht="15.4" hidden="1" customHeight="1" spans="1:21">
      <c r="A515" s="687" t="s">
        <v>910</v>
      </c>
      <c r="B515" s="690" t="s">
        <v>2305</v>
      </c>
      <c r="C515" s="758" t="s">
        <v>2094</v>
      </c>
      <c r="D515" s="350">
        <v>25</v>
      </c>
      <c r="E515" s="281"/>
      <c r="F515" s="675"/>
      <c r="G515" s="675">
        <f>G514</f>
        <v>45785</v>
      </c>
      <c r="H515" s="676">
        <f>H514</f>
        <v>45803</v>
      </c>
      <c r="I515" s="687" t="s">
        <v>2435</v>
      </c>
      <c r="J515" s="750" t="s">
        <v>18</v>
      </c>
      <c r="K515" s="687" t="s">
        <v>654</v>
      </c>
      <c r="L515" s="347" t="s">
        <v>20</v>
      </c>
      <c r="M515" s="687"/>
      <c r="N515" s="761"/>
      <c r="O515" s="762"/>
      <c r="P515" s="762"/>
      <c r="Q515" s="762"/>
      <c r="R515" s="762"/>
      <c r="S515" s="762"/>
      <c r="T515" s="762"/>
      <c r="U515" s="762"/>
    </row>
    <row r="516" s="660" customFormat="1" ht="15.4" hidden="1" customHeight="1" spans="1:21">
      <c r="A516" s="687" t="s">
        <v>910</v>
      </c>
      <c r="B516" s="690" t="s">
        <v>2305</v>
      </c>
      <c r="C516" s="758" t="s">
        <v>2340</v>
      </c>
      <c r="D516" s="350">
        <v>10</v>
      </c>
      <c r="E516" s="69"/>
      <c r="F516" s="675"/>
      <c r="G516" s="675">
        <f>G515</f>
        <v>45785</v>
      </c>
      <c r="H516" s="676">
        <f>H515</f>
        <v>45803</v>
      </c>
      <c r="I516" s="687" t="s">
        <v>2435</v>
      </c>
      <c r="J516" s="750" t="s">
        <v>18</v>
      </c>
      <c r="K516" s="687" t="s">
        <v>654</v>
      </c>
      <c r="L516" s="347" t="s">
        <v>20</v>
      </c>
      <c r="M516" s="687"/>
      <c r="N516" s="761"/>
      <c r="O516" s="762"/>
      <c r="P516" s="762"/>
      <c r="Q516" s="762"/>
      <c r="S516" s="762"/>
      <c r="T516" s="762"/>
      <c r="U516" s="762"/>
    </row>
    <row r="517" s="660" customFormat="1" ht="15.4" hidden="1" customHeight="1" spans="1:21">
      <c r="A517" s="687" t="s">
        <v>910</v>
      </c>
      <c r="B517" s="690" t="s">
        <v>2305</v>
      </c>
      <c r="C517" s="758" t="s">
        <v>2090</v>
      </c>
      <c r="D517" s="350">
        <v>40</v>
      </c>
      <c r="E517" s="281"/>
      <c r="F517" s="675"/>
      <c r="G517" s="675">
        <f>G516</f>
        <v>45785</v>
      </c>
      <c r="H517" s="676">
        <f>H516</f>
        <v>45803</v>
      </c>
      <c r="I517" s="687" t="s">
        <v>2435</v>
      </c>
      <c r="J517" s="750" t="s">
        <v>18</v>
      </c>
      <c r="K517" s="687" t="s">
        <v>654</v>
      </c>
      <c r="L517" s="347" t="s">
        <v>20</v>
      </c>
      <c r="M517" s="687" t="s">
        <v>2437</v>
      </c>
      <c r="N517" s="761"/>
      <c r="O517" s="762"/>
      <c r="P517" s="762"/>
      <c r="Q517" s="762"/>
      <c r="R517" s="762"/>
      <c r="S517" s="762"/>
      <c r="T517" s="762"/>
      <c r="U517" s="762"/>
    </row>
    <row r="518" s="660" customFormat="1" ht="15.4" hidden="1" customHeight="1" spans="1:21">
      <c r="A518" s="687" t="s">
        <v>910</v>
      </c>
      <c r="B518" s="687" t="s">
        <v>2372</v>
      </c>
      <c r="C518" s="758" t="s">
        <v>2090</v>
      </c>
      <c r="D518" s="350">
        <v>16</v>
      </c>
      <c r="E518" s="281"/>
      <c r="F518" s="675"/>
      <c r="G518" s="675">
        <f>G517</f>
        <v>45785</v>
      </c>
      <c r="H518" s="676">
        <f>H517</f>
        <v>45803</v>
      </c>
      <c r="I518" s="687" t="s">
        <v>2435</v>
      </c>
      <c r="J518" s="760" t="s">
        <v>18</v>
      </c>
      <c r="K518" s="687" t="s">
        <v>654</v>
      </c>
      <c r="L518" s="347" t="s">
        <v>20</v>
      </c>
      <c r="M518" s="687"/>
      <c r="N518" s="761"/>
      <c r="O518" s="762"/>
      <c r="P518" s="762"/>
      <c r="Q518" s="762"/>
      <c r="R518" s="762"/>
      <c r="S518" s="762"/>
      <c r="T518" s="762"/>
      <c r="U518" s="762"/>
    </row>
    <row r="519" s="660" customFormat="1" ht="15.4" hidden="1" customHeight="1" spans="1:21">
      <c r="A519" s="687" t="s">
        <v>910</v>
      </c>
      <c r="B519" s="690" t="s">
        <v>2305</v>
      </c>
      <c r="C519" s="758" t="s">
        <v>2087</v>
      </c>
      <c r="D519" s="350">
        <v>36</v>
      </c>
      <c r="E519" s="674" t="s">
        <v>2438</v>
      </c>
      <c r="F519" s="675"/>
      <c r="G519" s="675">
        <f>VLOOKUP(CLEAN(SUBSTITUTE(TRIM(MID(E:E,FIND("/",E:E)+1,LEN(E:E)))," ","")),'Customs Decl. &amp; Local Delivery'!D:I,6,0)</f>
        <v>45785</v>
      </c>
      <c r="H519" s="676">
        <f>VLOOKUP(CLEAN(SUBSTITUTE(TRIM(MID(E:E,FIND("/",E:E)+1,LEN(E:E)))," ","")),'Customs Decl. &amp; Local Delivery'!D:J,7,0)</f>
        <v>45803</v>
      </c>
      <c r="I519" s="690" t="s">
        <v>2439</v>
      </c>
      <c r="J519" s="687" t="s">
        <v>18</v>
      </c>
      <c r="K519" s="687" t="s">
        <v>654</v>
      </c>
      <c r="L519" s="347" t="s">
        <v>20</v>
      </c>
      <c r="M519" s="687" t="s">
        <v>2440</v>
      </c>
      <c r="N519" s="761"/>
      <c r="O519" s="762"/>
      <c r="P519" s="762"/>
      <c r="Q519" s="762"/>
      <c r="R519" s="762"/>
      <c r="S519" s="762"/>
      <c r="T519" s="762"/>
      <c r="U519" s="762"/>
    </row>
    <row r="520" s="660" customFormat="1" ht="15.4" hidden="1" customHeight="1" spans="1:21">
      <c r="A520" s="687" t="s">
        <v>910</v>
      </c>
      <c r="B520" s="690" t="s">
        <v>2305</v>
      </c>
      <c r="C520" s="732" t="s">
        <v>2090</v>
      </c>
      <c r="D520" s="313">
        <v>20</v>
      </c>
      <c r="E520" s="281"/>
      <c r="F520" s="703"/>
      <c r="G520" s="703">
        <f>G519</f>
        <v>45785</v>
      </c>
      <c r="H520" s="713">
        <f>H519</f>
        <v>45803</v>
      </c>
      <c r="I520" s="690" t="s">
        <v>2439</v>
      </c>
      <c r="J520" s="783" t="s">
        <v>18</v>
      </c>
      <c r="K520" s="687" t="s">
        <v>654</v>
      </c>
      <c r="L520" s="347" t="s">
        <v>20</v>
      </c>
      <c r="M520" s="784" t="s">
        <v>2441</v>
      </c>
      <c r="N520" s="761"/>
      <c r="O520" s="762"/>
      <c r="P520" s="762"/>
      <c r="Q520" s="762"/>
      <c r="R520" s="762"/>
      <c r="S520" s="762"/>
      <c r="T520" s="762"/>
      <c r="U520" s="762"/>
    </row>
    <row r="521" s="660" customFormat="1" ht="15.4" hidden="1" customHeight="1" spans="1:21">
      <c r="A521" s="687" t="s">
        <v>910</v>
      </c>
      <c r="B521" s="690" t="s">
        <v>2305</v>
      </c>
      <c r="C521" s="732" t="s">
        <v>2092</v>
      </c>
      <c r="D521" s="313">
        <v>45</v>
      </c>
      <c r="E521" s="281"/>
      <c r="F521" s="703"/>
      <c r="G521" s="703">
        <f>G520</f>
        <v>45785</v>
      </c>
      <c r="H521" s="713">
        <f>H520</f>
        <v>45803</v>
      </c>
      <c r="I521" s="690" t="s">
        <v>2439</v>
      </c>
      <c r="J521" s="750" t="s">
        <v>18</v>
      </c>
      <c r="K521" s="687" t="s">
        <v>654</v>
      </c>
      <c r="L521" s="347" t="s">
        <v>20</v>
      </c>
      <c r="M521" s="784" t="s">
        <v>2442</v>
      </c>
      <c r="N521" s="761"/>
      <c r="O521" s="762"/>
      <c r="P521" s="762"/>
      <c r="Q521" s="762"/>
      <c r="R521" s="762"/>
      <c r="S521" s="762"/>
      <c r="T521" s="762"/>
      <c r="U521" s="762"/>
    </row>
    <row r="522" s="660" customFormat="1" ht="15.4" hidden="1" customHeight="1" spans="1:21">
      <c r="A522" s="687" t="s">
        <v>910</v>
      </c>
      <c r="B522" s="690" t="s">
        <v>2305</v>
      </c>
      <c r="C522" s="732" t="s">
        <v>2093</v>
      </c>
      <c r="D522" s="313">
        <v>25</v>
      </c>
      <c r="E522" s="281"/>
      <c r="F522" s="703"/>
      <c r="G522" s="703">
        <f>G521</f>
        <v>45785</v>
      </c>
      <c r="H522" s="713">
        <f>H521</f>
        <v>45803</v>
      </c>
      <c r="I522" s="690" t="s">
        <v>2439</v>
      </c>
      <c r="J522" s="750" t="s">
        <v>18</v>
      </c>
      <c r="K522" s="687" t="s">
        <v>654</v>
      </c>
      <c r="L522" s="347" t="s">
        <v>20</v>
      </c>
      <c r="M522" s="784" t="s">
        <v>2442</v>
      </c>
      <c r="N522" s="761"/>
      <c r="O522" s="762"/>
      <c r="P522" s="762"/>
      <c r="Q522" s="762"/>
      <c r="R522" s="762"/>
      <c r="S522" s="762"/>
      <c r="T522" s="762"/>
      <c r="U522" s="762"/>
    </row>
    <row r="523" s="660" customFormat="1" ht="15.4" hidden="1" customHeight="1" spans="1:21">
      <c r="A523" s="687" t="s">
        <v>910</v>
      </c>
      <c r="B523" s="690" t="s">
        <v>2305</v>
      </c>
      <c r="C523" s="732" t="s">
        <v>2094</v>
      </c>
      <c r="D523" s="313">
        <v>25</v>
      </c>
      <c r="E523" s="281"/>
      <c r="F523" s="703"/>
      <c r="G523" s="703">
        <f>G522</f>
        <v>45785</v>
      </c>
      <c r="H523" s="713">
        <f>H522</f>
        <v>45803</v>
      </c>
      <c r="I523" s="690" t="s">
        <v>2439</v>
      </c>
      <c r="J523" s="750" t="s">
        <v>18</v>
      </c>
      <c r="K523" s="687" t="s">
        <v>654</v>
      </c>
      <c r="L523" s="347" t="s">
        <v>20</v>
      </c>
      <c r="M523" s="784" t="s">
        <v>2442</v>
      </c>
      <c r="N523" s="761"/>
      <c r="O523" s="762"/>
      <c r="P523" s="762"/>
      <c r="Q523" s="762"/>
      <c r="R523" s="762"/>
      <c r="S523" s="762"/>
      <c r="T523" s="762"/>
      <c r="U523" s="762"/>
    </row>
    <row r="524" s="660" customFormat="1" ht="15.4" hidden="1" customHeight="1" spans="1:21">
      <c r="A524" s="687" t="s">
        <v>910</v>
      </c>
      <c r="B524" s="690" t="s">
        <v>2305</v>
      </c>
      <c r="C524" s="732" t="s">
        <v>2340</v>
      </c>
      <c r="D524" s="313">
        <v>10</v>
      </c>
      <c r="E524" s="281"/>
      <c r="F524" s="703"/>
      <c r="G524" s="703">
        <f>G523</f>
        <v>45785</v>
      </c>
      <c r="H524" s="713">
        <f>H523</f>
        <v>45803</v>
      </c>
      <c r="I524" s="690" t="s">
        <v>2439</v>
      </c>
      <c r="J524" s="760" t="s">
        <v>18</v>
      </c>
      <c r="K524" s="687" t="s">
        <v>654</v>
      </c>
      <c r="L524" s="347" t="s">
        <v>20</v>
      </c>
      <c r="M524" s="784" t="s">
        <v>2442</v>
      </c>
      <c r="N524" s="761"/>
      <c r="O524" s="762"/>
      <c r="P524" s="762"/>
      <c r="Q524" s="762"/>
      <c r="R524" s="762"/>
      <c r="S524" s="762"/>
      <c r="T524" s="762"/>
      <c r="U524" s="762"/>
    </row>
    <row r="525" s="660" customFormat="1" ht="15.4" hidden="1" customHeight="1" spans="1:21">
      <c r="A525" s="687" t="s">
        <v>910</v>
      </c>
      <c r="B525" s="690" t="s">
        <v>2372</v>
      </c>
      <c r="C525" s="732" t="s">
        <v>2087</v>
      </c>
      <c r="D525" s="313">
        <v>36</v>
      </c>
      <c r="E525" s="674" t="s">
        <v>2443</v>
      </c>
      <c r="F525" s="675"/>
      <c r="G525" s="675">
        <f>VLOOKUP(CLEAN(SUBSTITUTE(TRIM(MID(E:E,FIND("/",E:E)+1,LEN(E:E)))," ","")),'Customs Decl. &amp; Local Delivery'!D:I,6,0)</f>
        <v>45785</v>
      </c>
      <c r="H525" s="676">
        <f>VLOOKUP(CLEAN(SUBSTITUTE(TRIM(MID(E:E,FIND("/",E:E)+1,LEN(E:E)))," ","")),'Customs Decl. &amp; Local Delivery'!D:J,7,0)</f>
        <v>45803</v>
      </c>
      <c r="I525" s="690" t="s">
        <v>2444</v>
      </c>
      <c r="J525" s="687" t="s">
        <v>18</v>
      </c>
      <c r="K525" s="687" t="s">
        <v>64</v>
      </c>
      <c r="L525" s="347" t="s">
        <v>20</v>
      </c>
      <c r="M525" s="687" t="s">
        <v>2445</v>
      </c>
      <c r="N525" s="761"/>
      <c r="O525" s="762"/>
      <c r="P525" s="762"/>
      <c r="Q525" s="762"/>
      <c r="R525" s="762"/>
      <c r="S525" s="762"/>
      <c r="T525" s="762"/>
      <c r="U525" s="762"/>
    </row>
    <row r="526" s="660" customFormat="1" ht="17.25" hidden="1" customHeight="1" spans="1:21">
      <c r="A526" s="687" t="s">
        <v>910</v>
      </c>
      <c r="B526" s="690" t="s">
        <v>2305</v>
      </c>
      <c r="C526" s="732" t="s">
        <v>2095</v>
      </c>
      <c r="D526" s="313">
        <f>45+45+10</f>
        <v>100</v>
      </c>
      <c r="E526" s="281"/>
      <c r="F526" s="703"/>
      <c r="G526" s="703">
        <f>G525</f>
        <v>45785</v>
      </c>
      <c r="H526" s="713">
        <f>H525</f>
        <v>45803</v>
      </c>
      <c r="I526" s="690" t="s">
        <v>2444</v>
      </c>
      <c r="J526" s="783" t="s">
        <v>18</v>
      </c>
      <c r="K526" s="687" t="s">
        <v>64</v>
      </c>
      <c r="L526" s="347" t="s">
        <v>20</v>
      </c>
      <c r="M526" s="687" t="s">
        <v>2446</v>
      </c>
      <c r="N526" s="761"/>
      <c r="O526" s="762"/>
      <c r="P526" s="762"/>
      <c r="Q526" s="762"/>
      <c r="R526" s="762"/>
      <c r="S526" s="762"/>
      <c r="T526" s="762"/>
      <c r="U526" s="762"/>
    </row>
    <row r="527" s="660" customFormat="1" ht="15.4" hidden="1" customHeight="1" spans="1:21">
      <c r="A527" s="687" t="s">
        <v>910</v>
      </c>
      <c r="B527" s="690" t="s">
        <v>2305</v>
      </c>
      <c r="C527" s="758" t="s">
        <v>2090</v>
      </c>
      <c r="D527" s="350">
        <v>20</v>
      </c>
      <c r="E527" s="732" t="s">
        <v>2447</v>
      </c>
      <c r="F527" s="675"/>
      <c r="G527" s="675">
        <f>VLOOKUP(CLEAN(SUBSTITUTE(TRIM(MID(E:E,FIND("/",E:E)+1,LEN(E:E)))," ","")),'Customs Decl. &amp; Local Delivery'!D:I,6,0)</f>
        <v>45785</v>
      </c>
      <c r="H527" s="676">
        <f>VLOOKUP(CLEAN(SUBSTITUTE(TRIM(MID(E:E,FIND("/",E:E)+1,LEN(E:E)))," ","")),'Customs Decl. &amp; Local Delivery'!D:J,7,0)</f>
        <v>45803</v>
      </c>
      <c r="I527" s="687" t="s">
        <v>2448</v>
      </c>
      <c r="J527" s="687" t="s">
        <v>18</v>
      </c>
      <c r="K527" s="687" t="s">
        <v>64</v>
      </c>
      <c r="L527" s="354" t="s">
        <v>20</v>
      </c>
      <c r="M527" s="687" t="s">
        <v>2449</v>
      </c>
      <c r="N527" s="761"/>
      <c r="O527" s="762"/>
      <c r="P527" s="762"/>
      <c r="Q527" s="762"/>
      <c r="R527" s="762"/>
      <c r="S527" s="762"/>
      <c r="T527" s="762"/>
      <c r="U527" s="762"/>
    </row>
    <row r="528" s="660" customFormat="1" ht="15.4" hidden="1" customHeight="1" spans="1:21">
      <c r="A528" s="687" t="s">
        <v>910</v>
      </c>
      <c r="B528" s="690" t="s">
        <v>2305</v>
      </c>
      <c r="C528" s="758" t="s">
        <v>2340</v>
      </c>
      <c r="D528" s="350">
        <v>10</v>
      </c>
      <c r="E528" s="281"/>
      <c r="F528" s="703"/>
      <c r="G528" s="703">
        <f>G527</f>
        <v>45785</v>
      </c>
      <c r="H528" s="713">
        <f>H527</f>
        <v>45803</v>
      </c>
      <c r="I528" s="687" t="s">
        <v>2448</v>
      </c>
      <c r="J528" s="687" t="s">
        <v>18</v>
      </c>
      <c r="K528" s="687" t="s">
        <v>64</v>
      </c>
      <c r="L528" s="354" t="s">
        <v>20</v>
      </c>
      <c r="M528" s="780" t="s">
        <v>2450</v>
      </c>
      <c r="N528" s="761"/>
      <c r="O528" s="762"/>
      <c r="P528" s="762"/>
      <c r="Q528" s="762"/>
      <c r="R528" s="762"/>
      <c r="S528" s="762"/>
      <c r="T528" s="762"/>
      <c r="U528" s="762"/>
    </row>
    <row r="529" s="660" customFormat="1" ht="15.4" hidden="1" customHeight="1" spans="1:21">
      <c r="A529" s="687" t="s">
        <v>910</v>
      </c>
      <c r="B529" s="690" t="s">
        <v>2305</v>
      </c>
      <c r="C529" s="758" t="s">
        <v>2087</v>
      </c>
      <c r="D529" s="350">
        <v>36</v>
      </c>
      <c r="E529" s="281"/>
      <c r="F529" s="703"/>
      <c r="G529" s="703">
        <f>G528</f>
        <v>45785</v>
      </c>
      <c r="H529" s="713">
        <f>H528</f>
        <v>45803</v>
      </c>
      <c r="I529" s="687" t="s">
        <v>2448</v>
      </c>
      <c r="J529" s="687" t="s">
        <v>18</v>
      </c>
      <c r="K529" s="687" t="s">
        <v>64</v>
      </c>
      <c r="L529" s="354" t="s">
        <v>20</v>
      </c>
      <c r="M529" s="687" t="s">
        <v>2375</v>
      </c>
      <c r="N529" s="761"/>
      <c r="O529" s="762"/>
      <c r="P529" s="762"/>
      <c r="Q529" s="762"/>
      <c r="R529" s="762"/>
      <c r="S529" s="762"/>
      <c r="T529" s="762"/>
      <c r="U529" s="762"/>
    </row>
    <row r="530" s="660" customFormat="1" ht="15.4" hidden="1" customHeight="1" spans="1:21">
      <c r="A530" s="687" t="s">
        <v>910</v>
      </c>
      <c r="B530" s="690" t="s">
        <v>2305</v>
      </c>
      <c r="C530" s="758" t="s">
        <v>2090</v>
      </c>
      <c r="D530" s="350">
        <v>36</v>
      </c>
      <c r="E530" s="281"/>
      <c r="F530" s="703"/>
      <c r="G530" s="703">
        <f>G529</f>
        <v>45785</v>
      </c>
      <c r="H530" s="713">
        <f>H529</f>
        <v>45803</v>
      </c>
      <c r="I530" s="751" t="s">
        <v>2448</v>
      </c>
      <c r="J530" s="751" t="s">
        <v>18</v>
      </c>
      <c r="K530" s="687" t="s">
        <v>64</v>
      </c>
      <c r="L530" s="354" t="s">
        <v>20</v>
      </c>
      <c r="M530" s="687" t="s">
        <v>2451</v>
      </c>
      <c r="N530" s="761"/>
      <c r="O530" s="762"/>
      <c r="P530" s="762"/>
      <c r="Q530" s="762"/>
      <c r="R530" s="762"/>
      <c r="S530" s="762"/>
      <c r="T530" s="762"/>
      <c r="U530" s="762"/>
    </row>
    <row r="531" s="660" customFormat="1" ht="15.4" hidden="1" customHeight="1" spans="1:21">
      <c r="A531" s="687" t="s">
        <v>910</v>
      </c>
      <c r="B531" s="780" t="s">
        <v>2305</v>
      </c>
      <c r="C531" s="758" t="s">
        <v>2092</v>
      </c>
      <c r="D531" s="350">
        <v>45</v>
      </c>
      <c r="E531" s="281"/>
      <c r="F531" s="703"/>
      <c r="G531" s="703">
        <f>G530</f>
        <v>45785</v>
      </c>
      <c r="H531" s="713">
        <f>H530</f>
        <v>45803</v>
      </c>
      <c r="I531" s="751" t="s">
        <v>2448</v>
      </c>
      <c r="J531" s="751" t="s">
        <v>18</v>
      </c>
      <c r="K531" s="687" t="s">
        <v>64</v>
      </c>
      <c r="L531" s="354" t="s">
        <v>20</v>
      </c>
      <c r="M531" s="687" t="s">
        <v>2452</v>
      </c>
      <c r="N531" s="761"/>
      <c r="O531" s="762"/>
      <c r="P531" s="762"/>
      <c r="Q531" s="762"/>
      <c r="R531" s="762"/>
      <c r="S531" s="762"/>
      <c r="T531" s="762"/>
      <c r="U531" s="762"/>
    </row>
    <row r="532" s="660" customFormat="1" ht="15.4" hidden="1" customHeight="1" spans="1:21">
      <c r="A532" s="687" t="s">
        <v>2453</v>
      </c>
      <c r="B532" s="687" t="s">
        <v>2305</v>
      </c>
      <c r="C532" s="758" t="s">
        <v>2094</v>
      </c>
      <c r="D532" s="350">
        <v>25</v>
      </c>
      <c r="E532" s="281"/>
      <c r="F532" s="703"/>
      <c r="G532" s="703">
        <f>G531</f>
        <v>45785</v>
      </c>
      <c r="H532" s="713">
        <f>H531</f>
        <v>45803</v>
      </c>
      <c r="I532" s="751" t="s">
        <v>2448</v>
      </c>
      <c r="J532" s="751" t="s">
        <v>18</v>
      </c>
      <c r="K532" s="687" t="s">
        <v>64</v>
      </c>
      <c r="L532" s="354" t="s">
        <v>20</v>
      </c>
      <c r="M532" s="687" t="s">
        <v>2452</v>
      </c>
      <c r="N532" s="761"/>
      <c r="O532" s="762"/>
      <c r="P532" s="762"/>
      <c r="Q532" s="762"/>
      <c r="R532" s="762"/>
      <c r="S532" s="762"/>
      <c r="T532" s="762"/>
      <c r="U532" s="762"/>
    </row>
    <row r="533" s="660" customFormat="1" ht="15.4" hidden="1" customHeight="1" spans="1:21">
      <c r="A533" s="687" t="s">
        <v>910</v>
      </c>
      <c r="B533" s="690" t="s">
        <v>2305</v>
      </c>
      <c r="C533" s="732" t="s">
        <v>2087</v>
      </c>
      <c r="D533" s="313">
        <v>36</v>
      </c>
      <c r="E533" s="758" t="s">
        <v>2454</v>
      </c>
      <c r="F533" s="675"/>
      <c r="G533" s="675">
        <f>VLOOKUP(CLEAN(SUBSTITUTE(TRIM(MID(E:E,FIND("/",E:E)+1,LEN(E:E)))," ","")),'Customs Decl. &amp; Local Delivery'!D:I,6,0)</f>
        <v>45789</v>
      </c>
      <c r="H533" s="676">
        <f>VLOOKUP(CLEAN(SUBSTITUTE(TRIM(MID(E:E,FIND("/",E:E)+1,LEN(E:E)))," ","")),'Customs Decl. &amp; Local Delivery'!D:J,7,0)</f>
        <v>45806</v>
      </c>
      <c r="I533" s="672" t="s">
        <v>2455</v>
      </c>
      <c r="J533" s="751" t="s">
        <v>18</v>
      </c>
      <c r="K533" s="751" t="s">
        <v>654</v>
      </c>
      <c r="L533" s="347" t="s">
        <v>20</v>
      </c>
      <c r="M533" s="687" t="s">
        <v>2350</v>
      </c>
      <c r="N533" s="761"/>
      <c r="O533" s="762"/>
      <c r="P533" s="762"/>
      <c r="Q533" s="762"/>
      <c r="R533" s="762"/>
      <c r="S533" s="762"/>
      <c r="T533" s="762"/>
      <c r="U533" s="762"/>
    </row>
    <row r="534" s="660" customFormat="1" ht="15.4" hidden="1" customHeight="1" spans="1:21">
      <c r="A534" s="687" t="s">
        <v>910</v>
      </c>
      <c r="B534" s="690" t="s">
        <v>2305</v>
      </c>
      <c r="C534" s="732" t="s">
        <v>2090</v>
      </c>
      <c r="D534" s="313">
        <v>36</v>
      </c>
      <c r="E534" s="281"/>
      <c r="F534" s="675"/>
      <c r="G534" s="675">
        <f>G533</f>
        <v>45789</v>
      </c>
      <c r="H534" s="676">
        <f>H533</f>
        <v>45806</v>
      </c>
      <c r="I534" s="672" t="s">
        <v>2455</v>
      </c>
      <c r="J534" s="751" t="s">
        <v>18</v>
      </c>
      <c r="K534" s="751" t="s">
        <v>654</v>
      </c>
      <c r="L534" s="347" t="s">
        <v>20</v>
      </c>
      <c r="M534" s="687" t="s">
        <v>2351</v>
      </c>
      <c r="N534" s="761"/>
      <c r="O534" s="762"/>
      <c r="P534" s="762"/>
      <c r="Q534" s="762"/>
      <c r="R534" s="762"/>
      <c r="S534" s="762"/>
      <c r="T534" s="762"/>
      <c r="U534" s="762"/>
    </row>
    <row r="535" s="660" customFormat="1" ht="15.4" hidden="1" customHeight="1" spans="1:21">
      <c r="A535" s="687" t="s">
        <v>910</v>
      </c>
      <c r="B535" s="690" t="s">
        <v>2305</v>
      </c>
      <c r="C535" s="732" t="s">
        <v>2093</v>
      </c>
      <c r="D535" s="313">
        <v>20</v>
      </c>
      <c r="E535" s="281"/>
      <c r="F535" s="675"/>
      <c r="G535" s="675">
        <f>G534</f>
        <v>45789</v>
      </c>
      <c r="H535" s="676">
        <f>H534</f>
        <v>45806</v>
      </c>
      <c r="I535" s="672" t="s">
        <v>2455</v>
      </c>
      <c r="J535" s="751" t="s">
        <v>18</v>
      </c>
      <c r="K535" s="751" t="s">
        <v>654</v>
      </c>
      <c r="L535" s="347" t="s">
        <v>20</v>
      </c>
      <c r="M535" s="687"/>
      <c r="N535" s="761"/>
      <c r="O535" s="762"/>
      <c r="P535" s="762"/>
      <c r="Q535" s="762"/>
      <c r="R535" s="762"/>
      <c r="S535" s="762"/>
      <c r="T535" s="762"/>
      <c r="U535" s="762"/>
    </row>
    <row r="536" s="660" customFormat="1" ht="15.4" hidden="1" customHeight="1" spans="1:21">
      <c r="A536" s="687" t="s">
        <v>910</v>
      </c>
      <c r="B536" s="690" t="s">
        <v>2305</v>
      </c>
      <c r="C536" s="732" t="s">
        <v>2094</v>
      </c>
      <c r="D536" s="313">
        <v>15</v>
      </c>
      <c r="E536" s="281"/>
      <c r="F536" s="675"/>
      <c r="G536" s="675">
        <f>G535</f>
        <v>45789</v>
      </c>
      <c r="H536" s="676">
        <f>H535</f>
        <v>45806</v>
      </c>
      <c r="I536" s="672" t="s">
        <v>2455</v>
      </c>
      <c r="J536" s="751" t="s">
        <v>18</v>
      </c>
      <c r="K536" s="751" t="s">
        <v>654</v>
      </c>
      <c r="L536" s="347" t="s">
        <v>20</v>
      </c>
      <c r="M536" s="687"/>
      <c r="N536" s="761"/>
      <c r="O536" s="762"/>
      <c r="P536" s="762"/>
      <c r="Q536" s="762"/>
      <c r="R536" s="762"/>
      <c r="S536" s="762"/>
      <c r="T536" s="762"/>
      <c r="U536" s="762"/>
    </row>
    <row r="537" s="660" customFormat="1" ht="15.4" hidden="1" customHeight="1" spans="1:21">
      <c r="A537" s="687" t="s">
        <v>910</v>
      </c>
      <c r="B537" s="690" t="s">
        <v>2305</v>
      </c>
      <c r="C537" s="732" t="s">
        <v>2340</v>
      </c>
      <c r="D537" s="313">
        <v>8</v>
      </c>
      <c r="E537" s="69"/>
      <c r="F537" s="675"/>
      <c r="G537" s="675">
        <f>G536</f>
        <v>45789</v>
      </c>
      <c r="H537" s="676">
        <f>H536</f>
        <v>45806</v>
      </c>
      <c r="I537" s="672" t="s">
        <v>2455</v>
      </c>
      <c r="J537" s="751" t="s">
        <v>18</v>
      </c>
      <c r="K537" s="751" t="s">
        <v>654</v>
      </c>
      <c r="L537" s="347" t="s">
        <v>20</v>
      </c>
      <c r="M537" s="687"/>
      <c r="N537" s="761"/>
      <c r="O537" s="762"/>
      <c r="P537" s="762"/>
      <c r="Q537" s="762"/>
      <c r="R537" s="762"/>
      <c r="S537" s="762"/>
      <c r="T537" s="762"/>
      <c r="U537" s="762"/>
    </row>
    <row r="538" s="660" customFormat="1" ht="15.4" hidden="1" customHeight="1" spans="1:21">
      <c r="A538" s="687" t="s">
        <v>910</v>
      </c>
      <c r="B538" s="690" t="s">
        <v>2305</v>
      </c>
      <c r="C538" s="732" t="s">
        <v>2095</v>
      </c>
      <c r="D538" s="313">
        <v>30</v>
      </c>
      <c r="E538" s="281"/>
      <c r="F538" s="675"/>
      <c r="G538" s="675">
        <f>G537</f>
        <v>45789</v>
      </c>
      <c r="H538" s="676">
        <f>H537</f>
        <v>45806</v>
      </c>
      <c r="I538" s="672" t="s">
        <v>2455</v>
      </c>
      <c r="J538" s="751" t="s">
        <v>18</v>
      </c>
      <c r="K538" s="751" t="s">
        <v>654</v>
      </c>
      <c r="L538" s="347" t="s">
        <v>20</v>
      </c>
      <c r="M538" s="687"/>
      <c r="N538" s="761"/>
      <c r="O538" s="762"/>
      <c r="P538" s="762"/>
      <c r="Q538" s="762"/>
      <c r="R538" s="762"/>
      <c r="S538" s="762"/>
      <c r="T538" s="762"/>
      <c r="U538" s="762"/>
    </row>
    <row r="539" s="660" customFormat="1" ht="15.4" hidden="1" customHeight="1" spans="1:21">
      <c r="A539" s="687" t="s">
        <v>910</v>
      </c>
      <c r="B539" s="690" t="s">
        <v>2305</v>
      </c>
      <c r="C539" s="732" t="s">
        <v>2087</v>
      </c>
      <c r="D539" s="313">
        <v>36</v>
      </c>
      <c r="E539" s="758" t="s">
        <v>2456</v>
      </c>
      <c r="F539" s="675"/>
      <c r="G539" s="675">
        <f>VLOOKUP(CLEAN(SUBSTITUTE(TRIM(MID(E:E,FIND("/",E:E)+1,LEN(E:E)))," ","")),'Customs Decl. &amp; Local Delivery'!D:I,6,0)</f>
        <v>45789</v>
      </c>
      <c r="H539" s="676">
        <f>VLOOKUP(CLEAN(SUBSTITUTE(TRIM(MID(E:E,FIND("/",E:E)+1,LEN(E:E)))," ","")),'Customs Decl. &amp; Local Delivery'!D:J,7,0)</f>
        <v>45806</v>
      </c>
      <c r="I539" s="672" t="s">
        <v>2455</v>
      </c>
      <c r="J539" s="751" t="s">
        <v>18</v>
      </c>
      <c r="K539" s="687" t="s">
        <v>64</v>
      </c>
      <c r="L539" s="347" t="s">
        <v>20</v>
      </c>
      <c r="M539" s="687" t="s">
        <v>2350</v>
      </c>
      <c r="N539" s="761"/>
      <c r="O539" s="762"/>
      <c r="P539" s="762"/>
      <c r="Q539" s="762"/>
      <c r="R539" s="762"/>
      <c r="S539" s="762"/>
      <c r="T539" s="762"/>
      <c r="U539" s="762"/>
    </row>
    <row r="540" s="660" customFormat="1" ht="15.4" hidden="1" customHeight="1" spans="1:21">
      <c r="A540" s="687" t="s">
        <v>910</v>
      </c>
      <c r="B540" s="690" t="s">
        <v>2305</v>
      </c>
      <c r="C540" s="732" t="s">
        <v>2090</v>
      </c>
      <c r="D540" s="313">
        <v>36</v>
      </c>
      <c r="E540" s="281"/>
      <c r="F540" s="675"/>
      <c r="G540" s="675">
        <f>G539</f>
        <v>45789</v>
      </c>
      <c r="H540" s="676">
        <f>H539</f>
        <v>45806</v>
      </c>
      <c r="I540" s="672" t="s">
        <v>2455</v>
      </c>
      <c r="J540" s="751" t="s">
        <v>18</v>
      </c>
      <c r="K540" s="687" t="s">
        <v>64</v>
      </c>
      <c r="L540" s="347" t="s">
        <v>20</v>
      </c>
      <c r="M540" s="687" t="s">
        <v>2457</v>
      </c>
      <c r="N540" s="761"/>
      <c r="O540" s="762"/>
      <c r="P540" s="762"/>
      <c r="Q540" s="762"/>
      <c r="R540" s="762"/>
      <c r="S540" s="762"/>
      <c r="T540" s="762"/>
      <c r="U540" s="762"/>
    </row>
    <row r="541" s="660" customFormat="1" ht="15.4" hidden="1" customHeight="1" spans="1:21">
      <c r="A541" s="687" t="s">
        <v>910</v>
      </c>
      <c r="B541" s="690" t="s">
        <v>2305</v>
      </c>
      <c r="C541" s="732" t="s">
        <v>2093</v>
      </c>
      <c r="D541" s="313">
        <v>20</v>
      </c>
      <c r="E541" s="281"/>
      <c r="F541" s="675"/>
      <c r="G541" s="675">
        <f>G540</f>
        <v>45789</v>
      </c>
      <c r="H541" s="676">
        <f>H540</f>
        <v>45806</v>
      </c>
      <c r="I541" s="672" t="s">
        <v>2455</v>
      </c>
      <c r="J541" s="751" t="s">
        <v>18</v>
      </c>
      <c r="K541" s="687" t="s">
        <v>64</v>
      </c>
      <c r="L541" s="347" t="s">
        <v>20</v>
      </c>
      <c r="M541" s="687"/>
      <c r="N541" s="761"/>
      <c r="O541" s="762"/>
      <c r="P541" s="762"/>
      <c r="Q541" s="762"/>
      <c r="R541" s="762"/>
      <c r="S541" s="762"/>
      <c r="T541" s="762"/>
      <c r="U541" s="762"/>
    </row>
    <row r="542" s="660" customFormat="1" ht="15.4" hidden="1" customHeight="1" spans="1:21">
      <c r="A542" s="687" t="s">
        <v>910</v>
      </c>
      <c r="B542" s="690" t="s">
        <v>2305</v>
      </c>
      <c r="C542" s="732" t="s">
        <v>2094</v>
      </c>
      <c r="D542" s="313">
        <v>15</v>
      </c>
      <c r="E542" s="281"/>
      <c r="F542" s="675"/>
      <c r="G542" s="675">
        <f>G541</f>
        <v>45789</v>
      </c>
      <c r="H542" s="676">
        <f>H541</f>
        <v>45806</v>
      </c>
      <c r="I542" s="672" t="s">
        <v>2455</v>
      </c>
      <c r="J542" s="751" t="s">
        <v>18</v>
      </c>
      <c r="K542" s="687" t="s">
        <v>64</v>
      </c>
      <c r="L542" s="347" t="s">
        <v>20</v>
      </c>
      <c r="M542" s="687"/>
      <c r="N542" s="761"/>
      <c r="O542" s="762"/>
      <c r="P542" s="762"/>
      <c r="Q542" s="762"/>
      <c r="R542" s="762"/>
      <c r="S542" s="762"/>
      <c r="T542" s="762"/>
      <c r="U542" s="762"/>
    </row>
    <row r="543" s="660" customFormat="1" ht="15.4" hidden="1" customHeight="1" spans="1:21">
      <c r="A543" s="687" t="s">
        <v>910</v>
      </c>
      <c r="B543" s="690" t="s">
        <v>2305</v>
      </c>
      <c r="C543" s="732" t="s">
        <v>2340</v>
      </c>
      <c r="D543" s="313">
        <v>8</v>
      </c>
      <c r="E543" s="281"/>
      <c r="F543" s="675"/>
      <c r="G543" s="675">
        <f>G542</f>
        <v>45789</v>
      </c>
      <c r="H543" s="676">
        <f>H542</f>
        <v>45806</v>
      </c>
      <c r="I543" s="672" t="s">
        <v>2455</v>
      </c>
      <c r="J543" s="751" t="s">
        <v>18</v>
      </c>
      <c r="K543" s="687" t="s">
        <v>64</v>
      </c>
      <c r="L543" s="347" t="s">
        <v>20</v>
      </c>
      <c r="M543" s="687"/>
      <c r="N543" s="761"/>
      <c r="O543" s="762"/>
      <c r="P543" s="762"/>
      <c r="Q543" s="762"/>
      <c r="R543" s="762"/>
      <c r="S543" s="762"/>
      <c r="T543" s="762"/>
      <c r="U543" s="762"/>
    </row>
    <row r="544" s="660" customFormat="1" ht="15.4" hidden="1" customHeight="1" spans="1:21">
      <c r="A544" s="687" t="s">
        <v>910</v>
      </c>
      <c r="B544" s="690" t="s">
        <v>2305</v>
      </c>
      <c r="C544" s="732" t="s">
        <v>2095</v>
      </c>
      <c r="D544" s="313">
        <v>30</v>
      </c>
      <c r="E544" s="69"/>
      <c r="F544" s="675"/>
      <c r="G544" s="675">
        <f>G543</f>
        <v>45789</v>
      </c>
      <c r="H544" s="676">
        <f>H543</f>
        <v>45806</v>
      </c>
      <c r="I544" s="672" t="s">
        <v>2455</v>
      </c>
      <c r="J544" s="751" t="s">
        <v>18</v>
      </c>
      <c r="K544" s="687" t="s">
        <v>64</v>
      </c>
      <c r="L544" s="347" t="s">
        <v>20</v>
      </c>
      <c r="M544" s="687"/>
      <c r="N544" s="761"/>
      <c r="O544" s="762"/>
      <c r="P544" s="762"/>
      <c r="Q544" s="762"/>
      <c r="R544" s="762"/>
      <c r="S544" s="762"/>
      <c r="T544" s="762"/>
      <c r="U544" s="762"/>
    </row>
    <row r="545" s="479" customFormat="1" ht="15.4" hidden="1" customHeight="1" spans="1:21">
      <c r="A545" s="687" t="s">
        <v>2458</v>
      </c>
      <c r="B545" s="687" t="s">
        <v>2459</v>
      </c>
      <c r="C545" s="732" t="s">
        <v>2460</v>
      </c>
      <c r="D545" s="313">
        <v>92</v>
      </c>
      <c r="E545" s="671" t="s">
        <v>2461</v>
      </c>
      <c r="F545" s="703"/>
      <c r="G545" s="703">
        <v>45793</v>
      </c>
      <c r="H545" s="676">
        <v>45803</v>
      </c>
      <c r="I545" s="690" t="s">
        <v>2462</v>
      </c>
      <c r="J545" s="687" t="s">
        <v>18</v>
      </c>
      <c r="K545" s="687" t="s">
        <v>147</v>
      </c>
      <c r="L545" s="347" t="s">
        <v>20</v>
      </c>
      <c r="M545" s="687" t="s">
        <v>2463</v>
      </c>
      <c r="N545" s="684"/>
      <c r="O545" s="203"/>
      <c r="P545" s="203"/>
      <c r="Q545" s="203"/>
      <c r="R545" s="203"/>
      <c r="S545" s="203"/>
      <c r="T545" s="203"/>
      <c r="U545" s="203"/>
    </row>
    <row r="546" s="479" customFormat="1" ht="15.4" hidden="1" customHeight="1" spans="1:21">
      <c r="A546" s="687" t="s">
        <v>2458</v>
      </c>
      <c r="B546" s="687" t="s">
        <v>2459</v>
      </c>
      <c r="C546" s="732" t="s">
        <v>2464</v>
      </c>
      <c r="D546" s="313">
        <v>14</v>
      </c>
      <c r="E546" s="281"/>
      <c r="F546" s="703"/>
      <c r="G546" s="703">
        <v>45793</v>
      </c>
      <c r="H546" s="676">
        <v>45803</v>
      </c>
      <c r="I546" s="690" t="s">
        <v>2462</v>
      </c>
      <c r="J546" s="687" t="s">
        <v>18</v>
      </c>
      <c r="K546" s="687" t="s">
        <v>147</v>
      </c>
      <c r="L546" s="347" t="s">
        <v>20</v>
      </c>
      <c r="M546" s="785"/>
      <c r="N546" s="684"/>
      <c r="O546" s="203"/>
      <c r="P546" s="203"/>
      <c r="Q546" s="203"/>
      <c r="R546" s="203"/>
      <c r="S546" s="203"/>
      <c r="T546" s="203"/>
      <c r="U546" s="203"/>
    </row>
    <row r="547" s="660" customFormat="1" ht="15.4" hidden="1" customHeight="1" spans="1:21">
      <c r="A547" s="777" t="s">
        <v>910</v>
      </c>
      <c r="B547" s="768" t="s">
        <v>2305</v>
      </c>
      <c r="C547" s="769" t="s">
        <v>2087</v>
      </c>
      <c r="D547" s="770">
        <v>36</v>
      </c>
      <c r="E547" s="758" t="s">
        <v>2465</v>
      </c>
      <c r="F547" s="675"/>
      <c r="G547" s="675">
        <f>VLOOKUP(CLEAN(SUBSTITUTE(TRIM(MID(E:E,FIND("/",E:E)+1,LEN(E:E)))," ","")),'Customs Decl. &amp; Local Delivery'!D:I,6,0)</f>
        <v>45796</v>
      </c>
      <c r="H547" s="676">
        <f>VLOOKUP(CLEAN(SUBSTITUTE(TRIM(MID(E:E,FIND("/",E:E)+1,LEN(E:E)))," ","")),'Customs Decl. &amp; Local Delivery'!D:J,7,0)</f>
        <v>45813</v>
      </c>
      <c r="I547" s="672" t="s">
        <v>2466</v>
      </c>
      <c r="J547" s="751" t="s">
        <v>18</v>
      </c>
      <c r="K547" s="751" t="s">
        <v>64</v>
      </c>
      <c r="L547" s="347" t="s">
        <v>20</v>
      </c>
      <c r="M547" s="687" t="s">
        <v>2467</v>
      </c>
      <c r="N547" s="761"/>
      <c r="O547" s="762"/>
      <c r="P547" s="762"/>
      <c r="Q547" s="762"/>
      <c r="R547" s="762"/>
      <c r="S547" s="762"/>
      <c r="T547" s="762"/>
      <c r="U547" s="762"/>
    </row>
    <row r="548" s="660" customFormat="1" ht="15.4" hidden="1" customHeight="1" spans="1:21">
      <c r="A548" s="687" t="s">
        <v>910</v>
      </c>
      <c r="B548" s="690" t="s">
        <v>2305</v>
      </c>
      <c r="C548" s="732" t="s">
        <v>2090</v>
      </c>
      <c r="D548" s="313">
        <v>36</v>
      </c>
      <c r="E548" s="281"/>
      <c r="F548" s="675"/>
      <c r="G548" s="675">
        <f>G547</f>
        <v>45796</v>
      </c>
      <c r="H548" s="676">
        <f>H547</f>
        <v>45813</v>
      </c>
      <c r="I548" s="672" t="s">
        <v>2466</v>
      </c>
      <c r="J548" s="751" t="s">
        <v>18</v>
      </c>
      <c r="K548" s="751" t="s">
        <v>64</v>
      </c>
      <c r="L548" s="347" t="s">
        <v>20</v>
      </c>
      <c r="M548" s="687" t="s">
        <v>2457</v>
      </c>
      <c r="N548" s="761"/>
      <c r="O548" s="762"/>
      <c r="P548" s="762"/>
      <c r="Q548" s="762"/>
      <c r="R548" s="762"/>
      <c r="S548" s="762"/>
      <c r="T548" s="762"/>
      <c r="U548" s="762"/>
    </row>
    <row r="549" s="660" customFormat="1" ht="15.4" hidden="1" customHeight="1" spans="1:21">
      <c r="A549" s="687" t="s">
        <v>910</v>
      </c>
      <c r="B549" s="690" t="s">
        <v>2305</v>
      </c>
      <c r="C549" s="732" t="s">
        <v>2093</v>
      </c>
      <c r="D549" s="313">
        <v>20</v>
      </c>
      <c r="E549" s="281"/>
      <c r="F549" s="675"/>
      <c r="G549" s="675">
        <f>G548</f>
        <v>45796</v>
      </c>
      <c r="H549" s="676">
        <f>H548</f>
        <v>45813</v>
      </c>
      <c r="I549" s="672" t="s">
        <v>2466</v>
      </c>
      <c r="J549" s="751" t="s">
        <v>18</v>
      </c>
      <c r="K549" s="751" t="s">
        <v>64</v>
      </c>
      <c r="L549" s="347" t="s">
        <v>20</v>
      </c>
      <c r="M549" s="687"/>
      <c r="N549" s="761"/>
      <c r="O549" s="762"/>
      <c r="P549" s="762"/>
      <c r="Q549" s="762"/>
      <c r="R549" s="762"/>
      <c r="S549" s="762"/>
      <c r="T549" s="762"/>
      <c r="U549" s="762"/>
    </row>
    <row r="550" s="660" customFormat="1" ht="15.4" hidden="1" customHeight="1" spans="1:21">
      <c r="A550" s="687" t="s">
        <v>910</v>
      </c>
      <c r="B550" s="690" t="s">
        <v>2305</v>
      </c>
      <c r="C550" s="732" t="s">
        <v>2094</v>
      </c>
      <c r="D550" s="313">
        <v>15</v>
      </c>
      <c r="E550" s="281"/>
      <c r="F550" s="675"/>
      <c r="G550" s="675">
        <f>G549</f>
        <v>45796</v>
      </c>
      <c r="H550" s="676">
        <f>H549</f>
        <v>45813</v>
      </c>
      <c r="I550" s="672" t="s">
        <v>2466</v>
      </c>
      <c r="J550" s="751" t="s">
        <v>18</v>
      </c>
      <c r="K550" s="751" t="s">
        <v>64</v>
      </c>
      <c r="L550" s="347" t="s">
        <v>20</v>
      </c>
      <c r="M550" s="687"/>
      <c r="N550" s="761"/>
      <c r="O550" s="762"/>
      <c r="P550" s="762"/>
      <c r="Q550" s="762"/>
      <c r="R550" s="762"/>
      <c r="S550" s="762"/>
      <c r="T550" s="762"/>
      <c r="U550" s="762"/>
    </row>
    <row r="551" s="660" customFormat="1" ht="15.4" hidden="1" customHeight="1" spans="1:21">
      <c r="A551" s="687" t="s">
        <v>910</v>
      </c>
      <c r="B551" s="690" t="s">
        <v>2305</v>
      </c>
      <c r="C551" s="732" t="s">
        <v>2340</v>
      </c>
      <c r="D551" s="313">
        <v>8</v>
      </c>
      <c r="E551" s="69"/>
      <c r="F551" s="675"/>
      <c r="G551" s="675">
        <f>G550</f>
        <v>45796</v>
      </c>
      <c r="H551" s="676">
        <f>H550</f>
        <v>45813</v>
      </c>
      <c r="I551" s="672" t="s">
        <v>2466</v>
      </c>
      <c r="J551" s="751" t="s">
        <v>18</v>
      </c>
      <c r="K551" s="751" t="s">
        <v>64</v>
      </c>
      <c r="L551" s="347" t="s">
        <v>20</v>
      </c>
      <c r="M551" s="687"/>
      <c r="N551" s="761"/>
      <c r="O551" s="762"/>
      <c r="P551" s="762"/>
      <c r="Q551" s="762"/>
      <c r="R551" s="762"/>
      <c r="S551" s="762"/>
      <c r="T551" s="762"/>
      <c r="U551" s="762"/>
    </row>
    <row r="552" s="660" customFormat="1" ht="15.4" hidden="1" customHeight="1" spans="1:21">
      <c r="A552" s="687" t="s">
        <v>910</v>
      </c>
      <c r="B552" s="690" t="s">
        <v>2305</v>
      </c>
      <c r="C552" s="732" t="s">
        <v>2095</v>
      </c>
      <c r="D552" s="313">
        <v>30</v>
      </c>
      <c r="E552" s="281"/>
      <c r="F552" s="675"/>
      <c r="G552" s="675">
        <f>G551</f>
        <v>45796</v>
      </c>
      <c r="H552" s="676">
        <f>H551</f>
        <v>45813</v>
      </c>
      <c r="I552" s="672" t="s">
        <v>2466</v>
      </c>
      <c r="J552" s="751" t="s">
        <v>18</v>
      </c>
      <c r="K552" s="751" t="s">
        <v>64</v>
      </c>
      <c r="L552" s="347" t="s">
        <v>20</v>
      </c>
      <c r="M552" s="687"/>
      <c r="N552" s="761"/>
      <c r="O552" s="762"/>
      <c r="P552" s="762"/>
      <c r="Q552" s="762"/>
      <c r="R552" s="762"/>
      <c r="S552" s="762"/>
      <c r="T552" s="762"/>
      <c r="U552" s="762"/>
    </row>
    <row r="553" s="660" customFormat="1" ht="15.4" hidden="1" customHeight="1" spans="1:21">
      <c r="A553" s="687" t="s">
        <v>910</v>
      </c>
      <c r="B553" s="690" t="s">
        <v>2305</v>
      </c>
      <c r="C553" s="732" t="s">
        <v>2279</v>
      </c>
      <c r="D553" s="313">
        <v>32</v>
      </c>
      <c r="E553" s="674" t="s">
        <v>2468</v>
      </c>
      <c r="F553" s="675"/>
      <c r="G553" s="675">
        <f>VLOOKUP(CLEAN(SUBSTITUTE(TRIM(MID(E:E,FIND("/",E:E)+1,LEN(E:E)))," ","")),'Customs Decl. &amp; Local Delivery'!D:I,6,0)</f>
        <v>45796</v>
      </c>
      <c r="H553" s="676">
        <f>VLOOKUP(CLEAN(SUBSTITUTE(TRIM(MID(E:E,FIND("/",E:E)+1,LEN(E:E)))," ","")),'Customs Decl. &amp; Local Delivery'!D:J,7,0)</f>
        <v>45817</v>
      </c>
      <c r="I553" s="690" t="s">
        <v>2469</v>
      </c>
      <c r="J553" s="750" t="s">
        <v>18</v>
      </c>
      <c r="K553" s="687" t="s">
        <v>147</v>
      </c>
      <c r="L553" s="347" t="s">
        <v>20</v>
      </c>
      <c r="M553" s="687" t="s">
        <v>2470</v>
      </c>
      <c r="N553" s="684"/>
      <c r="O553" s="203"/>
      <c r="P553" s="203"/>
      <c r="Q553" s="203"/>
      <c r="R553" s="203"/>
      <c r="S553" s="203"/>
      <c r="T553" s="203"/>
      <c r="U553" s="203"/>
    </row>
    <row r="554" s="660" customFormat="1" ht="15.4" hidden="1" customHeight="1" spans="1:21">
      <c r="A554" s="687" t="s">
        <v>910</v>
      </c>
      <c r="B554" s="690" t="s">
        <v>2305</v>
      </c>
      <c r="C554" s="732" t="s">
        <v>2072</v>
      </c>
      <c r="D554" s="313">
        <v>32</v>
      </c>
      <c r="E554" s="281"/>
      <c r="F554" s="703"/>
      <c r="G554" s="703">
        <f>G553</f>
        <v>45796</v>
      </c>
      <c r="H554" s="755">
        <f>H553</f>
        <v>45817</v>
      </c>
      <c r="I554" s="690" t="s">
        <v>2469</v>
      </c>
      <c r="J554" s="750" t="s">
        <v>18</v>
      </c>
      <c r="K554" s="687" t="s">
        <v>147</v>
      </c>
      <c r="L554" s="347" t="s">
        <v>20</v>
      </c>
      <c r="M554" s="731" t="s">
        <v>2471</v>
      </c>
      <c r="N554" s="684"/>
      <c r="O554" s="203"/>
      <c r="P554" s="203"/>
      <c r="Q554" s="203"/>
      <c r="R554" s="203"/>
      <c r="S554" s="203"/>
      <c r="T554" s="203"/>
      <c r="U554" s="203"/>
    </row>
    <row r="555" s="660" customFormat="1" ht="15.4" hidden="1" customHeight="1" spans="1:21">
      <c r="A555" s="687" t="s">
        <v>910</v>
      </c>
      <c r="B555" s="690" t="s">
        <v>2305</v>
      </c>
      <c r="C555" s="732" t="s">
        <v>2076</v>
      </c>
      <c r="D555" s="313">
        <v>32</v>
      </c>
      <c r="E555" s="281"/>
      <c r="F555" s="703"/>
      <c r="G555" s="703">
        <f>G554</f>
        <v>45796</v>
      </c>
      <c r="H555" s="755">
        <f>H554</f>
        <v>45817</v>
      </c>
      <c r="I555" s="690" t="s">
        <v>2469</v>
      </c>
      <c r="J555" s="750" t="s">
        <v>18</v>
      </c>
      <c r="K555" s="687" t="s">
        <v>147</v>
      </c>
      <c r="L555" s="347" t="s">
        <v>20</v>
      </c>
      <c r="M555" s="690" t="s">
        <v>2370</v>
      </c>
      <c r="N555" s="684"/>
      <c r="O555" s="203"/>
      <c r="P555" s="203"/>
      <c r="Q555" s="203"/>
      <c r="R555" s="203"/>
      <c r="S555" s="203"/>
      <c r="T555" s="203"/>
      <c r="U555" s="203"/>
    </row>
    <row r="556" s="660" customFormat="1" ht="15.4" hidden="1" customHeight="1" spans="1:21">
      <c r="A556" s="687"/>
      <c r="B556" s="690" t="s">
        <v>2472</v>
      </c>
      <c r="C556" s="732" t="s">
        <v>2279</v>
      </c>
      <c r="D556" s="781">
        <v>512</v>
      </c>
      <c r="E556" s="281"/>
      <c r="F556" s="703"/>
      <c r="G556" s="703">
        <f>G555</f>
        <v>45796</v>
      </c>
      <c r="H556" s="755">
        <f>H555</f>
        <v>45817</v>
      </c>
      <c r="I556" s="690" t="s">
        <v>2469</v>
      </c>
      <c r="J556" s="750" t="s">
        <v>18</v>
      </c>
      <c r="K556" s="687"/>
      <c r="L556" s="347" t="s">
        <v>20</v>
      </c>
      <c r="M556" s="785" t="s">
        <v>2473</v>
      </c>
      <c r="N556" s="761"/>
      <c r="O556" s="762"/>
      <c r="P556" s="762"/>
      <c r="Q556" s="762"/>
      <c r="R556" s="762"/>
      <c r="S556" s="762"/>
      <c r="T556" s="762"/>
      <c r="U556" s="762"/>
    </row>
    <row r="557" s="660" customFormat="1" ht="15.4" hidden="1" customHeight="1" spans="1:21">
      <c r="A557" s="687" t="s">
        <v>910</v>
      </c>
      <c r="B557" s="690" t="s">
        <v>2305</v>
      </c>
      <c r="C557" s="732" t="s">
        <v>2279</v>
      </c>
      <c r="D557" s="313">
        <v>32</v>
      </c>
      <c r="E557" s="674" t="s">
        <v>2474</v>
      </c>
      <c r="F557" s="675"/>
      <c r="G557" s="675">
        <f>VLOOKUP(CLEAN(SUBSTITUTE(TRIM(MID(E:E,FIND("/",E:E)+1,LEN(E:E)))," ","")),'Customs Decl. &amp; Local Delivery'!D:I,6,0)</f>
        <v>45796</v>
      </c>
      <c r="H557" s="676">
        <f>VLOOKUP(CLEAN(SUBSTITUTE(TRIM(MID(E:E,FIND("/",E:E)+1,LEN(E:E)))," ","")),'Customs Decl. &amp; Local Delivery'!D:J,7,0)</f>
        <v>45817</v>
      </c>
      <c r="I557" s="690" t="s">
        <v>2475</v>
      </c>
      <c r="J557" s="750" t="s">
        <v>18</v>
      </c>
      <c r="K557" s="687" t="s">
        <v>147</v>
      </c>
      <c r="L557" s="347" t="s">
        <v>20</v>
      </c>
      <c r="M557" s="687" t="s">
        <v>2476</v>
      </c>
      <c r="N557" s="684"/>
      <c r="O557" s="203"/>
      <c r="P557" s="203"/>
      <c r="Q557" s="203"/>
      <c r="R557" s="203"/>
      <c r="S557" s="203"/>
      <c r="T557" s="203"/>
      <c r="U557" s="203"/>
    </row>
    <row r="558" s="660" customFormat="1" ht="15.4" hidden="1" customHeight="1" spans="1:21">
      <c r="A558" s="687" t="s">
        <v>910</v>
      </c>
      <c r="B558" s="690" t="s">
        <v>2305</v>
      </c>
      <c r="C558" s="732" t="s">
        <v>2072</v>
      </c>
      <c r="D558" s="313">
        <v>32</v>
      </c>
      <c r="E558" s="281"/>
      <c r="F558" s="703"/>
      <c r="G558" s="703">
        <f>G557</f>
        <v>45796</v>
      </c>
      <c r="H558" s="755">
        <f>H557</f>
        <v>45817</v>
      </c>
      <c r="I558" s="690" t="s">
        <v>2475</v>
      </c>
      <c r="J558" s="750" t="s">
        <v>18</v>
      </c>
      <c r="K558" s="687" t="s">
        <v>147</v>
      </c>
      <c r="L558" s="347" t="s">
        <v>20</v>
      </c>
      <c r="M558" s="731" t="s">
        <v>2471</v>
      </c>
      <c r="N558" s="684"/>
      <c r="O558" s="203"/>
      <c r="P558" s="203"/>
      <c r="Q558" s="203"/>
      <c r="R558" s="203"/>
      <c r="S558" s="203"/>
      <c r="T558" s="203"/>
      <c r="U558" s="203"/>
    </row>
    <row r="559" s="660" customFormat="1" ht="15.4" hidden="1" customHeight="1" spans="1:21">
      <c r="A559" s="687" t="s">
        <v>910</v>
      </c>
      <c r="B559" s="690" t="s">
        <v>2305</v>
      </c>
      <c r="C559" s="732" t="s">
        <v>2076</v>
      </c>
      <c r="D559" s="313">
        <v>32</v>
      </c>
      <c r="E559" s="281"/>
      <c r="F559" s="703"/>
      <c r="G559" s="703">
        <f>G558</f>
        <v>45796</v>
      </c>
      <c r="H559" s="759">
        <f>H558</f>
        <v>45817</v>
      </c>
      <c r="I559" s="685" t="s">
        <v>2475</v>
      </c>
      <c r="J559" s="760" t="s">
        <v>18</v>
      </c>
      <c r="K559" s="687" t="s">
        <v>147</v>
      </c>
      <c r="L559" s="347" t="s">
        <v>20</v>
      </c>
      <c r="M559" s="690" t="s">
        <v>2370</v>
      </c>
      <c r="N559" s="684"/>
      <c r="O559" s="203"/>
      <c r="P559" s="203"/>
      <c r="Q559" s="203"/>
      <c r="R559" s="203"/>
      <c r="S559" s="203"/>
      <c r="T559" s="203"/>
      <c r="U559" s="203"/>
    </row>
    <row r="560" s="660" customFormat="1" ht="15.4" hidden="1" customHeight="1" spans="1:21">
      <c r="A560" s="687" t="s">
        <v>910</v>
      </c>
      <c r="B560" s="690" t="s">
        <v>2305</v>
      </c>
      <c r="C560" s="732" t="s">
        <v>2040</v>
      </c>
      <c r="D560" s="313">
        <v>54</v>
      </c>
      <c r="E560" s="674" t="s">
        <v>2477</v>
      </c>
      <c r="F560" s="675"/>
      <c r="G560" s="675">
        <f>VLOOKUP(CLEAN(SUBSTITUTE(TRIM(MID(E:E,FIND("/",E:E)+1,LEN(E:E)))," ","")),'Customs Decl. &amp; Local Delivery'!D:I,6,0)</f>
        <v>45796</v>
      </c>
      <c r="H560" s="676">
        <f>VLOOKUP(CLEAN(SUBSTITUTE(TRIM(MID(E:E,FIND("/",E:E)+1,LEN(E:E)))," ","")),'Customs Decl. &amp; Local Delivery'!D:J,7,0)</f>
        <v>45817</v>
      </c>
      <c r="I560" s="687" t="s">
        <v>2478</v>
      </c>
      <c r="J560" s="687" t="s">
        <v>18</v>
      </c>
      <c r="K560" s="751" t="s">
        <v>147</v>
      </c>
      <c r="L560" s="786" t="s">
        <v>20</v>
      </c>
      <c r="M560" s="690" t="s">
        <v>2479</v>
      </c>
      <c r="N560" s="684"/>
      <c r="O560" s="203"/>
      <c r="P560" s="203"/>
      <c r="Q560" s="203"/>
      <c r="R560" s="203"/>
      <c r="S560" s="203"/>
      <c r="T560" s="203"/>
      <c r="U560" s="203"/>
    </row>
    <row r="561" s="660" customFormat="1" ht="15.4" hidden="1" customHeight="1" spans="1:21">
      <c r="A561" s="687" t="s">
        <v>910</v>
      </c>
      <c r="B561" s="690" t="s">
        <v>2305</v>
      </c>
      <c r="C561" s="732" t="s">
        <v>2090</v>
      </c>
      <c r="D561" s="313">
        <v>40</v>
      </c>
      <c r="E561" s="281"/>
      <c r="F561" s="703"/>
      <c r="G561" s="703">
        <f t="shared" ref="G561:G569" si="16">G560</f>
        <v>45796</v>
      </c>
      <c r="H561" s="782">
        <f t="shared" ref="H561:H569" si="17">H560</f>
        <v>45817</v>
      </c>
      <c r="I561" s="777" t="s">
        <v>2478</v>
      </c>
      <c r="J561" s="787" t="s">
        <v>18</v>
      </c>
      <c r="K561" s="751" t="s">
        <v>147</v>
      </c>
      <c r="L561" s="786" t="s">
        <v>20</v>
      </c>
      <c r="M561" s="687" t="s">
        <v>2480</v>
      </c>
      <c r="N561" s="684"/>
      <c r="O561" s="203"/>
      <c r="P561" s="203"/>
      <c r="Q561" s="203"/>
      <c r="R561" s="203"/>
      <c r="S561" s="203"/>
      <c r="T561" s="203"/>
      <c r="U561" s="203"/>
    </row>
    <row r="562" s="660" customFormat="1" ht="15.4" hidden="1" customHeight="1" spans="1:21">
      <c r="A562" s="687" t="s">
        <v>910</v>
      </c>
      <c r="B562" s="690" t="s">
        <v>2305</v>
      </c>
      <c r="C562" s="732" t="s">
        <v>2340</v>
      </c>
      <c r="D562" s="313">
        <v>10</v>
      </c>
      <c r="E562" s="281"/>
      <c r="F562" s="703"/>
      <c r="G562" s="703">
        <f t="shared" si="16"/>
        <v>45796</v>
      </c>
      <c r="H562" s="755">
        <f t="shared" si="17"/>
        <v>45817</v>
      </c>
      <c r="I562" s="687" t="s">
        <v>2478</v>
      </c>
      <c r="J562" s="760" t="s">
        <v>18</v>
      </c>
      <c r="K562" s="751" t="s">
        <v>147</v>
      </c>
      <c r="L562" s="786" t="s">
        <v>20</v>
      </c>
      <c r="M562" s="687" t="s">
        <v>2480</v>
      </c>
      <c r="N562" s="684"/>
      <c r="O562" s="203"/>
      <c r="P562" s="203"/>
      <c r="Q562" s="203"/>
      <c r="R562" s="203"/>
      <c r="S562" s="203"/>
      <c r="T562" s="203"/>
      <c r="U562" s="203"/>
    </row>
    <row r="563" s="660" customFormat="1" ht="15.4" hidden="1" customHeight="1" spans="1:21">
      <c r="A563" s="687" t="s">
        <v>910</v>
      </c>
      <c r="B563" s="690" t="s">
        <v>2305</v>
      </c>
      <c r="C563" s="732" t="s">
        <v>2092</v>
      </c>
      <c r="D563" s="313">
        <v>45</v>
      </c>
      <c r="E563" s="281"/>
      <c r="F563" s="703"/>
      <c r="G563" s="703">
        <f t="shared" si="16"/>
        <v>45796</v>
      </c>
      <c r="H563" s="755">
        <f t="shared" si="17"/>
        <v>45817</v>
      </c>
      <c r="I563" s="687" t="s">
        <v>2478</v>
      </c>
      <c r="J563" s="760" t="s">
        <v>18</v>
      </c>
      <c r="K563" s="751" t="s">
        <v>147</v>
      </c>
      <c r="L563" s="786" t="s">
        <v>20</v>
      </c>
      <c r="M563" s="687"/>
      <c r="N563" s="684"/>
      <c r="O563" s="203"/>
      <c r="P563" s="203"/>
      <c r="Q563" s="203"/>
      <c r="R563" s="203"/>
      <c r="S563" s="203"/>
      <c r="T563" s="203"/>
      <c r="U563" s="203"/>
    </row>
    <row r="564" s="660" customFormat="1" ht="15.4" hidden="1" customHeight="1" spans="1:21">
      <c r="A564" s="687" t="s">
        <v>910</v>
      </c>
      <c r="B564" s="690" t="s">
        <v>2305</v>
      </c>
      <c r="C564" s="732" t="s">
        <v>2094</v>
      </c>
      <c r="D564" s="313">
        <v>25</v>
      </c>
      <c r="E564" s="281"/>
      <c r="F564" s="703"/>
      <c r="G564" s="703">
        <f t="shared" si="16"/>
        <v>45796</v>
      </c>
      <c r="H564" s="755">
        <f t="shared" si="17"/>
        <v>45817</v>
      </c>
      <c r="I564" s="687" t="s">
        <v>2478</v>
      </c>
      <c r="J564" s="760" t="s">
        <v>18</v>
      </c>
      <c r="K564" s="751" t="s">
        <v>147</v>
      </c>
      <c r="L564" s="786" t="s">
        <v>20</v>
      </c>
      <c r="M564" s="687"/>
      <c r="N564" s="684"/>
      <c r="O564" s="203"/>
      <c r="P564" s="203"/>
      <c r="Q564" s="203"/>
      <c r="R564" s="203"/>
      <c r="S564" s="203"/>
      <c r="T564" s="203"/>
      <c r="U564" s="203"/>
    </row>
    <row r="565" s="660" customFormat="1" ht="15.4" hidden="1" customHeight="1" spans="1:21">
      <c r="A565" s="687" t="s">
        <v>910</v>
      </c>
      <c r="B565" s="690" t="s">
        <v>2305</v>
      </c>
      <c r="C565" s="732" t="s">
        <v>2095</v>
      </c>
      <c r="D565" s="313">
        <v>45</v>
      </c>
      <c r="E565" s="281"/>
      <c r="F565" s="703"/>
      <c r="G565" s="703">
        <f t="shared" si="16"/>
        <v>45796</v>
      </c>
      <c r="H565" s="759">
        <f t="shared" si="17"/>
        <v>45817</v>
      </c>
      <c r="I565" s="751" t="s">
        <v>2478</v>
      </c>
      <c r="J565" s="760" t="s">
        <v>18</v>
      </c>
      <c r="K565" s="751" t="s">
        <v>147</v>
      </c>
      <c r="L565" s="786" t="s">
        <v>20</v>
      </c>
      <c r="M565" s="687"/>
      <c r="N565" s="684"/>
      <c r="O565" s="203"/>
      <c r="P565" s="203"/>
      <c r="Q565" s="203"/>
      <c r="R565" s="203"/>
      <c r="S565" s="203"/>
      <c r="T565" s="203"/>
      <c r="U565" s="203"/>
    </row>
    <row r="566" s="660" customFormat="1" ht="15.4" hidden="1" customHeight="1" spans="1:21">
      <c r="A566" s="687" t="s">
        <v>910</v>
      </c>
      <c r="B566" s="687" t="s">
        <v>2305</v>
      </c>
      <c r="C566" s="732" t="s">
        <v>2040</v>
      </c>
      <c r="D566" s="313">
        <v>42</v>
      </c>
      <c r="E566" s="674" t="s">
        <v>2481</v>
      </c>
      <c r="F566" s="703"/>
      <c r="G566" s="703">
        <f t="shared" si="16"/>
        <v>45796</v>
      </c>
      <c r="H566" s="713">
        <f t="shared" si="17"/>
        <v>45817</v>
      </c>
      <c r="I566" s="779" t="s">
        <v>2482</v>
      </c>
      <c r="J566" s="687" t="s">
        <v>18</v>
      </c>
      <c r="K566" s="687" t="s">
        <v>147</v>
      </c>
      <c r="L566" s="786" t="s">
        <v>20</v>
      </c>
      <c r="M566" s="687" t="s">
        <v>2483</v>
      </c>
      <c r="N566" s="684"/>
      <c r="O566" s="203"/>
      <c r="P566" s="203"/>
      <c r="Q566" s="203"/>
      <c r="R566" s="203"/>
      <c r="S566" s="203"/>
      <c r="T566" s="203"/>
      <c r="U566" s="203"/>
    </row>
    <row r="567" s="660" customFormat="1" ht="15.4" hidden="1" customHeight="1" spans="1:21">
      <c r="A567" s="687" t="s">
        <v>910</v>
      </c>
      <c r="B567" s="687" t="s">
        <v>2372</v>
      </c>
      <c r="C567" s="732" t="s">
        <v>2090</v>
      </c>
      <c r="D567" s="313">
        <v>50</v>
      </c>
      <c r="E567" s="281"/>
      <c r="F567" s="703"/>
      <c r="G567" s="703">
        <f t="shared" si="16"/>
        <v>45796</v>
      </c>
      <c r="H567" s="782">
        <f t="shared" si="17"/>
        <v>45817</v>
      </c>
      <c r="I567" s="788" t="s">
        <v>2482</v>
      </c>
      <c r="J567" s="783" t="s">
        <v>18</v>
      </c>
      <c r="K567" s="687" t="s">
        <v>147</v>
      </c>
      <c r="L567" s="786" t="s">
        <v>20</v>
      </c>
      <c r="M567" s="687"/>
      <c r="N567" s="684"/>
      <c r="O567" s="203"/>
      <c r="P567" s="203"/>
      <c r="Q567" s="203"/>
      <c r="R567" s="203"/>
      <c r="S567" s="203"/>
      <c r="T567" s="203"/>
      <c r="U567" s="203"/>
    </row>
    <row r="568" s="660" customFormat="1" ht="15.4" hidden="1" customHeight="1" spans="1:21">
      <c r="A568" s="687" t="s">
        <v>910</v>
      </c>
      <c r="B568" s="687" t="s">
        <v>2305</v>
      </c>
      <c r="C568" s="732" t="s">
        <v>2094</v>
      </c>
      <c r="D568" s="313">
        <v>10</v>
      </c>
      <c r="E568" s="281"/>
      <c r="F568" s="703"/>
      <c r="G568" s="703">
        <f t="shared" si="16"/>
        <v>45796</v>
      </c>
      <c r="H568" s="755">
        <f t="shared" si="17"/>
        <v>45817</v>
      </c>
      <c r="I568" s="779" t="s">
        <v>2482</v>
      </c>
      <c r="J568" s="750" t="s">
        <v>18</v>
      </c>
      <c r="K568" s="687" t="s">
        <v>147</v>
      </c>
      <c r="L568" s="786" t="s">
        <v>20</v>
      </c>
      <c r="M568" s="687"/>
      <c r="N568" s="684"/>
      <c r="O568" s="203"/>
      <c r="P568" s="203"/>
      <c r="Q568" s="203"/>
      <c r="R568" s="203"/>
      <c r="S568" s="203"/>
      <c r="T568" s="203"/>
      <c r="U568" s="203"/>
    </row>
    <row r="569" s="660" customFormat="1" ht="15.4" hidden="1" customHeight="1" spans="1:21">
      <c r="A569" s="687" t="s">
        <v>910</v>
      </c>
      <c r="B569" s="690" t="s">
        <v>2305</v>
      </c>
      <c r="C569" s="732" t="s">
        <v>2114</v>
      </c>
      <c r="D569" s="313">
        <f>300-16-4</f>
        <v>280</v>
      </c>
      <c r="E569" s="281"/>
      <c r="F569" s="703"/>
      <c r="G569" s="703">
        <f t="shared" si="16"/>
        <v>45796</v>
      </c>
      <c r="H569" s="755">
        <f t="shared" si="17"/>
        <v>45817</v>
      </c>
      <c r="I569" s="779" t="s">
        <v>2482</v>
      </c>
      <c r="J569" s="760" t="s">
        <v>18</v>
      </c>
      <c r="K569" s="751" t="s">
        <v>147</v>
      </c>
      <c r="L569" s="786" t="s">
        <v>20</v>
      </c>
      <c r="M569" s="690"/>
      <c r="N569" s="684"/>
      <c r="O569" s="203"/>
      <c r="P569" s="203"/>
      <c r="Q569" s="203"/>
      <c r="R569" s="203"/>
      <c r="S569" s="203"/>
      <c r="T569" s="203"/>
      <c r="U569" s="203"/>
    </row>
    <row r="570" s="660" customFormat="1" ht="15.4" hidden="1" customHeight="1" spans="1:21">
      <c r="A570" s="687" t="s">
        <v>910</v>
      </c>
      <c r="B570" s="687" t="s">
        <v>2372</v>
      </c>
      <c r="C570" s="732" t="s">
        <v>2087</v>
      </c>
      <c r="D570" s="250">
        <v>36</v>
      </c>
      <c r="E570" s="674" t="s">
        <v>2484</v>
      </c>
      <c r="F570" s="675"/>
      <c r="G570" s="675">
        <f>VLOOKUP(CLEAN(SUBSTITUTE(TRIM(MID(E:E,FIND("/",E:E)+1,LEN(E:E)))," ","")),'Customs Decl. &amp; Local Delivery'!D:I,6,0)</f>
        <v>45796</v>
      </c>
      <c r="H570" s="676">
        <f>VLOOKUP(CLEAN(SUBSTITUTE(TRIM(MID(E:E,FIND("/",E:E)+1,LEN(E:E)))," ","")),'Customs Decl. &amp; Local Delivery'!D:J,7,0)</f>
        <v>45817</v>
      </c>
      <c r="I570" s="732" t="s">
        <v>2485</v>
      </c>
      <c r="J570" s="750" t="s">
        <v>18</v>
      </c>
      <c r="K570" s="687" t="s">
        <v>654</v>
      </c>
      <c r="L570" s="786" t="s">
        <v>20</v>
      </c>
      <c r="M570" s="687" t="s">
        <v>2486</v>
      </c>
      <c r="N570" s="761"/>
      <c r="O570" s="762"/>
      <c r="P570" s="762"/>
      <c r="Q570" s="762"/>
      <c r="R570" s="762"/>
      <c r="S570" s="762"/>
      <c r="T570" s="762"/>
      <c r="U570" s="762"/>
    </row>
    <row r="571" s="660" customFormat="1" ht="15.4" hidden="1" customHeight="1" spans="1:21">
      <c r="A571" s="687" t="s">
        <v>910</v>
      </c>
      <c r="B571" s="687" t="s">
        <v>2372</v>
      </c>
      <c r="C571" s="732" t="s">
        <v>2090</v>
      </c>
      <c r="D571" s="250">
        <v>50</v>
      </c>
      <c r="E571" s="281"/>
      <c r="F571" s="703"/>
      <c r="G571" s="703">
        <f t="shared" ref="G571:G576" si="18">G570</f>
        <v>45796</v>
      </c>
      <c r="H571" s="755">
        <f t="shared" ref="H571:H576" si="19">H570</f>
        <v>45817</v>
      </c>
      <c r="I571" s="732" t="s">
        <v>2485</v>
      </c>
      <c r="J571" s="750" t="s">
        <v>18</v>
      </c>
      <c r="K571" s="687" t="s">
        <v>654</v>
      </c>
      <c r="L571" s="786" t="s">
        <v>20</v>
      </c>
      <c r="M571" s="780" t="s">
        <v>2351</v>
      </c>
      <c r="N571" s="761"/>
      <c r="O571" s="762"/>
      <c r="P571" s="762"/>
      <c r="Q571" s="762"/>
      <c r="R571" s="762"/>
      <c r="S571" s="762"/>
      <c r="T571" s="762"/>
      <c r="U571" s="762"/>
    </row>
    <row r="572" s="660" customFormat="1" ht="15.4" hidden="1" customHeight="1" spans="1:21">
      <c r="A572" s="687" t="s">
        <v>910</v>
      </c>
      <c r="B572" s="687" t="s">
        <v>2372</v>
      </c>
      <c r="C572" s="732" t="s">
        <v>2092</v>
      </c>
      <c r="D572" s="250">
        <v>15</v>
      </c>
      <c r="E572" s="281"/>
      <c r="F572" s="703"/>
      <c r="G572" s="703">
        <f t="shared" si="18"/>
        <v>45796</v>
      </c>
      <c r="H572" s="755">
        <f t="shared" si="19"/>
        <v>45817</v>
      </c>
      <c r="I572" s="732" t="s">
        <v>2485</v>
      </c>
      <c r="J572" s="750" t="s">
        <v>18</v>
      </c>
      <c r="K572" s="687" t="s">
        <v>654</v>
      </c>
      <c r="L572" s="786" t="s">
        <v>20</v>
      </c>
      <c r="M572" s="687"/>
      <c r="N572" s="761"/>
      <c r="O572" s="762"/>
      <c r="P572" s="762"/>
      <c r="Q572" s="762"/>
      <c r="R572" s="762"/>
      <c r="S572" s="762"/>
      <c r="T572" s="762"/>
      <c r="U572" s="762"/>
    </row>
    <row r="573" s="660" customFormat="1" ht="15.4" hidden="1" customHeight="1" spans="1:21">
      <c r="A573" s="687" t="s">
        <v>910</v>
      </c>
      <c r="B573" s="687" t="s">
        <v>2372</v>
      </c>
      <c r="C573" s="732" t="s">
        <v>2093</v>
      </c>
      <c r="D573" s="250">
        <v>10</v>
      </c>
      <c r="E573" s="69"/>
      <c r="F573" s="703"/>
      <c r="G573" s="703">
        <f t="shared" si="18"/>
        <v>45796</v>
      </c>
      <c r="H573" s="755">
        <f t="shared" si="19"/>
        <v>45817</v>
      </c>
      <c r="I573" s="732" t="s">
        <v>2485</v>
      </c>
      <c r="J573" s="750" t="s">
        <v>18</v>
      </c>
      <c r="K573" s="687" t="s">
        <v>654</v>
      </c>
      <c r="L573" s="786" t="s">
        <v>20</v>
      </c>
      <c r="M573" s="687"/>
      <c r="N573" s="761"/>
      <c r="O573" s="762"/>
      <c r="P573" s="762"/>
      <c r="Q573" s="762"/>
      <c r="R573" s="762"/>
      <c r="S573" s="762"/>
      <c r="T573" s="762"/>
      <c r="U573" s="762"/>
    </row>
    <row r="574" s="660" customFormat="1" ht="15.4" hidden="1" customHeight="1" spans="1:21">
      <c r="A574" s="687" t="s">
        <v>910</v>
      </c>
      <c r="B574" s="687" t="s">
        <v>2305</v>
      </c>
      <c r="C574" s="732" t="s">
        <v>2094</v>
      </c>
      <c r="D574" s="250">
        <v>10</v>
      </c>
      <c r="E574" s="281"/>
      <c r="F574" s="703"/>
      <c r="G574" s="703">
        <f t="shared" si="18"/>
        <v>45796</v>
      </c>
      <c r="H574" s="755">
        <f t="shared" si="19"/>
        <v>45817</v>
      </c>
      <c r="I574" s="732" t="s">
        <v>2485</v>
      </c>
      <c r="J574" s="750" t="s">
        <v>18</v>
      </c>
      <c r="K574" s="687" t="s">
        <v>654</v>
      </c>
      <c r="L574" s="786" t="s">
        <v>20</v>
      </c>
      <c r="M574" s="687"/>
      <c r="N574" s="761"/>
      <c r="O574" s="762"/>
      <c r="P574" s="762"/>
      <c r="Q574" s="762"/>
      <c r="R574" s="762"/>
      <c r="S574" s="762"/>
      <c r="T574" s="762"/>
      <c r="U574" s="762"/>
    </row>
    <row r="575" s="660" customFormat="1" ht="15.4" hidden="1" customHeight="1" spans="1:21">
      <c r="A575" s="687" t="s">
        <v>910</v>
      </c>
      <c r="B575" s="687" t="s">
        <v>2372</v>
      </c>
      <c r="C575" s="732" t="s">
        <v>2340</v>
      </c>
      <c r="D575" s="250">
        <v>10</v>
      </c>
      <c r="E575" s="281"/>
      <c r="F575" s="703"/>
      <c r="G575" s="703">
        <f t="shared" si="18"/>
        <v>45796</v>
      </c>
      <c r="H575" s="755">
        <f t="shared" si="19"/>
        <v>45817</v>
      </c>
      <c r="I575" s="732" t="s">
        <v>2485</v>
      </c>
      <c r="J575" s="750" t="s">
        <v>18</v>
      </c>
      <c r="K575" s="687" t="s">
        <v>654</v>
      </c>
      <c r="L575" s="786" t="s">
        <v>20</v>
      </c>
      <c r="M575" s="687"/>
      <c r="N575" s="761"/>
      <c r="O575" s="762"/>
      <c r="P575" s="762"/>
      <c r="Q575" s="762"/>
      <c r="R575" s="762"/>
      <c r="S575" s="762"/>
      <c r="T575" s="762"/>
      <c r="U575" s="762"/>
    </row>
    <row r="576" s="660" customFormat="1" ht="15.4" hidden="1" customHeight="1" spans="1:21">
      <c r="A576" s="687" t="s">
        <v>910</v>
      </c>
      <c r="B576" s="687" t="s">
        <v>2305</v>
      </c>
      <c r="C576" s="732" t="s">
        <v>2095</v>
      </c>
      <c r="D576" s="250">
        <v>20</v>
      </c>
      <c r="E576" s="281"/>
      <c r="F576" s="703"/>
      <c r="G576" s="703">
        <f t="shared" si="18"/>
        <v>45796</v>
      </c>
      <c r="H576" s="755">
        <f t="shared" si="19"/>
        <v>45817</v>
      </c>
      <c r="I576" s="732" t="s">
        <v>2485</v>
      </c>
      <c r="J576" s="750" t="s">
        <v>18</v>
      </c>
      <c r="K576" s="687" t="s">
        <v>654</v>
      </c>
      <c r="L576" s="786" t="s">
        <v>20</v>
      </c>
      <c r="M576" s="687"/>
      <c r="N576" s="761"/>
      <c r="O576" s="762"/>
      <c r="P576" s="762"/>
      <c r="Q576" s="762"/>
      <c r="R576" s="762"/>
      <c r="S576" s="762"/>
      <c r="T576" s="762"/>
      <c r="U576" s="762"/>
    </row>
    <row r="577" s="660" customFormat="1" ht="15.4" hidden="1" customHeight="1" spans="1:21">
      <c r="A577" s="687" t="s">
        <v>910</v>
      </c>
      <c r="B577" s="690" t="s">
        <v>2305</v>
      </c>
      <c r="C577" s="732" t="s">
        <v>2093</v>
      </c>
      <c r="D577" s="313">
        <v>25</v>
      </c>
      <c r="E577" s="789" t="s">
        <v>2487</v>
      </c>
      <c r="F577" s="675"/>
      <c r="G577" s="675">
        <f>VLOOKUP(CLEAN(SUBSTITUTE(TRIM(MID(E:E,FIND("/",E:E)+1,LEN(E:E)))," ","")),'Customs Decl. &amp; Local Delivery'!D:I,6,0)</f>
        <v>45796</v>
      </c>
      <c r="H577" s="676">
        <f>VLOOKUP(CLEAN(SUBSTITUTE(TRIM(MID(E:E,FIND("/",E:E)+1,LEN(E:E)))," ","")),'Customs Decl. &amp; Local Delivery'!D:J,7,0)</f>
        <v>45817</v>
      </c>
      <c r="I577" s="690" t="s">
        <v>2488</v>
      </c>
      <c r="J577" s="750" t="s">
        <v>18</v>
      </c>
      <c r="K577" s="687" t="s">
        <v>147</v>
      </c>
      <c r="L577" s="786" t="s">
        <v>20</v>
      </c>
      <c r="M577" s="687" t="s">
        <v>2489</v>
      </c>
      <c r="N577" s="684"/>
      <c r="O577" s="203"/>
      <c r="P577" s="203"/>
      <c r="Q577" s="203"/>
      <c r="R577" s="203"/>
      <c r="S577" s="203"/>
      <c r="T577" s="203"/>
      <c r="U577" s="203"/>
    </row>
    <row r="578" s="660" customFormat="1" ht="15.4" hidden="1" customHeight="1" spans="1:21">
      <c r="A578" s="687" t="s">
        <v>910</v>
      </c>
      <c r="B578" s="690" t="s">
        <v>2305</v>
      </c>
      <c r="C578" s="732" t="s">
        <v>2093</v>
      </c>
      <c r="D578" s="313">
        <v>20</v>
      </c>
      <c r="E578" s="281"/>
      <c r="F578" s="703"/>
      <c r="G578" s="703">
        <f t="shared" ref="G578:G593" si="20">G577</f>
        <v>45796</v>
      </c>
      <c r="H578" s="755">
        <f t="shared" ref="H578:H593" si="21">H577</f>
        <v>45817</v>
      </c>
      <c r="I578" s="690" t="s">
        <v>2488</v>
      </c>
      <c r="J578" s="750" t="s">
        <v>18</v>
      </c>
      <c r="K578" s="687" t="s">
        <v>147</v>
      </c>
      <c r="L578" s="786" t="s">
        <v>20</v>
      </c>
      <c r="M578" s="687" t="s">
        <v>2376</v>
      </c>
      <c r="N578" s="684"/>
      <c r="O578" s="203"/>
      <c r="P578" s="203"/>
      <c r="Q578" s="203"/>
      <c r="R578" s="203"/>
      <c r="S578" s="203"/>
      <c r="T578" s="203"/>
      <c r="U578" s="203"/>
    </row>
    <row r="579" s="660" customFormat="1" ht="15.4" hidden="1" customHeight="1" spans="1:21">
      <c r="A579" s="687" t="s">
        <v>910</v>
      </c>
      <c r="B579" s="690" t="s">
        <v>2305</v>
      </c>
      <c r="C579" s="732" t="s">
        <v>2093</v>
      </c>
      <c r="D579" s="313">
        <v>25</v>
      </c>
      <c r="E579" s="281"/>
      <c r="F579" s="703"/>
      <c r="G579" s="703">
        <f t="shared" si="20"/>
        <v>45796</v>
      </c>
      <c r="H579" s="755">
        <f t="shared" si="21"/>
        <v>45817</v>
      </c>
      <c r="I579" s="690" t="s">
        <v>2488</v>
      </c>
      <c r="J579" s="750" t="s">
        <v>18</v>
      </c>
      <c r="K579" s="687" t="s">
        <v>147</v>
      </c>
      <c r="L579" s="786" t="s">
        <v>20</v>
      </c>
      <c r="M579" s="687" t="s">
        <v>2452</v>
      </c>
      <c r="N579" s="684"/>
      <c r="O579" s="203"/>
      <c r="P579" s="203"/>
      <c r="Q579" s="203"/>
      <c r="R579" s="203"/>
      <c r="S579" s="203"/>
      <c r="T579" s="203"/>
      <c r="U579" s="203"/>
    </row>
    <row r="580" s="660" customFormat="1" ht="15.4" hidden="1" customHeight="1" spans="1:21">
      <c r="A580" s="687" t="s">
        <v>910</v>
      </c>
      <c r="B580" s="690" t="s">
        <v>2305</v>
      </c>
      <c r="C580" s="732" t="s">
        <v>2093</v>
      </c>
      <c r="D580" s="313">
        <v>20</v>
      </c>
      <c r="E580" s="281"/>
      <c r="F580" s="703"/>
      <c r="G580" s="703">
        <f t="shared" si="20"/>
        <v>45796</v>
      </c>
      <c r="H580" s="755">
        <f t="shared" si="21"/>
        <v>45817</v>
      </c>
      <c r="I580" s="690" t="s">
        <v>2488</v>
      </c>
      <c r="J580" s="750" t="s">
        <v>18</v>
      </c>
      <c r="K580" s="687" t="s">
        <v>147</v>
      </c>
      <c r="L580" s="786" t="s">
        <v>20</v>
      </c>
      <c r="M580" s="687" t="s">
        <v>2375</v>
      </c>
      <c r="N580" s="684"/>
      <c r="O580" s="203"/>
      <c r="P580" s="203"/>
      <c r="Q580" s="203"/>
      <c r="R580" s="203"/>
      <c r="S580" s="203"/>
      <c r="T580" s="203"/>
      <c r="U580" s="203"/>
    </row>
    <row r="581" s="660" customFormat="1" ht="15.4" hidden="1" customHeight="1" spans="1:21">
      <c r="A581" s="687" t="s">
        <v>910</v>
      </c>
      <c r="B581" s="690" t="s">
        <v>2305</v>
      </c>
      <c r="C581" s="732" t="s">
        <v>2093</v>
      </c>
      <c r="D581" s="313">
        <v>25</v>
      </c>
      <c r="E581" s="281"/>
      <c r="F581" s="703"/>
      <c r="G581" s="703">
        <f t="shared" si="20"/>
        <v>45796</v>
      </c>
      <c r="H581" s="755">
        <f t="shared" si="21"/>
        <v>45817</v>
      </c>
      <c r="I581" s="690" t="s">
        <v>2488</v>
      </c>
      <c r="J581" s="750" t="s">
        <v>18</v>
      </c>
      <c r="K581" s="687" t="s">
        <v>147</v>
      </c>
      <c r="L581" s="786" t="s">
        <v>20</v>
      </c>
      <c r="M581" s="687" t="s">
        <v>2373</v>
      </c>
      <c r="N581" s="684"/>
      <c r="O581" s="203"/>
      <c r="P581" s="203"/>
      <c r="Q581" s="203"/>
      <c r="R581" s="203"/>
      <c r="S581" s="203"/>
      <c r="T581" s="203"/>
      <c r="U581" s="203"/>
    </row>
    <row r="582" s="660" customFormat="1" ht="15.4" hidden="1" customHeight="1" spans="1:21">
      <c r="A582" s="687" t="s">
        <v>910</v>
      </c>
      <c r="B582" s="690" t="s">
        <v>2305</v>
      </c>
      <c r="C582" s="732" t="s">
        <v>2093</v>
      </c>
      <c r="D582" s="313">
        <v>20</v>
      </c>
      <c r="E582" s="281"/>
      <c r="F582" s="703"/>
      <c r="G582" s="703">
        <f t="shared" si="20"/>
        <v>45796</v>
      </c>
      <c r="H582" s="755">
        <f t="shared" si="21"/>
        <v>45817</v>
      </c>
      <c r="I582" s="690" t="s">
        <v>2488</v>
      </c>
      <c r="J582" s="750" t="s">
        <v>18</v>
      </c>
      <c r="K582" s="687" t="s">
        <v>147</v>
      </c>
      <c r="L582" s="786" t="s">
        <v>20</v>
      </c>
      <c r="M582" s="671" t="s">
        <v>2374</v>
      </c>
      <c r="N582" s="684"/>
      <c r="O582" s="203"/>
      <c r="P582" s="203"/>
      <c r="Q582" s="203"/>
      <c r="R582" s="203"/>
      <c r="S582" s="203"/>
      <c r="T582" s="203"/>
      <c r="U582" s="203"/>
    </row>
    <row r="583" s="660" customFormat="1" ht="15.4" hidden="1" customHeight="1" spans="1:21">
      <c r="A583" s="687" t="s">
        <v>2453</v>
      </c>
      <c r="B583" s="690" t="s">
        <v>2490</v>
      </c>
      <c r="C583" s="732" t="s">
        <v>2093</v>
      </c>
      <c r="D583" s="321">
        <v>18</v>
      </c>
      <c r="E583" s="281"/>
      <c r="F583" s="703"/>
      <c r="G583" s="703">
        <f t="shared" si="20"/>
        <v>45796</v>
      </c>
      <c r="H583" s="755">
        <f t="shared" si="21"/>
        <v>45817</v>
      </c>
      <c r="I583" s="690" t="s">
        <v>2488</v>
      </c>
      <c r="J583" s="750" t="s">
        <v>18</v>
      </c>
      <c r="K583" s="687" t="s">
        <v>147</v>
      </c>
      <c r="L583" s="786" t="s">
        <v>20</v>
      </c>
      <c r="M583" s="687" t="s">
        <v>2491</v>
      </c>
      <c r="N583" s="684"/>
      <c r="O583" s="203"/>
      <c r="P583" s="203"/>
      <c r="Q583" s="203"/>
      <c r="R583" s="203"/>
      <c r="S583" s="203"/>
      <c r="T583" s="203"/>
      <c r="U583" s="203"/>
    </row>
    <row r="584" s="660" customFormat="1" ht="15.4" hidden="1" customHeight="1" spans="1:21">
      <c r="A584" s="687" t="s">
        <v>910</v>
      </c>
      <c r="B584" s="749" t="s">
        <v>2305</v>
      </c>
      <c r="C584" s="758" t="s">
        <v>2093</v>
      </c>
      <c r="D584" s="350">
        <v>18</v>
      </c>
      <c r="E584" s="281"/>
      <c r="F584" s="703"/>
      <c r="G584" s="703">
        <f t="shared" si="20"/>
        <v>45796</v>
      </c>
      <c r="H584" s="755">
        <f t="shared" si="21"/>
        <v>45817</v>
      </c>
      <c r="I584" s="690" t="s">
        <v>2488</v>
      </c>
      <c r="J584" s="750" t="s">
        <v>18</v>
      </c>
      <c r="K584" s="687" t="s">
        <v>147</v>
      </c>
      <c r="L584" s="786" t="s">
        <v>20</v>
      </c>
      <c r="M584" s="687" t="s">
        <v>2492</v>
      </c>
      <c r="N584" s="684"/>
      <c r="O584" s="203"/>
      <c r="P584" s="203"/>
      <c r="Q584" s="203"/>
      <c r="R584" s="203"/>
      <c r="S584" s="203"/>
      <c r="T584" s="203"/>
      <c r="U584" s="203"/>
    </row>
    <row r="585" s="660" customFormat="1" ht="15.4" hidden="1" customHeight="1" spans="1:21">
      <c r="A585" s="687" t="s">
        <v>910</v>
      </c>
      <c r="B585" s="690" t="s">
        <v>2305</v>
      </c>
      <c r="C585" s="732" t="s">
        <v>2093</v>
      </c>
      <c r="D585" s="313">
        <v>20</v>
      </c>
      <c r="E585" s="281"/>
      <c r="F585" s="703"/>
      <c r="G585" s="703">
        <f t="shared" si="20"/>
        <v>45796</v>
      </c>
      <c r="H585" s="755">
        <f t="shared" si="21"/>
        <v>45817</v>
      </c>
      <c r="I585" s="690" t="s">
        <v>2488</v>
      </c>
      <c r="J585" s="750" t="s">
        <v>18</v>
      </c>
      <c r="K585" s="687" t="s">
        <v>147</v>
      </c>
      <c r="L585" s="786" t="s">
        <v>20</v>
      </c>
      <c r="M585" s="671" t="s">
        <v>2493</v>
      </c>
      <c r="N585" s="684"/>
      <c r="O585" s="203"/>
      <c r="P585" s="203"/>
      <c r="Q585" s="203"/>
      <c r="R585" s="203"/>
      <c r="S585" s="203"/>
      <c r="T585" s="203"/>
      <c r="U585" s="203"/>
    </row>
    <row r="586" s="660" customFormat="1" ht="15.4" hidden="1" customHeight="1" spans="1:21">
      <c r="A586" s="687" t="s">
        <v>910</v>
      </c>
      <c r="B586" s="690" t="s">
        <v>2305</v>
      </c>
      <c r="C586" s="732" t="s">
        <v>2093</v>
      </c>
      <c r="D586" s="313">
        <v>18</v>
      </c>
      <c r="E586" s="281"/>
      <c r="F586" s="703"/>
      <c r="G586" s="703">
        <f t="shared" si="20"/>
        <v>45796</v>
      </c>
      <c r="H586" s="755">
        <f t="shared" si="21"/>
        <v>45817</v>
      </c>
      <c r="I586" s="690" t="s">
        <v>2488</v>
      </c>
      <c r="J586" s="750" t="s">
        <v>18</v>
      </c>
      <c r="K586" s="687" t="s">
        <v>147</v>
      </c>
      <c r="L586" s="786" t="s">
        <v>20</v>
      </c>
      <c r="M586" s="671" t="s">
        <v>2494</v>
      </c>
      <c r="N586" s="684"/>
      <c r="O586" s="203"/>
      <c r="P586" s="203"/>
      <c r="Q586" s="203"/>
      <c r="R586" s="203"/>
      <c r="S586" s="203"/>
      <c r="T586" s="203"/>
      <c r="U586" s="203"/>
    </row>
    <row r="587" s="660" customFormat="1" ht="15.4" hidden="1" customHeight="1" spans="1:21">
      <c r="A587" s="687" t="s">
        <v>2453</v>
      </c>
      <c r="B587" s="690" t="s">
        <v>2490</v>
      </c>
      <c r="C587" s="732" t="s">
        <v>2093</v>
      </c>
      <c r="D587" s="321">
        <v>18</v>
      </c>
      <c r="E587" s="281"/>
      <c r="F587" s="703"/>
      <c r="G587" s="703">
        <f t="shared" si="20"/>
        <v>45796</v>
      </c>
      <c r="H587" s="755">
        <f t="shared" si="21"/>
        <v>45817</v>
      </c>
      <c r="I587" s="690" t="s">
        <v>2488</v>
      </c>
      <c r="J587" s="750" t="s">
        <v>18</v>
      </c>
      <c r="K587" s="687" t="s">
        <v>147</v>
      </c>
      <c r="L587" s="786" t="s">
        <v>20</v>
      </c>
      <c r="M587" s="687" t="s">
        <v>2495</v>
      </c>
      <c r="N587" s="684"/>
      <c r="O587" s="203"/>
      <c r="P587" s="203"/>
      <c r="Q587" s="203"/>
      <c r="R587" s="203"/>
      <c r="S587" s="203"/>
      <c r="T587" s="203"/>
      <c r="U587" s="203"/>
    </row>
    <row r="588" s="660" customFormat="1" ht="15.4" hidden="1" customHeight="1" spans="1:21">
      <c r="A588" s="687" t="s">
        <v>2453</v>
      </c>
      <c r="B588" s="690" t="s">
        <v>2490</v>
      </c>
      <c r="C588" s="732" t="s">
        <v>2093</v>
      </c>
      <c r="D588" s="321">
        <v>18</v>
      </c>
      <c r="E588" s="281"/>
      <c r="F588" s="703"/>
      <c r="G588" s="703">
        <f t="shared" si="20"/>
        <v>45796</v>
      </c>
      <c r="H588" s="755">
        <f t="shared" si="21"/>
        <v>45817</v>
      </c>
      <c r="I588" s="690" t="s">
        <v>2488</v>
      </c>
      <c r="J588" s="750" t="s">
        <v>18</v>
      </c>
      <c r="K588" s="687" t="s">
        <v>147</v>
      </c>
      <c r="L588" s="786" t="s">
        <v>20</v>
      </c>
      <c r="M588" s="687" t="s">
        <v>2496</v>
      </c>
      <c r="N588" s="684"/>
      <c r="O588" s="203"/>
      <c r="P588" s="203"/>
      <c r="Q588" s="203"/>
      <c r="R588" s="203"/>
      <c r="S588" s="203"/>
      <c r="T588" s="203"/>
      <c r="U588" s="203"/>
    </row>
    <row r="589" s="660" customFormat="1" ht="15.4" hidden="1" customHeight="1" spans="1:21">
      <c r="A589" s="687" t="s">
        <v>910</v>
      </c>
      <c r="B589" s="690" t="s">
        <v>2305</v>
      </c>
      <c r="C589" s="732" t="s">
        <v>2093</v>
      </c>
      <c r="D589" s="313">
        <v>25</v>
      </c>
      <c r="E589" s="281"/>
      <c r="F589" s="703"/>
      <c r="G589" s="703">
        <f t="shared" si="20"/>
        <v>45796</v>
      </c>
      <c r="H589" s="755">
        <f t="shared" si="21"/>
        <v>45817</v>
      </c>
      <c r="I589" s="690" t="s">
        <v>2488</v>
      </c>
      <c r="J589" s="750" t="s">
        <v>18</v>
      </c>
      <c r="K589" s="687" t="s">
        <v>147</v>
      </c>
      <c r="L589" s="786" t="s">
        <v>20</v>
      </c>
      <c r="M589" s="671" t="s">
        <v>2497</v>
      </c>
      <c r="N589" s="684"/>
      <c r="O589" s="203"/>
      <c r="P589" s="203"/>
      <c r="Q589" s="203"/>
      <c r="R589" s="203"/>
      <c r="S589" s="203"/>
      <c r="T589" s="203"/>
      <c r="U589" s="203"/>
    </row>
    <row r="590" s="660" customFormat="1" ht="15.4" hidden="1" customHeight="1" spans="1:21">
      <c r="A590" s="687" t="s">
        <v>910</v>
      </c>
      <c r="B590" s="690" t="s">
        <v>2305</v>
      </c>
      <c r="C590" s="732" t="s">
        <v>2093</v>
      </c>
      <c r="D590" s="313">
        <v>25</v>
      </c>
      <c r="E590" s="281"/>
      <c r="F590" s="703"/>
      <c r="G590" s="703">
        <f t="shared" si="20"/>
        <v>45796</v>
      </c>
      <c r="H590" s="755">
        <f t="shared" si="21"/>
        <v>45817</v>
      </c>
      <c r="I590" s="690" t="s">
        <v>2488</v>
      </c>
      <c r="J590" s="750" t="s">
        <v>18</v>
      </c>
      <c r="K590" s="687" t="s">
        <v>147</v>
      </c>
      <c r="L590" s="786" t="s">
        <v>20</v>
      </c>
      <c r="M590" s="671" t="s">
        <v>2498</v>
      </c>
      <c r="N590" s="684"/>
      <c r="O590" s="203"/>
      <c r="P590" s="203"/>
      <c r="Q590" s="203"/>
      <c r="R590" s="203"/>
      <c r="S590" s="203"/>
      <c r="T590" s="203"/>
      <c r="U590" s="203"/>
    </row>
    <row r="591" s="660" customFormat="1" ht="15.4" hidden="1" customHeight="1" spans="1:21">
      <c r="A591" s="687" t="s">
        <v>910</v>
      </c>
      <c r="B591" s="690" t="s">
        <v>2305</v>
      </c>
      <c r="C591" s="732" t="s">
        <v>2093</v>
      </c>
      <c r="D591" s="313">
        <v>25</v>
      </c>
      <c r="E591" s="281"/>
      <c r="F591" s="703"/>
      <c r="G591" s="703">
        <f t="shared" si="20"/>
        <v>45796</v>
      </c>
      <c r="H591" s="755">
        <f t="shared" si="21"/>
        <v>45817</v>
      </c>
      <c r="I591" s="690" t="s">
        <v>2488</v>
      </c>
      <c r="J591" s="750" t="s">
        <v>18</v>
      </c>
      <c r="K591" s="687" t="s">
        <v>147</v>
      </c>
      <c r="L591" s="786" t="s">
        <v>20</v>
      </c>
      <c r="M591" s="671" t="s">
        <v>2499</v>
      </c>
      <c r="N591" s="684"/>
      <c r="O591" s="203"/>
      <c r="P591" s="203"/>
      <c r="Q591" s="203"/>
      <c r="R591" s="203"/>
      <c r="S591" s="203"/>
      <c r="T591" s="203"/>
      <c r="U591" s="203"/>
    </row>
    <row r="592" s="660" customFormat="1" ht="15.4" hidden="1" customHeight="1" spans="1:21">
      <c r="A592" s="687" t="s">
        <v>910</v>
      </c>
      <c r="B592" s="690" t="s">
        <v>2305</v>
      </c>
      <c r="C592" s="732" t="s">
        <v>2093</v>
      </c>
      <c r="D592" s="313">
        <v>25</v>
      </c>
      <c r="E592" s="281"/>
      <c r="F592" s="703"/>
      <c r="G592" s="703">
        <f t="shared" si="20"/>
        <v>45796</v>
      </c>
      <c r="H592" s="755">
        <f t="shared" si="21"/>
        <v>45817</v>
      </c>
      <c r="I592" s="690" t="s">
        <v>2488</v>
      </c>
      <c r="J592" s="750" t="s">
        <v>18</v>
      </c>
      <c r="K592" s="687" t="s">
        <v>147</v>
      </c>
      <c r="L592" s="786" t="s">
        <v>20</v>
      </c>
      <c r="M592" s="671" t="s">
        <v>2500</v>
      </c>
      <c r="N592" s="684"/>
      <c r="O592" s="203"/>
      <c r="P592" s="203"/>
      <c r="Q592" s="203"/>
      <c r="R592" s="203"/>
      <c r="S592" s="203"/>
      <c r="T592" s="203"/>
      <c r="U592" s="203"/>
    </row>
    <row r="593" s="660" customFormat="1" ht="15.4" hidden="1" customHeight="1" spans="1:21">
      <c r="A593" s="687" t="s">
        <v>910</v>
      </c>
      <c r="B593" s="690" t="s">
        <v>2305</v>
      </c>
      <c r="C593" s="732" t="s">
        <v>2093</v>
      </c>
      <c r="D593" s="313">
        <v>25</v>
      </c>
      <c r="E593" s="281"/>
      <c r="F593" s="703"/>
      <c r="G593" s="703">
        <f t="shared" si="20"/>
        <v>45796</v>
      </c>
      <c r="H593" s="759">
        <f t="shared" si="21"/>
        <v>45817</v>
      </c>
      <c r="I593" s="685" t="s">
        <v>2488</v>
      </c>
      <c r="J593" s="760" t="s">
        <v>18</v>
      </c>
      <c r="K593" s="751" t="s">
        <v>147</v>
      </c>
      <c r="L593" s="786" t="s">
        <v>20</v>
      </c>
      <c r="M593" s="671" t="s">
        <v>2501</v>
      </c>
      <c r="N593" s="684"/>
      <c r="O593" s="203"/>
      <c r="P593" s="203"/>
      <c r="Q593" s="203"/>
      <c r="R593" s="203"/>
      <c r="S593" s="203"/>
      <c r="T593" s="203"/>
      <c r="U593" s="203"/>
    </row>
    <row r="594" s="660" customFormat="1" ht="15.4" hidden="1" customHeight="1" spans="1:21">
      <c r="A594" s="687" t="s">
        <v>910</v>
      </c>
      <c r="B594" s="690" t="s">
        <v>2305</v>
      </c>
      <c r="C594" s="732" t="s">
        <v>2040</v>
      </c>
      <c r="D594" s="313">
        <v>54</v>
      </c>
      <c r="E594" s="779" t="s">
        <v>2502</v>
      </c>
      <c r="F594" s="675"/>
      <c r="G594" s="675">
        <f>VLOOKUP(CLEAN(SUBSTITUTE(TRIM(MID(E:E,FIND("/",E:E)+1,LEN(E:E)))," ","")),'Customs Decl. &amp; Local Delivery'!D:I,6,0)</f>
        <v>45796</v>
      </c>
      <c r="H594" s="676">
        <f>VLOOKUP(CLEAN(SUBSTITUTE(TRIM(MID(E:E,FIND("/",E:E)+1,LEN(E:E)))," ","")),'Customs Decl. &amp; Local Delivery'!D:J,7,0)</f>
        <v>45817</v>
      </c>
      <c r="I594" s="690" t="s">
        <v>2503</v>
      </c>
      <c r="J594" s="687" t="s">
        <v>18</v>
      </c>
      <c r="K594" s="687" t="s">
        <v>147</v>
      </c>
      <c r="L594" s="347" t="s">
        <v>20</v>
      </c>
      <c r="M594" s="671" t="s">
        <v>2504</v>
      </c>
      <c r="N594" s="684"/>
      <c r="O594" s="203"/>
      <c r="P594" s="203"/>
      <c r="Q594" s="203"/>
      <c r="R594" s="203"/>
      <c r="S594" s="203"/>
      <c r="T594" s="203"/>
      <c r="U594" s="203"/>
    </row>
    <row r="595" s="660" customFormat="1" ht="15.4" hidden="1" customHeight="1" spans="1:21">
      <c r="A595" s="687" t="s">
        <v>2453</v>
      </c>
      <c r="B595" s="690" t="s">
        <v>2490</v>
      </c>
      <c r="C595" s="732" t="s">
        <v>2092</v>
      </c>
      <c r="D595" s="321">
        <v>20</v>
      </c>
      <c r="E595" s="281"/>
      <c r="F595" s="703"/>
      <c r="G595" s="703">
        <f>G594</f>
        <v>45796</v>
      </c>
      <c r="H595" s="782">
        <f>H594</f>
        <v>45817</v>
      </c>
      <c r="I595" s="768" t="s">
        <v>2503</v>
      </c>
      <c r="J595" s="783" t="s">
        <v>18</v>
      </c>
      <c r="K595" s="687" t="s">
        <v>147</v>
      </c>
      <c r="L595" s="347" t="s">
        <v>20</v>
      </c>
      <c r="M595" s="687" t="s">
        <v>2505</v>
      </c>
      <c r="N595" s="684"/>
      <c r="O595" s="203"/>
      <c r="P595" s="203"/>
      <c r="Q595" s="203"/>
      <c r="R595" s="203"/>
      <c r="S595" s="203"/>
      <c r="T595" s="203"/>
      <c r="U595" s="203"/>
    </row>
    <row r="596" s="660" customFormat="1" ht="15.4" hidden="1" customHeight="1" spans="1:21">
      <c r="A596" s="687" t="s">
        <v>2453</v>
      </c>
      <c r="B596" s="690" t="s">
        <v>2490</v>
      </c>
      <c r="C596" s="732" t="s">
        <v>2094</v>
      </c>
      <c r="D596" s="321">
        <v>30</v>
      </c>
      <c r="E596" s="281"/>
      <c r="F596" s="703"/>
      <c r="G596" s="703">
        <f>G595</f>
        <v>45796</v>
      </c>
      <c r="H596" s="755">
        <f>H595</f>
        <v>45817</v>
      </c>
      <c r="I596" s="690" t="s">
        <v>2503</v>
      </c>
      <c r="J596" s="750" t="s">
        <v>18</v>
      </c>
      <c r="K596" s="687" t="s">
        <v>147</v>
      </c>
      <c r="L596" s="347" t="s">
        <v>20</v>
      </c>
      <c r="M596" s="687" t="s">
        <v>2505</v>
      </c>
      <c r="N596" s="684"/>
      <c r="O596" s="203"/>
      <c r="P596" s="203"/>
      <c r="Q596" s="203"/>
      <c r="R596" s="203"/>
      <c r="S596" s="203"/>
      <c r="T596" s="203"/>
      <c r="U596" s="203"/>
    </row>
    <row r="597" s="660" customFormat="1" ht="15.4" hidden="1" customHeight="1" spans="1:21">
      <c r="A597" s="687" t="s">
        <v>910</v>
      </c>
      <c r="B597" s="690" t="s">
        <v>2305</v>
      </c>
      <c r="C597" s="732" t="s">
        <v>2095</v>
      </c>
      <c r="D597" s="313">
        <v>100</v>
      </c>
      <c r="E597" s="281"/>
      <c r="F597" s="703"/>
      <c r="G597" s="703">
        <f>G596</f>
        <v>45796</v>
      </c>
      <c r="H597" s="755">
        <f>H596</f>
        <v>45817</v>
      </c>
      <c r="I597" s="690" t="s">
        <v>2503</v>
      </c>
      <c r="J597" s="750" t="s">
        <v>18</v>
      </c>
      <c r="K597" s="687" t="s">
        <v>147</v>
      </c>
      <c r="L597" s="347" t="s">
        <v>20</v>
      </c>
      <c r="M597" s="687" t="s">
        <v>2506</v>
      </c>
      <c r="N597" s="684"/>
      <c r="O597" s="203"/>
      <c r="P597" s="203"/>
      <c r="Q597" s="203"/>
      <c r="R597" s="203"/>
      <c r="S597" s="203"/>
      <c r="T597" s="203"/>
      <c r="U597" s="203"/>
    </row>
    <row r="598" s="660" customFormat="1" ht="15.4" hidden="1" customHeight="1" spans="1:21">
      <c r="A598" s="687" t="s">
        <v>910</v>
      </c>
      <c r="B598" s="690" t="s">
        <v>2305</v>
      </c>
      <c r="C598" s="732" t="s">
        <v>2094</v>
      </c>
      <c r="D598" s="313">
        <v>15</v>
      </c>
      <c r="E598" s="281"/>
      <c r="F598" s="703"/>
      <c r="G598" s="703">
        <f>G597</f>
        <v>45796</v>
      </c>
      <c r="H598" s="759">
        <f>H597</f>
        <v>45817</v>
      </c>
      <c r="I598" s="685" t="s">
        <v>2503</v>
      </c>
      <c r="J598" s="760" t="s">
        <v>18</v>
      </c>
      <c r="K598" s="687" t="s">
        <v>147</v>
      </c>
      <c r="L598" s="347" t="s">
        <v>20</v>
      </c>
      <c r="M598" s="687" t="s">
        <v>2493</v>
      </c>
      <c r="N598" s="684"/>
      <c r="O598" s="203"/>
      <c r="P598" s="203"/>
      <c r="Q598" s="203"/>
      <c r="R598" s="203"/>
      <c r="S598" s="203"/>
      <c r="T598" s="203"/>
      <c r="U598" s="203"/>
    </row>
    <row r="599" s="660" customFormat="1" ht="15.4" hidden="1" customHeight="1" spans="1:21">
      <c r="A599" s="687" t="s">
        <v>910</v>
      </c>
      <c r="B599" s="690" t="s">
        <v>2305</v>
      </c>
      <c r="C599" s="732" t="s">
        <v>2040</v>
      </c>
      <c r="D599" s="313">
        <v>54</v>
      </c>
      <c r="E599" s="674" t="s">
        <v>2507</v>
      </c>
      <c r="F599" s="675"/>
      <c r="G599" s="675">
        <f>VLOOKUP(CLEAN(SUBSTITUTE(TRIM(MID(E:E,FIND("/",E:E)+1,LEN(E:E)))," ","")),'Customs Decl. &amp; Local Delivery'!D:I,6,0)</f>
        <v>45796</v>
      </c>
      <c r="H599" s="676">
        <f>VLOOKUP(CLEAN(SUBSTITUTE(TRIM(MID(E:E,FIND("/",E:E)+1,LEN(E:E)))," ","")),'Customs Decl. &amp; Local Delivery'!D:J,7,0)</f>
        <v>45817</v>
      </c>
      <c r="I599" s="690" t="s">
        <v>2508</v>
      </c>
      <c r="J599" s="687" t="s">
        <v>18</v>
      </c>
      <c r="K599" s="687" t="s">
        <v>147</v>
      </c>
      <c r="L599" s="347" t="s">
        <v>20</v>
      </c>
      <c r="M599" s="690" t="s">
        <v>2509</v>
      </c>
      <c r="N599" s="684"/>
      <c r="O599" s="203"/>
      <c r="P599" s="203"/>
      <c r="Q599" s="203"/>
      <c r="R599" s="203"/>
      <c r="S599" s="203"/>
      <c r="T599" s="203"/>
      <c r="U599" s="203"/>
    </row>
    <row r="600" s="660" customFormat="1" ht="15.4" hidden="1" customHeight="1" spans="1:21">
      <c r="A600" s="687" t="s">
        <v>910</v>
      </c>
      <c r="B600" s="690" t="s">
        <v>2305</v>
      </c>
      <c r="C600" s="732" t="s">
        <v>2095</v>
      </c>
      <c r="D600" s="313">
        <v>105</v>
      </c>
      <c r="E600" s="281"/>
      <c r="F600" s="703"/>
      <c r="G600" s="703">
        <f>G599</f>
        <v>45796</v>
      </c>
      <c r="H600" s="782">
        <f>H599</f>
        <v>45817</v>
      </c>
      <c r="I600" s="768" t="s">
        <v>2508</v>
      </c>
      <c r="J600" s="783" t="s">
        <v>18</v>
      </c>
      <c r="K600" s="687" t="s">
        <v>147</v>
      </c>
      <c r="L600" s="347" t="s">
        <v>20</v>
      </c>
      <c r="M600" s="687" t="s">
        <v>2510</v>
      </c>
      <c r="N600" s="684"/>
      <c r="O600" s="203"/>
      <c r="P600" s="203"/>
      <c r="Q600" s="203"/>
      <c r="R600" s="203"/>
      <c r="S600" s="203"/>
      <c r="T600" s="203"/>
      <c r="U600" s="203"/>
    </row>
    <row r="601" s="660" customFormat="1" ht="15.4" hidden="1" customHeight="1" spans="1:21">
      <c r="A601" s="687" t="s">
        <v>2453</v>
      </c>
      <c r="B601" s="690" t="s">
        <v>2490</v>
      </c>
      <c r="C601" s="732" t="s">
        <v>2094</v>
      </c>
      <c r="D601" s="313">
        <v>45</v>
      </c>
      <c r="E601" s="281"/>
      <c r="F601" s="703"/>
      <c r="G601" s="703">
        <f>G600</f>
        <v>45796</v>
      </c>
      <c r="H601" s="755">
        <f>H600</f>
        <v>45817</v>
      </c>
      <c r="I601" s="690" t="s">
        <v>2508</v>
      </c>
      <c r="J601" s="750" t="s">
        <v>18</v>
      </c>
      <c r="K601" s="687" t="s">
        <v>147</v>
      </c>
      <c r="L601" s="347" t="s">
        <v>20</v>
      </c>
      <c r="M601" s="687" t="s">
        <v>2511</v>
      </c>
      <c r="N601" s="684"/>
      <c r="O601" s="203"/>
      <c r="P601" s="203"/>
      <c r="Q601" s="203"/>
      <c r="R601" s="203"/>
      <c r="S601" s="203"/>
      <c r="T601" s="203"/>
      <c r="U601" s="203"/>
    </row>
    <row r="602" s="660" customFormat="1" ht="15.4" hidden="1" customHeight="1" spans="1:21">
      <c r="A602" s="687" t="s">
        <v>910</v>
      </c>
      <c r="B602" s="690" t="s">
        <v>2305</v>
      </c>
      <c r="C602" s="758" t="s">
        <v>2090</v>
      </c>
      <c r="D602" s="350">
        <v>40</v>
      </c>
      <c r="E602" s="756" t="s">
        <v>2512</v>
      </c>
      <c r="F602" s="675"/>
      <c r="G602" s="675">
        <f>VLOOKUP(CLEAN(SUBSTITUTE(TRIM(MID(E:E,FIND("/",E:E)+1,LEN(E:E)))," ","")),'Customs Decl. &amp; Local Delivery'!D:I,6,0)</f>
        <v>45796</v>
      </c>
      <c r="H602" s="676">
        <f>VLOOKUP(CLEAN(SUBSTITUTE(TRIM(MID(E:E,FIND("/",E:E)+1,LEN(E:E)))," ","")),'Customs Decl. &amp; Local Delivery'!D:J,7,0)</f>
        <v>45817</v>
      </c>
      <c r="I602" s="690" t="s">
        <v>2513</v>
      </c>
      <c r="J602" s="750" t="s">
        <v>18</v>
      </c>
      <c r="K602" s="687" t="s">
        <v>147</v>
      </c>
      <c r="L602" s="347" t="s">
        <v>20</v>
      </c>
      <c r="M602" s="687" t="s">
        <v>2514</v>
      </c>
      <c r="N602" s="684"/>
      <c r="O602" s="203"/>
      <c r="P602" s="203"/>
      <c r="Q602" s="203"/>
      <c r="R602" s="203"/>
      <c r="S602" s="203"/>
      <c r="T602" s="203"/>
      <c r="U602" s="203"/>
    </row>
    <row r="603" s="660" customFormat="1" ht="15.4" hidden="1" customHeight="1" spans="1:21">
      <c r="A603" s="687" t="s">
        <v>910</v>
      </c>
      <c r="B603" s="690" t="s">
        <v>2305</v>
      </c>
      <c r="C603" s="758" t="s">
        <v>2340</v>
      </c>
      <c r="D603" s="350">
        <v>20</v>
      </c>
      <c r="E603" s="281"/>
      <c r="F603" s="703"/>
      <c r="G603" s="703">
        <f>G602</f>
        <v>45796</v>
      </c>
      <c r="H603" s="755">
        <f>H602</f>
        <v>45817</v>
      </c>
      <c r="I603" s="690" t="s">
        <v>2513</v>
      </c>
      <c r="J603" s="750" t="s">
        <v>18</v>
      </c>
      <c r="K603" s="687" t="s">
        <v>147</v>
      </c>
      <c r="L603" s="347" t="s">
        <v>20</v>
      </c>
      <c r="M603" s="794" t="s">
        <v>2515</v>
      </c>
      <c r="N603" s="684"/>
      <c r="O603" s="203"/>
      <c r="P603" s="203"/>
      <c r="Q603" s="203"/>
      <c r="R603" s="203"/>
      <c r="S603" s="203"/>
      <c r="T603" s="203"/>
      <c r="U603" s="203"/>
    </row>
    <row r="604" s="660" customFormat="1" ht="15.4" hidden="1" customHeight="1" spans="1:21">
      <c r="A604" s="687" t="s">
        <v>910</v>
      </c>
      <c r="B604" s="690" t="s">
        <v>2305</v>
      </c>
      <c r="C604" s="732" t="s">
        <v>2092</v>
      </c>
      <c r="D604" s="313">
        <v>45</v>
      </c>
      <c r="E604" s="281"/>
      <c r="F604" s="703"/>
      <c r="G604" s="703">
        <f>G603</f>
        <v>45796</v>
      </c>
      <c r="H604" s="755">
        <f>H603</f>
        <v>45817</v>
      </c>
      <c r="I604" s="690" t="s">
        <v>2513</v>
      </c>
      <c r="J604" s="750" t="s">
        <v>18</v>
      </c>
      <c r="K604" s="687" t="s">
        <v>147</v>
      </c>
      <c r="L604" s="347" t="s">
        <v>20</v>
      </c>
      <c r="M604" s="671" t="s">
        <v>2497</v>
      </c>
      <c r="N604" s="684"/>
      <c r="O604" s="203"/>
      <c r="P604" s="203"/>
      <c r="Q604" s="203"/>
      <c r="R604" s="203"/>
      <c r="S604" s="203"/>
      <c r="T604" s="203"/>
      <c r="U604" s="203"/>
    </row>
    <row r="605" s="660" customFormat="1" ht="15.4" hidden="1" customHeight="1" spans="1:21">
      <c r="A605" s="687" t="s">
        <v>910</v>
      </c>
      <c r="B605" s="690" t="s">
        <v>2305</v>
      </c>
      <c r="C605" s="732" t="s">
        <v>2094</v>
      </c>
      <c r="D605" s="313">
        <v>25</v>
      </c>
      <c r="E605" s="281"/>
      <c r="F605" s="703"/>
      <c r="G605" s="703">
        <f>G604</f>
        <v>45796</v>
      </c>
      <c r="H605" s="755">
        <f>H604</f>
        <v>45817</v>
      </c>
      <c r="I605" s="690" t="s">
        <v>2513</v>
      </c>
      <c r="J605" s="750" t="s">
        <v>18</v>
      </c>
      <c r="K605" s="687" t="s">
        <v>147</v>
      </c>
      <c r="L605" s="347" t="s">
        <v>20</v>
      </c>
      <c r="M605" s="671" t="s">
        <v>2497</v>
      </c>
      <c r="N605" s="684"/>
      <c r="O605" s="203"/>
      <c r="P605" s="203"/>
      <c r="Q605" s="203"/>
      <c r="R605" s="203"/>
      <c r="S605" s="203"/>
      <c r="T605" s="203"/>
      <c r="U605" s="203"/>
    </row>
    <row r="606" s="660" customFormat="1" ht="15.4" hidden="1" customHeight="1" spans="1:21">
      <c r="A606" s="687" t="s">
        <v>910</v>
      </c>
      <c r="B606" s="690" t="s">
        <v>2305</v>
      </c>
      <c r="C606" s="732" t="s">
        <v>2095</v>
      </c>
      <c r="D606" s="313">
        <v>45</v>
      </c>
      <c r="E606" s="281"/>
      <c r="F606" s="703"/>
      <c r="G606" s="703">
        <f>G605</f>
        <v>45796</v>
      </c>
      <c r="H606" s="759">
        <f>H605</f>
        <v>45817</v>
      </c>
      <c r="I606" s="685" t="s">
        <v>2513</v>
      </c>
      <c r="J606" s="787" t="s">
        <v>18</v>
      </c>
      <c r="K606" s="763" t="s">
        <v>147</v>
      </c>
      <c r="L606" s="347" t="s">
        <v>20</v>
      </c>
      <c r="M606" s="671" t="s">
        <v>2497</v>
      </c>
      <c r="N606" s="684"/>
      <c r="O606" s="203"/>
      <c r="P606" s="203"/>
      <c r="Q606" s="203"/>
      <c r="R606" s="203"/>
      <c r="S606" s="203"/>
      <c r="T606" s="203"/>
      <c r="U606" s="203"/>
    </row>
    <row r="607" s="660" customFormat="1" ht="15.4" hidden="1" customHeight="1" spans="1:21">
      <c r="A607" s="687" t="s">
        <v>910</v>
      </c>
      <c r="B607" s="690" t="s">
        <v>2305</v>
      </c>
      <c r="C607" s="732" t="s">
        <v>2040</v>
      </c>
      <c r="D607" s="313">
        <v>54</v>
      </c>
      <c r="E607" s="281"/>
      <c r="F607" s="703"/>
      <c r="G607" s="703">
        <f>G606</f>
        <v>45796</v>
      </c>
      <c r="H607" s="713">
        <f>H606</f>
        <v>45817</v>
      </c>
      <c r="I607" s="690" t="s">
        <v>2513</v>
      </c>
      <c r="J607" s="687" t="s">
        <v>18</v>
      </c>
      <c r="K607" s="751" t="s">
        <v>147</v>
      </c>
      <c r="L607" s="347" t="s">
        <v>20</v>
      </c>
      <c r="M607" s="690" t="s">
        <v>2516</v>
      </c>
      <c r="N607" s="684"/>
      <c r="O607" s="203"/>
      <c r="P607" s="203"/>
      <c r="Q607" s="203"/>
      <c r="R607" s="203"/>
      <c r="S607" s="203"/>
      <c r="T607" s="203"/>
      <c r="U607" s="203"/>
    </row>
    <row r="608" s="660" customFormat="1" ht="15.4" hidden="1" customHeight="1" spans="1:21">
      <c r="A608" s="687" t="s">
        <v>2453</v>
      </c>
      <c r="B608" s="690" t="s">
        <v>2490</v>
      </c>
      <c r="C608" s="732" t="s">
        <v>2092</v>
      </c>
      <c r="D608" s="313">
        <v>30</v>
      </c>
      <c r="E608" s="674" t="s">
        <v>2517</v>
      </c>
      <c r="F608" s="675"/>
      <c r="G608" s="675">
        <f>VLOOKUP(CLEAN(SUBSTITUTE(TRIM(MID(E:E,FIND("/",E:E)+1,LEN(E:E)))," ","")),'Customs Decl. &amp; Local Delivery'!D:I,6,0)</f>
        <v>45796</v>
      </c>
      <c r="H608" s="790">
        <f>VLOOKUP(CLEAN(SUBSTITUTE(TRIM(MID(E:E,FIND("/",E:E)+1,LEN(E:E)))," ","")),'Customs Decl. &amp; Local Delivery'!D:J,7,0)</f>
        <v>45817</v>
      </c>
      <c r="I608" s="768" t="s">
        <v>2518</v>
      </c>
      <c r="J608" s="787" t="s">
        <v>18</v>
      </c>
      <c r="K608" s="751" t="s">
        <v>147</v>
      </c>
      <c r="L608" s="347" t="s">
        <v>20</v>
      </c>
      <c r="M608" s="687" t="s">
        <v>2519</v>
      </c>
      <c r="N608" s="684"/>
      <c r="O608" s="203"/>
      <c r="P608" s="203"/>
      <c r="Q608" s="203"/>
      <c r="R608" s="203"/>
      <c r="S608" s="203"/>
      <c r="T608" s="203"/>
      <c r="U608" s="203"/>
    </row>
    <row r="609" s="660" customFormat="1" ht="15.4" hidden="1" customHeight="1" spans="1:21">
      <c r="A609" s="687" t="s">
        <v>910</v>
      </c>
      <c r="B609" s="690" t="s">
        <v>2305</v>
      </c>
      <c r="C609" s="732" t="s">
        <v>2090</v>
      </c>
      <c r="D609" s="313">
        <v>20</v>
      </c>
      <c r="E609" s="281"/>
      <c r="F609" s="703"/>
      <c r="G609" s="703">
        <f t="shared" ref="G609:G614" si="22">G608</f>
        <v>45796</v>
      </c>
      <c r="H609" s="755">
        <f t="shared" ref="H609:H614" si="23">H608</f>
        <v>45817</v>
      </c>
      <c r="I609" s="690" t="s">
        <v>2518</v>
      </c>
      <c r="J609" s="760" t="s">
        <v>18</v>
      </c>
      <c r="K609" s="751" t="s">
        <v>147</v>
      </c>
      <c r="L609" s="347" t="s">
        <v>20</v>
      </c>
      <c r="M609" s="671" t="s">
        <v>2498</v>
      </c>
      <c r="N609" s="684"/>
      <c r="O609" s="203"/>
      <c r="P609" s="203"/>
      <c r="Q609" s="203"/>
      <c r="R609" s="203"/>
      <c r="S609" s="203"/>
      <c r="T609" s="203"/>
      <c r="U609" s="203"/>
    </row>
    <row r="610" s="660" customFormat="1" ht="15.4" hidden="1" customHeight="1" spans="1:21">
      <c r="A610" s="687" t="s">
        <v>910</v>
      </c>
      <c r="B610" s="690" t="s">
        <v>2305</v>
      </c>
      <c r="C610" s="732" t="s">
        <v>2092</v>
      </c>
      <c r="D610" s="313">
        <v>45</v>
      </c>
      <c r="E610" s="281"/>
      <c r="F610" s="703"/>
      <c r="G610" s="703">
        <f t="shared" si="22"/>
        <v>45796</v>
      </c>
      <c r="H610" s="755">
        <f t="shared" si="23"/>
        <v>45817</v>
      </c>
      <c r="I610" s="690" t="s">
        <v>2518</v>
      </c>
      <c r="J610" s="760" t="s">
        <v>18</v>
      </c>
      <c r="K610" s="751" t="s">
        <v>147</v>
      </c>
      <c r="L610" s="347" t="s">
        <v>20</v>
      </c>
      <c r="M610" s="671" t="s">
        <v>2498</v>
      </c>
      <c r="N610" s="684"/>
      <c r="O610" s="203"/>
      <c r="P610" s="203"/>
      <c r="Q610" s="203"/>
      <c r="R610" s="203"/>
      <c r="S610" s="203"/>
      <c r="T610" s="203"/>
      <c r="U610" s="203"/>
    </row>
    <row r="611" s="660" customFormat="1" ht="15.4" hidden="1" customHeight="1" spans="1:21">
      <c r="A611" s="687" t="s">
        <v>910</v>
      </c>
      <c r="B611" s="690" t="s">
        <v>2305</v>
      </c>
      <c r="C611" s="732" t="s">
        <v>2094</v>
      </c>
      <c r="D611" s="313">
        <v>25</v>
      </c>
      <c r="E611" s="281"/>
      <c r="F611" s="703"/>
      <c r="G611" s="703">
        <f t="shared" si="22"/>
        <v>45796</v>
      </c>
      <c r="H611" s="755">
        <f t="shared" si="23"/>
        <v>45817</v>
      </c>
      <c r="I611" s="690" t="s">
        <v>2518</v>
      </c>
      <c r="J611" s="760" t="s">
        <v>18</v>
      </c>
      <c r="K611" s="751" t="s">
        <v>147</v>
      </c>
      <c r="L611" s="347" t="s">
        <v>20</v>
      </c>
      <c r="M611" s="671" t="s">
        <v>2498</v>
      </c>
      <c r="N611" s="684"/>
      <c r="O611" s="203"/>
      <c r="P611" s="203"/>
      <c r="Q611" s="203"/>
      <c r="R611" s="203"/>
      <c r="S611" s="203"/>
      <c r="T611" s="203"/>
      <c r="U611" s="203"/>
    </row>
    <row r="612" s="660" customFormat="1" ht="15.4" hidden="1" customHeight="1" spans="1:21">
      <c r="A612" s="687" t="s">
        <v>910</v>
      </c>
      <c r="B612" s="690" t="s">
        <v>2305</v>
      </c>
      <c r="C612" s="732" t="s">
        <v>2340</v>
      </c>
      <c r="D612" s="313">
        <v>10</v>
      </c>
      <c r="E612" s="281"/>
      <c r="F612" s="703"/>
      <c r="G612" s="703">
        <f t="shared" si="22"/>
        <v>45796</v>
      </c>
      <c r="H612" s="755">
        <f t="shared" si="23"/>
        <v>45817</v>
      </c>
      <c r="I612" s="690" t="s">
        <v>2518</v>
      </c>
      <c r="J612" s="760" t="s">
        <v>18</v>
      </c>
      <c r="K612" s="751" t="s">
        <v>147</v>
      </c>
      <c r="L612" s="347" t="s">
        <v>20</v>
      </c>
      <c r="M612" s="671" t="s">
        <v>2498</v>
      </c>
      <c r="N612" s="684"/>
      <c r="O612" s="203"/>
      <c r="P612" s="203"/>
      <c r="Q612" s="203"/>
      <c r="R612" s="203"/>
      <c r="S612" s="203"/>
      <c r="T612" s="203"/>
      <c r="U612" s="203"/>
    </row>
    <row r="613" s="660" customFormat="1" ht="15.4" hidden="1" customHeight="1" spans="1:21">
      <c r="A613" s="687" t="s">
        <v>910</v>
      </c>
      <c r="B613" s="690" t="s">
        <v>2305</v>
      </c>
      <c r="C613" s="732" t="s">
        <v>2095</v>
      </c>
      <c r="D613" s="313">
        <v>45</v>
      </c>
      <c r="E613" s="281"/>
      <c r="F613" s="703"/>
      <c r="G613" s="703">
        <f t="shared" si="22"/>
        <v>45796</v>
      </c>
      <c r="H613" s="759">
        <f t="shared" si="23"/>
        <v>45817</v>
      </c>
      <c r="I613" s="685" t="s">
        <v>2518</v>
      </c>
      <c r="J613" s="760" t="s">
        <v>18</v>
      </c>
      <c r="K613" s="751" t="s">
        <v>147</v>
      </c>
      <c r="L613" s="347" t="s">
        <v>20</v>
      </c>
      <c r="M613" s="671" t="s">
        <v>2498</v>
      </c>
      <c r="N613" s="684"/>
      <c r="O613" s="203"/>
      <c r="P613" s="203"/>
      <c r="Q613" s="203"/>
      <c r="R613" s="203"/>
      <c r="S613" s="203"/>
      <c r="T613" s="203"/>
      <c r="U613" s="203"/>
    </row>
    <row r="614" s="660" customFormat="1" ht="15.4" hidden="1" customHeight="1" spans="1:21">
      <c r="A614" s="687" t="s">
        <v>910</v>
      </c>
      <c r="B614" s="690" t="s">
        <v>2305</v>
      </c>
      <c r="C614" s="732" t="s">
        <v>2040</v>
      </c>
      <c r="D614" s="313">
        <v>54</v>
      </c>
      <c r="E614" s="281"/>
      <c r="F614" s="703"/>
      <c r="G614" s="791">
        <f t="shared" si="22"/>
        <v>45796</v>
      </c>
      <c r="H614" s="713">
        <f t="shared" si="23"/>
        <v>45817</v>
      </c>
      <c r="I614" s="690" t="s">
        <v>2518</v>
      </c>
      <c r="J614" s="687" t="s">
        <v>18</v>
      </c>
      <c r="K614" s="760" t="s">
        <v>147</v>
      </c>
      <c r="L614" s="347" t="s">
        <v>20</v>
      </c>
      <c r="M614" s="690" t="s">
        <v>2520</v>
      </c>
      <c r="N614" s="684"/>
      <c r="O614" s="203"/>
      <c r="P614" s="203"/>
      <c r="Q614" s="203"/>
      <c r="R614" s="203"/>
      <c r="S614" s="203"/>
      <c r="T614" s="203"/>
      <c r="U614" s="203"/>
    </row>
    <row r="615" s="660" customFormat="1" ht="15.4" hidden="1" customHeight="1" spans="1:21">
      <c r="A615" s="687" t="s">
        <v>910</v>
      </c>
      <c r="B615" s="690" t="s">
        <v>2305</v>
      </c>
      <c r="C615" s="732" t="s">
        <v>2040</v>
      </c>
      <c r="D615" s="313">
        <v>54</v>
      </c>
      <c r="E615" s="792" t="s">
        <v>2521</v>
      </c>
      <c r="F615" s="675"/>
      <c r="G615" s="793">
        <f>VLOOKUP(CLEAN(SUBSTITUTE(TRIM(MID(E:E,FIND("/",E:E)+1,LEN(E:E)))," ","")),'Customs Decl. &amp; Local Delivery'!D:I,6,0)</f>
        <v>45796</v>
      </c>
      <c r="H615" s="676">
        <f>VLOOKUP(CLEAN(SUBSTITUTE(TRIM(MID(E:E,FIND("/",E:E)+1,LEN(E:E)))," ","")),'Customs Decl. &amp; Local Delivery'!D:J,7,0)</f>
        <v>45817</v>
      </c>
      <c r="I615" s="690" t="s">
        <v>2522</v>
      </c>
      <c r="J615" s="687" t="s">
        <v>18</v>
      </c>
      <c r="K615" s="750" t="s">
        <v>147</v>
      </c>
      <c r="L615" s="347" t="s">
        <v>20</v>
      </c>
      <c r="M615" s="687" t="s">
        <v>2523</v>
      </c>
      <c r="N615" s="684"/>
      <c r="O615" s="203"/>
      <c r="P615" s="203"/>
      <c r="Q615" s="203"/>
      <c r="R615" s="203"/>
      <c r="S615" s="203"/>
      <c r="T615" s="203"/>
      <c r="U615" s="203"/>
    </row>
    <row r="616" s="660" customFormat="1" ht="15.4" hidden="1" customHeight="1" spans="1:21">
      <c r="A616" s="687" t="s">
        <v>910</v>
      </c>
      <c r="B616" s="690" t="s">
        <v>2305</v>
      </c>
      <c r="C616" s="732" t="s">
        <v>2140</v>
      </c>
      <c r="D616" s="313">
        <f>168-55</f>
        <v>113</v>
      </c>
      <c r="E616" s="281"/>
      <c r="F616" s="703"/>
      <c r="G616" s="703">
        <f>G615</f>
        <v>45796</v>
      </c>
      <c r="H616" s="782">
        <f>H615</f>
        <v>45817</v>
      </c>
      <c r="I616" s="768" t="s">
        <v>2522</v>
      </c>
      <c r="J616" s="787" t="s">
        <v>18</v>
      </c>
      <c r="K616" s="751" t="s">
        <v>147</v>
      </c>
      <c r="L616" s="347" t="s">
        <v>20</v>
      </c>
      <c r="M616" s="687" t="s">
        <v>2524</v>
      </c>
      <c r="N616" s="684"/>
      <c r="O616" s="203"/>
      <c r="P616" s="203"/>
      <c r="Q616" s="203"/>
      <c r="R616" s="203"/>
      <c r="S616" s="203"/>
      <c r="T616" s="203"/>
      <c r="U616" s="203"/>
    </row>
    <row r="617" s="660" customFormat="1" ht="15.4" hidden="1" customHeight="1" spans="1:21">
      <c r="A617" s="687" t="s">
        <v>910</v>
      </c>
      <c r="B617" s="690" t="s">
        <v>2305</v>
      </c>
      <c r="C617" s="732" t="s">
        <v>2095</v>
      </c>
      <c r="D617" s="313">
        <v>75</v>
      </c>
      <c r="E617" s="281"/>
      <c r="F617" s="703"/>
      <c r="G617" s="703">
        <f>G616</f>
        <v>45796</v>
      </c>
      <c r="H617" s="755">
        <f>H616</f>
        <v>45817</v>
      </c>
      <c r="I617" s="690" t="s">
        <v>2522</v>
      </c>
      <c r="J617" s="750" t="s">
        <v>18</v>
      </c>
      <c r="K617" s="687" t="s">
        <v>147</v>
      </c>
      <c r="L617" s="347" t="s">
        <v>20</v>
      </c>
      <c r="M617" s="687" t="s">
        <v>2525</v>
      </c>
      <c r="N617" s="684"/>
      <c r="O617" s="203"/>
      <c r="P617" s="203"/>
      <c r="Q617" s="203"/>
      <c r="R617" s="203"/>
      <c r="S617" s="203"/>
      <c r="T617" s="203"/>
      <c r="U617" s="203"/>
    </row>
    <row r="618" s="660" customFormat="1" ht="15.4" hidden="1" customHeight="1" spans="1:21">
      <c r="A618" s="687" t="s">
        <v>910</v>
      </c>
      <c r="B618" s="690" t="s">
        <v>2305</v>
      </c>
      <c r="C618" s="732" t="s">
        <v>2279</v>
      </c>
      <c r="D618" s="313">
        <v>32</v>
      </c>
      <c r="E618" s="674" t="s">
        <v>2526</v>
      </c>
      <c r="F618" s="675"/>
      <c r="G618" s="675">
        <f>VLOOKUP(CLEAN(SUBSTITUTE(TRIM(MID(E:E,FIND("/",E:E)+1,LEN(E:E)))," ","")),'Customs Decl. &amp; Local Delivery'!D:I,6,0)</f>
        <v>45806</v>
      </c>
      <c r="H618" s="676">
        <f>VLOOKUP(CLEAN(SUBSTITUTE(TRIM(MID(E:E,FIND("/",E:E)+1,LEN(E:E)))," ","")),'Customs Decl. &amp; Local Delivery'!D:J,7,0)</f>
        <v>45826</v>
      </c>
      <c r="I618" s="690" t="s">
        <v>2527</v>
      </c>
      <c r="J618" s="750" t="s">
        <v>18</v>
      </c>
      <c r="K618" s="687" t="s">
        <v>147</v>
      </c>
      <c r="L618" s="347" t="s">
        <v>20</v>
      </c>
      <c r="M618" s="687" t="s">
        <v>2528</v>
      </c>
      <c r="N618" s="684"/>
      <c r="O618" s="203"/>
      <c r="P618" s="203"/>
      <c r="Q618" s="203"/>
      <c r="R618" s="203"/>
      <c r="S618" s="203"/>
      <c r="T618" s="203"/>
      <c r="U618" s="203"/>
    </row>
    <row r="619" s="660" customFormat="1" ht="15.4" hidden="1" customHeight="1" spans="1:21">
      <c r="A619" s="687" t="s">
        <v>910</v>
      </c>
      <c r="B619" s="690" t="s">
        <v>2305</v>
      </c>
      <c r="C619" s="732" t="s">
        <v>2072</v>
      </c>
      <c r="D619" s="313">
        <v>32</v>
      </c>
      <c r="E619" s="281"/>
      <c r="F619" s="703"/>
      <c r="G619" s="703">
        <f>G618</f>
        <v>45806</v>
      </c>
      <c r="H619" s="755">
        <f>H618</f>
        <v>45826</v>
      </c>
      <c r="I619" s="690" t="s">
        <v>2527</v>
      </c>
      <c r="J619" s="750" t="s">
        <v>18</v>
      </c>
      <c r="K619" s="687" t="s">
        <v>147</v>
      </c>
      <c r="L619" s="347" t="s">
        <v>20</v>
      </c>
      <c r="M619" s="731" t="s">
        <v>2471</v>
      </c>
      <c r="N619" s="684"/>
      <c r="O619" s="203"/>
      <c r="P619" s="203"/>
      <c r="Q619" s="203"/>
      <c r="R619" s="203"/>
      <c r="S619" s="203"/>
      <c r="T619" s="203"/>
      <c r="U619" s="203"/>
    </row>
    <row r="620" s="660" customFormat="1" ht="15.4" hidden="1" customHeight="1" spans="1:21">
      <c r="A620" s="687" t="s">
        <v>910</v>
      </c>
      <c r="B620" s="690" t="s">
        <v>2305</v>
      </c>
      <c r="C620" s="732" t="s">
        <v>2076</v>
      </c>
      <c r="D620" s="313">
        <v>32</v>
      </c>
      <c r="E620" s="281"/>
      <c r="F620" s="703"/>
      <c r="G620" s="703">
        <f>G619</f>
        <v>45806</v>
      </c>
      <c r="H620" s="759">
        <f>H619</f>
        <v>45826</v>
      </c>
      <c r="I620" s="685" t="s">
        <v>2527</v>
      </c>
      <c r="J620" s="760" t="s">
        <v>18</v>
      </c>
      <c r="K620" s="687" t="s">
        <v>147</v>
      </c>
      <c r="L620" s="347" t="s">
        <v>20</v>
      </c>
      <c r="M620" s="690" t="s">
        <v>2370</v>
      </c>
      <c r="N620" s="684"/>
      <c r="O620" s="203"/>
      <c r="P620" s="203"/>
      <c r="Q620" s="203"/>
      <c r="R620" s="203"/>
      <c r="S620" s="203"/>
      <c r="T620" s="203"/>
      <c r="U620" s="203"/>
    </row>
    <row r="621" s="660" customFormat="1" ht="15.4" hidden="1" customHeight="1" spans="1:21">
      <c r="A621" s="687" t="s">
        <v>910</v>
      </c>
      <c r="B621" s="690" t="s">
        <v>2305</v>
      </c>
      <c r="C621" s="732" t="s">
        <v>2040</v>
      </c>
      <c r="D621" s="313">
        <v>54</v>
      </c>
      <c r="E621" s="674" t="s">
        <v>2529</v>
      </c>
      <c r="F621" s="675"/>
      <c r="G621" s="675">
        <f>VLOOKUP(CLEAN(SUBSTITUTE(TRIM(MID(E:E,FIND("/",E:E)+1,LEN(E:E)))," ","")),'Customs Decl. &amp; Local Delivery'!D:I,6,0)</f>
        <v>45806</v>
      </c>
      <c r="H621" s="676">
        <f>VLOOKUP(CLEAN(SUBSTITUTE(TRIM(MID(E:E,FIND("/",E:E)+1,LEN(E:E)))," ","")),'Customs Decl. &amp; Local Delivery'!D:J,7,0)</f>
        <v>45826</v>
      </c>
      <c r="I621" s="690" t="s">
        <v>2530</v>
      </c>
      <c r="J621" s="687" t="s">
        <v>18</v>
      </c>
      <c r="K621" s="751" t="s">
        <v>147</v>
      </c>
      <c r="L621" s="347" t="s">
        <v>20</v>
      </c>
      <c r="M621" s="690" t="s">
        <v>2531</v>
      </c>
      <c r="N621" s="684"/>
      <c r="O621" s="203"/>
      <c r="P621" s="203"/>
      <c r="Q621" s="203"/>
      <c r="R621" s="203"/>
      <c r="S621" s="203"/>
      <c r="T621" s="203"/>
      <c r="U621" s="203"/>
    </row>
    <row r="622" s="660" customFormat="1" ht="15.4" hidden="1" customHeight="1" spans="1:21">
      <c r="A622" s="687" t="s">
        <v>910</v>
      </c>
      <c r="B622" s="690" t="s">
        <v>2305</v>
      </c>
      <c r="C622" s="732" t="s">
        <v>2090</v>
      </c>
      <c r="D622" s="313">
        <v>20</v>
      </c>
      <c r="E622" s="281"/>
      <c r="F622" s="703"/>
      <c r="G622" s="703">
        <f>G621</f>
        <v>45806</v>
      </c>
      <c r="H622" s="782">
        <f>H621</f>
        <v>45826</v>
      </c>
      <c r="I622" s="768" t="s">
        <v>2530</v>
      </c>
      <c r="J622" s="787" t="s">
        <v>18</v>
      </c>
      <c r="K622" s="751" t="s">
        <v>147</v>
      </c>
      <c r="L622" s="347" t="s">
        <v>20</v>
      </c>
      <c r="M622" s="687" t="s">
        <v>2532</v>
      </c>
      <c r="N622" s="684"/>
      <c r="O622" s="203"/>
      <c r="P622" s="203"/>
      <c r="Q622" s="203"/>
      <c r="R622" s="203"/>
      <c r="S622" s="203"/>
      <c r="T622" s="203"/>
      <c r="U622" s="203"/>
    </row>
    <row r="623" s="660" customFormat="1" ht="15.4" hidden="1" customHeight="1" spans="1:21">
      <c r="A623" s="687" t="s">
        <v>910</v>
      </c>
      <c r="B623" s="690" t="s">
        <v>2305</v>
      </c>
      <c r="C623" s="732" t="s">
        <v>2092</v>
      </c>
      <c r="D623" s="313">
        <v>45</v>
      </c>
      <c r="E623" s="281"/>
      <c r="F623" s="703"/>
      <c r="G623" s="703">
        <f>G622</f>
        <v>45806</v>
      </c>
      <c r="H623" s="755">
        <f>H622</f>
        <v>45826</v>
      </c>
      <c r="I623" s="690" t="s">
        <v>2530</v>
      </c>
      <c r="J623" s="760" t="s">
        <v>18</v>
      </c>
      <c r="K623" s="751" t="s">
        <v>147</v>
      </c>
      <c r="L623" s="347" t="s">
        <v>20</v>
      </c>
      <c r="M623" s="687" t="s">
        <v>2533</v>
      </c>
      <c r="N623" s="684"/>
      <c r="O623" s="203"/>
      <c r="P623" s="203"/>
      <c r="Q623" s="203"/>
      <c r="R623" s="203"/>
      <c r="S623" s="203"/>
      <c r="T623" s="203"/>
      <c r="U623" s="203"/>
    </row>
    <row r="624" s="660" customFormat="1" ht="15.4" hidden="1" customHeight="1" spans="1:21">
      <c r="A624" s="687" t="s">
        <v>910</v>
      </c>
      <c r="B624" s="690" t="s">
        <v>2305</v>
      </c>
      <c r="C624" s="732" t="s">
        <v>2094</v>
      </c>
      <c r="D624" s="313">
        <v>25</v>
      </c>
      <c r="E624" s="281"/>
      <c r="F624" s="703"/>
      <c r="G624" s="703">
        <f>G623</f>
        <v>45806</v>
      </c>
      <c r="H624" s="755">
        <f>H623</f>
        <v>45826</v>
      </c>
      <c r="I624" s="690" t="s">
        <v>2530</v>
      </c>
      <c r="J624" s="760" t="s">
        <v>18</v>
      </c>
      <c r="K624" s="751" t="s">
        <v>147</v>
      </c>
      <c r="L624" s="347" t="s">
        <v>20</v>
      </c>
      <c r="M624" s="687"/>
      <c r="N624" s="684"/>
      <c r="O624" s="203"/>
      <c r="P624" s="203"/>
      <c r="Q624" s="203"/>
      <c r="R624" s="203"/>
      <c r="S624" s="203"/>
      <c r="T624" s="203"/>
      <c r="U624" s="203"/>
    </row>
    <row r="625" s="660" customFormat="1" ht="15.4" hidden="1" customHeight="1" spans="1:21">
      <c r="A625" s="687" t="s">
        <v>910</v>
      </c>
      <c r="B625" s="690" t="s">
        <v>2305</v>
      </c>
      <c r="C625" s="732" t="s">
        <v>2340</v>
      </c>
      <c r="D625" s="313">
        <v>10</v>
      </c>
      <c r="E625" s="281"/>
      <c r="F625" s="703"/>
      <c r="G625" s="703">
        <f>G624</f>
        <v>45806</v>
      </c>
      <c r="H625" s="755">
        <f>H624</f>
        <v>45826</v>
      </c>
      <c r="I625" s="690" t="s">
        <v>2530</v>
      </c>
      <c r="J625" s="760" t="s">
        <v>18</v>
      </c>
      <c r="K625" s="751" t="s">
        <v>147</v>
      </c>
      <c r="L625" s="347" t="s">
        <v>20</v>
      </c>
      <c r="M625" s="687"/>
      <c r="N625" s="684"/>
      <c r="O625" s="203"/>
      <c r="P625" s="203"/>
      <c r="Q625" s="203"/>
      <c r="R625" s="203"/>
      <c r="S625" s="203"/>
      <c r="T625" s="203"/>
      <c r="U625" s="203"/>
    </row>
    <row r="626" s="660" customFormat="1" ht="15.4" hidden="1" customHeight="1" spans="1:21">
      <c r="A626" s="687" t="s">
        <v>910</v>
      </c>
      <c r="B626" s="690" t="s">
        <v>2305</v>
      </c>
      <c r="C626" s="732" t="s">
        <v>2095</v>
      </c>
      <c r="D626" s="313">
        <v>45</v>
      </c>
      <c r="E626" s="281"/>
      <c r="F626" s="703"/>
      <c r="G626" s="703">
        <f>G625</f>
        <v>45806</v>
      </c>
      <c r="H626" s="755">
        <f>H625</f>
        <v>45826</v>
      </c>
      <c r="I626" s="690" t="s">
        <v>2530</v>
      </c>
      <c r="J626" s="760" t="s">
        <v>18</v>
      </c>
      <c r="K626" s="751" t="s">
        <v>147</v>
      </c>
      <c r="L626" s="347" t="s">
        <v>20</v>
      </c>
      <c r="M626" s="687"/>
      <c r="N626" s="684"/>
      <c r="O626" s="203"/>
      <c r="P626" s="203"/>
      <c r="Q626" s="203"/>
      <c r="R626" s="203"/>
      <c r="S626" s="203"/>
      <c r="T626" s="203"/>
      <c r="U626" s="203"/>
    </row>
    <row r="627" s="660" customFormat="1" ht="15.4" hidden="1" customHeight="1" spans="1:21">
      <c r="A627" s="687" t="s">
        <v>910</v>
      </c>
      <c r="B627" s="690" t="s">
        <v>2305</v>
      </c>
      <c r="C627" s="732" t="s">
        <v>2279</v>
      </c>
      <c r="D627" s="313">
        <v>32</v>
      </c>
      <c r="E627" s="674" t="s">
        <v>2534</v>
      </c>
      <c r="F627" s="675"/>
      <c r="G627" s="675">
        <f>VLOOKUP(CLEAN(SUBSTITUTE(TRIM(MID(E:E,FIND("/",E:E)+1,LEN(E:E)))," ","")),'Customs Decl. &amp; Local Delivery'!D:I,6,0)</f>
        <v>45806</v>
      </c>
      <c r="H627" s="676">
        <f>VLOOKUP(CLEAN(SUBSTITUTE(TRIM(MID(E:E,FIND("/",E:E)+1,LEN(E:E)))," ","")),'Customs Decl. &amp; Local Delivery'!D:J,7,0)</f>
        <v>45826</v>
      </c>
      <c r="I627" s="690" t="s">
        <v>2535</v>
      </c>
      <c r="J627" s="750" t="s">
        <v>18</v>
      </c>
      <c r="K627" s="687" t="s">
        <v>147</v>
      </c>
      <c r="L627" s="347" t="s">
        <v>20</v>
      </c>
      <c r="M627" s="687" t="s">
        <v>2536</v>
      </c>
      <c r="N627" s="684"/>
      <c r="O627" s="203"/>
      <c r="P627" s="203"/>
      <c r="Q627" s="203"/>
      <c r="R627" s="203"/>
      <c r="S627" s="203"/>
      <c r="T627" s="203"/>
      <c r="U627" s="203"/>
    </row>
    <row r="628" s="660" customFormat="1" ht="15.4" hidden="1" customHeight="1" spans="1:21">
      <c r="A628" s="687" t="s">
        <v>910</v>
      </c>
      <c r="B628" s="690" t="s">
        <v>2305</v>
      </c>
      <c r="C628" s="732" t="s">
        <v>2072</v>
      </c>
      <c r="D628" s="313">
        <v>32</v>
      </c>
      <c r="E628" s="281"/>
      <c r="F628" s="703"/>
      <c r="G628" s="703">
        <f>G627</f>
        <v>45806</v>
      </c>
      <c r="H628" s="755">
        <f>H627</f>
        <v>45826</v>
      </c>
      <c r="I628" s="690" t="s">
        <v>2535</v>
      </c>
      <c r="J628" s="750" t="s">
        <v>18</v>
      </c>
      <c r="K628" s="687" t="s">
        <v>147</v>
      </c>
      <c r="L628" s="347" t="s">
        <v>20</v>
      </c>
      <c r="M628" s="687" t="s">
        <v>2471</v>
      </c>
      <c r="N628" s="684"/>
      <c r="O628" s="203"/>
      <c r="P628" s="203"/>
      <c r="Q628" s="203"/>
      <c r="R628" s="203"/>
      <c r="S628" s="203"/>
      <c r="T628" s="203"/>
      <c r="U628" s="203"/>
    </row>
    <row r="629" s="660" customFormat="1" ht="15.4" hidden="1" customHeight="1" spans="1:21">
      <c r="A629" s="687" t="s">
        <v>910</v>
      </c>
      <c r="B629" s="690" t="s">
        <v>2305</v>
      </c>
      <c r="C629" s="732" t="s">
        <v>2076</v>
      </c>
      <c r="D629" s="313">
        <v>32</v>
      </c>
      <c r="E629" s="281"/>
      <c r="F629" s="703"/>
      <c r="G629" s="703">
        <f>G628</f>
        <v>45806</v>
      </c>
      <c r="H629" s="755">
        <f>H628</f>
        <v>45826</v>
      </c>
      <c r="I629" s="690" t="s">
        <v>2535</v>
      </c>
      <c r="J629" s="750" t="s">
        <v>18</v>
      </c>
      <c r="K629" s="687" t="s">
        <v>147</v>
      </c>
      <c r="L629" s="347" t="s">
        <v>20</v>
      </c>
      <c r="M629" s="690" t="s">
        <v>2370</v>
      </c>
      <c r="N629" s="684"/>
      <c r="O629" s="203"/>
      <c r="P629" s="203"/>
      <c r="Q629" s="203"/>
      <c r="R629" s="203"/>
      <c r="S629" s="203"/>
      <c r="T629" s="203"/>
      <c r="U629" s="203"/>
    </row>
    <row r="630" s="660" customFormat="1" ht="15.4" hidden="1" customHeight="1" spans="1:21">
      <c r="A630" s="687" t="s">
        <v>910</v>
      </c>
      <c r="B630" s="690" t="s">
        <v>2305</v>
      </c>
      <c r="C630" s="732" t="s">
        <v>2279</v>
      </c>
      <c r="D630" s="313">
        <v>32</v>
      </c>
      <c r="E630" s="756" t="s">
        <v>2537</v>
      </c>
      <c r="F630" s="675"/>
      <c r="G630" s="675">
        <f>VLOOKUP(CLEAN(SUBSTITUTE(TRIM(MID(E:E,FIND("/",E:E)+1,LEN(E:E)))," ","")),'Customs Decl. &amp; Local Delivery'!D:I,6,0)</f>
        <v>45806</v>
      </c>
      <c r="H630" s="676">
        <f>VLOOKUP(CLEAN(SUBSTITUTE(TRIM(MID(E:E,FIND("/",E:E)+1,LEN(E:E)))," ","")),'Customs Decl. &amp; Local Delivery'!D:J,7,0)</f>
        <v>45826</v>
      </c>
      <c r="I630" s="690" t="s">
        <v>2538</v>
      </c>
      <c r="J630" s="750" t="s">
        <v>18</v>
      </c>
      <c r="K630" s="687" t="s">
        <v>147</v>
      </c>
      <c r="L630" s="347" t="s">
        <v>20</v>
      </c>
      <c r="M630" s="687" t="s">
        <v>2539</v>
      </c>
      <c r="N630" s="684"/>
      <c r="O630" s="203"/>
      <c r="P630" s="203"/>
      <c r="Q630" s="203"/>
      <c r="R630" s="203"/>
      <c r="S630" s="203"/>
      <c r="T630" s="203"/>
      <c r="U630" s="203"/>
    </row>
    <row r="631" s="660" customFormat="1" ht="15.4" hidden="1" customHeight="1" spans="1:21">
      <c r="A631" s="687" t="s">
        <v>910</v>
      </c>
      <c r="B631" s="690" t="s">
        <v>2305</v>
      </c>
      <c r="C631" s="732" t="s">
        <v>2072</v>
      </c>
      <c r="D631" s="313">
        <v>32</v>
      </c>
      <c r="E631" s="281"/>
      <c r="F631" s="703"/>
      <c r="G631" s="703">
        <f>G630</f>
        <v>45806</v>
      </c>
      <c r="H631" s="755">
        <f>H630</f>
        <v>45826</v>
      </c>
      <c r="I631" s="690" t="s">
        <v>2538</v>
      </c>
      <c r="J631" s="750" t="s">
        <v>18</v>
      </c>
      <c r="K631" s="687" t="s">
        <v>147</v>
      </c>
      <c r="L631" s="347" t="s">
        <v>20</v>
      </c>
      <c r="M631" s="687" t="s">
        <v>2471</v>
      </c>
      <c r="N631" s="684"/>
      <c r="O631" s="203"/>
      <c r="P631" s="203"/>
      <c r="Q631" s="203"/>
      <c r="R631" s="203"/>
      <c r="S631" s="203"/>
      <c r="T631" s="203"/>
      <c r="U631" s="203"/>
    </row>
    <row r="632" s="660" customFormat="1" ht="15.4" hidden="1" customHeight="1" spans="1:21">
      <c r="A632" s="687" t="s">
        <v>910</v>
      </c>
      <c r="B632" s="690" t="s">
        <v>2305</v>
      </c>
      <c r="C632" s="732" t="s">
        <v>2076</v>
      </c>
      <c r="D632" s="313">
        <v>32</v>
      </c>
      <c r="E632" s="281"/>
      <c r="F632" s="703"/>
      <c r="G632" s="703">
        <f>G631</f>
        <v>45806</v>
      </c>
      <c r="H632" s="755">
        <f>H631</f>
        <v>45826</v>
      </c>
      <c r="I632" s="690" t="s">
        <v>2538</v>
      </c>
      <c r="J632" s="750" t="s">
        <v>18</v>
      </c>
      <c r="K632" s="687" t="s">
        <v>147</v>
      </c>
      <c r="L632" s="347" t="s">
        <v>20</v>
      </c>
      <c r="M632" s="690" t="s">
        <v>2370</v>
      </c>
      <c r="N632" s="684"/>
      <c r="O632" s="203"/>
      <c r="P632" s="203"/>
      <c r="Q632" s="203"/>
      <c r="R632" s="203"/>
      <c r="S632" s="203"/>
      <c r="T632" s="203"/>
      <c r="U632" s="203"/>
    </row>
    <row r="633" s="660" customFormat="1" ht="15.4" hidden="1" customHeight="1" spans="1:21">
      <c r="A633" s="687" t="s">
        <v>910</v>
      </c>
      <c r="B633" s="690" t="s">
        <v>2305</v>
      </c>
      <c r="C633" s="732" t="s">
        <v>2279</v>
      </c>
      <c r="D633" s="313">
        <v>32</v>
      </c>
      <c r="E633" s="756" t="s">
        <v>2540</v>
      </c>
      <c r="F633" s="675"/>
      <c r="G633" s="675">
        <f>VLOOKUP(CLEAN(SUBSTITUTE(TRIM(MID(E:E,FIND("/",E:E)+1,LEN(E:E)))," ","")),'Customs Decl. &amp; Local Delivery'!D:I,6,0)</f>
        <v>45806</v>
      </c>
      <c r="H633" s="676">
        <f>VLOOKUP(CLEAN(SUBSTITUTE(TRIM(MID(E:E,FIND("/",E:E)+1,LEN(E:E)))," ","")),'Customs Decl. &amp; Local Delivery'!D:J,7,0)</f>
        <v>45826</v>
      </c>
      <c r="I633" s="690" t="s">
        <v>2541</v>
      </c>
      <c r="J633" s="750" t="s">
        <v>18</v>
      </c>
      <c r="K633" s="687" t="s">
        <v>147</v>
      </c>
      <c r="L633" s="347" t="s">
        <v>20</v>
      </c>
      <c r="M633" s="687" t="s">
        <v>2542</v>
      </c>
      <c r="N633" s="684"/>
      <c r="O633" s="203"/>
      <c r="P633" s="203"/>
      <c r="Q633" s="203"/>
      <c r="R633" s="203"/>
      <c r="S633" s="203"/>
      <c r="T633" s="203"/>
      <c r="U633" s="203"/>
    </row>
    <row r="634" s="660" customFormat="1" ht="15.4" hidden="1" customHeight="1" spans="1:21">
      <c r="A634" s="687" t="s">
        <v>910</v>
      </c>
      <c r="B634" s="690" t="s">
        <v>2305</v>
      </c>
      <c r="C634" s="732" t="s">
        <v>2072</v>
      </c>
      <c r="D634" s="313">
        <v>32</v>
      </c>
      <c r="E634" s="69"/>
      <c r="F634" s="703"/>
      <c r="G634" s="703">
        <f>G633</f>
        <v>45806</v>
      </c>
      <c r="H634" s="755">
        <f>H633</f>
        <v>45826</v>
      </c>
      <c r="I634" s="690" t="s">
        <v>2541</v>
      </c>
      <c r="J634" s="750" t="s">
        <v>18</v>
      </c>
      <c r="K634" s="687" t="s">
        <v>147</v>
      </c>
      <c r="L634" s="347" t="s">
        <v>20</v>
      </c>
      <c r="M634" s="687" t="s">
        <v>2471</v>
      </c>
      <c r="N634" s="684"/>
      <c r="O634" s="203"/>
      <c r="P634" s="203"/>
      <c r="Q634" s="203"/>
      <c r="R634" s="203"/>
      <c r="S634" s="203"/>
      <c r="T634" s="203"/>
      <c r="U634" s="203"/>
    </row>
    <row r="635" s="660" customFormat="1" ht="15.4" hidden="1" customHeight="1" spans="1:21">
      <c r="A635" s="687" t="s">
        <v>910</v>
      </c>
      <c r="B635" s="690" t="s">
        <v>2305</v>
      </c>
      <c r="C635" s="732" t="s">
        <v>2076</v>
      </c>
      <c r="D635" s="313">
        <v>32</v>
      </c>
      <c r="E635" s="281"/>
      <c r="F635" s="703"/>
      <c r="G635" s="703">
        <f>G634</f>
        <v>45806</v>
      </c>
      <c r="H635" s="755">
        <f>H634</f>
        <v>45826</v>
      </c>
      <c r="I635" s="690" t="s">
        <v>2541</v>
      </c>
      <c r="J635" s="750" t="s">
        <v>18</v>
      </c>
      <c r="K635" s="687" t="s">
        <v>147</v>
      </c>
      <c r="L635" s="347" t="s">
        <v>20</v>
      </c>
      <c r="M635" s="690" t="s">
        <v>2370</v>
      </c>
      <c r="N635" s="684"/>
      <c r="O635" s="203"/>
      <c r="P635" s="203"/>
      <c r="Q635" s="203"/>
      <c r="R635" s="203"/>
      <c r="S635" s="203"/>
      <c r="T635" s="203"/>
      <c r="U635" s="203"/>
    </row>
    <row r="636" s="660" customFormat="1" ht="15.4" hidden="1" customHeight="1" spans="1:21">
      <c r="A636" s="687" t="s">
        <v>910</v>
      </c>
      <c r="B636" s="690" t="s">
        <v>2305</v>
      </c>
      <c r="C636" s="732" t="s">
        <v>2279</v>
      </c>
      <c r="D636" s="313">
        <v>32</v>
      </c>
      <c r="E636" s="756" t="s">
        <v>2543</v>
      </c>
      <c r="F636" s="675"/>
      <c r="G636" s="675">
        <f>VLOOKUP(CLEAN(SUBSTITUTE(TRIM(MID(E:E,FIND("/",E:E)+1,LEN(E:E)))," ","")),'Customs Decl. &amp; Local Delivery'!D:I,6,0)</f>
        <v>45806</v>
      </c>
      <c r="H636" s="676">
        <f>VLOOKUP(CLEAN(SUBSTITUTE(TRIM(MID(E:E,FIND("/",E:E)+1,LEN(E:E)))," ","")),'Customs Decl. &amp; Local Delivery'!D:J,7,0)</f>
        <v>45826</v>
      </c>
      <c r="I636" s="690" t="s">
        <v>2544</v>
      </c>
      <c r="J636" s="750" t="s">
        <v>18</v>
      </c>
      <c r="K636" s="687" t="s">
        <v>147</v>
      </c>
      <c r="L636" s="347" t="s">
        <v>20</v>
      </c>
      <c r="M636" s="687" t="s">
        <v>2545</v>
      </c>
      <c r="N636" s="684"/>
      <c r="O636" s="203"/>
      <c r="P636" s="203"/>
      <c r="Q636" s="203"/>
      <c r="R636" s="203"/>
      <c r="S636" s="203"/>
      <c r="T636" s="203"/>
      <c r="U636" s="203"/>
    </row>
    <row r="637" s="660" customFormat="1" ht="15.4" hidden="1" customHeight="1" spans="1:21">
      <c r="A637" s="687" t="s">
        <v>910</v>
      </c>
      <c r="B637" s="690" t="s">
        <v>2305</v>
      </c>
      <c r="C637" s="732" t="s">
        <v>2072</v>
      </c>
      <c r="D637" s="313">
        <v>32</v>
      </c>
      <c r="E637" s="281"/>
      <c r="F637" s="703"/>
      <c r="G637" s="703">
        <f>G636</f>
        <v>45806</v>
      </c>
      <c r="H637" s="755">
        <f>H636</f>
        <v>45826</v>
      </c>
      <c r="I637" s="690" t="s">
        <v>2544</v>
      </c>
      <c r="J637" s="750" t="s">
        <v>18</v>
      </c>
      <c r="K637" s="687" t="s">
        <v>147</v>
      </c>
      <c r="L637" s="347" t="s">
        <v>20</v>
      </c>
      <c r="M637" s="687" t="s">
        <v>2471</v>
      </c>
      <c r="N637" s="684"/>
      <c r="O637" s="203"/>
      <c r="P637" s="203"/>
      <c r="Q637" s="203"/>
      <c r="R637" s="203"/>
      <c r="S637" s="203"/>
      <c r="T637" s="203"/>
      <c r="U637" s="203"/>
    </row>
    <row r="638" s="660" customFormat="1" ht="15.4" hidden="1" customHeight="1" spans="1:21">
      <c r="A638" s="687" t="s">
        <v>910</v>
      </c>
      <c r="B638" s="690" t="s">
        <v>2305</v>
      </c>
      <c r="C638" s="732" t="s">
        <v>2076</v>
      </c>
      <c r="D638" s="313">
        <v>32</v>
      </c>
      <c r="E638" s="281"/>
      <c r="F638" s="703"/>
      <c r="G638" s="703">
        <f>G637</f>
        <v>45806</v>
      </c>
      <c r="H638" s="755">
        <f>H637</f>
        <v>45826</v>
      </c>
      <c r="I638" s="690" t="s">
        <v>2544</v>
      </c>
      <c r="J638" s="750" t="s">
        <v>18</v>
      </c>
      <c r="K638" s="687" t="s">
        <v>147</v>
      </c>
      <c r="L638" s="347" t="s">
        <v>20</v>
      </c>
      <c r="M638" s="690" t="s">
        <v>2370</v>
      </c>
      <c r="N638" s="684"/>
      <c r="O638" s="203"/>
      <c r="P638" s="203"/>
      <c r="Q638" s="203"/>
      <c r="R638" s="203"/>
      <c r="S638" s="203"/>
      <c r="T638" s="203"/>
      <c r="U638" s="203"/>
    </row>
    <row r="639" s="660" customFormat="1" ht="15.4" hidden="1" customHeight="1" spans="1:21">
      <c r="A639" s="687" t="s">
        <v>910</v>
      </c>
      <c r="B639" s="690" t="s">
        <v>2305</v>
      </c>
      <c r="C639" s="732" t="s">
        <v>2279</v>
      </c>
      <c r="D639" s="313">
        <v>32</v>
      </c>
      <c r="E639" s="756" t="s">
        <v>2546</v>
      </c>
      <c r="F639" s="675"/>
      <c r="G639" s="675">
        <f>VLOOKUP(CLEAN(SUBSTITUTE(TRIM(MID(E:E,FIND("/",E:E)+1,LEN(E:E)))," ","")),'Customs Decl. &amp; Local Delivery'!D:I,6,0)</f>
        <v>45806</v>
      </c>
      <c r="H639" s="676">
        <f>VLOOKUP(CLEAN(SUBSTITUTE(TRIM(MID(E:E,FIND("/",E:E)+1,LEN(E:E)))," ","")),'Customs Decl. &amp; Local Delivery'!D:J,7,0)</f>
        <v>45826</v>
      </c>
      <c r="I639" s="690" t="s">
        <v>2547</v>
      </c>
      <c r="J639" s="687" t="s">
        <v>18</v>
      </c>
      <c r="K639" s="687" t="s">
        <v>147</v>
      </c>
      <c r="L639" s="347" t="s">
        <v>20</v>
      </c>
      <c r="M639" s="687" t="s">
        <v>2548</v>
      </c>
      <c r="N639" s="684"/>
      <c r="O639" s="795"/>
      <c r="P639" s="203"/>
      <c r="Q639" s="203"/>
      <c r="R639" s="203"/>
      <c r="S639" s="203"/>
      <c r="T639" s="203"/>
      <c r="U639" s="203"/>
    </row>
    <row r="640" s="660" customFormat="1" ht="15.4" hidden="1" customHeight="1" spans="1:21">
      <c r="A640" s="687" t="s">
        <v>910</v>
      </c>
      <c r="B640" s="690" t="s">
        <v>2305</v>
      </c>
      <c r="C640" s="732" t="s">
        <v>2072</v>
      </c>
      <c r="D640" s="313">
        <v>32</v>
      </c>
      <c r="E640" s="281"/>
      <c r="F640" s="703"/>
      <c r="G640" s="703">
        <f>G639</f>
        <v>45806</v>
      </c>
      <c r="H640" s="755">
        <f>H639</f>
        <v>45826</v>
      </c>
      <c r="I640" s="690" t="s">
        <v>2547</v>
      </c>
      <c r="J640" s="687" t="s">
        <v>18</v>
      </c>
      <c r="K640" s="687" t="s">
        <v>147</v>
      </c>
      <c r="L640" s="347" t="s">
        <v>20</v>
      </c>
      <c r="M640" s="687" t="s">
        <v>2549</v>
      </c>
      <c r="N640" s="684"/>
      <c r="O640" s="795"/>
      <c r="P640" s="203"/>
      <c r="Q640" s="203"/>
      <c r="R640" s="203"/>
      <c r="S640" s="203"/>
      <c r="T640" s="203"/>
      <c r="U640" s="203"/>
    </row>
    <row r="641" s="660" customFormat="1" ht="15.4" hidden="1" customHeight="1" spans="1:21">
      <c r="A641" s="687" t="s">
        <v>910</v>
      </c>
      <c r="B641" s="690" t="s">
        <v>2305</v>
      </c>
      <c r="C641" s="732" t="s">
        <v>2076</v>
      </c>
      <c r="D641" s="313">
        <v>32</v>
      </c>
      <c r="E641" s="69"/>
      <c r="F641" s="703"/>
      <c r="G641" s="703">
        <f>G640</f>
        <v>45806</v>
      </c>
      <c r="H641" s="755">
        <f>H640</f>
        <v>45826</v>
      </c>
      <c r="I641" s="690" t="s">
        <v>2547</v>
      </c>
      <c r="J641" s="687" t="s">
        <v>18</v>
      </c>
      <c r="K641" s="687" t="s">
        <v>147</v>
      </c>
      <c r="L641" s="347" t="s">
        <v>20</v>
      </c>
      <c r="M641" s="690" t="s">
        <v>2370</v>
      </c>
      <c r="N641" s="684"/>
      <c r="O641" s="795"/>
      <c r="P641" s="203"/>
      <c r="Q641" s="203"/>
      <c r="R641" s="203"/>
      <c r="S641" s="203"/>
      <c r="T641" s="203"/>
      <c r="U641" s="203"/>
    </row>
    <row r="642" s="660" customFormat="1" ht="15.4" hidden="1" customHeight="1" spans="1:21">
      <c r="A642" s="687" t="s">
        <v>910</v>
      </c>
      <c r="B642" s="690" t="s">
        <v>2305</v>
      </c>
      <c r="C642" s="732" t="s">
        <v>2279</v>
      </c>
      <c r="D642" s="313">
        <v>32</v>
      </c>
      <c r="E642" s="756" t="s">
        <v>2550</v>
      </c>
      <c r="F642" s="675"/>
      <c r="G642" s="675">
        <f>VLOOKUP(CLEAN(SUBSTITUTE(TRIM(MID(E:E,FIND("/",E:E)+1,LEN(E:E)))," ","")),'Customs Decl. &amp; Local Delivery'!D:I,6,0)</f>
        <v>45806</v>
      </c>
      <c r="H642" s="676">
        <f>VLOOKUP(CLEAN(SUBSTITUTE(TRIM(MID(E:E,FIND("/",E:E)+1,LEN(E:E)))," ","")),'Customs Decl. &amp; Local Delivery'!D:J,7,0)</f>
        <v>45826</v>
      </c>
      <c r="I642" s="690" t="s">
        <v>2551</v>
      </c>
      <c r="J642" s="687" t="s">
        <v>18</v>
      </c>
      <c r="K642" s="687" t="s">
        <v>147</v>
      </c>
      <c r="L642" s="347" t="s">
        <v>20</v>
      </c>
      <c r="M642" s="687" t="s">
        <v>2548</v>
      </c>
      <c r="N642" s="684"/>
      <c r="O642" s="795"/>
      <c r="P642" s="203"/>
      <c r="Q642" s="203"/>
      <c r="R642" s="203"/>
      <c r="S642" s="203"/>
      <c r="T642" s="203"/>
      <c r="U642" s="203"/>
    </row>
    <row r="643" s="660" customFormat="1" ht="15.4" hidden="1" customHeight="1" spans="1:21">
      <c r="A643" s="687" t="s">
        <v>910</v>
      </c>
      <c r="B643" s="690" t="s">
        <v>2305</v>
      </c>
      <c r="C643" s="732" t="s">
        <v>2072</v>
      </c>
      <c r="D643" s="313">
        <v>32</v>
      </c>
      <c r="E643" s="281"/>
      <c r="F643" s="703"/>
      <c r="G643" s="703">
        <f>G642</f>
        <v>45806</v>
      </c>
      <c r="H643" s="755">
        <f>H642</f>
        <v>45826</v>
      </c>
      <c r="I643" s="690" t="s">
        <v>2551</v>
      </c>
      <c r="J643" s="687" t="s">
        <v>18</v>
      </c>
      <c r="K643" s="687" t="s">
        <v>147</v>
      </c>
      <c r="L643" s="347" t="s">
        <v>20</v>
      </c>
      <c r="M643" s="687" t="s">
        <v>2552</v>
      </c>
      <c r="N643" s="684"/>
      <c r="O643" s="795"/>
      <c r="P643" s="203"/>
      <c r="Q643" s="203"/>
      <c r="R643" s="203"/>
      <c r="S643" s="203"/>
      <c r="T643" s="203"/>
      <c r="U643" s="203"/>
    </row>
    <row r="644" s="660" customFormat="1" ht="15.4" hidden="1" customHeight="1" spans="1:21">
      <c r="A644" s="687" t="s">
        <v>910</v>
      </c>
      <c r="B644" s="690" t="s">
        <v>2305</v>
      </c>
      <c r="C644" s="732" t="s">
        <v>2076</v>
      </c>
      <c r="D644" s="313">
        <v>32</v>
      </c>
      <c r="E644" s="281"/>
      <c r="F644" s="703"/>
      <c r="G644" s="703">
        <f>G643</f>
        <v>45806</v>
      </c>
      <c r="H644" s="759">
        <f>H643</f>
        <v>45826</v>
      </c>
      <c r="I644" s="685" t="s">
        <v>2551</v>
      </c>
      <c r="J644" s="751" t="s">
        <v>18</v>
      </c>
      <c r="K644" s="687" t="s">
        <v>147</v>
      </c>
      <c r="L644" s="347" t="s">
        <v>20</v>
      </c>
      <c r="M644" s="690" t="s">
        <v>2370</v>
      </c>
      <c r="N644" s="684"/>
      <c r="O644" s="795"/>
      <c r="P644" s="203"/>
      <c r="Q644" s="203"/>
      <c r="R644" s="203"/>
      <c r="S644" s="203"/>
      <c r="T644" s="203"/>
      <c r="U644" s="203"/>
    </row>
    <row r="645" s="660" customFormat="1" ht="67.5" hidden="1" customHeight="1" spans="1:21">
      <c r="A645" s="687" t="s">
        <v>910</v>
      </c>
      <c r="B645" s="690" t="s">
        <v>2305</v>
      </c>
      <c r="C645" s="732" t="s">
        <v>2114</v>
      </c>
      <c r="D645" s="313">
        <v>480</v>
      </c>
      <c r="E645" s="674" t="s">
        <v>2553</v>
      </c>
      <c r="F645" s="675"/>
      <c r="G645" s="793">
        <f>VLOOKUP(CLEAN(SUBSTITUTE(TRIM(MID(E:E,FIND("/",E:E)+1,LEN(E:E)))," ","")),'Customs Decl. &amp; Local Delivery'!D:I,6,0)</f>
        <v>45806</v>
      </c>
      <c r="H645" s="676">
        <f>VLOOKUP(CLEAN(SUBSTITUTE(TRIM(MID(E:E,FIND("/",E:E)+1,LEN(E:E)))," ","")),'Customs Decl. &amp; Local Delivery'!D:J,7,0)</f>
        <v>45826</v>
      </c>
      <c r="I645" s="690" t="s">
        <v>2554</v>
      </c>
      <c r="J645" s="687" t="s">
        <v>18</v>
      </c>
      <c r="K645" s="760" t="s">
        <v>147</v>
      </c>
      <c r="L645" s="347" t="s">
        <v>20</v>
      </c>
      <c r="M645" s="779" t="s">
        <v>2555</v>
      </c>
      <c r="N645" s="684"/>
      <c r="O645" s="203"/>
      <c r="P645" s="203"/>
      <c r="Q645" s="203"/>
      <c r="R645" s="203"/>
      <c r="S645" s="203"/>
      <c r="T645" s="203"/>
      <c r="U645" s="203"/>
    </row>
    <row r="646" s="660" customFormat="1" ht="16.5" hidden="1" customHeight="1" spans="1:21">
      <c r="A646" s="687" t="s">
        <v>910</v>
      </c>
      <c r="B646" s="687" t="s">
        <v>2372</v>
      </c>
      <c r="C646" s="752" t="s">
        <v>2087</v>
      </c>
      <c r="D646" s="293">
        <v>16</v>
      </c>
      <c r="E646" s="281"/>
      <c r="F646" s="703"/>
      <c r="G646" s="791">
        <f>G645</f>
        <v>45806</v>
      </c>
      <c r="H646" s="713">
        <f>H645</f>
        <v>45826</v>
      </c>
      <c r="I646" s="690" t="s">
        <v>2554</v>
      </c>
      <c r="J646" s="687" t="s">
        <v>18</v>
      </c>
      <c r="K646" s="760" t="s">
        <v>147</v>
      </c>
      <c r="L646" s="347" t="s">
        <v>20</v>
      </c>
      <c r="M646" s="797" t="s">
        <v>2556</v>
      </c>
      <c r="N646" s="684"/>
      <c r="O646" s="203"/>
      <c r="P646" s="203"/>
      <c r="Q646" s="203"/>
      <c r="R646" s="203"/>
      <c r="S646" s="203"/>
      <c r="T646" s="203"/>
      <c r="U646" s="203"/>
    </row>
    <row r="647" customFormat="1" ht="15.4" hidden="1" customHeight="1" spans="1:21">
      <c r="A647" s="687" t="s">
        <v>1507</v>
      </c>
      <c r="B647" s="687" t="s">
        <v>2557</v>
      </c>
      <c r="C647" s="732" t="s">
        <v>2182</v>
      </c>
      <c r="D647" s="313">
        <v>125</v>
      </c>
      <c r="E647" s="674" t="s">
        <v>2558</v>
      </c>
      <c r="F647" s="675"/>
      <c r="G647" s="793">
        <f>VLOOKUP(CLEAN(SUBSTITUTE(TRIM(MID(E:E,FIND("/",E:E)+1,LEN(E:E)))," ","")),'Customs Decl. &amp; Local Delivery'!D:I,6,0)</f>
        <v>45806</v>
      </c>
      <c r="H647" s="676">
        <f>VLOOKUP(CLEAN(SUBSTITUTE(TRIM(MID(E:E,FIND("/",E:E)+1,LEN(E:E)))," ","")),'Customs Decl. &amp; Local Delivery'!D:J,7,0)</f>
        <v>45826</v>
      </c>
      <c r="I647" s="690" t="s">
        <v>2559</v>
      </c>
      <c r="J647" s="687" t="s">
        <v>18</v>
      </c>
      <c r="K647" s="750" t="s">
        <v>147</v>
      </c>
      <c r="L647" s="347" t="s">
        <v>20</v>
      </c>
      <c r="M647" s="780" t="s">
        <v>2560</v>
      </c>
      <c r="N647" s="684"/>
      <c r="O647" s="798"/>
      <c r="P647" s="203"/>
      <c r="Q647" s="203"/>
      <c r="R647" s="203"/>
      <c r="S647" s="203"/>
      <c r="T647" s="203"/>
      <c r="U647" s="203"/>
    </row>
    <row r="648" customFormat="1" ht="15.4" hidden="1" customHeight="1" spans="1:21">
      <c r="A648" s="687" t="s">
        <v>1603</v>
      </c>
      <c r="B648" s="687" t="s">
        <v>2561</v>
      </c>
      <c r="C648" s="732" t="s">
        <v>2417</v>
      </c>
      <c r="D648" s="313">
        <v>20</v>
      </c>
      <c r="E648" s="281"/>
      <c r="F648" s="703"/>
      <c r="G648" s="791">
        <f t="shared" ref="G648:G658" si="24">G647</f>
        <v>45806</v>
      </c>
      <c r="H648" s="713">
        <f t="shared" ref="H648:H658" si="25">H647</f>
        <v>45826</v>
      </c>
      <c r="I648" s="690" t="s">
        <v>2559</v>
      </c>
      <c r="J648" s="687" t="s">
        <v>18</v>
      </c>
      <c r="K648" s="750" t="s">
        <v>147</v>
      </c>
      <c r="L648" s="347" t="s">
        <v>20</v>
      </c>
      <c r="M648" s="687" t="s">
        <v>2562</v>
      </c>
      <c r="N648" s="684"/>
      <c r="O648" s="6"/>
      <c r="P648" s="203"/>
      <c r="Q648" s="203"/>
      <c r="R648" s="203"/>
      <c r="S648" s="203"/>
      <c r="T648" s="203"/>
      <c r="U648" s="203"/>
    </row>
    <row r="649" customFormat="1" ht="15.4" hidden="1" customHeight="1" spans="1:21">
      <c r="A649" s="687" t="s">
        <v>1603</v>
      </c>
      <c r="B649" s="687" t="s">
        <v>2561</v>
      </c>
      <c r="C649" s="732" t="s">
        <v>2563</v>
      </c>
      <c r="D649" s="313">
        <v>20</v>
      </c>
      <c r="E649" s="281"/>
      <c r="F649" s="703"/>
      <c r="G649" s="703">
        <f t="shared" si="24"/>
        <v>45806</v>
      </c>
      <c r="H649" s="782">
        <f t="shared" si="25"/>
        <v>45826</v>
      </c>
      <c r="I649" s="768" t="s">
        <v>2559</v>
      </c>
      <c r="J649" s="777" t="s">
        <v>18</v>
      </c>
      <c r="K649" s="750" t="s">
        <v>147</v>
      </c>
      <c r="L649" s="347" t="s">
        <v>20</v>
      </c>
      <c r="M649" s="687" t="s">
        <v>2562</v>
      </c>
      <c r="N649" s="684"/>
      <c r="O649" s="6"/>
      <c r="P649" s="203"/>
      <c r="Q649" s="203"/>
      <c r="R649" s="203"/>
      <c r="S649" s="203"/>
      <c r="T649" s="203"/>
      <c r="U649" s="203"/>
    </row>
    <row r="650" customFormat="1" ht="16.5" hidden="1" customHeight="1" spans="1:21">
      <c r="A650" s="687" t="s">
        <v>1345</v>
      </c>
      <c r="B650" s="687" t="s">
        <v>2564</v>
      </c>
      <c r="C650" s="732" t="s">
        <v>2565</v>
      </c>
      <c r="D650" s="313">
        <v>258</v>
      </c>
      <c r="E650" s="281"/>
      <c r="F650" s="703"/>
      <c r="G650" s="703">
        <f t="shared" si="24"/>
        <v>45806</v>
      </c>
      <c r="H650" s="755">
        <f t="shared" si="25"/>
        <v>45826</v>
      </c>
      <c r="I650" s="690" t="s">
        <v>2559</v>
      </c>
      <c r="J650" s="687" t="s">
        <v>18</v>
      </c>
      <c r="K650" s="750" t="s">
        <v>147</v>
      </c>
      <c r="L650" s="347" t="s">
        <v>20</v>
      </c>
      <c r="M650" s="687" t="s">
        <v>2566</v>
      </c>
      <c r="N650" s="684"/>
      <c r="O650" s="6"/>
      <c r="P650" s="203"/>
      <c r="Q650" s="203"/>
      <c r="R650" s="203"/>
      <c r="S650" s="203"/>
      <c r="T650" s="203"/>
      <c r="U650" s="203"/>
    </row>
    <row r="651" customFormat="1" ht="16.5" hidden="1" customHeight="1" spans="1:21">
      <c r="A651" s="687" t="s">
        <v>1345</v>
      </c>
      <c r="B651" s="687" t="s">
        <v>2564</v>
      </c>
      <c r="C651" s="732" t="s">
        <v>2279</v>
      </c>
      <c r="D651" s="313">
        <v>200</v>
      </c>
      <c r="E651" s="281"/>
      <c r="F651" s="703"/>
      <c r="G651" s="703">
        <f t="shared" si="24"/>
        <v>45806</v>
      </c>
      <c r="H651" s="755">
        <f t="shared" si="25"/>
        <v>45826</v>
      </c>
      <c r="I651" s="690" t="s">
        <v>2559</v>
      </c>
      <c r="J651" s="687" t="s">
        <v>18</v>
      </c>
      <c r="K651" s="750" t="s">
        <v>147</v>
      </c>
      <c r="L651" s="347" t="s">
        <v>20</v>
      </c>
      <c r="M651" s="687" t="s">
        <v>2566</v>
      </c>
      <c r="N651" s="684"/>
      <c r="O651" s="6"/>
      <c r="P651" s="203"/>
      <c r="Q651" s="203"/>
      <c r="R651" s="203"/>
      <c r="S651" s="203"/>
      <c r="T651" s="203"/>
      <c r="U651" s="203"/>
    </row>
    <row r="652" customFormat="1" ht="16.5" hidden="1" customHeight="1" spans="1:21">
      <c r="A652" s="687" t="s">
        <v>1345</v>
      </c>
      <c r="B652" s="687" t="s">
        <v>2564</v>
      </c>
      <c r="C652" s="732" t="s">
        <v>2464</v>
      </c>
      <c r="D652" s="313">
        <v>50</v>
      </c>
      <c r="E652" s="281"/>
      <c r="F652" s="703"/>
      <c r="G652" s="703">
        <f t="shared" si="24"/>
        <v>45806</v>
      </c>
      <c r="H652" s="755">
        <f t="shared" si="25"/>
        <v>45826</v>
      </c>
      <c r="I652" s="690" t="s">
        <v>2559</v>
      </c>
      <c r="J652" s="687" t="s">
        <v>18</v>
      </c>
      <c r="K652" s="750" t="s">
        <v>147</v>
      </c>
      <c r="L652" s="347" t="s">
        <v>20</v>
      </c>
      <c r="M652" s="687" t="s">
        <v>2566</v>
      </c>
      <c r="N652" s="684"/>
      <c r="O652" s="6"/>
      <c r="P652" s="203"/>
      <c r="Q652" s="203"/>
      <c r="R652" s="203"/>
      <c r="S652" s="203"/>
      <c r="T652" s="203"/>
      <c r="U652" s="203"/>
    </row>
    <row r="653" customFormat="1" ht="16.5" hidden="1" customHeight="1" spans="1:21">
      <c r="A653" s="751" t="s">
        <v>1345</v>
      </c>
      <c r="B653" s="687" t="s">
        <v>2564</v>
      </c>
      <c r="C653" s="732" t="s">
        <v>2460</v>
      </c>
      <c r="D653" s="313">
        <v>350</v>
      </c>
      <c r="E653" s="281"/>
      <c r="F653" s="703"/>
      <c r="G653" s="703">
        <f t="shared" si="24"/>
        <v>45806</v>
      </c>
      <c r="H653" s="755">
        <f t="shared" si="25"/>
        <v>45826</v>
      </c>
      <c r="I653" s="690" t="s">
        <v>2559</v>
      </c>
      <c r="J653" s="687" t="s">
        <v>18</v>
      </c>
      <c r="K653" s="760" t="s">
        <v>147</v>
      </c>
      <c r="L653" s="347" t="s">
        <v>20</v>
      </c>
      <c r="M653" s="687" t="s">
        <v>2566</v>
      </c>
      <c r="N653" s="684"/>
      <c r="O653" s="6"/>
      <c r="P653" s="203"/>
      <c r="Q653" s="203"/>
      <c r="R653" s="203"/>
      <c r="S653" s="203"/>
      <c r="T653" s="203"/>
      <c r="U653" s="203"/>
    </row>
    <row r="654" ht="15.4" hidden="1" customHeight="1" spans="1:21">
      <c r="A654" s="687" t="s">
        <v>910</v>
      </c>
      <c r="B654" s="687" t="s">
        <v>2372</v>
      </c>
      <c r="C654" s="732" t="s">
        <v>2090</v>
      </c>
      <c r="D654" s="351">
        <v>50</v>
      </c>
      <c r="E654" s="281"/>
      <c r="F654" s="703"/>
      <c r="G654" s="703">
        <f t="shared" si="24"/>
        <v>45806</v>
      </c>
      <c r="H654" s="755">
        <f t="shared" si="25"/>
        <v>45826</v>
      </c>
      <c r="I654" s="690" t="s">
        <v>2559</v>
      </c>
      <c r="J654" s="687" t="s">
        <v>18</v>
      </c>
      <c r="K654" s="750" t="s">
        <v>147</v>
      </c>
      <c r="L654" s="347" t="s">
        <v>20</v>
      </c>
      <c r="M654" s="780" t="s">
        <v>2567</v>
      </c>
      <c r="N654" s="684"/>
      <c r="O654" s="6"/>
      <c r="P654" s="203"/>
      <c r="Q654" s="203"/>
      <c r="R654" s="203"/>
      <c r="S654" s="203"/>
      <c r="T654" s="203"/>
      <c r="U654" s="203"/>
    </row>
    <row r="655" ht="15.4" hidden="1" customHeight="1" spans="1:21">
      <c r="A655" s="687" t="s">
        <v>2453</v>
      </c>
      <c r="B655" s="690" t="s">
        <v>2490</v>
      </c>
      <c r="C655" s="732" t="s">
        <v>2094</v>
      </c>
      <c r="D655" s="350">
        <v>15</v>
      </c>
      <c r="E655" s="281"/>
      <c r="F655" s="703"/>
      <c r="G655" s="703">
        <f t="shared" si="24"/>
        <v>45806</v>
      </c>
      <c r="H655" s="755">
        <f t="shared" si="25"/>
        <v>45826</v>
      </c>
      <c r="I655" s="690" t="s">
        <v>2559</v>
      </c>
      <c r="J655" s="687" t="s">
        <v>18</v>
      </c>
      <c r="K655" s="760" t="s">
        <v>147</v>
      </c>
      <c r="L655" s="347" t="s">
        <v>20</v>
      </c>
      <c r="M655" s="687" t="s">
        <v>2568</v>
      </c>
      <c r="N655" s="684"/>
      <c r="O655" s="6"/>
      <c r="P655" s="203"/>
      <c r="Q655" s="203"/>
      <c r="R655" s="203"/>
      <c r="S655" s="203"/>
      <c r="T655" s="203"/>
      <c r="U655" s="203"/>
    </row>
    <row r="656" ht="15.4" hidden="1" customHeight="1" spans="1:21">
      <c r="A656" s="687" t="s">
        <v>2453</v>
      </c>
      <c r="B656" s="690" t="s">
        <v>2490</v>
      </c>
      <c r="C656" s="732" t="s">
        <v>2092</v>
      </c>
      <c r="D656" s="350">
        <v>10</v>
      </c>
      <c r="E656" s="281"/>
      <c r="F656" s="703"/>
      <c r="G656" s="703">
        <f t="shared" si="24"/>
        <v>45806</v>
      </c>
      <c r="H656" s="755">
        <f t="shared" si="25"/>
        <v>45826</v>
      </c>
      <c r="I656" s="690" t="s">
        <v>2559</v>
      </c>
      <c r="J656" s="687" t="s">
        <v>18</v>
      </c>
      <c r="K656" s="760" t="s">
        <v>147</v>
      </c>
      <c r="L656" s="347" t="s">
        <v>20</v>
      </c>
      <c r="M656" s="687" t="s">
        <v>2568</v>
      </c>
      <c r="N656" s="684"/>
      <c r="O656" s="6"/>
      <c r="P656" s="203"/>
      <c r="Q656" s="203"/>
      <c r="R656" s="203"/>
      <c r="S656" s="203"/>
      <c r="T656" s="203"/>
      <c r="U656" s="203"/>
    </row>
    <row r="657" s="179" customFormat="1" ht="15.4" hidden="1" customHeight="1" spans="1:21">
      <c r="A657" s="687" t="s">
        <v>910</v>
      </c>
      <c r="B657" s="690" t="s">
        <v>2305</v>
      </c>
      <c r="C657" s="732" t="s">
        <v>2095</v>
      </c>
      <c r="D657" s="350">
        <v>35</v>
      </c>
      <c r="E657" s="281"/>
      <c r="F657" s="703"/>
      <c r="G657" s="703">
        <f t="shared" si="24"/>
        <v>45806</v>
      </c>
      <c r="H657" s="755">
        <f t="shared" si="25"/>
        <v>45826</v>
      </c>
      <c r="I657" s="690" t="s">
        <v>2559</v>
      </c>
      <c r="J657" s="687" t="s">
        <v>18</v>
      </c>
      <c r="K657" s="760" t="s">
        <v>147</v>
      </c>
      <c r="L657" s="347" t="s">
        <v>20</v>
      </c>
      <c r="M657" s="687" t="s">
        <v>2569</v>
      </c>
      <c r="N657" s="684"/>
      <c r="O657" s="6"/>
      <c r="P657" s="203"/>
      <c r="Q657" s="203"/>
      <c r="R657" s="203"/>
      <c r="S657" s="203"/>
      <c r="T657" s="203"/>
      <c r="U657" s="203"/>
    </row>
    <row r="658" ht="15.4" hidden="1" customHeight="1" spans="1:21">
      <c r="A658" s="751" t="s">
        <v>910</v>
      </c>
      <c r="B658" s="690" t="s">
        <v>2305</v>
      </c>
      <c r="C658" s="732" t="s">
        <v>2340</v>
      </c>
      <c r="D658" s="350">
        <v>10</v>
      </c>
      <c r="E658" s="281"/>
      <c r="F658" s="703"/>
      <c r="G658" s="703">
        <f t="shared" si="24"/>
        <v>45806</v>
      </c>
      <c r="H658" s="755">
        <f t="shared" si="25"/>
        <v>45826</v>
      </c>
      <c r="I658" s="690" t="s">
        <v>2559</v>
      </c>
      <c r="J658" s="687" t="s">
        <v>18</v>
      </c>
      <c r="K658" s="760" t="s">
        <v>147</v>
      </c>
      <c r="L658" s="347" t="s">
        <v>20</v>
      </c>
      <c r="M658" s="687" t="s">
        <v>2570</v>
      </c>
      <c r="N658" s="684"/>
      <c r="O658" s="6"/>
      <c r="P658" s="203"/>
      <c r="Q658" s="203"/>
      <c r="R658" s="203"/>
      <c r="S658" s="203"/>
      <c r="T658" s="203"/>
      <c r="U658" s="203"/>
    </row>
    <row r="659" s="660" customFormat="1" ht="15.4" hidden="1" customHeight="1" spans="1:21">
      <c r="A659" s="777" t="s">
        <v>910</v>
      </c>
      <c r="B659" s="690" t="s">
        <v>2305</v>
      </c>
      <c r="C659" s="732" t="s">
        <v>2279</v>
      </c>
      <c r="D659" s="313">
        <v>32</v>
      </c>
      <c r="E659" s="756" t="s">
        <v>2571</v>
      </c>
      <c r="F659" s="675"/>
      <c r="G659" s="675">
        <f>VLOOKUP(CLEAN(SUBSTITUTE(TRIM(MID(E:E,FIND("/",E:E)+1,LEN(E:E)))," ","")),'Customs Decl. &amp; Local Delivery'!D:I,6,0)</f>
        <v>45812</v>
      </c>
      <c r="H659" s="676">
        <f>VLOOKUP(CLEAN(SUBSTITUTE(TRIM(MID(E:E,FIND("/",E:E)+1,LEN(E:E)))," ","")),'Customs Decl. &amp; Local Delivery'!D:J,7,0)</f>
        <v>45829</v>
      </c>
      <c r="I659" s="690" t="s">
        <v>2572</v>
      </c>
      <c r="J659" s="687" t="s">
        <v>18</v>
      </c>
      <c r="K659" s="687" t="s">
        <v>147</v>
      </c>
      <c r="L659" s="347" t="s">
        <v>20</v>
      </c>
      <c r="M659" s="687" t="s">
        <v>2548</v>
      </c>
      <c r="N659" s="684"/>
      <c r="O659" s="795"/>
      <c r="P659" s="203"/>
      <c r="Q659" s="203"/>
      <c r="R659" s="203"/>
      <c r="S659" s="203"/>
      <c r="T659" s="203"/>
      <c r="U659" s="203"/>
    </row>
    <row r="660" s="660" customFormat="1" ht="15.4" hidden="1" customHeight="1" spans="1:21">
      <c r="A660" s="687" t="s">
        <v>910</v>
      </c>
      <c r="B660" s="690" t="s">
        <v>2305</v>
      </c>
      <c r="C660" s="732" t="s">
        <v>2072</v>
      </c>
      <c r="D660" s="313">
        <v>32</v>
      </c>
      <c r="E660" s="281"/>
      <c r="F660" s="703"/>
      <c r="G660" s="703">
        <f>G659</f>
        <v>45812</v>
      </c>
      <c r="H660" s="713">
        <f>H659</f>
        <v>45829</v>
      </c>
      <c r="I660" s="799" t="s">
        <v>2572</v>
      </c>
      <c r="J660" s="687" t="s">
        <v>18</v>
      </c>
      <c r="K660" s="687" t="s">
        <v>147</v>
      </c>
      <c r="L660" s="347" t="s">
        <v>20</v>
      </c>
      <c r="M660" s="687" t="s">
        <v>2573</v>
      </c>
      <c r="N660" s="684"/>
      <c r="O660" s="795"/>
      <c r="P660" s="203"/>
      <c r="Q660" s="203"/>
      <c r="R660" s="203"/>
      <c r="S660" s="203"/>
      <c r="T660" s="203"/>
      <c r="U660" s="203"/>
    </row>
    <row r="661" s="660" customFormat="1" ht="15.4" hidden="1" customHeight="1" spans="1:21">
      <c r="A661" s="687" t="s">
        <v>910</v>
      </c>
      <c r="B661" s="690" t="s">
        <v>2305</v>
      </c>
      <c r="C661" s="732" t="s">
        <v>2076</v>
      </c>
      <c r="D661" s="313">
        <v>32</v>
      </c>
      <c r="E661" s="281"/>
      <c r="F661" s="703"/>
      <c r="G661" s="703">
        <f>G660</f>
        <v>45812</v>
      </c>
      <c r="H661" s="755">
        <f>H660</f>
        <v>45829</v>
      </c>
      <c r="I661" s="690" t="s">
        <v>2572</v>
      </c>
      <c r="J661" s="687" t="s">
        <v>18</v>
      </c>
      <c r="K661" s="687" t="s">
        <v>147</v>
      </c>
      <c r="L661" s="347" t="s">
        <v>20</v>
      </c>
      <c r="M661" s="690" t="s">
        <v>2574</v>
      </c>
      <c r="N661" s="684"/>
      <c r="O661" s="795"/>
      <c r="P661" s="203"/>
      <c r="Q661" s="203"/>
      <c r="R661" s="203"/>
      <c r="S661" s="203"/>
      <c r="T661" s="203"/>
      <c r="U661" s="203"/>
    </row>
    <row r="662" s="660" customFormat="1" ht="15.4" hidden="1" customHeight="1" spans="1:21">
      <c r="A662" s="687" t="s">
        <v>910</v>
      </c>
      <c r="B662" s="690" t="s">
        <v>2305</v>
      </c>
      <c r="C662" s="732" t="s">
        <v>2279</v>
      </c>
      <c r="D662" s="313">
        <v>32</v>
      </c>
      <c r="E662" s="756" t="s">
        <v>2575</v>
      </c>
      <c r="F662" s="675"/>
      <c r="G662" s="675">
        <f>VLOOKUP(CLEAN(SUBSTITUTE(TRIM(MID(E:E,FIND("/",E:E)+1,LEN(E:E)))," ","")),'Customs Decl. &amp; Local Delivery'!D:I,6,0)</f>
        <v>45812</v>
      </c>
      <c r="H662" s="676">
        <f>VLOOKUP(CLEAN(SUBSTITUTE(TRIM(MID(E:E,FIND("/",E:E)+1,LEN(E:E)))," ","")),'Customs Decl. &amp; Local Delivery'!D:J,7,0)</f>
        <v>45829</v>
      </c>
      <c r="I662" s="690" t="s">
        <v>2576</v>
      </c>
      <c r="J662" s="687" t="s">
        <v>18</v>
      </c>
      <c r="K662" s="687" t="s">
        <v>147</v>
      </c>
      <c r="L662" s="347" t="s">
        <v>20</v>
      </c>
      <c r="M662" s="687" t="s">
        <v>2548</v>
      </c>
      <c r="N662" s="684"/>
      <c r="O662" s="795"/>
      <c r="P662" s="203"/>
      <c r="Q662" s="203"/>
      <c r="R662" s="203"/>
      <c r="S662" s="203"/>
      <c r="T662" s="203"/>
      <c r="U662" s="203"/>
    </row>
    <row r="663" s="660" customFormat="1" ht="15.4" hidden="1" customHeight="1" spans="1:21">
      <c r="A663" s="687" t="s">
        <v>910</v>
      </c>
      <c r="B663" s="690" t="s">
        <v>2305</v>
      </c>
      <c r="C663" s="732" t="s">
        <v>2072</v>
      </c>
      <c r="D663" s="313">
        <v>32</v>
      </c>
      <c r="E663" s="281"/>
      <c r="F663" s="703"/>
      <c r="G663" s="703">
        <f>G662</f>
        <v>45812</v>
      </c>
      <c r="H663" s="759">
        <f>H662</f>
        <v>45829</v>
      </c>
      <c r="I663" s="685" t="s">
        <v>2576</v>
      </c>
      <c r="J663" s="687" t="s">
        <v>18</v>
      </c>
      <c r="K663" s="687" t="s">
        <v>147</v>
      </c>
      <c r="L663" s="347" t="s">
        <v>20</v>
      </c>
      <c r="M663" s="687" t="s">
        <v>2577</v>
      </c>
      <c r="N663" s="684"/>
      <c r="O663" s="795"/>
      <c r="P663" s="203"/>
      <c r="Q663" s="203"/>
      <c r="R663" s="203"/>
      <c r="S663" s="203"/>
      <c r="T663" s="203"/>
      <c r="U663" s="203"/>
    </row>
    <row r="664" s="660" customFormat="1" ht="15.4" hidden="1" customHeight="1" spans="1:21">
      <c r="A664" s="687" t="s">
        <v>910</v>
      </c>
      <c r="B664" s="690" t="s">
        <v>2305</v>
      </c>
      <c r="C664" s="732" t="s">
        <v>2076</v>
      </c>
      <c r="D664" s="313">
        <v>32</v>
      </c>
      <c r="E664" s="281"/>
      <c r="F664" s="703"/>
      <c r="G664" s="703">
        <f>G663</f>
        <v>45812</v>
      </c>
      <c r="H664" s="713">
        <f>H663</f>
        <v>45829</v>
      </c>
      <c r="I664" s="690" t="s">
        <v>2576</v>
      </c>
      <c r="J664" s="687" t="s">
        <v>18</v>
      </c>
      <c r="K664" s="687" t="s">
        <v>147</v>
      </c>
      <c r="L664" s="347" t="s">
        <v>20</v>
      </c>
      <c r="M664" s="690" t="s">
        <v>2370</v>
      </c>
      <c r="N664" s="684"/>
      <c r="O664" s="795"/>
      <c r="P664" s="203"/>
      <c r="Q664" s="203"/>
      <c r="R664" s="203"/>
      <c r="S664" s="203"/>
      <c r="T664" s="203"/>
      <c r="U664" s="203"/>
    </row>
    <row r="665" s="660" customFormat="1" ht="15.4" hidden="1" customHeight="1" spans="1:21">
      <c r="A665" s="687" t="s">
        <v>910</v>
      </c>
      <c r="B665" s="768" t="s">
        <v>2305</v>
      </c>
      <c r="C665" s="769" t="s">
        <v>2040</v>
      </c>
      <c r="D665" s="770">
        <v>44</v>
      </c>
      <c r="E665" s="674" t="s">
        <v>2578</v>
      </c>
      <c r="F665" s="675"/>
      <c r="G665" s="675">
        <f>VLOOKUP(CLEAN(SUBSTITUTE(TRIM(MID(E:E,FIND("/",E:E)+1,LEN(E:E)))," ","")),'Customs Decl. &amp; Local Delivery'!D:I,6,0)</f>
        <v>45812</v>
      </c>
      <c r="H665" s="790">
        <f>VLOOKUP(CLEAN(SUBSTITUTE(TRIM(MID(E:E,FIND("/",E:E)+1,LEN(E:E)))," ","")),'Customs Decl. &amp; Local Delivery'!D:J,7,0)</f>
        <v>45829</v>
      </c>
      <c r="I665" s="768" t="s">
        <v>2579</v>
      </c>
      <c r="J665" s="687" t="s">
        <v>18</v>
      </c>
      <c r="K665" s="751" t="s">
        <v>147</v>
      </c>
      <c r="L665" s="347" t="s">
        <v>20</v>
      </c>
      <c r="M665" s="690" t="s">
        <v>2580</v>
      </c>
      <c r="N665" s="684"/>
      <c r="O665" s="203"/>
      <c r="P665" s="203"/>
      <c r="Q665" s="203"/>
      <c r="R665" s="203"/>
      <c r="S665" s="203"/>
      <c r="T665" s="203"/>
      <c r="U665" s="203"/>
    </row>
    <row r="666" s="660" customFormat="1" ht="15.4" hidden="1" customHeight="1" spans="1:21">
      <c r="A666" s="687" t="s">
        <v>910</v>
      </c>
      <c r="B666" s="690" t="s">
        <v>2305</v>
      </c>
      <c r="C666" s="732" t="s">
        <v>2095</v>
      </c>
      <c r="D666" s="313">
        <f>45+45</f>
        <v>90</v>
      </c>
      <c r="E666" s="281"/>
      <c r="F666" s="703"/>
      <c r="G666" s="703">
        <f>G665</f>
        <v>45812</v>
      </c>
      <c r="H666" s="782">
        <f>H665</f>
        <v>45829</v>
      </c>
      <c r="I666" s="768" t="s">
        <v>2579</v>
      </c>
      <c r="J666" s="763" t="s">
        <v>18</v>
      </c>
      <c r="K666" s="751" t="s">
        <v>147</v>
      </c>
      <c r="L666" s="347" t="s">
        <v>20</v>
      </c>
      <c r="M666" s="690" t="s">
        <v>2581</v>
      </c>
      <c r="N666" s="684"/>
      <c r="O666" s="203"/>
      <c r="P666" s="203"/>
      <c r="Q666" s="203"/>
      <c r="R666" s="203"/>
      <c r="S666" s="203"/>
      <c r="T666" s="203"/>
      <c r="U666" s="203"/>
    </row>
    <row r="667" s="660" customFormat="1" ht="15.4" hidden="1" customHeight="1" spans="1:21">
      <c r="A667" s="687" t="s">
        <v>910</v>
      </c>
      <c r="B667" s="687" t="s">
        <v>2305</v>
      </c>
      <c r="C667" s="732" t="s">
        <v>2095</v>
      </c>
      <c r="D667" s="313">
        <v>42</v>
      </c>
      <c r="E667" s="281"/>
      <c r="F667" s="703"/>
      <c r="G667" s="703">
        <f>G666</f>
        <v>45812</v>
      </c>
      <c r="H667" s="759">
        <f>H666</f>
        <v>45829</v>
      </c>
      <c r="I667" s="685" t="s">
        <v>2579</v>
      </c>
      <c r="J667" s="751" t="s">
        <v>18</v>
      </c>
      <c r="K667" s="687" t="s">
        <v>147</v>
      </c>
      <c r="L667" s="347" t="s">
        <v>20</v>
      </c>
      <c r="M667" s="687" t="s">
        <v>2582</v>
      </c>
      <c r="N667" s="684"/>
      <c r="O667" s="203"/>
      <c r="P667" s="203"/>
      <c r="Q667" s="203"/>
      <c r="R667" s="203"/>
      <c r="S667" s="203"/>
      <c r="T667" s="203"/>
      <c r="U667" s="203"/>
    </row>
    <row r="668" s="660" customFormat="1" ht="15.4" hidden="1" customHeight="1" spans="1:21">
      <c r="A668" s="687" t="s">
        <v>910</v>
      </c>
      <c r="B668" s="690" t="s">
        <v>2305</v>
      </c>
      <c r="C668" s="732" t="s">
        <v>2040</v>
      </c>
      <c r="D668" s="313">
        <v>54</v>
      </c>
      <c r="E668" s="674" t="s">
        <v>2583</v>
      </c>
      <c r="F668" s="675"/>
      <c r="G668" s="675">
        <f>VLOOKUP(CLEAN(SUBSTITUTE(TRIM(MID(E:E,FIND("/",E:E)+1,LEN(E:E)))," ","")),'Customs Decl. &amp; Local Delivery'!D:I,6,0)</f>
        <v>45812</v>
      </c>
      <c r="H668" s="676">
        <f>VLOOKUP(CLEAN(SUBSTITUTE(TRIM(MID(E:E,FIND("/",E:E)+1,LEN(E:E)))," ","")),'Customs Decl. &amp; Local Delivery'!D:J,7,0)</f>
        <v>45829</v>
      </c>
      <c r="I668" s="690" t="s">
        <v>2584</v>
      </c>
      <c r="J668" s="687" t="s">
        <v>18</v>
      </c>
      <c r="K668" s="751" t="s">
        <v>147</v>
      </c>
      <c r="L668" s="347" t="s">
        <v>20</v>
      </c>
      <c r="M668" s="690" t="s">
        <v>2585</v>
      </c>
      <c r="N668" s="684"/>
      <c r="O668" s="203"/>
      <c r="P668" s="203"/>
      <c r="Q668" s="203"/>
      <c r="R668" s="203"/>
      <c r="S668" s="203"/>
      <c r="T668" s="203"/>
      <c r="U668" s="203"/>
    </row>
    <row r="669" s="660" customFormat="1" ht="15.4" hidden="1" customHeight="1" spans="1:21">
      <c r="A669" s="687" t="s">
        <v>910</v>
      </c>
      <c r="B669" s="690" t="s">
        <v>2305</v>
      </c>
      <c r="C669" s="732" t="s">
        <v>2090</v>
      </c>
      <c r="D669" s="313">
        <f>35+21</f>
        <v>56</v>
      </c>
      <c r="E669" s="281"/>
      <c r="F669" s="703"/>
      <c r="G669" s="703">
        <f>G668</f>
        <v>45812</v>
      </c>
      <c r="H669" s="782">
        <f>H668</f>
        <v>45829</v>
      </c>
      <c r="I669" s="768" t="s">
        <v>2584</v>
      </c>
      <c r="J669" s="763" t="s">
        <v>18</v>
      </c>
      <c r="K669" s="751" t="s">
        <v>147</v>
      </c>
      <c r="L669" s="347" t="s">
        <v>20</v>
      </c>
      <c r="M669" s="690" t="s">
        <v>2586</v>
      </c>
      <c r="N669" s="684"/>
      <c r="O669" s="203"/>
      <c r="P669" s="203"/>
      <c r="Q669" s="203"/>
      <c r="R669" s="203"/>
      <c r="S669" s="203"/>
      <c r="T669" s="203"/>
      <c r="U669" s="203"/>
    </row>
    <row r="670" s="660" customFormat="1" ht="16.5" hidden="1" customHeight="1" spans="1:21">
      <c r="A670" s="687" t="s">
        <v>910</v>
      </c>
      <c r="B670" s="687" t="s">
        <v>2372</v>
      </c>
      <c r="C670" s="732" t="s">
        <v>2090</v>
      </c>
      <c r="D670" s="313">
        <v>100</v>
      </c>
      <c r="E670" s="281"/>
      <c r="F670" s="703"/>
      <c r="G670" s="703">
        <f>G669</f>
        <v>45812</v>
      </c>
      <c r="H670" s="755">
        <f>H669</f>
        <v>45829</v>
      </c>
      <c r="I670" s="690" t="s">
        <v>2584</v>
      </c>
      <c r="J670" s="750" t="s">
        <v>18</v>
      </c>
      <c r="K670" s="687" t="s">
        <v>147</v>
      </c>
      <c r="L670" s="347" t="s">
        <v>20</v>
      </c>
      <c r="M670" s="687" t="s">
        <v>2587</v>
      </c>
      <c r="N670" s="684"/>
      <c r="O670" s="795"/>
      <c r="P670" s="203"/>
      <c r="Q670" s="203"/>
      <c r="R670" s="203"/>
      <c r="S670" s="203"/>
      <c r="T670" s="203"/>
      <c r="U670" s="203"/>
    </row>
    <row r="671" s="660" customFormat="1" ht="15.4" hidden="1" customHeight="1" spans="1:21">
      <c r="A671" s="687" t="s">
        <v>910</v>
      </c>
      <c r="B671" s="690" t="s">
        <v>2305</v>
      </c>
      <c r="C671" s="732" t="s">
        <v>2092</v>
      </c>
      <c r="D671" s="313">
        <v>20</v>
      </c>
      <c r="E671" s="281"/>
      <c r="F671" s="703"/>
      <c r="G671" s="703">
        <f>G670</f>
        <v>45812</v>
      </c>
      <c r="H671" s="755">
        <f>H670</f>
        <v>45829</v>
      </c>
      <c r="I671" s="690" t="s">
        <v>2584</v>
      </c>
      <c r="J671" s="751" t="s">
        <v>18</v>
      </c>
      <c r="K671" s="751" t="s">
        <v>147</v>
      </c>
      <c r="L671" s="347" t="s">
        <v>20</v>
      </c>
      <c r="M671" s="690" t="s">
        <v>2588</v>
      </c>
      <c r="N671" s="684"/>
      <c r="O671" s="203"/>
      <c r="P671" s="203"/>
      <c r="Q671" s="203"/>
      <c r="R671" s="203"/>
      <c r="S671" s="203"/>
      <c r="T671" s="203"/>
      <c r="U671" s="203"/>
    </row>
    <row r="672" s="660" customFormat="1" ht="15.4" hidden="1" customHeight="1" spans="1:21">
      <c r="A672" s="687" t="s">
        <v>910</v>
      </c>
      <c r="B672" s="690" t="s">
        <v>2305</v>
      </c>
      <c r="C672" s="732" t="s">
        <v>2340</v>
      </c>
      <c r="D672" s="313">
        <f>10+10</f>
        <v>20</v>
      </c>
      <c r="E672" s="281"/>
      <c r="F672" s="703"/>
      <c r="G672" s="703">
        <f>G671</f>
        <v>45812</v>
      </c>
      <c r="H672" s="755">
        <f>H671</f>
        <v>45829</v>
      </c>
      <c r="I672" s="690" t="s">
        <v>2584</v>
      </c>
      <c r="J672" s="751" t="s">
        <v>18</v>
      </c>
      <c r="K672" s="751" t="s">
        <v>147</v>
      </c>
      <c r="L672" s="347" t="s">
        <v>20</v>
      </c>
      <c r="M672" s="690" t="s">
        <v>2586</v>
      </c>
      <c r="N672" s="684"/>
      <c r="O672" s="203"/>
      <c r="P672" s="203"/>
      <c r="Q672" s="203"/>
      <c r="R672" s="203"/>
      <c r="S672" s="203"/>
      <c r="T672" s="203"/>
      <c r="U672" s="203"/>
    </row>
    <row r="673" s="660" customFormat="1" ht="16.5" hidden="1" customHeight="1" spans="1:21">
      <c r="A673" s="687" t="s">
        <v>2453</v>
      </c>
      <c r="B673" s="687" t="s">
        <v>2490</v>
      </c>
      <c r="C673" s="732" t="s">
        <v>2340</v>
      </c>
      <c r="D673" s="321">
        <v>8</v>
      </c>
      <c r="E673" s="281"/>
      <c r="F673" s="703"/>
      <c r="G673" s="703">
        <f>G672</f>
        <v>45812</v>
      </c>
      <c r="H673" s="759">
        <f>H672</f>
        <v>45829</v>
      </c>
      <c r="I673" s="685" t="s">
        <v>2584</v>
      </c>
      <c r="J673" s="760" t="s">
        <v>18</v>
      </c>
      <c r="K673" s="776" t="s">
        <v>147</v>
      </c>
      <c r="L673" s="347" t="s">
        <v>20</v>
      </c>
      <c r="M673" s="672" t="s">
        <v>2589</v>
      </c>
      <c r="N673" s="684"/>
      <c r="O673" s="795"/>
      <c r="P673" s="203"/>
      <c r="Q673" s="203"/>
      <c r="R673" s="203"/>
      <c r="S673" s="203"/>
      <c r="T673" s="203"/>
      <c r="U673" s="203"/>
    </row>
    <row r="674" s="660" customFormat="1" ht="15.4" hidden="1" customHeight="1" spans="1:21">
      <c r="A674" s="687" t="s">
        <v>910</v>
      </c>
      <c r="B674" s="687" t="s">
        <v>2305</v>
      </c>
      <c r="C674" s="732" t="s">
        <v>2040</v>
      </c>
      <c r="D674" s="313">
        <v>54</v>
      </c>
      <c r="E674" s="674" t="s">
        <v>2590</v>
      </c>
      <c r="F674" s="675"/>
      <c r="G674" s="675">
        <f>VLOOKUP(CLEAN(SUBSTITUTE(TRIM(MID(E:E,FIND("/",E:E)+1,LEN(E:E)))," ","")),'Customs Decl. &amp; Local Delivery'!D:I,6,0)</f>
        <v>45812</v>
      </c>
      <c r="H674" s="754">
        <f>VLOOKUP(CLEAN(SUBSTITUTE(TRIM(MID(E:E,FIND("/",E:E)+1,LEN(E:E)))," ","")),'Customs Decl. &amp; Local Delivery'!D:J,7,0)</f>
        <v>45829</v>
      </c>
      <c r="I674" s="685" t="s">
        <v>2591</v>
      </c>
      <c r="J674" s="687" t="s">
        <v>18</v>
      </c>
      <c r="K674" s="687" t="s">
        <v>147</v>
      </c>
      <c r="L674" s="347" t="s">
        <v>20</v>
      </c>
      <c r="M674" s="687" t="s">
        <v>2592</v>
      </c>
      <c r="N674" s="684"/>
      <c r="O674" s="203"/>
      <c r="P674" s="203"/>
      <c r="Q674" s="203"/>
      <c r="R674" s="203"/>
      <c r="S674" s="203"/>
      <c r="T674" s="203"/>
      <c r="U674" s="203"/>
    </row>
    <row r="675" s="660" customFormat="1" ht="15.4" hidden="1" customHeight="1" spans="1:21">
      <c r="A675" s="687" t="s">
        <v>910</v>
      </c>
      <c r="B675" s="687" t="s">
        <v>2305</v>
      </c>
      <c r="C675" s="758" t="s">
        <v>2076</v>
      </c>
      <c r="D675" s="350">
        <v>14</v>
      </c>
      <c r="E675" s="281"/>
      <c r="F675" s="703"/>
      <c r="G675" s="703">
        <f>G674</f>
        <v>45812</v>
      </c>
      <c r="H675" s="713">
        <f>H674</f>
        <v>45829</v>
      </c>
      <c r="I675" s="690" t="s">
        <v>2591</v>
      </c>
      <c r="J675" s="777" t="s">
        <v>18</v>
      </c>
      <c r="K675" s="687" t="s">
        <v>147</v>
      </c>
      <c r="L675" s="347" t="s">
        <v>20</v>
      </c>
      <c r="M675" s="794" t="s">
        <v>2593</v>
      </c>
      <c r="N675" s="684"/>
      <c r="O675" s="795"/>
      <c r="P675" s="203"/>
      <c r="Q675" s="203"/>
      <c r="R675" s="203"/>
      <c r="S675" s="203"/>
      <c r="T675" s="203"/>
      <c r="U675" s="203"/>
    </row>
    <row r="676" s="660" customFormat="1" ht="15.4" hidden="1" customHeight="1" spans="1:21">
      <c r="A676" s="687" t="s">
        <v>910</v>
      </c>
      <c r="B676" s="687" t="s">
        <v>2305</v>
      </c>
      <c r="C676" s="758" t="s">
        <v>2279</v>
      </c>
      <c r="D676" s="350">
        <v>14</v>
      </c>
      <c r="E676" s="281"/>
      <c r="F676" s="703"/>
      <c r="G676" s="703">
        <f>G675</f>
        <v>45812</v>
      </c>
      <c r="H676" s="782">
        <f>H675</f>
        <v>45829</v>
      </c>
      <c r="I676" s="768" t="s">
        <v>2591</v>
      </c>
      <c r="J676" s="687" t="s">
        <v>18</v>
      </c>
      <c r="K676" s="687" t="s">
        <v>147</v>
      </c>
      <c r="L676" s="347" t="s">
        <v>20</v>
      </c>
      <c r="M676" s="687" t="s">
        <v>2594</v>
      </c>
      <c r="N676" s="684"/>
      <c r="O676" s="795"/>
      <c r="P676" s="203"/>
      <c r="Q676" s="203"/>
      <c r="R676" s="203"/>
      <c r="S676" s="203"/>
      <c r="T676" s="203"/>
      <c r="U676" s="203"/>
    </row>
    <row r="677" s="660" customFormat="1" ht="16.5" hidden="1" customHeight="1" spans="1:21">
      <c r="A677" s="687" t="s">
        <v>910</v>
      </c>
      <c r="B677" s="780" t="s">
        <v>2305</v>
      </c>
      <c r="C677" s="758" t="s">
        <v>2040</v>
      </c>
      <c r="D677" s="350">
        <v>15</v>
      </c>
      <c r="E677" s="756" t="s">
        <v>2595</v>
      </c>
      <c r="F677" s="675"/>
      <c r="G677" s="675">
        <f>VLOOKUP(CLEAN(SUBSTITUTE(TRIM(MID(E:E,FIND("/",E:E)+1,LEN(E:E)))," ","")),'Customs Decl. &amp; Local Delivery'!D:I,6,0)</f>
        <v>45812</v>
      </c>
      <c r="H677" s="676">
        <f>VLOOKUP(CLEAN(SUBSTITUTE(TRIM(MID(E:E,FIND("/",E:E)+1,LEN(E:E)))," ","")),'Customs Decl. &amp; Local Delivery'!D:J,7,0)</f>
        <v>45829</v>
      </c>
      <c r="I677" s="690" t="s">
        <v>2596</v>
      </c>
      <c r="J677" s="687" t="s">
        <v>18</v>
      </c>
      <c r="K677" s="776" t="s">
        <v>147</v>
      </c>
      <c r="L677" s="347" t="s">
        <v>20</v>
      </c>
      <c r="M677" s="672" t="s">
        <v>2597</v>
      </c>
      <c r="N677" s="684"/>
      <c r="O677" s="795"/>
      <c r="P677" s="203"/>
      <c r="Q677" s="203"/>
      <c r="R677" s="203"/>
      <c r="S677" s="203"/>
      <c r="T677" s="203"/>
      <c r="U677" s="203"/>
    </row>
    <row r="678" s="660" customFormat="1" ht="15.4" hidden="1" customHeight="1" spans="1:21">
      <c r="A678" s="687" t="s">
        <v>910</v>
      </c>
      <c r="B678" s="687" t="s">
        <v>2305</v>
      </c>
      <c r="C678" s="758" t="s">
        <v>2279</v>
      </c>
      <c r="D678" s="350">
        <f>12+32</f>
        <v>44</v>
      </c>
      <c r="E678" s="281"/>
      <c r="F678" s="703"/>
      <c r="G678" s="703">
        <f>G677</f>
        <v>45812</v>
      </c>
      <c r="H678" s="759">
        <f>H677</f>
        <v>45829</v>
      </c>
      <c r="I678" s="685" t="s">
        <v>2596</v>
      </c>
      <c r="J678" s="687" t="s">
        <v>18</v>
      </c>
      <c r="K678" s="687" t="s">
        <v>147</v>
      </c>
      <c r="L678" s="347" t="s">
        <v>20</v>
      </c>
      <c r="M678" s="687" t="s">
        <v>2598</v>
      </c>
      <c r="N678" s="684"/>
      <c r="O678" s="795"/>
      <c r="P678" s="203"/>
      <c r="Q678" s="203"/>
      <c r="R678" s="203"/>
      <c r="S678" s="203"/>
      <c r="T678" s="203"/>
      <c r="U678" s="203"/>
    </row>
    <row r="679" s="660" customFormat="1" ht="15.4" hidden="1" customHeight="1" spans="1:21">
      <c r="A679" s="687" t="s">
        <v>910</v>
      </c>
      <c r="B679" s="687" t="s">
        <v>2305</v>
      </c>
      <c r="C679" s="758" t="s">
        <v>2076</v>
      </c>
      <c r="D679" s="350">
        <f>12+32</f>
        <v>44</v>
      </c>
      <c r="E679" s="281"/>
      <c r="F679" s="703"/>
      <c r="G679" s="703">
        <f>G678</f>
        <v>45812</v>
      </c>
      <c r="H679" s="713">
        <f>H678</f>
        <v>45829</v>
      </c>
      <c r="I679" s="690" t="s">
        <v>2596</v>
      </c>
      <c r="J679" s="687" t="s">
        <v>18</v>
      </c>
      <c r="K679" s="687" t="s">
        <v>147</v>
      </c>
      <c r="L679" s="347" t="s">
        <v>20</v>
      </c>
      <c r="M679" s="794" t="s">
        <v>2599</v>
      </c>
      <c r="N679" s="684"/>
      <c r="O679" s="795"/>
      <c r="P679" s="203"/>
      <c r="Q679" s="203"/>
      <c r="R679" s="203"/>
      <c r="S679" s="203"/>
      <c r="T679" s="203"/>
      <c r="U679" s="203"/>
    </row>
    <row r="680" ht="15.4" customHeight="1" spans="1:21">
      <c r="A680" s="687" t="s">
        <v>910</v>
      </c>
      <c r="B680" s="690" t="s">
        <v>2305</v>
      </c>
      <c r="C680" s="732" t="s">
        <v>2279</v>
      </c>
      <c r="D680" s="313">
        <v>32</v>
      </c>
      <c r="E680" s="756" t="s">
        <v>2600</v>
      </c>
      <c r="F680" s="675">
        <v>45814</v>
      </c>
      <c r="G680" s="675">
        <f>VLOOKUP(CLEAN(SUBSTITUTE(TRIM(MID(E:E,FIND("/",E:E)+1,LEN(E:E)))," ","")),'Customs Decl. &amp; Local Delivery'!D:I,6,0)</f>
        <v>45820</v>
      </c>
      <c r="H680" s="790">
        <f>VLOOKUP(CLEAN(SUBSTITUTE(TRIM(MID(E:E,FIND("/",E:E)+1,LEN(E:E)))," ","")),'Customs Decl. &amp; Local Delivery'!D:J,7,0)</f>
        <v>45839</v>
      </c>
      <c r="I680" s="768" t="s">
        <v>2601</v>
      </c>
      <c r="J680" s="687" t="s">
        <v>18</v>
      </c>
      <c r="K680" s="687" t="s">
        <v>147</v>
      </c>
      <c r="L680" s="347" t="s">
        <v>20</v>
      </c>
      <c r="M680" s="687" t="s">
        <v>2602</v>
      </c>
      <c r="N680" s="684"/>
      <c r="O680" s="800"/>
      <c r="P680" s="203"/>
      <c r="Q680" s="203"/>
      <c r="R680" s="203"/>
      <c r="S680" s="203"/>
      <c r="T680" s="203"/>
      <c r="U680" s="203"/>
    </row>
    <row r="681" ht="15.4" customHeight="1" spans="1:21">
      <c r="A681" s="687" t="s">
        <v>910</v>
      </c>
      <c r="B681" s="690" t="s">
        <v>2305</v>
      </c>
      <c r="C681" s="732" t="s">
        <v>2072</v>
      </c>
      <c r="D681" s="313">
        <v>32</v>
      </c>
      <c r="E681" s="281"/>
      <c r="F681" s="675">
        <v>45814</v>
      </c>
      <c r="G681" s="703">
        <f>G680</f>
        <v>45820</v>
      </c>
      <c r="H681" s="796">
        <f>H680</f>
        <v>45839</v>
      </c>
      <c r="I681" s="685" t="s">
        <v>2601</v>
      </c>
      <c r="J681" s="687" t="s">
        <v>18</v>
      </c>
      <c r="K681" s="687" t="s">
        <v>147</v>
      </c>
      <c r="L681" s="347" t="s">
        <v>20</v>
      </c>
      <c r="M681" s="687" t="s">
        <v>2603</v>
      </c>
      <c r="N681" s="684"/>
      <c r="O681" s="800"/>
      <c r="P681" s="203"/>
      <c r="Q681" s="203"/>
      <c r="R681" s="203"/>
      <c r="S681" s="203"/>
      <c r="T681" s="203"/>
      <c r="U681" s="203"/>
    </row>
    <row r="682" ht="15.4" customHeight="1" spans="1:21">
      <c r="A682" s="687" t="s">
        <v>910</v>
      </c>
      <c r="B682" s="690" t="s">
        <v>2305</v>
      </c>
      <c r="C682" s="732" t="s">
        <v>2076</v>
      </c>
      <c r="D682" s="313">
        <v>32</v>
      </c>
      <c r="E682" s="69"/>
      <c r="F682" s="675">
        <v>45814</v>
      </c>
      <c r="G682" s="703">
        <f>G681</f>
        <v>45820</v>
      </c>
      <c r="H682" s="713">
        <f>H681</f>
        <v>45839</v>
      </c>
      <c r="I682" s="690" t="s">
        <v>2601</v>
      </c>
      <c r="J682" s="687" t="s">
        <v>18</v>
      </c>
      <c r="K682" s="687" t="s">
        <v>147</v>
      </c>
      <c r="L682" s="347" t="s">
        <v>20</v>
      </c>
      <c r="M682" s="690" t="s">
        <v>2370</v>
      </c>
      <c r="N682" s="684"/>
      <c r="O682" s="800"/>
      <c r="P682" s="203"/>
      <c r="Q682" s="203"/>
      <c r="R682" s="203"/>
      <c r="S682" s="203"/>
      <c r="T682" s="203"/>
      <c r="U682" s="203"/>
    </row>
    <row r="683" ht="15.4" customHeight="1" spans="1:21">
      <c r="A683" s="687" t="s">
        <v>910</v>
      </c>
      <c r="B683" s="690" t="s">
        <v>2305</v>
      </c>
      <c r="C683" s="732" t="s">
        <v>2279</v>
      </c>
      <c r="D683" s="313">
        <v>32</v>
      </c>
      <c r="E683" s="756" t="s">
        <v>2604</v>
      </c>
      <c r="F683" s="675">
        <v>45814</v>
      </c>
      <c r="G683" s="675">
        <f>VLOOKUP(CLEAN(SUBSTITUTE(TRIM(MID(E:E,FIND("/",E:E)+1,LEN(E:E)))," ","")),'Customs Decl. &amp; Local Delivery'!D:I,6,0)</f>
        <v>45820</v>
      </c>
      <c r="H683" s="790">
        <f>VLOOKUP(CLEAN(SUBSTITUTE(TRIM(MID(E:E,FIND("/",E:E)+1,LEN(E:E)))," ","")),'Customs Decl. &amp; Local Delivery'!D:J,7,0)</f>
        <v>45839</v>
      </c>
      <c r="I683" s="768" t="s">
        <v>2605</v>
      </c>
      <c r="J683" s="687" t="s">
        <v>18</v>
      </c>
      <c r="K683" s="687" t="s">
        <v>147</v>
      </c>
      <c r="L683" s="347" t="s">
        <v>20</v>
      </c>
      <c r="M683" s="687" t="s">
        <v>2602</v>
      </c>
      <c r="N683" s="684"/>
      <c r="O683" s="800"/>
      <c r="P683" s="203"/>
      <c r="Q683" s="203"/>
      <c r="R683" s="203"/>
      <c r="S683" s="203"/>
      <c r="T683" s="203"/>
      <c r="U683" s="203"/>
    </row>
    <row r="684" ht="15.4" customHeight="1" spans="1:21">
      <c r="A684" s="687" t="s">
        <v>910</v>
      </c>
      <c r="B684" s="690" t="s">
        <v>2305</v>
      </c>
      <c r="C684" s="732" t="s">
        <v>2072</v>
      </c>
      <c r="D684" s="313">
        <v>32</v>
      </c>
      <c r="E684" s="281"/>
      <c r="F684" s="703">
        <v>45814</v>
      </c>
      <c r="G684" s="703">
        <f>G683</f>
        <v>45820</v>
      </c>
      <c r="H684" s="713">
        <f>H683</f>
        <v>45839</v>
      </c>
      <c r="I684" s="685" t="s">
        <v>2605</v>
      </c>
      <c r="J684" s="687" t="s">
        <v>18</v>
      </c>
      <c r="K684" s="687" t="s">
        <v>147</v>
      </c>
      <c r="L684" s="347" t="s">
        <v>20</v>
      </c>
      <c r="M684" s="687" t="s">
        <v>2603</v>
      </c>
      <c r="N684" s="684"/>
      <c r="O684" s="800"/>
      <c r="P684" s="203"/>
      <c r="Q684" s="203"/>
      <c r="R684" s="203"/>
      <c r="S684" s="203"/>
      <c r="T684" s="203"/>
      <c r="U684" s="203"/>
    </row>
    <row r="685" ht="15.4" customHeight="1" spans="1:21">
      <c r="A685" s="687" t="s">
        <v>910</v>
      </c>
      <c r="B685" s="690" t="s">
        <v>2305</v>
      </c>
      <c r="C685" s="732" t="s">
        <v>2076</v>
      </c>
      <c r="D685" s="313">
        <v>32</v>
      </c>
      <c r="E685" s="69"/>
      <c r="F685" s="703">
        <v>45814</v>
      </c>
      <c r="G685" s="703">
        <f>G684</f>
        <v>45820</v>
      </c>
      <c r="H685" s="713">
        <f>H684</f>
        <v>45839</v>
      </c>
      <c r="I685" s="690" t="s">
        <v>2605</v>
      </c>
      <c r="J685" s="687" t="s">
        <v>18</v>
      </c>
      <c r="K685" s="687" t="s">
        <v>147</v>
      </c>
      <c r="L685" s="347" t="s">
        <v>20</v>
      </c>
      <c r="M685" s="690" t="s">
        <v>2370</v>
      </c>
      <c r="N685" s="684"/>
      <c r="O685" s="800"/>
      <c r="P685" s="203"/>
      <c r="Q685" s="203"/>
      <c r="R685" s="203"/>
      <c r="S685" s="203"/>
      <c r="T685" s="203"/>
      <c r="U685" s="203"/>
    </row>
    <row r="686" s="660" customFormat="1" ht="15.4" customHeight="1" spans="1:21">
      <c r="A686" s="687" t="s">
        <v>1507</v>
      </c>
      <c r="B686" s="687" t="s">
        <v>2557</v>
      </c>
      <c r="C686" s="732" t="s">
        <v>2182</v>
      </c>
      <c r="D686" s="313">
        <v>50</v>
      </c>
      <c r="E686" s="671" t="s">
        <v>2606</v>
      </c>
      <c r="F686" s="675" t="s">
        <v>309</v>
      </c>
      <c r="G686" s="793">
        <v>45821</v>
      </c>
      <c r="H686" s="782">
        <v>45827</v>
      </c>
      <c r="I686" s="801" t="s">
        <v>2607</v>
      </c>
      <c r="J686" s="751" t="s">
        <v>18</v>
      </c>
      <c r="K686" s="750" t="s">
        <v>147</v>
      </c>
      <c r="L686" s="347" t="s">
        <v>20</v>
      </c>
      <c r="M686" s="674" t="s">
        <v>2608</v>
      </c>
      <c r="N686" s="802"/>
      <c r="O686" s="795"/>
      <c r="P686" s="803"/>
      <c r="Q686" s="203"/>
      <c r="R686" s="203"/>
      <c r="S686" s="203"/>
      <c r="T686" s="203"/>
      <c r="U686" s="203"/>
    </row>
    <row r="687" ht="15.4" customHeight="1" spans="1:21">
      <c r="A687" s="687" t="s">
        <v>910</v>
      </c>
      <c r="B687" s="687" t="s">
        <v>2372</v>
      </c>
      <c r="C687" s="732" t="s">
        <v>2087</v>
      </c>
      <c r="D687" s="250">
        <v>36</v>
      </c>
      <c r="E687" s="756" t="s">
        <v>2609</v>
      </c>
      <c r="F687" s="675">
        <v>45794</v>
      </c>
      <c r="G687" s="675">
        <f>VLOOKUP(CLEAN(SUBSTITUTE(TRIM(MID(E:E,FIND("/",E:E)+1,LEN(E:E)))," ","")),'Customs Decl. &amp; Local Delivery'!D:I,6,0)</f>
        <v>45828</v>
      </c>
      <c r="H687" s="790">
        <f>VLOOKUP(CLEAN(SUBSTITUTE(TRIM(MID(E:E,FIND("/",E:E)+1,LEN(E:E)))," ","")),'Customs Decl. &amp; Local Delivery'!D:J,7,0)</f>
        <v>45856</v>
      </c>
      <c r="I687" s="671" t="s">
        <v>2610</v>
      </c>
      <c r="J687" s="687" t="s">
        <v>18</v>
      </c>
      <c r="K687" s="750" t="s">
        <v>19</v>
      </c>
      <c r="L687" s="786" t="s">
        <v>20</v>
      </c>
      <c r="M687" s="780" t="s">
        <v>2611</v>
      </c>
      <c r="N687" s="684"/>
      <c r="O687" s="800"/>
      <c r="P687" s="512"/>
      <c r="Q687" s="512"/>
      <c r="R687" s="512"/>
      <c r="S687" s="512"/>
      <c r="T687" s="512"/>
      <c r="U687" s="512"/>
    </row>
    <row r="688" ht="15.4" customHeight="1" spans="1:21">
      <c r="A688" s="687" t="s">
        <v>910</v>
      </c>
      <c r="B688" s="687" t="s">
        <v>2372</v>
      </c>
      <c r="C688" s="732" t="s">
        <v>2090</v>
      </c>
      <c r="D688" s="250">
        <v>50</v>
      </c>
      <c r="E688" s="281"/>
      <c r="F688" s="703">
        <v>45794</v>
      </c>
      <c r="G688" s="703">
        <f t="shared" ref="G688:G693" si="26">G687</f>
        <v>45828</v>
      </c>
      <c r="H688" s="713">
        <f t="shared" ref="H688:H693" si="27">H687</f>
        <v>45856</v>
      </c>
      <c r="I688" s="690" t="s">
        <v>2610</v>
      </c>
      <c r="J688" s="687" t="s">
        <v>18</v>
      </c>
      <c r="K688" s="750" t="s">
        <v>19</v>
      </c>
      <c r="L688" s="786" t="s">
        <v>20</v>
      </c>
      <c r="M688" s="780"/>
      <c r="N688" s="684"/>
      <c r="O688" s="800"/>
      <c r="P688" s="512"/>
      <c r="Q688" s="512"/>
      <c r="R688" s="512"/>
      <c r="S688" s="512"/>
      <c r="T688" s="512"/>
      <c r="U688" s="512"/>
    </row>
    <row r="689" ht="15.4" customHeight="1" spans="1:21">
      <c r="A689" s="687" t="s">
        <v>910</v>
      </c>
      <c r="B689" s="687" t="s">
        <v>2372</v>
      </c>
      <c r="C689" s="732" t="s">
        <v>2092</v>
      </c>
      <c r="D689" s="250">
        <v>15</v>
      </c>
      <c r="E689" s="281"/>
      <c r="F689" s="703">
        <v>45794</v>
      </c>
      <c r="G689" s="703">
        <f t="shared" si="26"/>
        <v>45828</v>
      </c>
      <c r="H689" s="713">
        <f t="shared" si="27"/>
        <v>45856</v>
      </c>
      <c r="I689" s="690" t="s">
        <v>2610</v>
      </c>
      <c r="J689" s="687" t="s">
        <v>18</v>
      </c>
      <c r="K689" s="750" t="s">
        <v>19</v>
      </c>
      <c r="L689" s="786" t="s">
        <v>20</v>
      </c>
      <c r="M689" s="687"/>
      <c r="N689" s="684"/>
      <c r="O689" s="800"/>
      <c r="P689" s="512"/>
      <c r="Q689" s="512"/>
      <c r="R689" s="512"/>
      <c r="S689" s="512"/>
      <c r="T689" s="512"/>
      <c r="U689" s="512"/>
    </row>
    <row r="690" ht="15.4" customHeight="1" spans="1:21">
      <c r="A690" s="687" t="s">
        <v>910</v>
      </c>
      <c r="B690" s="687" t="s">
        <v>2372</v>
      </c>
      <c r="C690" s="732" t="s">
        <v>2093</v>
      </c>
      <c r="D690" s="250">
        <v>15</v>
      </c>
      <c r="E690" s="281"/>
      <c r="F690" s="703">
        <v>45794</v>
      </c>
      <c r="G690" s="703">
        <f t="shared" si="26"/>
        <v>45828</v>
      </c>
      <c r="H690" s="713">
        <f t="shared" si="27"/>
        <v>45856</v>
      </c>
      <c r="I690" s="690" t="s">
        <v>2610</v>
      </c>
      <c r="J690" s="687" t="s">
        <v>18</v>
      </c>
      <c r="K690" s="750" t="s">
        <v>19</v>
      </c>
      <c r="L690" s="786" t="s">
        <v>20</v>
      </c>
      <c r="M690" s="687"/>
      <c r="N690" s="684"/>
      <c r="O690" s="800"/>
      <c r="P690" s="512"/>
      <c r="Q690" s="512"/>
      <c r="R690" s="512"/>
      <c r="S690" s="512"/>
      <c r="T690" s="512"/>
      <c r="U690" s="512"/>
    </row>
    <row r="691" ht="15.4" customHeight="1" spans="1:21">
      <c r="A691" s="687" t="s">
        <v>910</v>
      </c>
      <c r="B691" s="687" t="s">
        <v>2305</v>
      </c>
      <c r="C691" s="732" t="s">
        <v>2094</v>
      </c>
      <c r="D691" s="250">
        <v>10</v>
      </c>
      <c r="E691" s="281"/>
      <c r="F691" s="703">
        <v>45794</v>
      </c>
      <c r="G691" s="703">
        <f t="shared" si="26"/>
        <v>45828</v>
      </c>
      <c r="H691" s="713">
        <f t="shared" si="27"/>
        <v>45856</v>
      </c>
      <c r="I691" s="690" t="s">
        <v>2610</v>
      </c>
      <c r="J691" s="687" t="s">
        <v>18</v>
      </c>
      <c r="K691" s="750" t="s">
        <v>19</v>
      </c>
      <c r="L691" s="786" t="s">
        <v>20</v>
      </c>
      <c r="M691" s="687"/>
      <c r="N691" s="684"/>
      <c r="O691" s="800"/>
      <c r="P691" s="512"/>
      <c r="Q691" s="512"/>
      <c r="R691" s="512"/>
      <c r="S691" s="512"/>
      <c r="T691" s="512"/>
      <c r="U691" s="512"/>
    </row>
    <row r="692" ht="15.4" customHeight="1" spans="1:21">
      <c r="A692" s="687" t="s">
        <v>2453</v>
      </c>
      <c r="B692" s="690" t="s">
        <v>2490</v>
      </c>
      <c r="C692" s="732" t="s">
        <v>2340</v>
      </c>
      <c r="D692" s="250">
        <v>10</v>
      </c>
      <c r="E692" s="281"/>
      <c r="F692" s="703">
        <v>45794</v>
      </c>
      <c r="G692" s="703">
        <f t="shared" si="26"/>
        <v>45828</v>
      </c>
      <c r="H692" s="713">
        <f t="shared" si="27"/>
        <v>45856</v>
      </c>
      <c r="I692" s="690" t="s">
        <v>2610</v>
      </c>
      <c r="J692" s="687" t="s">
        <v>18</v>
      </c>
      <c r="K692" s="750" t="s">
        <v>19</v>
      </c>
      <c r="L692" s="786" t="s">
        <v>20</v>
      </c>
      <c r="M692" s="687" t="s">
        <v>2612</v>
      </c>
      <c r="N692" s="684"/>
      <c r="O692" s="800"/>
      <c r="P692" s="512"/>
      <c r="Q692" s="512"/>
      <c r="R692" s="512"/>
      <c r="S692" s="512"/>
      <c r="T692" s="512"/>
      <c r="U692" s="512"/>
    </row>
    <row r="693" ht="15.4" customHeight="1" spans="1:21">
      <c r="A693" s="687" t="s">
        <v>910</v>
      </c>
      <c r="B693" s="687" t="s">
        <v>2305</v>
      </c>
      <c r="C693" s="732" t="s">
        <v>2095</v>
      </c>
      <c r="D693" s="250">
        <v>20</v>
      </c>
      <c r="E693" s="281"/>
      <c r="F693" s="703">
        <v>45794</v>
      </c>
      <c r="G693" s="703">
        <f t="shared" si="26"/>
        <v>45828</v>
      </c>
      <c r="H693" s="713">
        <f t="shared" si="27"/>
        <v>45856</v>
      </c>
      <c r="I693" s="690" t="s">
        <v>2610</v>
      </c>
      <c r="J693" s="687" t="s">
        <v>18</v>
      </c>
      <c r="K693" s="750" t="s">
        <v>19</v>
      </c>
      <c r="L693" s="786" t="s">
        <v>20</v>
      </c>
      <c r="M693" s="687"/>
      <c r="N693" s="684"/>
      <c r="O693" s="800"/>
      <c r="P693" s="512"/>
      <c r="Q693" s="512"/>
      <c r="R693" s="512"/>
      <c r="S693" s="512"/>
      <c r="T693" s="512"/>
      <c r="U693" s="512"/>
    </row>
    <row r="694" ht="16.5" customHeight="1" spans="1:21">
      <c r="A694" s="687" t="s">
        <v>910</v>
      </c>
      <c r="B694" s="687" t="s">
        <v>2372</v>
      </c>
      <c r="C694" s="732" t="s">
        <v>2087</v>
      </c>
      <c r="D694" s="250">
        <v>36</v>
      </c>
      <c r="E694" s="674" t="s">
        <v>2613</v>
      </c>
      <c r="F694" s="675">
        <v>45800</v>
      </c>
      <c r="G694" s="675">
        <f>VLOOKUP(CLEAN(SUBSTITUTE(TRIM(MID(E:E,FIND("/",E:E)+1,LEN(E:E)))," ","")),'Customs Decl. &amp; Local Delivery'!D:I,6,0)</f>
        <v>45828</v>
      </c>
      <c r="H694" s="790">
        <f>VLOOKUP(CLEAN(SUBSTITUTE(TRIM(MID(E:E,FIND("/",E:E)+1,LEN(E:E)))," ","")),'Customs Decl. &amp; Local Delivery'!D:J,7,0)</f>
        <v>45856</v>
      </c>
      <c r="I694" s="671" t="s">
        <v>2614</v>
      </c>
      <c r="J694" s="687" t="s">
        <v>18</v>
      </c>
      <c r="K694" s="750" t="s">
        <v>19</v>
      </c>
      <c r="L694" s="786" t="s">
        <v>20</v>
      </c>
      <c r="M694" s="687" t="s">
        <v>2615</v>
      </c>
      <c r="N694" s="684"/>
      <c r="O694" s="800"/>
      <c r="P694" s="512"/>
      <c r="Q694" s="512"/>
      <c r="R694" s="512"/>
      <c r="S694" s="512"/>
      <c r="T694" s="512"/>
      <c r="U694" s="512"/>
    </row>
    <row r="695" ht="16.5" customHeight="1" spans="1:21">
      <c r="A695" s="687" t="s">
        <v>910</v>
      </c>
      <c r="B695" s="687" t="s">
        <v>2372</v>
      </c>
      <c r="C695" s="732" t="s">
        <v>2090</v>
      </c>
      <c r="D695" s="250">
        <v>50</v>
      </c>
      <c r="E695" s="281"/>
      <c r="F695" s="703">
        <v>45800</v>
      </c>
      <c r="G695" s="703">
        <f t="shared" ref="G695:G700" si="28">G694</f>
        <v>45828</v>
      </c>
      <c r="H695" s="713">
        <f t="shared" ref="H695:H700" si="29">H694</f>
        <v>45856</v>
      </c>
      <c r="I695" s="671" t="s">
        <v>2614</v>
      </c>
      <c r="J695" s="687" t="s">
        <v>18</v>
      </c>
      <c r="K695" s="750" t="s">
        <v>19</v>
      </c>
      <c r="L695" s="786" t="s">
        <v>20</v>
      </c>
      <c r="M695" s="690" t="s">
        <v>2616</v>
      </c>
      <c r="N695" s="684"/>
      <c r="O695" s="800"/>
      <c r="P695" s="512"/>
      <c r="Q695" s="512"/>
      <c r="R695" s="512"/>
      <c r="S695" s="512"/>
      <c r="T695" s="512"/>
      <c r="U695" s="512"/>
    </row>
    <row r="696" ht="16.5" customHeight="1" spans="1:21">
      <c r="A696" s="687" t="s">
        <v>910</v>
      </c>
      <c r="B696" s="687" t="s">
        <v>2372</v>
      </c>
      <c r="C696" s="732" t="s">
        <v>2092</v>
      </c>
      <c r="D696" s="250">
        <v>15</v>
      </c>
      <c r="E696" s="281"/>
      <c r="F696" s="703">
        <v>45800</v>
      </c>
      <c r="G696" s="703">
        <f t="shared" si="28"/>
        <v>45828</v>
      </c>
      <c r="H696" s="713">
        <f t="shared" si="29"/>
        <v>45856</v>
      </c>
      <c r="I696" s="671" t="s">
        <v>2614</v>
      </c>
      <c r="J696" s="687" t="s">
        <v>18</v>
      </c>
      <c r="K696" s="750" t="s">
        <v>19</v>
      </c>
      <c r="L696" s="786" t="s">
        <v>20</v>
      </c>
      <c r="M696" s="687"/>
      <c r="N696" s="688"/>
      <c r="O696" s="800"/>
      <c r="P696" s="512"/>
      <c r="Q696" s="512"/>
      <c r="R696" s="512"/>
      <c r="S696" s="512"/>
      <c r="T696" s="512"/>
      <c r="U696" s="512"/>
    </row>
    <row r="697" ht="16.5" customHeight="1" spans="1:21">
      <c r="A697" s="687" t="s">
        <v>910</v>
      </c>
      <c r="B697" s="687" t="s">
        <v>2372</v>
      </c>
      <c r="C697" s="732" t="s">
        <v>2093</v>
      </c>
      <c r="D697" s="250">
        <v>15</v>
      </c>
      <c r="E697" s="281"/>
      <c r="F697" s="703">
        <v>45800</v>
      </c>
      <c r="G697" s="703">
        <f t="shared" si="28"/>
        <v>45828</v>
      </c>
      <c r="H697" s="713">
        <f t="shared" si="29"/>
        <v>45856</v>
      </c>
      <c r="I697" s="671" t="s">
        <v>2614</v>
      </c>
      <c r="J697" s="687" t="s">
        <v>18</v>
      </c>
      <c r="K697" s="750" t="s">
        <v>19</v>
      </c>
      <c r="L697" s="786" t="s">
        <v>20</v>
      </c>
      <c r="M697" s="687"/>
      <c r="N697" s="688"/>
      <c r="O697" s="800"/>
      <c r="P697" s="512"/>
      <c r="Q697" s="512"/>
      <c r="R697" s="512"/>
      <c r="S697" s="512"/>
      <c r="T697" s="512"/>
      <c r="U697" s="512"/>
    </row>
    <row r="698" ht="16.5" customHeight="1" spans="1:21">
      <c r="A698" s="687" t="s">
        <v>910</v>
      </c>
      <c r="B698" s="687" t="s">
        <v>2305</v>
      </c>
      <c r="C698" s="732" t="s">
        <v>2094</v>
      </c>
      <c r="D698" s="250">
        <v>10</v>
      </c>
      <c r="E698" s="281"/>
      <c r="F698" s="703">
        <v>45800</v>
      </c>
      <c r="G698" s="703">
        <f t="shared" si="28"/>
        <v>45828</v>
      </c>
      <c r="H698" s="713">
        <f t="shared" si="29"/>
        <v>45856</v>
      </c>
      <c r="I698" s="671" t="s">
        <v>2614</v>
      </c>
      <c r="J698" s="687" t="s">
        <v>18</v>
      </c>
      <c r="K698" s="750" t="s">
        <v>19</v>
      </c>
      <c r="L698" s="786" t="s">
        <v>20</v>
      </c>
      <c r="M698" s="687"/>
      <c r="N698" s="688"/>
      <c r="O698" s="800"/>
      <c r="P698" s="512"/>
      <c r="Q698" s="512"/>
      <c r="R698" s="512"/>
      <c r="S698" s="512"/>
      <c r="T698" s="512"/>
      <c r="U698" s="512"/>
    </row>
    <row r="699" ht="16.5" customHeight="1" spans="1:21">
      <c r="A699" s="687" t="s">
        <v>2453</v>
      </c>
      <c r="B699" s="690" t="s">
        <v>2490</v>
      </c>
      <c r="C699" s="732" t="s">
        <v>2340</v>
      </c>
      <c r="D699" s="250">
        <v>10</v>
      </c>
      <c r="E699" s="281"/>
      <c r="F699" s="703">
        <v>45800</v>
      </c>
      <c r="G699" s="703">
        <f t="shared" si="28"/>
        <v>45828</v>
      </c>
      <c r="H699" s="713">
        <f t="shared" si="29"/>
        <v>45856</v>
      </c>
      <c r="I699" s="671" t="s">
        <v>2614</v>
      </c>
      <c r="J699" s="687" t="s">
        <v>18</v>
      </c>
      <c r="K699" s="750" t="s">
        <v>19</v>
      </c>
      <c r="L699" s="786" t="s">
        <v>20</v>
      </c>
      <c r="M699" s="687" t="s">
        <v>2612</v>
      </c>
      <c r="N699" s="688"/>
      <c r="O699" s="800"/>
      <c r="P699" s="512"/>
      <c r="Q699" s="512"/>
      <c r="R699" s="512"/>
      <c r="S699" s="512"/>
      <c r="T699" s="512"/>
      <c r="U699" s="512"/>
    </row>
    <row r="700" ht="16.5" customHeight="1" spans="1:21">
      <c r="A700" s="687" t="s">
        <v>910</v>
      </c>
      <c r="B700" s="687" t="s">
        <v>2305</v>
      </c>
      <c r="C700" s="732" t="s">
        <v>2095</v>
      </c>
      <c r="D700" s="250">
        <v>20</v>
      </c>
      <c r="E700" s="281"/>
      <c r="F700" s="703">
        <v>45800</v>
      </c>
      <c r="G700" s="703">
        <f t="shared" si="28"/>
        <v>45828</v>
      </c>
      <c r="H700" s="713">
        <f t="shared" si="29"/>
        <v>45856</v>
      </c>
      <c r="I700" s="671" t="s">
        <v>2614</v>
      </c>
      <c r="J700" s="687" t="s">
        <v>18</v>
      </c>
      <c r="K700" s="750" t="s">
        <v>19</v>
      </c>
      <c r="L700" s="786" t="s">
        <v>20</v>
      </c>
      <c r="M700" s="687"/>
      <c r="N700" s="688"/>
      <c r="O700" s="800"/>
      <c r="P700" s="512"/>
      <c r="Q700" s="512"/>
      <c r="R700" s="512"/>
      <c r="S700" s="512"/>
      <c r="T700" s="512"/>
      <c r="U700" s="512"/>
    </row>
    <row r="701" ht="16.5" customHeight="1" spans="1:21">
      <c r="A701" s="687" t="s">
        <v>910</v>
      </c>
      <c r="B701" s="687" t="s">
        <v>2372</v>
      </c>
      <c r="C701" s="732" t="s">
        <v>2087</v>
      </c>
      <c r="D701" s="250">
        <v>36</v>
      </c>
      <c r="E701" s="674" t="s">
        <v>2617</v>
      </c>
      <c r="F701" s="675">
        <v>45800</v>
      </c>
      <c r="G701" s="675">
        <f>VLOOKUP(CLEAN(SUBSTITUTE(TRIM(MID(E:E,FIND("/",E:E)+1,LEN(E:E)))," ","")),'Customs Decl. &amp; Local Delivery'!D:I,6,0)</f>
        <v>45828</v>
      </c>
      <c r="H701" s="790">
        <f>VLOOKUP(CLEAN(SUBSTITUTE(TRIM(MID(E:E,FIND("/",E:E)+1,LEN(E:E)))," ","")),'Customs Decl. &amp; Local Delivery'!D:J,7,0)</f>
        <v>45856</v>
      </c>
      <c r="I701" s="671" t="s">
        <v>2618</v>
      </c>
      <c r="J701" s="687" t="s">
        <v>18</v>
      </c>
      <c r="K701" s="687" t="s">
        <v>2619</v>
      </c>
      <c r="L701" s="786" t="s">
        <v>20</v>
      </c>
      <c r="M701" s="687" t="s">
        <v>2620</v>
      </c>
      <c r="N701" s="688"/>
      <c r="O701" s="800"/>
      <c r="P701" s="512"/>
      <c r="Q701" s="512"/>
      <c r="R701" s="512"/>
      <c r="S701" s="512"/>
      <c r="T701" s="512"/>
      <c r="U701" s="512"/>
    </row>
    <row r="702" ht="16.5" customHeight="1" spans="1:21">
      <c r="A702" s="687" t="s">
        <v>910</v>
      </c>
      <c r="B702" s="687" t="s">
        <v>2372</v>
      </c>
      <c r="C702" s="732" t="s">
        <v>2090</v>
      </c>
      <c r="D702" s="250">
        <v>50</v>
      </c>
      <c r="E702" s="281"/>
      <c r="F702" s="703">
        <v>45800</v>
      </c>
      <c r="G702" s="703">
        <f t="shared" ref="G702:G708" si="30">G701</f>
        <v>45828</v>
      </c>
      <c r="H702" s="713">
        <f t="shared" ref="H702:H708" si="31">H701</f>
        <v>45856</v>
      </c>
      <c r="I702" s="671" t="s">
        <v>2618</v>
      </c>
      <c r="J702" s="687" t="s">
        <v>18</v>
      </c>
      <c r="K702" s="687" t="s">
        <v>2619</v>
      </c>
      <c r="L702" s="786" t="s">
        <v>20</v>
      </c>
      <c r="M702" s="690" t="s">
        <v>2616</v>
      </c>
      <c r="N702" s="684"/>
      <c r="O702" s="800"/>
      <c r="P702" s="512"/>
      <c r="Q702" s="512"/>
      <c r="R702" s="512"/>
      <c r="S702" s="512"/>
      <c r="T702" s="512"/>
      <c r="U702" s="512"/>
    </row>
    <row r="703" ht="16.5" customHeight="1" spans="1:21">
      <c r="A703" s="687" t="s">
        <v>910</v>
      </c>
      <c r="B703" s="687" t="s">
        <v>2372</v>
      </c>
      <c r="C703" s="732" t="s">
        <v>2092</v>
      </c>
      <c r="D703" s="250">
        <v>15</v>
      </c>
      <c r="E703" s="281"/>
      <c r="F703" s="703">
        <v>45800</v>
      </c>
      <c r="G703" s="703">
        <f t="shared" si="30"/>
        <v>45828</v>
      </c>
      <c r="H703" s="713">
        <f t="shared" si="31"/>
        <v>45856</v>
      </c>
      <c r="I703" s="671" t="s">
        <v>2618</v>
      </c>
      <c r="J703" s="687" t="s">
        <v>18</v>
      </c>
      <c r="K703" s="687" t="s">
        <v>2619</v>
      </c>
      <c r="L703" s="786" t="s">
        <v>20</v>
      </c>
      <c r="M703" s="687"/>
      <c r="N703" s="688"/>
      <c r="O703" s="800"/>
      <c r="P703" s="512"/>
      <c r="Q703" s="512"/>
      <c r="R703" s="512"/>
      <c r="S703" s="512"/>
      <c r="T703" s="512"/>
      <c r="U703" s="512"/>
    </row>
    <row r="704" ht="16.5" customHeight="1" spans="1:21">
      <c r="A704" s="687" t="s">
        <v>910</v>
      </c>
      <c r="B704" s="687" t="s">
        <v>2372</v>
      </c>
      <c r="C704" s="758" t="s">
        <v>2093</v>
      </c>
      <c r="D704" s="351">
        <v>0</v>
      </c>
      <c r="E704" s="281"/>
      <c r="F704" s="703">
        <v>45800</v>
      </c>
      <c r="G704" s="703">
        <f t="shared" si="30"/>
        <v>45828</v>
      </c>
      <c r="H704" s="713">
        <f t="shared" si="31"/>
        <v>45856</v>
      </c>
      <c r="I704" s="671" t="s">
        <v>2618</v>
      </c>
      <c r="J704" s="687" t="s">
        <v>18</v>
      </c>
      <c r="K704" s="687" t="s">
        <v>2619</v>
      </c>
      <c r="L704" s="786" t="s">
        <v>20</v>
      </c>
      <c r="M704" s="780" t="s">
        <v>2621</v>
      </c>
      <c r="N704" s="688"/>
      <c r="O704" s="800"/>
      <c r="P704" s="512"/>
      <c r="Q704" s="512"/>
      <c r="R704" s="512"/>
      <c r="S704" s="512"/>
      <c r="T704" s="512"/>
      <c r="U704" s="512"/>
    </row>
    <row r="705" ht="16.5" customHeight="1" spans="1:21">
      <c r="A705" s="687" t="s">
        <v>910</v>
      </c>
      <c r="B705" s="687" t="s">
        <v>2305</v>
      </c>
      <c r="C705" s="758" t="s">
        <v>2094</v>
      </c>
      <c r="D705" s="351">
        <v>10</v>
      </c>
      <c r="E705" s="281"/>
      <c r="F705" s="703">
        <v>45800</v>
      </c>
      <c r="G705" s="703">
        <f t="shared" si="30"/>
        <v>45828</v>
      </c>
      <c r="H705" s="713">
        <f t="shared" si="31"/>
        <v>45856</v>
      </c>
      <c r="I705" s="671" t="s">
        <v>2618</v>
      </c>
      <c r="J705" s="687" t="s">
        <v>18</v>
      </c>
      <c r="K705" s="687" t="s">
        <v>2619</v>
      </c>
      <c r="L705" s="786" t="s">
        <v>20</v>
      </c>
      <c r="M705" s="780"/>
      <c r="N705" s="688"/>
      <c r="O705" s="800"/>
      <c r="P705" s="512"/>
      <c r="Q705" s="512"/>
      <c r="R705" s="512"/>
      <c r="S705" s="512"/>
      <c r="T705" s="512"/>
      <c r="U705" s="512"/>
    </row>
    <row r="706" ht="16.5" customHeight="1" spans="1:21">
      <c r="A706" s="687" t="s">
        <v>2453</v>
      </c>
      <c r="B706" s="690" t="s">
        <v>2490</v>
      </c>
      <c r="C706" s="758" t="s">
        <v>2340</v>
      </c>
      <c r="D706" s="740">
        <v>10</v>
      </c>
      <c r="E706" s="289"/>
      <c r="F706" s="703">
        <v>45800</v>
      </c>
      <c r="G706" s="703">
        <f t="shared" si="30"/>
        <v>45828</v>
      </c>
      <c r="H706" s="713">
        <f t="shared" si="31"/>
        <v>45856</v>
      </c>
      <c r="I706" s="671" t="s">
        <v>2618</v>
      </c>
      <c r="J706" s="687" t="s">
        <v>18</v>
      </c>
      <c r="K706" s="687" t="s">
        <v>2619</v>
      </c>
      <c r="L706" s="786" t="s">
        <v>20</v>
      </c>
      <c r="M706" s="780" t="s">
        <v>2612</v>
      </c>
      <c r="N706" s="688"/>
      <c r="O706" s="800"/>
      <c r="P706" s="512"/>
      <c r="Q706" s="512"/>
      <c r="R706" s="512"/>
      <c r="S706" s="512"/>
      <c r="T706" s="512"/>
      <c r="U706" s="512"/>
    </row>
    <row r="707" ht="16.5" customHeight="1" spans="1:21">
      <c r="A707" s="687" t="s">
        <v>2453</v>
      </c>
      <c r="B707" s="690" t="s">
        <v>2490</v>
      </c>
      <c r="C707" s="758" t="s">
        <v>2095</v>
      </c>
      <c r="D707" s="740">
        <v>10</v>
      </c>
      <c r="E707" s="281"/>
      <c r="F707" s="703">
        <v>45800</v>
      </c>
      <c r="G707" s="703">
        <f t="shared" si="30"/>
        <v>45828</v>
      </c>
      <c r="H707" s="713">
        <f t="shared" si="31"/>
        <v>45856</v>
      </c>
      <c r="I707" s="671" t="s">
        <v>2618</v>
      </c>
      <c r="J707" s="687" t="s">
        <v>18</v>
      </c>
      <c r="K707" s="687" t="s">
        <v>2619</v>
      </c>
      <c r="L707" s="786" t="s">
        <v>20</v>
      </c>
      <c r="M707" s="780" t="s">
        <v>2612</v>
      </c>
      <c r="N707" s="688"/>
      <c r="O707" s="800"/>
      <c r="P707" s="512"/>
      <c r="Q707" s="512"/>
      <c r="R707" s="512"/>
      <c r="S707" s="512"/>
      <c r="T707" s="512"/>
      <c r="U707" s="512"/>
    </row>
    <row r="708" ht="16.5" customHeight="1" spans="1:21">
      <c r="A708" s="687" t="s">
        <v>910</v>
      </c>
      <c r="B708" s="687" t="s">
        <v>2305</v>
      </c>
      <c r="C708" s="758" t="s">
        <v>2095</v>
      </c>
      <c r="D708" s="351">
        <v>10</v>
      </c>
      <c r="E708" s="281"/>
      <c r="F708" s="703">
        <v>45800</v>
      </c>
      <c r="G708" s="703">
        <f t="shared" si="30"/>
        <v>45828</v>
      </c>
      <c r="H708" s="713">
        <f t="shared" si="31"/>
        <v>45856</v>
      </c>
      <c r="I708" s="671" t="s">
        <v>2618</v>
      </c>
      <c r="J708" s="687" t="s">
        <v>18</v>
      </c>
      <c r="K708" s="687" t="s">
        <v>2619</v>
      </c>
      <c r="L708" s="786" t="s">
        <v>20</v>
      </c>
      <c r="M708" s="780"/>
      <c r="N708" s="688"/>
      <c r="O708" s="800"/>
      <c r="P708" s="512"/>
      <c r="Q708" s="512"/>
      <c r="R708" s="512"/>
      <c r="S708" s="512"/>
      <c r="T708" s="512"/>
      <c r="U708" s="512"/>
    </row>
    <row r="709" ht="16.5" customHeight="1" spans="1:21">
      <c r="A709" s="687" t="s">
        <v>910</v>
      </c>
      <c r="B709" s="687" t="s">
        <v>2372</v>
      </c>
      <c r="C709" s="758" t="s">
        <v>2087</v>
      </c>
      <c r="D709" s="351">
        <v>36</v>
      </c>
      <c r="E709" s="674" t="s">
        <v>2622</v>
      </c>
      <c r="F709" s="675">
        <v>45800</v>
      </c>
      <c r="G709" s="675">
        <f>VLOOKUP(CLEAN(SUBSTITUTE(TRIM(MID(E:E,FIND("/",E:E)+1,LEN(E:E)))," ","")),'Customs Decl. &amp; Local Delivery'!D:I,6,0)</f>
        <v>45828</v>
      </c>
      <c r="H709" s="790">
        <f>VLOOKUP(CLEAN(SUBSTITUTE(TRIM(MID(E:E,FIND("/",E:E)+1,LEN(E:E)))," ","")),'Customs Decl. &amp; Local Delivery'!D:J,7,0)</f>
        <v>45856</v>
      </c>
      <c r="I709" s="671" t="s">
        <v>2623</v>
      </c>
      <c r="J709" s="687" t="s">
        <v>18</v>
      </c>
      <c r="K709" s="690" t="s">
        <v>654</v>
      </c>
      <c r="L709" s="786" t="s">
        <v>20</v>
      </c>
      <c r="M709" s="780" t="s">
        <v>2616</v>
      </c>
      <c r="N709" s="684"/>
      <c r="O709" s="800"/>
      <c r="P709" s="203"/>
      <c r="Q709" s="203"/>
      <c r="R709" s="203"/>
      <c r="S709" s="203"/>
      <c r="T709" s="203"/>
      <c r="U709" s="203"/>
    </row>
    <row r="710" ht="16.5" customHeight="1" spans="1:21">
      <c r="A710" s="687" t="s">
        <v>910</v>
      </c>
      <c r="B710" s="687" t="s">
        <v>2372</v>
      </c>
      <c r="C710" s="758" t="s">
        <v>2090</v>
      </c>
      <c r="D710" s="351">
        <v>40</v>
      </c>
      <c r="E710" s="281"/>
      <c r="F710" s="703">
        <v>45800</v>
      </c>
      <c r="G710" s="703">
        <f t="shared" ref="G710:G715" si="32">G709</f>
        <v>45828</v>
      </c>
      <c r="H710" s="713">
        <f t="shared" ref="H710:H715" si="33">H709</f>
        <v>45856</v>
      </c>
      <c r="I710" s="671" t="s">
        <v>2623</v>
      </c>
      <c r="J710" s="687" t="s">
        <v>18</v>
      </c>
      <c r="K710" s="690" t="s">
        <v>654</v>
      </c>
      <c r="L710" s="786" t="s">
        <v>20</v>
      </c>
      <c r="M710" s="780" t="s">
        <v>2624</v>
      </c>
      <c r="N710" s="684"/>
      <c r="O710" s="800"/>
      <c r="P710" s="203"/>
      <c r="Q710" s="203"/>
      <c r="R710" s="203"/>
      <c r="S710" s="203"/>
      <c r="T710" s="203"/>
      <c r="U710" s="203"/>
    </row>
    <row r="711" ht="16.5" customHeight="1" spans="1:21">
      <c r="A711" s="687" t="s">
        <v>910</v>
      </c>
      <c r="B711" s="687" t="s">
        <v>2372</v>
      </c>
      <c r="C711" s="732" t="s">
        <v>2092</v>
      </c>
      <c r="D711" s="250">
        <v>15</v>
      </c>
      <c r="E711" s="289"/>
      <c r="F711" s="703">
        <v>45800</v>
      </c>
      <c r="G711" s="703">
        <f t="shared" si="32"/>
        <v>45828</v>
      </c>
      <c r="H711" s="713">
        <f t="shared" si="33"/>
        <v>45856</v>
      </c>
      <c r="I711" s="671" t="s">
        <v>2623</v>
      </c>
      <c r="J711" s="687" t="s">
        <v>18</v>
      </c>
      <c r="K711" s="690" t="s">
        <v>654</v>
      </c>
      <c r="L711" s="786" t="s">
        <v>20</v>
      </c>
      <c r="M711" s="687"/>
      <c r="N711" s="684"/>
      <c r="O711" s="800"/>
      <c r="P711" s="203"/>
      <c r="Q711" s="203"/>
      <c r="R711" s="203"/>
      <c r="S711" s="203"/>
      <c r="T711" s="203"/>
      <c r="U711" s="203"/>
    </row>
    <row r="712" ht="16.5" customHeight="1" spans="1:21">
      <c r="A712" s="687" t="s">
        <v>910</v>
      </c>
      <c r="B712" s="687" t="s">
        <v>2372</v>
      </c>
      <c r="C712" s="732" t="s">
        <v>2093</v>
      </c>
      <c r="D712" s="250">
        <v>15</v>
      </c>
      <c r="E712" s="281"/>
      <c r="F712" s="703">
        <v>45800</v>
      </c>
      <c r="G712" s="703">
        <f t="shared" si="32"/>
        <v>45828</v>
      </c>
      <c r="H712" s="713">
        <f t="shared" si="33"/>
        <v>45856</v>
      </c>
      <c r="I712" s="671" t="s">
        <v>2623</v>
      </c>
      <c r="J712" s="687" t="s">
        <v>18</v>
      </c>
      <c r="K712" s="690" t="s">
        <v>654</v>
      </c>
      <c r="L712" s="786" t="s">
        <v>20</v>
      </c>
      <c r="M712" s="687"/>
      <c r="N712" s="684"/>
      <c r="O712" s="800"/>
      <c r="P712" s="203"/>
      <c r="Q712" s="203"/>
      <c r="R712" s="203"/>
      <c r="S712" s="203"/>
      <c r="T712" s="203"/>
      <c r="U712" s="203"/>
    </row>
    <row r="713" ht="16.5" customHeight="1" spans="1:21">
      <c r="A713" s="687" t="s">
        <v>910</v>
      </c>
      <c r="B713" s="687" t="s">
        <v>2305</v>
      </c>
      <c r="C713" s="732" t="s">
        <v>2094</v>
      </c>
      <c r="D713" s="250">
        <v>10</v>
      </c>
      <c r="E713" s="281"/>
      <c r="F713" s="703">
        <v>45800</v>
      </c>
      <c r="G713" s="703">
        <f t="shared" si="32"/>
        <v>45828</v>
      </c>
      <c r="H713" s="713">
        <f t="shared" si="33"/>
        <v>45856</v>
      </c>
      <c r="I713" s="671" t="s">
        <v>2623</v>
      </c>
      <c r="J713" s="687" t="s">
        <v>18</v>
      </c>
      <c r="K713" s="690" t="s">
        <v>654</v>
      </c>
      <c r="L713" s="786" t="s">
        <v>20</v>
      </c>
      <c r="M713" s="687"/>
      <c r="N713" s="684"/>
      <c r="O713" s="800"/>
      <c r="P713" s="203"/>
      <c r="Q713" s="203"/>
      <c r="R713" s="203"/>
      <c r="S713" s="203"/>
      <c r="T713" s="203"/>
      <c r="U713" s="203"/>
    </row>
    <row r="714" ht="16.5" customHeight="1" spans="1:21">
      <c r="A714" s="687" t="s">
        <v>2453</v>
      </c>
      <c r="B714" s="690" t="s">
        <v>2490</v>
      </c>
      <c r="C714" s="732" t="s">
        <v>2340</v>
      </c>
      <c r="D714" s="347">
        <v>10</v>
      </c>
      <c r="E714" s="281"/>
      <c r="F714" s="703">
        <v>45800</v>
      </c>
      <c r="G714" s="703">
        <f t="shared" si="32"/>
        <v>45828</v>
      </c>
      <c r="H714" s="713">
        <f t="shared" si="33"/>
        <v>45856</v>
      </c>
      <c r="I714" s="671" t="s">
        <v>2623</v>
      </c>
      <c r="J714" s="687" t="s">
        <v>18</v>
      </c>
      <c r="K714" s="690" t="s">
        <v>654</v>
      </c>
      <c r="L714" s="786" t="s">
        <v>20</v>
      </c>
      <c r="M714" s="687" t="s">
        <v>2612</v>
      </c>
      <c r="N714" s="684"/>
      <c r="O714" s="800"/>
      <c r="P714" s="203"/>
      <c r="Q714" s="203"/>
      <c r="R714" s="203"/>
      <c r="S714" s="203"/>
      <c r="T714" s="203"/>
      <c r="U714" s="203"/>
    </row>
    <row r="715" ht="16.5" customHeight="1" spans="1:21">
      <c r="A715" s="687" t="s">
        <v>2453</v>
      </c>
      <c r="B715" s="690" t="s">
        <v>2490</v>
      </c>
      <c r="C715" s="732" t="s">
        <v>2095</v>
      </c>
      <c r="D715" s="347">
        <v>20</v>
      </c>
      <c r="E715" s="281"/>
      <c r="F715" s="703">
        <v>45800</v>
      </c>
      <c r="G715" s="703">
        <f t="shared" si="32"/>
        <v>45828</v>
      </c>
      <c r="H715" s="713">
        <f t="shared" si="33"/>
        <v>45856</v>
      </c>
      <c r="I715" s="671" t="s">
        <v>2623</v>
      </c>
      <c r="J715" s="687" t="s">
        <v>18</v>
      </c>
      <c r="K715" s="690" t="s">
        <v>654</v>
      </c>
      <c r="L715" s="786" t="s">
        <v>20</v>
      </c>
      <c r="M715" s="687" t="s">
        <v>2612</v>
      </c>
      <c r="N715" s="684"/>
      <c r="O715" s="800"/>
      <c r="P715" s="203"/>
      <c r="Q715" s="203"/>
      <c r="R715" s="203"/>
      <c r="S715" s="203"/>
      <c r="T715" s="203"/>
      <c r="U715" s="203"/>
    </row>
    <row r="716" ht="15.4" customHeight="1" spans="1:21">
      <c r="A716" s="687" t="s">
        <v>910</v>
      </c>
      <c r="B716" s="687" t="s">
        <v>2372</v>
      </c>
      <c r="C716" s="732" t="s">
        <v>2087</v>
      </c>
      <c r="D716" s="250">
        <v>36</v>
      </c>
      <c r="E716" s="674" t="s">
        <v>2625</v>
      </c>
      <c r="F716" s="675">
        <v>45800</v>
      </c>
      <c r="G716" s="675">
        <f>VLOOKUP(CLEAN(SUBSTITUTE(TRIM(MID(E:E,FIND("/",E:E)+1,LEN(E:E)))," ","")),'Customs Decl. &amp; Local Delivery'!D:I,6,0)</f>
        <v>45828</v>
      </c>
      <c r="H716" s="790">
        <f>VLOOKUP(CLEAN(SUBSTITUTE(TRIM(MID(E:E,FIND("/",E:E)+1,LEN(E:E)))," ","")),'Customs Decl. &amp; Local Delivery'!D:J,7,0)</f>
        <v>45856</v>
      </c>
      <c r="I716" s="672" t="s">
        <v>2626</v>
      </c>
      <c r="J716" s="687" t="s">
        <v>18</v>
      </c>
      <c r="K716" s="687" t="s">
        <v>147</v>
      </c>
      <c r="L716" s="786" t="s">
        <v>20</v>
      </c>
      <c r="M716" s="687" t="s">
        <v>2616</v>
      </c>
      <c r="N716" s="684"/>
      <c r="O716" s="800"/>
      <c r="P716" s="203"/>
      <c r="Q716" s="203"/>
      <c r="R716" s="203"/>
      <c r="S716" s="203"/>
      <c r="T716" s="203"/>
      <c r="U716" s="203"/>
    </row>
    <row r="717" ht="15.4" customHeight="1" spans="1:21">
      <c r="A717" s="687" t="s">
        <v>910</v>
      </c>
      <c r="B717" s="687" t="s">
        <v>2372</v>
      </c>
      <c r="C717" s="732" t="s">
        <v>2090</v>
      </c>
      <c r="D717" s="250">
        <v>50</v>
      </c>
      <c r="E717" s="281"/>
      <c r="F717" s="703">
        <v>45800</v>
      </c>
      <c r="G717" s="703">
        <f t="shared" ref="G717:G722" si="34">G716</f>
        <v>45828</v>
      </c>
      <c r="H717" s="713">
        <f t="shared" ref="H717:H722" si="35">H716</f>
        <v>45856</v>
      </c>
      <c r="I717" s="672" t="s">
        <v>2626</v>
      </c>
      <c r="J717" s="687" t="s">
        <v>18</v>
      </c>
      <c r="K717" s="687" t="s">
        <v>147</v>
      </c>
      <c r="L717" s="786" t="s">
        <v>20</v>
      </c>
      <c r="M717" s="687"/>
      <c r="N717" s="684"/>
      <c r="O717" s="800"/>
      <c r="P717" s="203"/>
      <c r="Q717" s="203"/>
      <c r="R717" s="203"/>
      <c r="S717" s="203"/>
      <c r="T717" s="203"/>
      <c r="U717" s="203"/>
    </row>
    <row r="718" ht="15.4" customHeight="1" spans="1:21">
      <c r="A718" s="687" t="s">
        <v>910</v>
      </c>
      <c r="B718" s="687" t="s">
        <v>2372</v>
      </c>
      <c r="C718" s="732" t="s">
        <v>2092</v>
      </c>
      <c r="D718" s="250">
        <v>15</v>
      </c>
      <c r="E718" s="281"/>
      <c r="F718" s="703">
        <v>45800</v>
      </c>
      <c r="G718" s="703">
        <f t="shared" si="34"/>
        <v>45828</v>
      </c>
      <c r="H718" s="713">
        <f t="shared" si="35"/>
        <v>45856</v>
      </c>
      <c r="I718" s="672" t="s">
        <v>2626</v>
      </c>
      <c r="J718" s="687" t="s">
        <v>18</v>
      </c>
      <c r="K718" s="687" t="s">
        <v>147</v>
      </c>
      <c r="L718" s="786" t="s">
        <v>20</v>
      </c>
      <c r="M718" s="687"/>
      <c r="N718" s="802"/>
      <c r="O718" s="800"/>
      <c r="P718" s="203"/>
      <c r="Q718" s="203"/>
      <c r="R718" s="203"/>
      <c r="S718" s="203"/>
      <c r="T718" s="203"/>
      <c r="U718" s="203"/>
    </row>
    <row r="719" ht="15.4" customHeight="1" spans="1:21">
      <c r="A719" s="687" t="s">
        <v>910</v>
      </c>
      <c r="B719" s="687" t="s">
        <v>2372</v>
      </c>
      <c r="C719" s="732" t="s">
        <v>2093</v>
      </c>
      <c r="D719" s="250">
        <v>15</v>
      </c>
      <c r="E719" s="281"/>
      <c r="F719" s="703">
        <v>45800</v>
      </c>
      <c r="G719" s="703">
        <f t="shared" si="34"/>
        <v>45828</v>
      </c>
      <c r="H719" s="713">
        <f t="shared" si="35"/>
        <v>45856</v>
      </c>
      <c r="I719" s="672" t="s">
        <v>2626</v>
      </c>
      <c r="J719" s="687" t="s">
        <v>18</v>
      </c>
      <c r="K719" s="687" t="s">
        <v>147</v>
      </c>
      <c r="L719" s="786" t="s">
        <v>20</v>
      </c>
      <c r="M719" s="687"/>
      <c r="N719" s="802"/>
      <c r="O719" s="800"/>
      <c r="P719" s="203"/>
      <c r="Q719" s="203"/>
      <c r="R719" s="203"/>
      <c r="S719" s="203"/>
      <c r="T719" s="203"/>
      <c r="U719" s="203"/>
    </row>
    <row r="720" ht="15.4" customHeight="1" spans="1:21">
      <c r="A720" s="687" t="s">
        <v>910</v>
      </c>
      <c r="B720" s="687" t="s">
        <v>2305</v>
      </c>
      <c r="C720" s="732" t="s">
        <v>2094</v>
      </c>
      <c r="D720" s="250">
        <v>10</v>
      </c>
      <c r="E720" s="281"/>
      <c r="F720" s="703">
        <v>45800</v>
      </c>
      <c r="G720" s="703">
        <f t="shared" si="34"/>
        <v>45828</v>
      </c>
      <c r="H720" s="713">
        <f t="shared" si="35"/>
        <v>45856</v>
      </c>
      <c r="I720" s="672" t="s">
        <v>2626</v>
      </c>
      <c r="J720" s="687" t="s">
        <v>18</v>
      </c>
      <c r="K720" s="687" t="s">
        <v>147</v>
      </c>
      <c r="L720" s="786" t="s">
        <v>20</v>
      </c>
      <c r="M720" s="687"/>
      <c r="N720" s="802"/>
      <c r="O720" s="800"/>
      <c r="P720" s="203"/>
      <c r="Q720" s="203"/>
      <c r="R720" s="203"/>
      <c r="S720" s="203"/>
      <c r="T720" s="203"/>
      <c r="U720" s="203"/>
    </row>
    <row r="721" ht="15.4" customHeight="1" spans="1:21">
      <c r="A721" s="687" t="s">
        <v>2453</v>
      </c>
      <c r="B721" s="690" t="s">
        <v>2490</v>
      </c>
      <c r="C721" s="732" t="s">
        <v>2340</v>
      </c>
      <c r="D721" s="347">
        <v>10</v>
      </c>
      <c r="E721" s="69"/>
      <c r="F721" s="703">
        <v>45800</v>
      </c>
      <c r="G721" s="703">
        <f t="shared" si="34"/>
        <v>45828</v>
      </c>
      <c r="H721" s="713">
        <f t="shared" si="35"/>
        <v>45856</v>
      </c>
      <c r="I721" s="672" t="s">
        <v>2626</v>
      </c>
      <c r="J721" s="687" t="s">
        <v>18</v>
      </c>
      <c r="K721" s="687" t="s">
        <v>147</v>
      </c>
      <c r="L721" s="786" t="s">
        <v>20</v>
      </c>
      <c r="M721" s="810" t="s">
        <v>2612</v>
      </c>
      <c r="N721" s="802"/>
      <c r="O721" s="800"/>
      <c r="P721" s="203"/>
      <c r="Q721" s="203"/>
      <c r="R721" s="203"/>
      <c r="S721" s="203"/>
      <c r="T721" s="203"/>
      <c r="U721" s="203"/>
    </row>
    <row r="722" ht="15.4" customHeight="1" spans="1:21">
      <c r="A722" s="687" t="s">
        <v>2453</v>
      </c>
      <c r="B722" s="690" t="s">
        <v>2490</v>
      </c>
      <c r="C722" s="732" t="s">
        <v>2095</v>
      </c>
      <c r="D722" s="347">
        <v>20</v>
      </c>
      <c r="E722" s="281"/>
      <c r="F722" s="703">
        <v>45800</v>
      </c>
      <c r="G722" s="703">
        <f t="shared" si="34"/>
        <v>45828</v>
      </c>
      <c r="H722" s="713">
        <f t="shared" si="35"/>
        <v>45856</v>
      </c>
      <c r="I722" s="672" t="s">
        <v>2626</v>
      </c>
      <c r="J722" s="687" t="s">
        <v>18</v>
      </c>
      <c r="K722" s="687" t="s">
        <v>147</v>
      </c>
      <c r="L722" s="786" t="s">
        <v>20</v>
      </c>
      <c r="M722" s="810" t="s">
        <v>2612</v>
      </c>
      <c r="N722" s="802"/>
      <c r="O722" s="800"/>
      <c r="P722" s="203"/>
      <c r="Q722" s="203"/>
      <c r="R722" s="203"/>
      <c r="S722" s="203"/>
      <c r="T722" s="203"/>
      <c r="U722" s="203"/>
    </row>
    <row r="723" customFormat="1" ht="15.4" customHeight="1" spans="1:21">
      <c r="A723" s="687" t="s">
        <v>910</v>
      </c>
      <c r="B723" s="690" t="s">
        <v>2305</v>
      </c>
      <c r="C723" s="804" t="s">
        <v>2072</v>
      </c>
      <c r="D723" s="313">
        <v>12</v>
      </c>
      <c r="E723" s="732" t="s">
        <v>2627</v>
      </c>
      <c r="F723" s="675">
        <v>45794</v>
      </c>
      <c r="G723" s="675">
        <f>VLOOKUP(CLEAN(SUBSTITUTE(TRIM(MID(E:E,FIND("/",E:E)+1,LEN(E:E)))," ","")),'Customs Decl. &amp; Local Delivery'!D:I,6,0)</f>
        <v>45828</v>
      </c>
      <c r="H723" s="676">
        <f>VLOOKUP(CLEAN(SUBSTITUTE(TRIM(MID(E:E,FIND("/",E:E)+1,LEN(E:E)))," ","")),'Customs Decl. &amp; Local Delivery'!D:J,7,0)</f>
        <v>45856</v>
      </c>
      <c r="I723" s="672" t="s">
        <v>2628</v>
      </c>
      <c r="J723" s="687" t="s">
        <v>18</v>
      </c>
      <c r="K723" s="760" t="s">
        <v>147</v>
      </c>
      <c r="L723" s="786" t="s">
        <v>20</v>
      </c>
      <c r="M723" s="690" t="s">
        <v>2629</v>
      </c>
      <c r="N723" s="802"/>
      <c r="O723" s="800"/>
      <c r="P723" s="203"/>
      <c r="Q723" s="203"/>
      <c r="R723" s="203"/>
      <c r="S723" s="203"/>
      <c r="T723" s="203"/>
      <c r="U723" s="203"/>
    </row>
    <row r="724" ht="15.4" customHeight="1" spans="1:21">
      <c r="A724" s="687" t="s">
        <v>910</v>
      </c>
      <c r="B724" s="687" t="s">
        <v>2372</v>
      </c>
      <c r="C724" s="732" t="s">
        <v>2090</v>
      </c>
      <c r="D724" s="250">
        <v>50</v>
      </c>
      <c r="E724" s="281"/>
      <c r="F724" s="703">
        <v>45794</v>
      </c>
      <c r="G724" s="703">
        <f t="shared" ref="G724:G730" si="36">G723</f>
        <v>45828</v>
      </c>
      <c r="H724" s="713">
        <f t="shared" ref="H724:H730" si="37">H723</f>
        <v>45856</v>
      </c>
      <c r="I724" s="672" t="s">
        <v>2628</v>
      </c>
      <c r="J724" s="687" t="s">
        <v>18</v>
      </c>
      <c r="K724" s="750" t="s">
        <v>147</v>
      </c>
      <c r="L724" s="786" t="s">
        <v>20</v>
      </c>
      <c r="M724" s="780" t="s">
        <v>2616</v>
      </c>
      <c r="N724" s="802"/>
      <c r="O724" s="800"/>
      <c r="P724" s="203"/>
      <c r="Q724" s="203"/>
      <c r="R724" s="203"/>
      <c r="S724" s="203"/>
      <c r="T724" s="203"/>
      <c r="U724" s="203"/>
    </row>
    <row r="725" ht="15.4" customHeight="1" spans="1:21">
      <c r="A725" s="687" t="s">
        <v>910</v>
      </c>
      <c r="B725" s="687" t="s">
        <v>2372</v>
      </c>
      <c r="C725" s="732" t="s">
        <v>2092</v>
      </c>
      <c r="D725" s="250">
        <v>15</v>
      </c>
      <c r="E725" s="281"/>
      <c r="F725" s="703">
        <v>45794</v>
      </c>
      <c r="G725" s="703">
        <f t="shared" si="36"/>
        <v>45828</v>
      </c>
      <c r="H725" s="713">
        <f t="shared" si="37"/>
        <v>45856</v>
      </c>
      <c r="I725" s="672" t="s">
        <v>2628</v>
      </c>
      <c r="J725" s="687" t="s">
        <v>18</v>
      </c>
      <c r="K725" s="750" t="s">
        <v>147</v>
      </c>
      <c r="L725" s="786" t="s">
        <v>20</v>
      </c>
      <c r="M725" s="687" t="s">
        <v>2630</v>
      </c>
      <c r="N725" s="802"/>
      <c r="O725" s="800"/>
      <c r="P725" s="203"/>
      <c r="Q725" s="203"/>
      <c r="R725" s="203"/>
      <c r="S725" s="203"/>
      <c r="T725" s="203"/>
      <c r="U725" s="203"/>
    </row>
    <row r="726" ht="15.4" customHeight="1" spans="1:21">
      <c r="A726" s="687" t="s">
        <v>910</v>
      </c>
      <c r="B726" s="687" t="s">
        <v>2372</v>
      </c>
      <c r="C726" s="732" t="s">
        <v>2093</v>
      </c>
      <c r="D726" s="250">
        <v>15</v>
      </c>
      <c r="E726" s="281"/>
      <c r="F726" s="703">
        <v>45794</v>
      </c>
      <c r="G726" s="703">
        <f t="shared" si="36"/>
        <v>45828</v>
      </c>
      <c r="H726" s="713">
        <f t="shared" si="37"/>
        <v>45856</v>
      </c>
      <c r="I726" s="672" t="s">
        <v>2628</v>
      </c>
      <c r="J726" s="777" t="s">
        <v>18</v>
      </c>
      <c r="K726" s="750" t="s">
        <v>147</v>
      </c>
      <c r="L726" s="786" t="s">
        <v>20</v>
      </c>
      <c r="M726" s="780" t="s">
        <v>2631</v>
      </c>
      <c r="N726" s="802"/>
      <c r="O726" s="800"/>
      <c r="P726" s="203"/>
      <c r="Q726" s="203"/>
      <c r="R726" s="203"/>
      <c r="S726" s="203"/>
      <c r="T726" s="203"/>
      <c r="U726" s="203"/>
    </row>
    <row r="727" ht="15.4" customHeight="1" spans="1:21">
      <c r="A727" s="687" t="s">
        <v>910</v>
      </c>
      <c r="B727" s="687" t="s">
        <v>2305</v>
      </c>
      <c r="C727" s="732" t="s">
        <v>2094</v>
      </c>
      <c r="D727" s="250">
        <v>10</v>
      </c>
      <c r="E727" s="281"/>
      <c r="F727" s="703">
        <v>45794</v>
      </c>
      <c r="G727" s="703">
        <f t="shared" si="36"/>
        <v>45828</v>
      </c>
      <c r="H727" s="713">
        <f t="shared" si="37"/>
        <v>45856</v>
      </c>
      <c r="I727" s="672" t="s">
        <v>2628</v>
      </c>
      <c r="J727" s="687" t="s">
        <v>18</v>
      </c>
      <c r="K727" s="750" t="s">
        <v>147</v>
      </c>
      <c r="L727" s="786" t="s">
        <v>20</v>
      </c>
      <c r="M727" s="780"/>
      <c r="N727" s="802"/>
      <c r="O727" s="800"/>
      <c r="P727" s="203"/>
      <c r="Q727" s="203"/>
      <c r="R727" s="203"/>
      <c r="S727" s="203"/>
      <c r="T727" s="203"/>
      <c r="U727" s="203"/>
    </row>
    <row r="728" ht="15.4" customHeight="1" spans="1:21">
      <c r="A728" s="687" t="s">
        <v>910</v>
      </c>
      <c r="B728" s="687" t="s">
        <v>2372</v>
      </c>
      <c r="C728" s="732" t="s">
        <v>2340</v>
      </c>
      <c r="D728" s="250">
        <v>10</v>
      </c>
      <c r="E728" s="281"/>
      <c r="F728" s="703">
        <v>45794</v>
      </c>
      <c r="G728" s="703">
        <f t="shared" si="36"/>
        <v>45828</v>
      </c>
      <c r="H728" s="713">
        <f t="shared" si="37"/>
        <v>45856</v>
      </c>
      <c r="I728" s="672" t="s">
        <v>2628</v>
      </c>
      <c r="J728" s="687" t="s">
        <v>18</v>
      </c>
      <c r="K728" s="750" t="s">
        <v>147</v>
      </c>
      <c r="L728" s="786" t="s">
        <v>20</v>
      </c>
      <c r="M728" s="780"/>
      <c r="N728" s="802"/>
      <c r="O728" s="800"/>
      <c r="P728" s="203"/>
      <c r="Q728" s="203"/>
      <c r="R728" s="203"/>
      <c r="S728" s="203"/>
      <c r="T728" s="203"/>
      <c r="U728" s="203"/>
    </row>
    <row r="729" ht="15.4" customHeight="1" spans="1:21">
      <c r="A729" s="687" t="s">
        <v>910</v>
      </c>
      <c r="B729" s="687" t="s">
        <v>2305</v>
      </c>
      <c r="C729" s="732" t="s">
        <v>2095</v>
      </c>
      <c r="D729" s="250">
        <v>20</v>
      </c>
      <c r="E729" s="281"/>
      <c r="F729" s="703">
        <v>45794</v>
      </c>
      <c r="G729" s="703">
        <f t="shared" si="36"/>
        <v>45828</v>
      </c>
      <c r="H729" s="713">
        <f t="shared" si="37"/>
        <v>45856</v>
      </c>
      <c r="I729" s="672" t="s">
        <v>2628</v>
      </c>
      <c r="J729" s="687" t="s">
        <v>18</v>
      </c>
      <c r="K729" s="750" t="s">
        <v>147</v>
      </c>
      <c r="L729" s="786" t="s">
        <v>20</v>
      </c>
      <c r="M729" s="780"/>
      <c r="N729" s="684"/>
      <c r="O729" s="800"/>
      <c r="P729" s="203"/>
      <c r="Q729" s="203"/>
      <c r="R729" s="203"/>
      <c r="S729" s="203"/>
      <c r="T729" s="203"/>
      <c r="U729" s="203"/>
    </row>
    <row r="730" s="179" customFormat="1" ht="15.4" customHeight="1" spans="1:21">
      <c r="A730" s="687" t="s">
        <v>910</v>
      </c>
      <c r="B730" s="690" t="s">
        <v>2305</v>
      </c>
      <c r="C730" s="732" t="s">
        <v>2095</v>
      </c>
      <c r="D730" s="313">
        <v>30</v>
      </c>
      <c r="E730" s="281"/>
      <c r="F730" s="703">
        <v>45794</v>
      </c>
      <c r="G730" s="703">
        <f t="shared" si="36"/>
        <v>45828</v>
      </c>
      <c r="H730" s="713">
        <f t="shared" si="37"/>
        <v>45856</v>
      </c>
      <c r="I730" s="672" t="s">
        <v>2628</v>
      </c>
      <c r="J730" s="687" t="s">
        <v>18</v>
      </c>
      <c r="K730" s="750" t="s">
        <v>147</v>
      </c>
      <c r="L730" s="786" t="s">
        <v>20</v>
      </c>
      <c r="M730" s="780" t="s">
        <v>2632</v>
      </c>
      <c r="N730" s="802"/>
      <c r="O730" s="800"/>
      <c r="P730" s="203"/>
      <c r="Q730" s="203"/>
      <c r="R730" s="203"/>
      <c r="S730" s="203"/>
      <c r="T730" s="203"/>
      <c r="U730" s="203"/>
    </row>
    <row r="731" ht="16.5" customHeight="1" spans="1:21">
      <c r="A731" s="687" t="s">
        <v>910</v>
      </c>
      <c r="B731" s="687" t="s">
        <v>2372</v>
      </c>
      <c r="C731" s="732" t="s">
        <v>2087</v>
      </c>
      <c r="D731" s="313">
        <v>20</v>
      </c>
      <c r="E731" s="732" t="s">
        <v>2633</v>
      </c>
      <c r="F731" s="675">
        <v>45828</v>
      </c>
      <c r="G731" s="675">
        <f>VLOOKUP(CLEAN(SUBSTITUTE(TRIM(MID(E:E,FIND("/",E:E)+1,LEN(E:E)))," ","")),'Customs Decl. &amp; Local Delivery'!D:I,6,0)</f>
        <v>45849</v>
      </c>
      <c r="H731" s="790">
        <f>VLOOKUP(CLEAN(SUBSTITUTE(TRIM(MID(E:E,FIND("/",E:E)+1,LEN(E:E)))," ","")),'Customs Decl. &amp; Local Delivery'!D:J,7,0)</f>
        <v>45867</v>
      </c>
      <c r="I731" s="690" t="s">
        <v>2634</v>
      </c>
      <c r="J731" s="750" t="s">
        <v>18</v>
      </c>
      <c r="K731" s="687" t="s">
        <v>147</v>
      </c>
      <c r="L731" s="786" t="s">
        <v>20</v>
      </c>
      <c r="M731" s="749" t="s">
        <v>2635</v>
      </c>
      <c r="N731" s="802"/>
      <c r="O731" s="795"/>
      <c r="P731" s="203"/>
      <c r="Q731" s="203"/>
      <c r="R731" s="203"/>
      <c r="S731" s="203"/>
      <c r="T731" s="203"/>
      <c r="U731" s="203"/>
    </row>
    <row r="732" ht="16.5" customHeight="1" spans="1:21">
      <c r="A732" s="687" t="s">
        <v>910</v>
      </c>
      <c r="B732" s="687" t="s">
        <v>2305</v>
      </c>
      <c r="C732" s="732" t="s">
        <v>2040</v>
      </c>
      <c r="D732" s="313">
        <v>9</v>
      </c>
      <c r="E732" s="281"/>
      <c r="F732" s="675">
        <v>45828</v>
      </c>
      <c r="G732" s="703">
        <f>G731</f>
        <v>45849</v>
      </c>
      <c r="H732" s="713">
        <f>H731</f>
        <v>45867</v>
      </c>
      <c r="I732" s="690" t="s">
        <v>2634</v>
      </c>
      <c r="J732" s="687" t="s">
        <v>18</v>
      </c>
      <c r="K732" s="776" t="s">
        <v>147</v>
      </c>
      <c r="L732" s="786" t="s">
        <v>20</v>
      </c>
      <c r="M732" s="811" t="s">
        <v>2636</v>
      </c>
      <c r="N732" s="802"/>
      <c r="O732" s="800"/>
      <c r="P732" s="203"/>
      <c r="Q732" s="203"/>
      <c r="R732" s="203"/>
      <c r="S732" s="203"/>
      <c r="T732" s="203"/>
      <c r="U732" s="203"/>
    </row>
    <row r="733" s="180" customFormat="1" ht="15.4" customHeight="1" spans="1:21">
      <c r="A733" s="687" t="s">
        <v>2458</v>
      </c>
      <c r="B733" s="687" t="s">
        <v>2459</v>
      </c>
      <c r="C733" s="758" t="s">
        <v>2460</v>
      </c>
      <c r="D733" s="350">
        <f>200-92</f>
        <v>108</v>
      </c>
      <c r="E733" s="281"/>
      <c r="F733" s="675">
        <v>45828</v>
      </c>
      <c r="G733" s="703">
        <f>G732</f>
        <v>45849</v>
      </c>
      <c r="H733" s="713">
        <f>H732</f>
        <v>45867</v>
      </c>
      <c r="I733" s="690" t="s">
        <v>2634</v>
      </c>
      <c r="J733" s="687" t="s">
        <v>18</v>
      </c>
      <c r="K733" s="750" t="s">
        <v>147</v>
      </c>
      <c r="L733" s="786" t="s">
        <v>20</v>
      </c>
      <c r="M733" s="780" t="s">
        <v>2637</v>
      </c>
      <c r="N733" s="802"/>
      <c r="O733" s="800"/>
      <c r="P733" s="203"/>
      <c r="Q733" s="203"/>
      <c r="R733" s="203"/>
      <c r="S733" s="203"/>
      <c r="T733" s="203"/>
      <c r="U733" s="203"/>
    </row>
    <row r="734" s="180" customFormat="1" ht="15.4" customHeight="1" spans="1:21">
      <c r="A734" s="687" t="s">
        <v>2458</v>
      </c>
      <c r="B734" s="687" t="s">
        <v>2459</v>
      </c>
      <c r="C734" s="758" t="s">
        <v>2464</v>
      </c>
      <c r="D734" s="350">
        <f>50-14</f>
        <v>36</v>
      </c>
      <c r="E734" s="281"/>
      <c r="F734" s="675">
        <v>45828</v>
      </c>
      <c r="G734" s="703">
        <f>G733</f>
        <v>45849</v>
      </c>
      <c r="H734" s="713">
        <f>H733</f>
        <v>45867</v>
      </c>
      <c r="I734" s="690" t="s">
        <v>2634</v>
      </c>
      <c r="J734" s="687" t="s">
        <v>18</v>
      </c>
      <c r="K734" s="750" t="s">
        <v>147</v>
      </c>
      <c r="L734" s="786" t="s">
        <v>20</v>
      </c>
      <c r="M734" s="780" t="s">
        <v>2638</v>
      </c>
      <c r="N734" s="802"/>
      <c r="O734" s="800"/>
      <c r="P734" s="203"/>
      <c r="Q734" s="203"/>
      <c r="R734" s="203"/>
      <c r="S734" s="203"/>
      <c r="T734" s="203"/>
      <c r="U734" s="203"/>
    </row>
    <row r="735" s="180" customFormat="1" ht="15.4" customHeight="1" spans="1:21">
      <c r="A735" s="687" t="s">
        <v>910</v>
      </c>
      <c r="B735" s="690" t="s">
        <v>2305</v>
      </c>
      <c r="C735" s="805" t="s">
        <v>2114</v>
      </c>
      <c r="D735" s="806">
        <v>4</v>
      </c>
      <c r="E735" s="281"/>
      <c r="F735" s="675">
        <v>45828</v>
      </c>
      <c r="G735" s="703">
        <f>G734</f>
        <v>45849</v>
      </c>
      <c r="H735" s="713">
        <f>H734</f>
        <v>45867</v>
      </c>
      <c r="I735" s="690" t="s">
        <v>2634</v>
      </c>
      <c r="J735" s="760" t="s">
        <v>18</v>
      </c>
      <c r="K735" s="751" t="s">
        <v>147</v>
      </c>
      <c r="L735" s="786" t="s">
        <v>20</v>
      </c>
      <c r="M735" s="749" t="s">
        <v>2639</v>
      </c>
      <c r="N735" s="802"/>
      <c r="O735" s="800"/>
      <c r="P735" s="203"/>
      <c r="Q735" s="203"/>
      <c r="R735" s="203"/>
      <c r="S735" s="203"/>
      <c r="T735" s="203"/>
      <c r="U735" s="203"/>
    </row>
    <row r="736" s="180" customFormat="1" ht="15.4" customHeight="1" spans="1:21">
      <c r="A736" s="687" t="s">
        <v>910</v>
      </c>
      <c r="B736" s="690" t="s">
        <v>2372</v>
      </c>
      <c r="C736" s="732" t="s">
        <v>2114</v>
      </c>
      <c r="D736" s="313">
        <f>260+12</f>
        <v>272</v>
      </c>
      <c r="E736" s="281"/>
      <c r="F736" s="675">
        <v>45828</v>
      </c>
      <c r="G736" s="703">
        <f>G735</f>
        <v>45849</v>
      </c>
      <c r="H736" s="713">
        <f>H735</f>
        <v>45867</v>
      </c>
      <c r="I736" s="714" t="s">
        <v>2634</v>
      </c>
      <c r="J736" s="751" t="s">
        <v>18</v>
      </c>
      <c r="K736" s="760" t="s">
        <v>147</v>
      </c>
      <c r="L736" s="786" t="s">
        <v>20</v>
      </c>
      <c r="M736" s="797" t="s">
        <v>2640</v>
      </c>
      <c r="N736" s="802"/>
      <c r="O736" s="800"/>
      <c r="P736" s="203"/>
      <c r="Q736" s="203"/>
      <c r="R736" s="203"/>
      <c r="S736" s="203"/>
      <c r="T736" s="203"/>
      <c r="U736" s="203"/>
    </row>
    <row r="737" ht="15.4" customHeight="1" spans="1:21">
      <c r="A737" s="687" t="s">
        <v>910</v>
      </c>
      <c r="B737" s="687" t="s">
        <v>2305</v>
      </c>
      <c r="C737" s="732" t="s">
        <v>2072</v>
      </c>
      <c r="D737" s="313">
        <v>32</v>
      </c>
      <c r="E737" s="732" t="s">
        <v>2641</v>
      </c>
      <c r="F737" s="675" t="s">
        <v>309</v>
      </c>
      <c r="G737" s="793">
        <f>VLOOKUP(CLEAN(SUBSTITUTE(TRIM(MID(E:E,FIND("/",E:E)+1,LEN(E:E)))," ","")),'Customs Decl. &amp; Local Delivery'!D:I,6,0)</f>
        <v>45849</v>
      </c>
      <c r="H737" s="676">
        <f>VLOOKUP(CLEAN(SUBSTITUTE(TRIM(MID(E:E,FIND("/",E:E)+1,LEN(E:E)))," ","")),'Customs Decl. &amp; Local Delivery'!D:J,7,0)</f>
        <v>45867</v>
      </c>
      <c r="I737" s="714" t="s">
        <v>2642</v>
      </c>
      <c r="J737" s="687" t="s">
        <v>18</v>
      </c>
      <c r="K737" s="687" t="s">
        <v>147</v>
      </c>
      <c r="L737" s="786" t="s">
        <v>20</v>
      </c>
      <c r="M737" s="794" t="s">
        <v>2643</v>
      </c>
      <c r="N737" s="802"/>
      <c r="O737" s="800"/>
      <c r="P737" s="203"/>
      <c r="Q737" s="203"/>
      <c r="R737" s="203"/>
      <c r="S737" s="203"/>
      <c r="T737" s="203"/>
      <c r="U737" s="203"/>
    </row>
    <row r="738" ht="15.4" customHeight="1" spans="1:21">
      <c r="A738" s="687" t="s">
        <v>2453</v>
      </c>
      <c r="B738" s="687" t="s">
        <v>2490</v>
      </c>
      <c r="C738" s="732" t="s">
        <v>2090</v>
      </c>
      <c r="D738" s="321">
        <v>50</v>
      </c>
      <c r="E738" s="281"/>
      <c r="F738" s="703" t="s">
        <v>309</v>
      </c>
      <c r="G738" s="703">
        <f t="shared" ref="G738:G743" si="38">G737</f>
        <v>45849</v>
      </c>
      <c r="H738" s="713">
        <f t="shared" ref="H738:H743" si="39">H737</f>
        <v>45867</v>
      </c>
      <c r="I738" s="690" t="s">
        <v>2642</v>
      </c>
      <c r="J738" s="687" t="s">
        <v>18</v>
      </c>
      <c r="K738" s="687" t="s">
        <v>147</v>
      </c>
      <c r="L738" s="786" t="s">
        <v>20</v>
      </c>
      <c r="M738" s="672" t="s">
        <v>2644</v>
      </c>
      <c r="N738" s="812"/>
      <c r="O738" s="800"/>
      <c r="P738" s="203"/>
      <c r="Q738" s="203"/>
      <c r="R738" s="203"/>
      <c r="S738" s="203"/>
      <c r="T738" s="203"/>
      <c r="U738" s="203"/>
    </row>
    <row r="739" ht="16.5" customHeight="1" spans="1:21">
      <c r="A739" s="687" t="s">
        <v>2453</v>
      </c>
      <c r="B739" s="687" t="s">
        <v>2490</v>
      </c>
      <c r="C739" s="758" t="s">
        <v>2092</v>
      </c>
      <c r="D739" s="807">
        <v>12</v>
      </c>
      <c r="E739" s="281"/>
      <c r="F739" s="703" t="s">
        <v>309</v>
      </c>
      <c r="G739" s="703">
        <f t="shared" si="38"/>
        <v>45849</v>
      </c>
      <c r="H739" s="713">
        <f t="shared" si="39"/>
        <v>45867</v>
      </c>
      <c r="I739" s="690" t="s">
        <v>2642</v>
      </c>
      <c r="J739" s="687" t="s">
        <v>18</v>
      </c>
      <c r="K739" s="687" t="s">
        <v>147</v>
      </c>
      <c r="L739" s="786" t="s">
        <v>20</v>
      </c>
      <c r="M739" s="672" t="s">
        <v>2612</v>
      </c>
      <c r="N739" s="812"/>
      <c r="O739" s="800"/>
      <c r="P739" s="203"/>
      <c r="Q739" s="203"/>
      <c r="R739" s="203"/>
      <c r="S739" s="203"/>
      <c r="T739" s="203"/>
      <c r="U739" s="203"/>
    </row>
    <row r="740" ht="16.5" customHeight="1" spans="1:21">
      <c r="A740" s="687" t="s">
        <v>910</v>
      </c>
      <c r="B740" s="687" t="s">
        <v>2372</v>
      </c>
      <c r="C740" s="732" t="s">
        <v>2093</v>
      </c>
      <c r="D740" s="321">
        <v>15</v>
      </c>
      <c r="E740" s="281"/>
      <c r="F740" s="703" t="s">
        <v>309</v>
      </c>
      <c r="G740" s="703">
        <f t="shared" si="38"/>
        <v>45849</v>
      </c>
      <c r="H740" s="713">
        <f t="shared" si="39"/>
        <v>45867</v>
      </c>
      <c r="I740" s="690" t="s">
        <v>2642</v>
      </c>
      <c r="J740" s="687" t="s">
        <v>18</v>
      </c>
      <c r="K740" s="687" t="s">
        <v>147</v>
      </c>
      <c r="L740" s="786" t="s">
        <v>20</v>
      </c>
      <c r="M740" s="780" t="s">
        <v>2645</v>
      </c>
      <c r="N740" s="813"/>
      <c r="O740" s="800"/>
      <c r="P740" s="203"/>
      <c r="Q740" s="203"/>
      <c r="R740" s="203"/>
      <c r="S740" s="203"/>
      <c r="T740" s="203"/>
      <c r="U740" s="203"/>
    </row>
    <row r="741" customFormat="1" ht="15.4" customHeight="1" spans="1:21">
      <c r="A741" s="687" t="s">
        <v>2453</v>
      </c>
      <c r="B741" s="687" t="s">
        <v>2490</v>
      </c>
      <c r="C741" s="732" t="s">
        <v>2094</v>
      </c>
      <c r="D741" s="321">
        <v>92</v>
      </c>
      <c r="E741" s="281"/>
      <c r="F741" s="703" t="s">
        <v>309</v>
      </c>
      <c r="G741" s="703">
        <f t="shared" si="38"/>
        <v>45849</v>
      </c>
      <c r="H741" s="713">
        <f t="shared" si="39"/>
        <v>45867</v>
      </c>
      <c r="I741" s="690" t="s">
        <v>2642</v>
      </c>
      <c r="J741" s="687" t="s">
        <v>18</v>
      </c>
      <c r="K741" s="687" t="s">
        <v>147</v>
      </c>
      <c r="L741" s="786" t="s">
        <v>20</v>
      </c>
      <c r="M741" s="672" t="s">
        <v>2646</v>
      </c>
      <c r="N741" s="812"/>
      <c r="O741" s="800"/>
      <c r="P741" s="203"/>
      <c r="Q741" s="203"/>
      <c r="R741" s="203"/>
      <c r="S741" s="203"/>
      <c r="T741" s="203"/>
      <c r="U741" s="203"/>
    </row>
    <row r="742" ht="15.4" customHeight="1" spans="1:21">
      <c r="A742" s="687" t="s">
        <v>2453</v>
      </c>
      <c r="B742" s="687" t="s">
        <v>2490</v>
      </c>
      <c r="C742" s="732" t="s">
        <v>2340</v>
      </c>
      <c r="D742" s="321">
        <v>57</v>
      </c>
      <c r="E742" s="281"/>
      <c r="F742" s="703" t="s">
        <v>309</v>
      </c>
      <c r="G742" s="703">
        <f t="shared" si="38"/>
        <v>45849</v>
      </c>
      <c r="H742" s="713">
        <f t="shared" si="39"/>
        <v>45867</v>
      </c>
      <c r="I742" s="690" t="s">
        <v>2642</v>
      </c>
      <c r="J742" s="687" t="s">
        <v>18</v>
      </c>
      <c r="K742" s="687" t="s">
        <v>147</v>
      </c>
      <c r="L742" s="786" t="s">
        <v>20</v>
      </c>
      <c r="M742" s="672" t="s">
        <v>2644</v>
      </c>
      <c r="N742" s="812"/>
      <c r="O742" s="800"/>
      <c r="P742" s="203"/>
      <c r="Q742" s="203"/>
      <c r="R742" s="203"/>
      <c r="S742" s="203"/>
      <c r="T742" s="203"/>
      <c r="U742" s="203"/>
    </row>
    <row r="743" ht="16.5" customHeight="1" spans="1:21">
      <c r="A743" s="687" t="s">
        <v>2453</v>
      </c>
      <c r="B743" s="687" t="s">
        <v>2490</v>
      </c>
      <c r="C743" s="752" t="s">
        <v>2095</v>
      </c>
      <c r="D743" s="334">
        <v>30</v>
      </c>
      <c r="E743" s="281"/>
      <c r="F743" s="703" t="s">
        <v>309</v>
      </c>
      <c r="G743" s="703">
        <f t="shared" si="38"/>
        <v>45849</v>
      </c>
      <c r="H743" s="713">
        <f t="shared" si="39"/>
        <v>45867</v>
      </c>
      <c r="I743" s="690" t="s">
        <v>2642</v>
      </c>
      <c r="J743" s="687" t="s">
        <v>18</v>
      </c>
      <c r="K743" s="687" t="s">
        <v>147</v>
      </c>
      <c r="L743" s="786" t="s">
        <v>20</v>
      </c>
      <c r="M743" s="672" t="s">
        <v>2612</v>
      </c>
      <c r="N743" s="813"/>
      <c r="O743" s="800"/>
      <c r="P743" s="203"/>
      <c r="Q743" s="203"/>
      <c r="R743" s="203"/>
      <c r="S743" s="203"/>
      <c r="T743" s="203"/>
      <c r="U743" s="203"/>
    </row>
    <row r="744" ht="16.5" customHeight="1" spans="1:21">
      <c r="A744" s="687" t="s">
        <v>910</v>
      </c>
      <c r="B744" s="749" t="s">
        <v>2305</v>
      </c>
      <c r="C744" s="758" t="s">
        <v>2087</v>
      </c>
      <c r="D744" s="807">
        <v>30</v>
      </c>
      <c r="E744" s="756" t="s">
        <v>2647</v>
      </c>
      <c r="F744" s="703">
        <v>45864</v>
      </c>
      <c r="G744" s="675">
        <f>VLOOKUP(CLEAN(SUBSTITUTE(TRIM(MID(E:E,FIND("/",E:E)+1,LEN(E:E)))," ","")),'Customs Decl. &amp; Local Delivery'!D:I,6,0)</f>
        <v>45849</v>
      </c>
      <c r="H744" s="790">
        <f>VLOOKUP(CLEAN(SUBSTITUTE(TRIM(MID(E:E,FIND("/",E:E)+1,LEN(E:E)))," ","")),'Customs Decl. &amp; Local Delivery'!D:J,7,0)</f>
        <v>45867</v>
      </c>
      <c r="I744" s="768" t="s">
        <v>2648</v>
      </c>
      <c r="J744" s="777" t="s">
        <v>18</v>
      </c>
      <c r="K744" s="687" t="s">
        <v>19</v>
      </c>
      <c r="L744" s="786" t="s">
        <v>20</v>
      </c>
      <c r="M744" s="687" t="s">
        <v>2649</v>
      </c>
      <c r="N744" s="814"/>
      <c r="O744" s="800"/>
      <c r="P744" s="512"/>
      <c r="Q744" s="512"/>
      <c r="R744" s="512"/>
      <c r="S744" s="512"/>
      <c r="T744" s="512"/>
      <c r="U744" s="512"/>
    </row>
    <row r="745" ht="16.5" customHeight="1" spans="1:21">
      <c r="A745" s="687" t="s">
        <v>2453</v>
      </c>
      <c r="B745" s="780" t="s">
        <v>2490</v>
      </c>
      <c r="C745" s="758" t="s">
        <v>2092</v>
      </c>
      <c r="D745" s="807">
        <v>45</v>
      </c>
      <c r="E745" s="281"/>
      <c r="F745" s="703">
        <v>45864</v>
      </c>
      <c r="G745" s="703">
        <f t="shared" ref="G745:G753" si="40">G744</f>
        <v>45849</v>
      </c>
      <c r="H745" s="713">
        <f t="shared" ref="H745:H753" si="41">H744</f>
        <v>45867</v>
      </c>
      <c r="I745" s="768" t="s">
        <v>2648</v>
      </c>
      <c r="J745" s="687" t="s">
        <v>18</v>
      </c>
      <c r="K745" s="687" t="s">
        <v>19</v>
      </c>
      <c r="L745" s="786" t="s">
        <v>20</v>
      </c>
      <c r="M745" s="780" t="s">
        <v>2650</v>
      </c>
      <c r="N745" s="815"/>
      <c r="O745" s="800"/>
      <c r="P745" s="512"/>
      <c r="Q745" s="512"/>
      <c r="R745" s="512"/>
      <c r="S745" s="512"/>
      <c r="T745" s="512"/>
      <c r="U745" s="512"/>
    </row>
    <row r="746" ht="16.5" customHeight="1" spans="1:21">
      <c r="A746" s="687" t="s">
        <v>910</v>
      </c>
      <c r="B746" s="749" t="s">
        <v>2305</v>
      </c>
      <c r="C746" s="758" t="s">
        <v>2093</v>
      </c>
      <c r="D746" s="807">
        <v>14</v>
      </c>
      <c r="E746" s="281"/>
      <c r="F746" s="703">
        <v>45864</v>
      </c>
      <c r="G746" s="703">
        <f t="shared" si="40"/>
        <v>45849</v>
      </c>
      <c r="H746" s="713">
        <f t="shared" si="41"/>
        <v>45867</v>
      </c>
      <c r="I746" s="768" t="s">
        <v>2648</v>
      </c>
      <c r="J746" s="687" t="s">
        <v>18</v>
      </c>
      <c r="K746" s="690" t="s">
        <v>19</v>
      </c>
      <c r="L746" s="786" t="s">
        <v>20</v>
      </c>
      <c r="M746" s="780"/>
      <c r="N746" s="816"/>
      <c r="O746" s="800"/>
      <c r="P746" s="512"/>
      <c r="Q746" s="512"/>
      <c r="R746" s="512"/>
      <c r="S746" s="512"/>
      <c r="T746" s="512"/>
      <c r="U746" s="512"/>
    </row>
    <row r="747" ht="16.5" customHeight="1" spans="1:21">
      <c r="A747" s="687" t="s">
        <v>2453</v>
      </c>
      <c r="B747" s="780" t="s">
        <v>2490</v>
      </c>
      <c r="C747" s="758" t="s">
        <v>2094</v>
      </c>
      <c r="D747" s="807">
        <v>14</v>
      </c>
      <c r="E747" s="281"/>
      <c r="F747" s="703">
        <v>45864</v>
      </c>
      <c r="G747" s="703">
        <f t="shared" si="40"/>
        <v>45849</v>
      </c>
      <c r="H747" s="713">
        <f t="shared" si="41"/>
        <v>45867</v>
      </c>
      <c r="I747" s="768" t="s">
        <v>2648</v>
      </c>
      <c r="J747" s="687" t="s">
        <v>18</v>
      </c>
      <c r="K747" s="687" t="s">
        <v>19</v>
      </c>
      <c r="L747" s="786" t="s">
        <v>20</v>
      </c>
      <c r="M747" s="780" t="s">
        <v>2651</v>
      </c>
      <c r="N747" s="815"/>
      <c r="O747" s="800"/>
      <c r="P747" s="512"/>
      <c r="Q747" s="512"/>
      <c r="R747" s="512"/>
      <c r="S747" s="512"/>
      <c r="T747" s="512"/>
      <c r="U747" s="512"/>
    </row>
    <row r="748" ht="16.5" customHeight="1" spans="1:21">
      <c r="A748" s="687" t="s">
        <v>910</v>
      </c>
      <c r="B748" s="749" t="s">
        <v>2305</v>
      </c>
      <c r="C748" s="758" t="s">
        <v>2340</v>
      </c>
      <c r="D748" s="807">
        <v>18</v>
      </c>
      <c r="E748" s="281"/>
      <c r="F748" s="703">
        <v>45864</v>
      </c>
      <c r="G748" s="703">
        <f t="shared" si="40"/>
        <v>45849</v>
      </c>
      <c r="H748" s="713">
        <f t="shared" si="41"/>
        <v>45867</v>
      </c>
      <c r="I748" s="768" t="s">
        <v>2648</v>
      </c>
      <c r="J748" s="687" t="s">
        <v>18</v>
      </c>
      <c r="K748" s="687" t="s">
        <v>19</v>
      </c>
      <c r="L748" s="786" t="s">
        <v>20</v>
      </c>
      <c r="M748" s="780"/>
      <c r="N748" s="815"/>
      <c r="O748" s="800"/>
      <c r="P748" s="512"/>
      <c r="Q748" s="512"/>
      <c r="R748" s="512"/>
      <c r="S748" s="512"/>
      <c r="T748" s="512"/>
      <c r="U748" s="512"/>
    </row>
    <row r="749" ht="16.5" customHeight="1" spans="1:21">
      <c r="A749" s="687" t="s">
        <v>910</v>
      </c>
      <c r="B749" s="749" t="s">
        <v>2372</v>
      </c>
      <c r="C749" s="758" t="s">
        <v>2095</v>
      </c>
      <c r="D749" s="807">
        <v>18</v>
      </c>
      <c r="E749" s="281"/>
      <c r="F749" s="703">
        <v>45864</v>
      </c>
      <c r="G749" s="703">
        <f t="shared" si="40"/>
        <v>45849</v>
      </c>
      <c r="H749" s="713">
        <f t="shared" si="41"/>
        <v>45867</v>
      </c>
      <c r="I749" s="768" t="s">
        <v>2648</v>
      </c>
      <c r="J749" s="687" t="s">
        <v>18</v>
      </c>
      <c r="K749" s="687" t="s">
        <v>19</v>
      </c>
      <c r="L749" s="786" t="s">
        <v>20</v>
      </c>
      <c r="M749" s="780"/>
      <c r="N749" s="816"/>
      <c r="O749" s="800"/>
      <c r="P749" s="512"/>
      <c r="Q749" s="512"/>
      <c r="R749" s="512"/>
      <c r="S749" s="512"/>
      <c r="T749" s="512"/>
      <c r="U749" s="512"/>
    </row>
    <row r="750" ht="16.5" customHeight="1" spans="1:21">
      <c r="A750" s="687" t="s">
        <v>910</v>
      </c>
      <c r="B750" s="749" t="s">
        <v>2305</v>
      </c>
      <c r="C750" s="758" t="s">
        <v>2391</v>
      </c>
      <c r="D750" s="807">
        <f>3+15</f>
        <v>18</v>
      </c>
      <c r="E750" s="281"/>
      <c r="F750" s="703">
        <v>45864</v>
      </c>
      <c r="G750" s="703">
        <f t="shared" si="40"/>
        <v>45849</v>
      </c>
      <c r="H750" s="713">
        <f t="shared" si="41"/>
        <v>45867</v>
      </c>
      <c r="I750" s="768" t="s">
        <v>2648</v>
      </c>
      <c r="J750" s="687" t="s">
        <v>18</v>
      </c>
      <c r="K750" s="687" t="s">
        <v>19</v>
      </c>
      <c r="L750" s="786" t="s">
        <v>20</v>
      </c>
      <c r="M750" s="780" t="s">
        <v>2652</v>
      </c>
      <c r="N750" s="816"/>
      <c r="O750" s="800"/>
      <c r="P750" s="512"/>
      <c r="Q750" s="512"/>
      <c r="R750" s="512"/>
      <c r="S750" s="512"/>
      <c r="T750" s="512"/>
      <c r="U750" s="512"/>
    </row>
    <row r="751" ht="16.5" customHeight="1" spans="1:21">
      <c r="A751" s="687" t="s">
        <v>910</v>
      </c>
      <c r="B751" s="749" t="s">
        <v>2305</v>
      </c>
      <c r="C751" s="758" t="s">
        <v>2140</v>
      </c>
      <c r="D751" s="807">
        <v>8</v>
      </c>
      <c r="E751" s="281"/>
      <c r="F751" s="703">
        <v>45864</v>
      </c>
      <c r="G751" s="703">
        <f t="shared" si="40"/>
        <v>45849</v>
      </c>
      <c r="H751" s="713">
        <f t="shared" si="41"/>
        <v>45867</v>
      </c>
      <c r="I751" s="768" t="s">
        <v>2648</v>
      </c>
      <c r="J751" s="687" t="s">
        <v>18</v>
      </c>
      <c r="K751" s="687" t="s">
        <v>19</v>
      </c>
      <c r="L751" s="786" t="s">
        <v>20</v>
      </c>
      <c r="M751" s="780"/>
      <c r="N751" s="816"/>
      <c r="O751" s="800"/>
      <c r="P751" s="512"/>
      <c r="Q751" s="512"/>
      <c r="R751" s="512"/>
      <c r="S751" s="512"/>
      <c r="T751" s="512"/>
      <c r="U751" s="512"/>
    </row>
    <row r="752" ht="16.5" customHeight="1" spans="1:21">
      <c r="A752" s="687" t="s">
        <v>910</v>
      </c>
      <c r="B752" s="749" t="s">
        <v>2305</v>
      </c>
      <c r="C752" s="758" t="s">
        <v>2114</v>
      </c>
      <c r="D752" s="807">
        <v>8</v>
      </c>
      <c r="E752" s="281"/>
      <c r="F752" s="703">
        <v>45864</v>
      </c>
      <c r="G752" s="703">
        <f t="shared" si="40"/>
        <v>45849</v>
      </c>
      <c r="H752" s="713">
        <f t="shared" si="41"/>
        <v>45867</v>
      </c>
      <c r="I752" s="768" t="s">
        <v>2648</v>
      </c>
      <c r="J752" s="687" t="s">
        <v>18</v>
      </c>
      <c r="K752" s="687" t="s">
        <v>19</v>
      </c>
      <c r="L752" s="786" t="s">
        <v>20</v>
      </c>
      <c r="M752" s="687"/>
      <c r="N752" s="816"/>
      <c r="O752" s="800"/>
      <c r="P752" s="512"/>
      <c r="Q752" s="512"/>
      <c r="R752" s="512"/>
      <c r="S752" s="512"/>
      <c r="T752" s="512"/>
      <c r="U752" s="512"/>
    </row>
    <row r="753" ht="16.5" customHeight="1" spans="1:21">
      <c r="A753" s="687" t="s">
        <v>910</v>
      </c>
      <c r="B753" s="749" t="s">
        <v>2305</v>
      </c>
      <c r="C753" s="758" t="s">
        <v>2182</v>
      </c>
      <c r="D753" s="807">
        <v>11</v>
      </c>
      <c r="E753" s="281"/>
      <c r="F753" s="703">
        <v>45864</v>
      </c>
      <c r="G753" s="703">
        <f t="shared" si="40"/>
        <v>45849</v>
      </c>
      <c r="H753" s="713">
        <f t="shared" si="41"/>
        <v>45867</v>
      </c>
      <c r="I753" s="768" t="s">
        <v>2648</v>
      </c>
      <c r="J753" s="687" t="s">
        <v>18</v>
      </c>
      <c r="K753" s="687" t="s">
        <v>19</v>
      </c>
      <c r="L753" s="786" t="s">
        <v>20</v>
      </c>
      <c r="M753" s="687"/>
      <c r="N753" s="816"/>
      <c r="O753" s="800"/>
      <c r="P753" s="512"/>
      <c r="Q753" s="512"/>
      <c r="R753" s="512"/>
      <c r="S753" s="512"/>
      <c r="T753" s="512"/>
      <c r="U753" s="512"/>
    </row>
    <row r="754" ht="16.5" customHeight="1" spans="1:21">
      <c r="A754" s="687" t="s">
        <v>910</v>
      </c>
      <c r="B754" s="780" t="s">
        <v>2372</v>
      </c>
      <c r="C754" s="732" t="s">
        <v>2087</v>
      </c>
      <c r="D754" s="313">
        <v>36</v>
      </c>
      <c r="E754" s="756" t="s">
        <v>2653</v>
      </c>
      <c r="F754" s="675">
        <v>45821</v>
      </c>
      <c r="G754" s="675">
        <f>VLOOKUP(CLEAN(SUBSTITUTE(TRIM(MID(E:E,FIND("/",E:E)+1,LEN(E:E)))," ","")),'Customs Decl. &amp; Local Delivery'!D:I,6,0)</f>
        <v>45849</v>
      </c>
      <c r="H754" s="790">
        <f>VLOOKUP(CLEAN(SUBSTITUTE(TRIM(MID(E:E,FIND("/",E:E)+1,LEN(E:E)))," ","")),'Customs Decl. &amp; Local Delivery'!D:J,7,0)</f>
        <v>45867</v>
      </c>
      <c r="I754" s="687" t="s">
        <v>2654</v>
      </c>
      <c r="J754" s="750" t="s">
        <v>18</v>
      </c>
      <c r="K754" s="690" t="s">
        <v>576</v>
      </c>
      <c r="L754" s="786" t="s">
        <v>20</v>
      </c>
      <c r="M754" s="687" t="s">
        <v>2655</v>
      </c>
      <c r="N754" s="814"/>
      <c r="O754" s="800"/>
      <c r="P754" s="512"/>
      <c r="Q754" s="512"/>
      <c r="R754" s="512"/>
      <c r="S754" s="512"/>
      <c r="T754" s="512"/>
      <c r="U754" s="512"/>
    </row>
    <row r="755" ht="16.5" customHeight="1" spans="1:21">
      <c r="A755" s="687" t="s">
        <v>910</v>
      </c>
      <c r="B755" s="780" t="s">
        <v>2372</v>
      </c>
      <c r="C755" s="732" t="s">
        <v>2090</v>
      </c>
      <c r="D755" s="313">
        <v>65</v>
      </c>
      <c r="E755" s="281"/>
      <c r="F755" s="675">
        <v>45821</v>
      </c>
      <c r="G755" s="703">
        <f>G754</f>
        <v>45849</v>
      </c>
      <c r="H755" s="713">
        <f>H754</f>
        <v>45867</v>
      </c>
      <c r="I755" s="687" t="s">
        <v>2654</v>
      </c>
      <c r="J755" s="750" t="s">
        <v>18</v>
      </c>
      <c r="K755" s="690" t="s">
        <v>576</v>
      </c>
      <c r="L755" s="786" t="s">
        <v>20</v>
      </c>
      <c r="M755" s="690" t="s">
        <v>2656</v>
      </c>
      <c r="N755" s="815"/>
      <c r="O755" s="512"/>
      <c r="P755" s="512"/>
      <c r="Q755" s="512"/>
      <c r="R755" s="512"/>
      <c r="S755" s="512"/>
      <c r="T755" s="512"/>
      <c r="U755" s="512"/>
    </row>
    <row r="756" ht="16.5" customHeight="1" spans="1:21">
      <c r="A756" s="687" t="s">
        <v>910</v>
      </c>
      <c r="B756" s="780" t="s">
        <v>2372</v>
      </c>
      <c r="C756" s="732" t="s">
        <v>2092</v>
      </c>
      <c r="D756" s="313">
        <v>12</v>
      </c>
      <c r="E756" s="281"/>
      <c r="F756" s="675">
        <v>45821</v>
      </c>
      <c r="G756" s="703">
        <f>G755</f>
        <v>45849</v>
      </c>
      <c r="H756" s="713">
        <f>H755</f>
        <v>45867</v>
      </c>
      <c r="I756" s="687" t="s">
        <v>2654</v>
      </c>
      <c r="J756" s="750" t="s">
        <v>18</v>
      </c>
      <c r="K756" s="690" t="s">
        <v>576</v>
      </c>
      <c r="L756" s="786" t="s">
        <v>20</v>
      </c>
      <c r="M756" s="687"/>
      <c r="N756" s="815"/>
      <c r="O756" s="512"/>
      <c r="P756" s="512"/>
      <c r="Q756" s="512"/>
      <c r="R756" s="512"/>
      <c r="S756" s="512"/>
      <c r="T756" s="512"/>
      <c r="U756" s="512"/>
    </row>
    <row r="757" ht="16.5" customHeight="1" spans="1:21">
      <c r="A757" s="687" t="s">
        <v>910</v>
      </c>
      <c r="B757" s="780" t="s">
        <v>2372</v>
      </c>
      <c r="C757" s="732" t="s">
        <v>2093</v>
      </c>
      <c r="D757" s="313">
        <v>20</v>
      </c>
      <c r="E757" s="281"/>
      <c r="F757" s="675">
        <v>45821</v>
      </c>
      <c r="G757" s="703">
        <f>G756</f>
        <v>45849</v>
      </c>
      <c r="H757" s="713">
        <f>H756</f>
        <v>45867</v>
      </c>
      <c r="I757" s="687" t="s">
        <v>2654</v>
      </c>
      <c r="J757" s="750" t="s">
        <v>18</v>
      </c>
      <c r="K757" s="690" t="s">
        <v>576</v>
      </c>
      <c r="L757" s="786" t="s">
        <v>20</v>
      </c>
      <c r="M757" s="687"/>
      <c r="N757" s="816"/>
      <c r="O757" s="512"/>
      <c r="P757" s="512"/>
      <c r="Q757" s="512"/>
      <c r="R757" s="512"/>
      <c r="S757" s="512"/>
      <c r="T757" s="512"/>
      <c r="U757" s="512"/>
    </row>
    <row r="758" ht="16.5" customHeight="1" spans="1:21">
      <c r="A758" s="751" t="s">
        <v>910</v>
      </c>
      <c r="B758" s="808" t="s">
        <v>2305</v>
      </c>
      <c r="C758" s="752" t="s">
        <v>2095</v>
      </c>
      <c r="D758" s="313">
        <v>30</v>
      </c>
      <c r="E758" s="281"/>
      <c r="F758" s="675">
        <v>45821</v>
      </c>
      <c r="G758" s="703">
        <f>G757</f>
        <v>45849</v>
      </c>
      <c r="H758" s="713">
        <f>H757</f>
        <v>45867</v>
      </c>
      <c r="I758" s="687" t="s">
        <v>2654</v>
      </c>
      <c r="J758" s="760" t="s">
        <v>18</v>
      </c>
      <c r="K758" s="690" t="s">
        <v>576</v>
      </c>
      <c r="L758" s="786" t="s">
        <v>20</v>
      </c>
      <c r="M758" s="687"/>
      <c r="N758" s="816"/>
      <c r="O758" s="512"/>
      <c r="P758" s="512"/>
      <c r="Q758" s="512"/>
      <c r="R758" s="512"/>
      <c r="S758" s="512"/>
      <c r="T758" s="512"/>
      <c r="U758" s="512"/>
    </row>
    <row r="759" ht="16.5" customHeight="1" spans="1:21">
      <c r="A759" s="687" t="s">
        <v>910</v>
      </c>
      <c r="B759" s="780" t="s">
        <v>2372</v>
      </c>
      <c r="C759" s="732" t="s">
        <v>2087</v>
      </c>
      <c r="D759" s="313">
        <v>36</v>
      </c>
      <c r="E759" s="756" t="s">
        <v>2657</v>
      </c>
      <c r="F759" s="675">
        <v>45821</v>
      </c>
      <c r="G759" s="675">
        <f>VLOOKUP(CLEAN(SUBSTITUTE(TRIM(MID(E:E,FIND("/",E:E)+1,LEN(E:E)))," ","")),'Customs Decl. &amp; Local Delivery'!D:I,6,0)</f>
        <v>45849</v>
      </c>
      <c r="H759" s="790">
        <f>VLOOKUP(CLEAN(SUBSTITUTE(TRIM(MID(E:E,FIND("/",E:E)+1,LEN(E:E)))," ","")),'Customs Decl. &amp; Local Delivery'!D:J,7,0)</f>
        <v>45867</v>
      </c>
      <c r="I759" s="687" t="s">
        <v>2658</v>
      </c>
      <c r="J759" s="750" t="s">
        <v>18</v>
      </c>
      <c r="K759" s="690" t="s">
        <v>2342</v>
      </c>
      <c r="L759" s="786" t="s">
        <v>20</v>
      </c>
      <c r="M759" s="687" t="s">
        <v>2656</v>
      </c>
      <c r="N759" s="814"/>
      <c r="O759" s="512"/>
      <c r="P759" s="512"/>
      <c r="Q759" s="512"/>
      <c r="R759" s="512"/>
      <c r="S759" s="512"/>
      <c r="T759" s="512"/>
      <c r="U759" s="512"/>
    </row>
    <row r="760" ht="16.5" customHeight="1" spans="1:21">
      <c r="A760" s="687" t="s">
        <v>910</v>
      </c>
      <c r="B760" s="780" t="s">
        <v>2372</v>
      </c>
      <c r="C760" s="732" t="s">
        <v>2090</v>
      </c>
      <c r="D760" s="313">
        <v>65</v>
      </c>
      <c r="E760" s="281"/>
      <c r="F760" s="675">
        <v>45821</v>
      </c>
      <c r="G760" s="703">
        <f>G759</f>
        <v>45849</v>
      </c>
      <c r="H760" s="713">
        <f>H759</f>
        <v>45867</v>
      </c>
      <c r="I760" s="687" t="s">
        <v>2658</v>
      </c>
      <c r="J760" s="750" t="s">
        <v>18</v>
      </c>
      <c r="K760" s="690" t="s">
        <v>2342</v>
      </c>
      <c r="L760" s="786" t="s">
        <v>20</v>
      </c>
      <c r="M760" s="780" t="s">
        <v>2659</v>
      </c>
      <c r="N760" s="815"/>
      <c r="O760" s="512"/>
      <c r="P760" s="512"/>
      <c r="Q760" s="512"/>
      <c r="R760" s="512"/>
      <c r="S760" s="512"/>
      <c r="T760" s="512"/>
      <c r="U760" s="512"/>
    </row>
    <row r="761" ht="16.5" customHeight="1" spans="1:21">
      <c r="A761" s="687" t="s">
        <v>910</v>
      </c>
      <c r="B761" s="780" t="s">
        <v>2372</v>
      </c>
      <c r="C761" s="758" t="s">
        <v>2092</v>
      </c>
      <c r="D761" s="350">
        <v>12</v>
      </c>
      <c r="E761" s="289"/>
      <c r="F761" s="675">
        <v>45821</v>
      </c>
      <c r="G761" s="703">
        <f>G760</f>
        <v>45849</v>
      </c>
      <c r="H761" s="713">
        <f>H760</f>
        <v>45867</v>
      </c>
      <c r="I761" s="687" t="s">
        <v>2658</v>
      </c>
      <c r="J761" s="750" t="s">
        <v>18</v>
      </c>
      <c r="K761" s="690" t="s">
        <v>2342</v>
      </c>
      <c r="L761" s="786" t="s">
        <v>20</v>
      </c>
      <c r="M761" s="785"/>
      <c r="N761" s="815"/>
      <c r="O761" s="512"/>
      <c r="P761" s="512"/>
      <c r="Q761" s="512"/>
      <c r="R761" s="512"/>
      <c r="S761" s="512"/>
      <c r="T761" s="512"/>
      <c r="U761" s="512"/>
    </row>
    <row r="762" ht="16.5" customHeight="1" spans="1:21">
      <c r="A762" s="687" t="s">
        <v>2453</v>
      </c>
      <c r="B762" s="749" t="s">
        <v>2490</v>
      </c>
      <c r="C762" s="758" t="s">
        <v>2092</v>
      </c>
      <c r="D762" s="313">
        <v>5</v>
      </c>
      <c r="E762" s="764"/>
      <c r="F762" s="675">
        <v>45821</v>
      </c>
      <c r="G762" s="703">
        <f>G761</f>
        <v>45849</v>
      </c>
      <c r="H762" s="713">
        <f>H761</f>
        <v>45867</v>
      </c>
      <c r="I762" s="687" t="s">
        <v>2658</v>
      </c>
      <c r="J762" s="750" t="s">
        <v>18</v>
      </c>
      <c r="K762" s="690" t="s">
        <v>2342</v>
      </c>
      <c r="L762" s="786" t="s">
        <v>20</v>
      </c>
      <c r="M762" s="780" t="s">
        <v>2660</v>
      </c>
      <c r="N762" s="816"/>
      <c r="O762" s="512"/>
      <c r="P762" s="512"/>
      <c r="Q762" s="512"/>
      <c r="R762" s="512"/>
      <c r="S762" s="512"/>
      <c r="T762" s="512"/>
      <c r="U762" s="512"/>
    </row>
    <row r="763" ht="16.5" customHeight="1" spans="1:21">
      <c r="A763" s="687" t="s">
        <v>910</v>
      </c>
      <c r="B763" s="780" t="s">
        <v>2372</v>
      </c>
      <c r="C763" s="732" t="s">
        <v>2093</v>
      </c>
      <c r="D763" s="313">
        <v>20</v>
      </c>
      <c r="E763" s="281"/>
      <c r="F763" s="675">
        <v>45821</v>
      </c>
      <c r="G763" s="703">
        <f>G761</f>
        <v>45849</v>
      </c>
      <c r="H763" s="713">
        <f>H761</f>
        <v>45867</v>
      </c>
      <c r="I763" s="687" t="s">
        <v>2658</v>
      </c>
      <c r="J763" s="750" t="s">
        <v>18</v>
      </c>
      <c r="K763" s="690" t="s">
        <v>2342</v>
      </c>
      <c r="L763" s="786" t="s">
        <v>20</v>
      </c>
      <c r="M763" s="780"/>
      <c r="N763" s="816"/>
      <c r="O763" s="512"/>
      <c r="P763" s="512"/>
      <c r="Q763" s="512"/>
      <c r="R763" s="512"/>
      <c r="S763" s="512"/>
      <c r="T763" s="512"/>
      <c r="U763" s="512"/>
    </row>
    <row r="764" ht="16.5" customHeight="1" spans="1:21">
      <c r="A764" s="751" t="s">
        <v>910</v>
      </c>
      <c r="B764" s="808" t="s">
        <v>2372</v>
      </c>
      <c r="C764" s="765" t="s">
        <v>2095</v>
      </c>
      <c r="D764" s="350">
        <v>18</v>
      </c>
      <c r="E764" s="281"/>
      <c r="F764" s="675">
        <v>45821</v>
      </c>
      <c r="G764" s="703">
        <f>G763</f>
        <v>45849</v>
      </c>
      <c r="H764" s="713">
        <f>H763</f>
        <v>45867</v>
      </c>
      <c r="I764" s="687" t="s">
        <v>2658</v>
      </c>
      <c r="J764" s="760" t="s">
        <v>18</v>
      </c>
      <c r="K764" s="690" t="s">
        <v>2342</v>
      </c>
      <c r="L764" s="786" t="s">
        <v>20</v>
      </c>
      <c r="M764" s="780" t="s">
        <v>2661</v>
      </c>
      <c r="N764" s="816"/>
      <c r="O764" s="512"/>
      <c r="P764" s="512"/>
      <c r="Q764" s="512"/>
      <c r="R764" s="512"/>
      <c r="S764" s="512"/>
      <c r="T764" s="512"/>
      <c r="U764" s="512"/>
    </row>
    <row r="765" ht="16.5" customHeight="1" spans="1:21">
      <c r="A765" s="687" t="s">
        <v>910</v>
      </c>
      <c r="B765" s="780" t="s">
        <v>2372</v>
      </c>
      <c r="C765" s="732" t="s">
        <v>2087</v>
      </c>
      <c r="D765" s="313">
        <v>36</v>
      </c>
      <c r="E765" s="674" t="s">
        <v>2662</v>
      </c>
      <c r="F765" s="703">
        <v>45821</v>
      </c>
      <c r="G765" s="675">
        <f>VLOOKUP(CLEAN(SUBSTITUTE(TRIM(MID(E:E,FIND("/",E:E)+1,LEN(E:E)))," ","")),'Customs Decl. &amp; Local Delivery'!D:I,6,0)</f>
        <v>45849</v>
      </c>
      <c r="H765" s="790">
        <f>VLOOKUP(CLEAN(SUBSTITUTE(TRIM(MID(E:E,FIND("/",E:E)+1,LEN(E:E)))," ","")),'Customs Decl. &amp; Local Delivery'!D:J,7,0)</f>
        <v>45867</v>
      </c>
      <c r="I765" s="687" t="s">
        <v>2663</v>
      </c>
      <c r="J765" s="750" t="s">
        <v>18</v>
      </c>
      <c r="K765" s="687" t="s">
        <v>2619</v>
      </c>
      <c r="L765" s="786" t="s">
        <v>20</v>
      </c>
      <c r="M765" s="780" t="s">
        <v>2664</v>
      </c>
      <c r="N765" s="814"/>
      <c r="O765" s="512"/>
      <c r="P765" s="512"/>
      <c r="Q765" s="512"/>
      <c r="R765" s="512"/>
      <c r="S765" s="512"/>
      <c r="T765" s="512"/>
      <c r="U765" s="512"/>
    </row>
    <row r="766" ht="16.5" customHeight="1" spans="1:21">
      <c r="A766" s="687" t="s">
        <v>910</v>
      </c>
      <c r="B766" s="780" t="s">
        <v>2372</v>
      </c>
      <c r="C766" s="732" t="s">
        <v>2090</v>
      </c>
      <c r="D766" s="313">
        <v>65</v>
      </c>
      <c r="E766" s="281"/>
      <c r="F766" s="703">
        <v>45821</v>
      </c>
      <c r="G766" s="703">
        <f>G765</f>
        <v>45849</v>
      </c>
      <c r="H766" s="713">
        <f>H765</f>
        <v>45867</v>
      </c>
      <c r="I766" s="687" t="s">
        <v>2663</v>
      </c>
      <c r="J766" s="750" t="s">
        <v>18</v>
      </c>
      <c r="K766" s="687" t="s">
        <v>2619</v>
      </c>
      <c r="L766" s="786" t="s">
        <v>20</v>
      </c>
      <c r="M766" s="749" t="s">
        <v>2656</v>
      </c>
      <c r="N766" s="815"/>
      <c r="O766" s="512"/>
      <c r="P766" s="512"/>
      <c r="Q766" s="512"/>
      <c r="R766" s="512"/>
      <c r="S766" s="512"/>
      <c r="T766" s="512"/>
      <c r="U766" s="512"/>
    </row>
    <row r="767" ht="16.5" customHeight="1" spans="1:21">
      <c r="A767" s="687" t="s">
        <v>910</v>
      </c>
      <c r="B767" s="780" t="s">
        <v>2372</v>
      </c>
      <c r="C767" s="758" t="s">
        <v>2092</v>
      </c>
      <c r="D767" s="350">
        <v>12</v>
      </c>
      <c r="E767" s="281"/>
      <c r="F767" s="703">
        <v>45821</v>
      </c>
      <c r="G767" s="703">
        <f>G766</f>
        <v>45849</v>
      </c>
      <c r="H767" s="713">
        <f>H766</f>
        <v>45867</v>
      </c>
      <c r="I767" s="687" t="s">
        <v>2663</v>
      </c>
      <c r="J767" s="750" t="s">
        <v>18</v>
      </c>
      <c r="K767" s="687" t="s">
        <v>2619</v>
      </c>
      <c r="L767" s="786" t="s">
        <v>20</v>
      </c>
      <c r="M767" s="780"/>
      <c r="N767" s="815"/>
      <c r="O767" s="512"/>
      <c r="P767" s="512"/>
      <c r="Q767" s="512"/>
      <c r="R767" s="512"/>
      <c r="S767" s="512"/>
      <c r="T767" s="512"/>
      <c r="U767" s="512"/>
    </row>
    <row r="768" ht="16.5" customHeight="1" spans="1:21">
      <c r="A768" s="687" t="s">
        <v>2453</v>
      </c>
      <c r="B768" s="749" t="s">
        <v>2490</v>
      </c>
      <c r="C768" s="758" t="s">
        <v>2092</v>
      </c>
      <c r="D768" s="313">
        <v>16</v>
      </c>
      <c r="E768" s="809"/>
      <c r="F768" s="703">
        <v>45821</v>
      </c>
      <c r="G768" s="703">
        <f>G767</f>
        <v>45849</v>
      </c>
      <c r="H768" s="713">
        <f>H767</f>
        <v>45867</v>
      </c>
      <c r="I768" s="687" t="s">
        <v>2663</v>
      </c>
      <c r="J768" s="750" t="s">
        <v>18</v>
      </c>
      <c r="K768" s="687" t="s">
        <v>2619</v>
      </c>
      <c r="L768" s="786" t="s">
        <v>20</v>
      </c>
      <c r="M768" s="780" t="s">
        <v>2665</v>
      </c>
      <c r="N768" s="816"/>
      <c r="O768" s="512"/>
      <c r="P768" s="512"/>
      <c r="Q768" s="512"/>
      <c r="R768" s="512"/>
      <c r="S768" s="512"/>
      <c r="T768" s="512"/>
      <c r="U768" s="512"/>
    </row>
    <row r="769" ht="16.5" customHeight="1" spans="1:21">
      <c r="A769" s="687" t="s">
        <v>910</v>
      </c>
      <c r="B769" s="780" t="s">
        <v>2372</v>
      </c>
      <c r="C769" s="732" t="s">
        <v>2093</v>
      </c>
      <c r="D769" s="313">
        <v>20</v>
      </c>
      <c r="E769" s="281"/>
      <c r="F769" s="703">
        <v>45821</v>
      </c>
      <c r="G769" s="703">
        <f>G767</f>
        <v>45849</v>
      </c>
      <c r="H769" s="713">
        <f>H767</f>
        <v>45867</v>
      </c>
      <c r="I769" s="687" t="s">
        <v>2663</v>
      </c>
      <c r="J769" s="750" t="s">
        <v>18</v>
      </c>
      <c r="K769" s="687" t="s">
        <v>2619</v>
      </c>
      <c r="L769" s="786" t="s">
        <v>20</v>
      </c>
      <c r="M769" s="780" t="s">
        <v>2659</v>
      </c>
      <c r="N769" s="816"/>
      <c r="O769" s="512"/>
      <c r="P769" s="512"/>
      <c r="Q769" s="512"/>
      <c r="R769" s="512"/>
      <c r="S769" s="512"/>
      <c r="T769" s="512"/>
      <c r="U769" s="512"/>
    </row>
    <row r="770" ht="16.5" customHeight="1" spans="1:21">
      <c r="A770" s="751" t="s">
        <v>910</v>
      </c>
      <c r="B770" s="808" t="s">
        <v>2372</v>
      </c>
      <c r="C770" s="752" t="s">
        <v>2095</v>
      </c>
      <c r="D770" s="350">
        <v>14</v>
      </c>
      <c r="E770" s="69"/>
      <c r="F770" s="703">
        <v>45821</v>
      </c>
      <c r="G770" s="703">
        <f>G769</f>
        <v>45849</v>
      </c>
      <c r="H770" s="713">
        <f>H769</f>
        <v>45867</v>
      </c>
      <c r="I770" s="687" t="s">
        <v>2663</v>
      </c>
      <c r="J770" s="760" t="s">
        <v>18</v>
      </c>
      <c r="K770" s="687" t="s">
        <v>2619</v>
      </c>
      <c r="L770" s="786" t="s">
        <v>20</v>
      </c>
      <c r="M770" s="780" t="s">
        <v>2666</v>
      </c>
      <c r="N770" s="816"/>
      <c r="O770" s="512"/>
      <c r="P770" s="512"/>
      <c r="Q770" s="512"/>
      <c r="R770" s="512"/>
      <c r="S770" s="512"/>
      <c r="T770" s="512"/>
      <c r="U770" s="512"/>
    </row>
    <row r="771" ht="16.5" customHeight="1" spans="1:21">
      <c r="A771" s="687" t="s">
        <v>910</v>
      </c>
      <c r="B771" s="780" t="s">
        <v>2372</v>
      </c>
      <c r="C771" s="732" t="s">
        <v>2087</v>
      </c>
      <c r="D771" s="313">
        <v>36</v>
      </c>
      <c r="E771" s="756" t="s">
        <v>2667</v>
      </c>
      <c r="F771" s="703">
        <v>45821</v>
      </c>
      <c r="G771" s="675">
        <f>VLOOKUP(CLEAN(SUBSTITUTE(TRIM(MID(E:E,FIND("/",E:E)+1,LEN(E:E)))," ","")),'Customs Decl. &amp; Local Delivery'!D:I,6,0)</f>
        <v>45849</v>
      </c>
      <c r="H771" s="790">
        <f>VLOOKUP(CLEAN(SUBSTITUTE(TRIM(MID(E:E,FIND("/",E:E)+1,LEN(E:E)))," ","")),'Customs Decl. &amp; Local Delivery'!D:J,7,0)</f>
        <v>45867</v>
      </c>
      <c r="I771" s="687" t="s">
        <v>2668</v>
      </c>
      <c r="J771" s="750" t="s">
        <v>18</v>
      </c>
      <c r="K771" s="690" t="s">
        <v>2669</v>
      </c>
      <c r="L771" s="786" t="s">
        <v>20</v>
      </c>
      <c r="M771" s="780" t="s">
        <v>2656</v>
      </c>
      <c r="N771" s="802"/>
      <c r="O771" s="203"/>
      <c r="P771" s="203"/>
      <c r="Q771" s="203"/>
      <c r="R771" s="203"/>
      <c r="S771" s="203"/>
      <c r="T771" s="203"/>
      <c r="U771" s="203"/>
    </row>
    <row r="772" ht="16.5" customHeight="1" spans="1:21">
      <c r="A772" s="687" t="s">
        <v>910</v>
      </c>
      <c r="B772" s="780" t="s">
        <v>2372</v>
      </c>
      <c r="C772" s="732" t="s">
        <v>2090</v>
      </c>
      <c r="D772" s="313">
        <v>65</v>
      </c>
      <c r="E772" s="281"/>
      <c r="F772" s="703">
        <v>45821</v>
      </c>
      <c r="G772" s="703">
        <f>G771</f>
        <v>45849</v>
      </c>
      <c r="H772" s="713">
        <f>H771</f>
        <v>45867</v>
      </c>
      <c r="I772" s="687" t="s">
        <v>2668</v>
      </c>
      <c r="J772" s="750" t="s">
        <v>18</v>
      </c>
      <c r="K772" s="690" t="s">
        <v>2669</v>
      </c>
      <c r="L772" s="786" t="s">
        <v>20</v>
      </c>
      <c r="M772" s="780"/>
      <c r="N772" s="812"/>
      <c r="O772" s="203"/>
      <c r="P772" s="203"/>
      <c r="Q772" s="203"/>
      <c r="R772" s="203"/>
      <c r="S772" s="203"/>
      <c r="T772" s="203"/>
      <c r="U772" s="203"/>
    </row>
    <row r="773" ht="16.5" customHeight="1" spans="1:21">
      <c r="A773" s="687" t="s">
        <v>910</v>
      </c>
      <c r="B773" s="780" t="s">
        <v>2372</v>
      </c>
      <c r="C773" s="758" t="s">
        <v>2092</v>
      </c>
      <c r="D773" s="350">
        <v>12</v>
      </c>
      <c r="E773" s="281"/>
      <c r="F773" s="703">
        <v>45821</v>
      </c>
      <c r="G773" s="703">
        <f>G772</f>
        <v>45849</v>
      </c>
      <c r="H773" s="713">
        <f>H772</f>
        <v>45867</v>
      </c>
      <c r="I773" s="687" t="s">
        <v>2668</v>
      </c>
      <c r="J773" s="750" t="s">
        <v>18</v>
      </c>
      <c r="K773" s="690" t="s">
        <v>2669</v>
      </c>
      <c r="L773" s="786" t="s">
        <v>20</v>
      </c>
      <c r="M773" s="780"/>
      <c r="N773" s="812"/>
      <c r="O773" s="203"/>
      <c r="P773" s="203"/>
      <c r="Q773" s="203"/>
      <c r="R773" s="203"/>
      <c r="S773" s="203"/>
      <c r="T773" s="203"/>
      <c r="U773" s="203"/>
    </row>
    <row r="774" ht="16.5" customHeight="1" spans="1:21">
      <c r="A774" s="687" t="s">
        <v>910</v>
      </c>
      <c r="B774" s="780" t="s">
        <v>2372</v>
      </c>
      <c r="C774" s="758" t="s">
        <v>2093</v>
      </c>
      <c r="D774" s="350">
        <v>13</v>
      </c>
      <c r="E774" s="281"/>
      <c r="F774" s="703">
        <v>45821</v>
      </c>
      <c r="G774" s="703">
        <f>G773</f>
        <v>45849</v>
      </c>
      <c r="H774" s="713">
        <f>H773</f>
        <v>45867</v>
      </c>
      <c r="I774" s="687" t="s">
        <v>2668</v>
      </c>
      <c r="J774" s="750" t="s">
        <v>18</v>
      </c>
      <c r="K774" s="690" t="s">
        <v>2669</v>
      </c>
      <c r="L774" s="786" t="s">
        <v>20</v>
      </c>
      <c r="M774" s="780" t="s">
        <v>2670</v>
      </c>
      <c r="N774" s="813"/>
      <c r="O774" s="203"/>
      <c r="P774" s="203"/>
      <c r="Q774" s="203"/>
      <c r="R774" s="203"/>
      <c r="S774" s="203"/>
      <c r="T774" s="203"/>
      <c r="U774" s="203"/>
    </row>
    <row r="775" ht="16.5" customHeight="1" spans="1:21">
      <c r="A775" s="751" t="s">
        <v>910</v>
      </c>
      <c r="B775" s="808" t="s">
        <v>2372</v>
      </c>
      <c r="C775" s="752" t="s">
        <v>2095</v>
      </c>
      <c r="D775" s="313">
        <v>30</v>
      </c>
      <c r="E775" s="281"/>
      <c r="F775" s="703">
        <v>45821</v>
      </c>
      <c r="G775" s="703">
        <f>G774</f>
        <v>45849</v>
      </c>
      <c r="H775" s="713">
        <f>H774</f>
        <v>45867</v>
      </c>
      <c r="I775" s="687" t="s">
        <v>2668</v>
      </c>
      <c r="J775" s="760" t="s">
        <v>18</v>
      </c>
      <c r="K775" s="690" t="s">
        <v>2669</v>
      </c>
      <c r="L775" s="786" t="s">
        <v>20</v>
      </c>
      <c r="M775" s="780"/>
      <c r="N775" s="813"/>
      <c r="O775" s="203"/>
      <c r="P775" s="203"/>
      <c r="Q775" s="203"/>
      <c r="R775" s="203"/>
      <c r="S775" s="203"/>
      <c r="T775" s="203"/>
      <c r="U775" s="203"/>
    </row>
    <row r="776" ht="16.5" customHeight="1" spans="1:21">
      <c r="A776" s="687" t="s">
        <v>910</v>
      </c>
      <c r="B776" s="780" t="s">
        <v>2372</v>
      </c>
      <c r="C776" s="732" t="s">
        <v>2087</v>
      </c>
      <c r="D776" s="313">
        <v>36</v>
      </c>
      <c r="E776" s="756" t="s">
        <v>2671</v>
      </c>
      <c r="F776" s="703">
        <v>45821</v>
      </c>
      <c r="G776" s="675">
        <f>VLOOKUP(CLEAN(SUBSTITUTE(TRIM(MID(E:E,FIND("/",E:E)+1,LEN(E:E)))," ","")),'Customs Decl. &amp; Local Delivery'!D:I,6,0)</f>
        <v>45849</v>
      </c>
      <c r="H776" s="790">
        <f>VLOOKUP(CLEAN(SUBSTITUTE(TRIM(MID(E:E,FIND("/",E:E)+1,LEN(E:E)))," ","")),'Customs Decl. &amp; Local Delivery'!D:J,7,0)</f>
        <v>45867</v>
      </c>
      <c r="I776" s="687" t="s">
        <v>2672</v>
      </c>
      <c r="J776" s="810" t="s">
        <v>18</v>
      </c>
      <c r="K776" s="690" t="s">
        <v>2673</v>
      </c>
      <c r="L776" s="786" t="s">
        <v>20</v>
      </c>
      <c r="M776" s="780" t="s">
        <v>2674</v>
      </c>
      <c r="N776" s="802"/>
      <c r="O776" s="203"/>
      <c r="P776" s="203"/>
      <c r="Q776" s="203"/>
      <c r="R776" s="203"/>
      <c r="S776" s="203"/>
      <c r="T776" s="203"/>
      <c r="U776" s="203"/>
    </row>
    <row r="777" ht="16.5" customHeight="1" spans="1:21">
      <c r="A777" s="687" t="s">
        <v>910</v>
      </c>
      <c r="B777" s="780" t="s">
        <v>2372</v>
      </c>
      <c r="C777" s="758" t="s">
        <v>2090</v>
      </c>
      <c r="D777" s="350">
        <v>65</v>
      </c>
      <c r="E777" s="281"/>
      <c r="F777" s="703">
        <v>45821</v>
      </c>
      <c r="G777" s="703">
        <f>G776</f>
        <v>45849</v>
      </c>
      <c r="H777" s="713">
        <f>H776</f>
        <v>45867</v>
      </c>
      <c r="I777" s="687" t="s">
        <v>2672</v>
      </c>
      <c r="J777" s="810" t="s">
        <v>18</v>
      </c>
      <c r="K777" s="690" t="s">
        <v>2673</v>
      </c>
      <c r="L777" s="786" t="s">
        <v>20</v>
      </c>
      <c r="M777" s="749" t="s">
        <v>2656</v>
      </c>
      <c r="N777" s="812"/>
      <c r="O777" s="203"/>
      <c r="P777" s="203"/>
      <c r="Q777" s="203"/>
      <c r="R777" s="203"/>
      <c r="S777" s="203"/>
      <c r="T777" s="203"/>
      <c r="U777" s="203"/>
    </row>
    <row r="778" ht="16.5" customHeight="1" spans="1:21">
      <c r="A778" s="687" t="s">
        <v>910</v>
      </c>
      <c r="B778" s="749" t="s">
        <v>2305</v>
      </c>
      <c r="C778" s="758" t="s">
        <v>2090</v>
      </c>
      <c r="D778" s="807">
        <v>20</v>
      </c>
      <c r="E778" s="281"/>
      <c r="F778" s="703">
        <v>45821</v>
      </c>
      <c r="G778" s="703">
        <f>G777</f>
        <v>45849</v>
      </c>
      <c r="H778" s="713">
        <f>H777</f>
        <v>45867</v>
      </c>
      <c r="I778" s="687" t="s">
        <v>2672</v>
      </c>
      <c r="J778" s="810" t="s">
        <v>18</v>
      </c>
      <c r="K778" s="690" t="s">
        <v>2673</v>
      </c>
      <c r="L778" s="786" t="s">
        <v>20</v>
      </c>
      <c r="M778" s="780" t="s">
        <v>2675</v>
      </c>
      <c r="N778" s="812"/>
      <c r="O778" s="203"/>
      <c r="P778" s="203"/>
      <c r="Q778" s="203"/>
      <c r="R778" s="203"/>
      <c r="S778" s="203"/>
      <c r="T778" s="203"/>
      <c r="U778" s="203"/>
    </row>
    <row r="779" ht="16.5" customHeight="1" spans="1:21">
      <c r="A779" s="687" t="s">
        <v>910</v>
      </c>
      <c r="B779" s="785" t="s">
        <v>2372</v>
      </c>
      <c r="C779" s="758" t="s">
        <v>2092</v>
      </c>
      <c r="D779" s="350">
        <v>12</v>
      </c>
      <c r="E779" s="281"/>
      <c r="F779" s="703">
        <v>45821</v>
      </c>
      <c r="G779" s="703">
        <f>G777</f>
        <v>45849</v>
      </c>
      <c r="H779" s="713">
        <f>H777</f>
        <v>45867</v>
      </c>
      <c r="I779" s="687" t="s">
        <v>2672</v>
      </c>
      <c r="J779" s="810" t="s">
        <v>18</v>
      </c>
      <c r="K779" s="690" t="s">
        <v>2673</v>
      </c>
      <c r="L779" s="786" t="s">
        <v>20</v>
      </c>
      <c r="M779" s="780"/>
      <c r="N779" s="812"/>
      <c r="O779" s="203"/>
      <c r="P779" s="203"/>
      <c r="Q779" s="203"/>
      <c r="R779" s="203"/>
      <c r="S779" s="203"/>
      <c r="T779" s="203"/>
      <c r="U779" s="203"/>
    </row>
    <row r="780" ht="16.5" customHeight="1" spans="1:21">
      <c r="A780" s="687" t="s">
        <v>910</v>
      </c>
      <c r="B780" s="780" t="s">
        <v>2372</v>
      </c>
      <c r="C780" s="732" t="s">
        <v>2093</v>
      </c>
      <c r="D780" s="313">
        <v>20</v>
      </c>
      <c r="E780" s="281"/>
      <c r="F780" s="703">
        <v>45821</v>
      </c>
      <c r="G780" s="703">
        <f>G779</f>
        <v>45849</v>
      </c>
      <c r="H780" s="713">
        <f>H779</f>
        <v>45867</v>
      </c>
      <c r="I780" s="687" t="s">
        <v>2672</v>
      </c>
      <c r="J780" s="750" t="s">
        <v>18</v>
      </c>
      <c r="K780" s="690" t="s">
        <v>2673</v>
      </c>
      <c r="L780" s="786" t="s">
        <v>20</v>
      </c>
      <c r="M780" s="780"/>
      <c r="N780" s="813"/>
      <c r="O780" s="203"/>
      <c r="P780" s="203"/>
      <c r="Q780" s="203"/>
      <c r="R780" s="203"/>
      <c r="S780" s="203"/>
      <c r="T780" s="203"/>
      <c r="U780" s="203"/>
    </row>
    <row r="781" ht="15.4" customHeight="1" spans="1:21">
      <c r="A781" s="687" t="s">
        <v>910</v>
      </c>
      <c r="B781" s="780" t="s">
        <v>2372</v>
      </c>
      <c r="C781" s="732" t="s">
        <v>2092</v>
      </c>
      <c r="D781" s="250">
        <v>38</v>
      </c>
      <c r="E781" s="281"/>
      <c r="F781" s="703">
        <v>45821</v>
      </c>
      <c r="G781" s="703">
        <f>G780</f>
        <v>45849</v>
      </c>
      <c r="H781" s="713">
        <f>H780</f>
        <v>45867</v>
      </c>
      <c r="I781" s="687" t="s">
        <v>2672</v>
      </c>
      <c r="J781" s="750" t="s">
        <v>18</v>
      </c>
      <c r="K781" s="690" t="s">
        <v>2673</v>
      </c>
      <c r="L781" s="786" t="s">
        <v>20</v>
      </c>
      <c r="M781" s="780" t="s">
        <v>2676</v>
      </c>
      <c r="N781" s="802"/>
      <c r="O781" s="203"/>
      <c r="P781" s="203"/>
      <c r="Q781" s="203"/>
      <c r="R781" s="203"/>
      <c r="S781" s="203"/>
      <c r="T781" s="203"/>
      <c r="U781" s="203"/>
    </row>
    <row r="782" ht="15.4" customHeight="1" spans="1:21">
      <c r="A782" s="687" t="s">
        <v>910</v>
      </c>
      <c r="B782" s="780" t="s">
        <v>2372</v>
      </c>
      <c r="C782" s="732" t="s">
        <v>2087</v>
      </c>
      <c r="D782" s="250">
        <v>36</v>
      </c>
      <c r="E782" s="674" t="s">
        <v>2677</v>
      </c>
      <c r="F782" s="675">
        <v>45800</v>
      </c>
      <c r="G782" s="675">
        <f>VLOOKUP(CLEAN(SUBSTITUTE(TRIM(MID(E:E,FIND("/",E:E)+1,LEN(E:E)))," ","")),'Customs Decl. &amp; Local Delivery'!D:I,6,0)</f>
        <v>45849</v>
      </c>
      <c r="H782" s="790">
        <f>VLOOKUP(CLEAN(SUBSTITUTE(TRIM(MID(E:E,FIND("/",E:E)+1,LEN(E:E)))," ","")),'Customs Decl. &amp; Local Delivery'!D:J,7,0)</f>
        <v>45867</v>
      </c>
      <c r="I782" s="690" t="s">
        <v>2678</v>
      </c>
      <c r="J782" s="687" t="s">
        <v>18</v>
      </c>
      <c r="K782" s="687" t="s">
        <v>2248</v>
      </c>
      <c r="L782" s="820" t="s">
        <v>20</v>
      </c>
      <c r="M782" s="780" t="s">
        <v>2656</v>
      </c>
      <c r="N782" s="802"/>
      <c r="O782" s="203"/>
      <c r="P782" s="203"/>
      <c r="Q782" s="203"/>
      <c r="R782" s="203"/>
      <c r="S782" s="203"/>
      <c r="T782" s="203"/>
      <c r="U782" s="203"/>
    </row>
    <row r="783" ht="15.4" customHeight="1" spans="1:21">
      <c r="A783" s="687" t="s">
        <v>910</v>
      </c>
      <c r="B783" s="780" t="s">
        <v>2372</v>
      </c>
      <c r="C783" s="732" t="s">
        <v>2090</v>
      </c>
      <c r="D783" s="250">
        <v>50</v>
      </c>
      <c r="E783" s="281"/>
      <c r="F783" s="675">
        <v>45800</v>
      </c>
      <c r="G783" s="703">
        <f t="shared" ref="G783:G788" si="42">G782</f>
        <v>45849</v>
      </c>
      <c r="H783" s="713">
        <f t="shared" ref="H783:H788" si="43">H782</f>
        <v>45867</v>
      </c>
      <c r="I783" s="690" t="s">
        <v>2678</v>
      </c>
      <c r="J783" s="687" t="s">
        <v>18</v>
      </c>
      <c r="K783" s="687" t="s">
        <v>2248</v>
      </c>
      <c r="L783" s="820" t="s">
        <v>20</v>
      </c>
      <c r="M783" s="687"/>
      <c r="N783" s="802"/>
      <c r="O783" s="203"/>
      <c r="P783" s="203"/>
      <c r="Q783" s="203"/>
      <c r="R783" s="203"/>
      <c r="S783" s="203"/>
      <c r="T783" s="203"/>
      <c r="U783" s="203"/>
    </row>
    <row r="784" ht="15.4" customHeight="1" spans="1:21">
      <c r="A784" s="687" t="s">
        <v>910</v>
      </c>
      <c r="B784" s="780" t="s">
        <v>2372</v>
      </c>
      <c r="C784" s="732" t="s">
        <v>2092</v>
      </c>
      <c r="D784" s="250">
        <v>15</v>
      </c>
      <c r="E784" s="281"/>
      <c r="F784" s="675">
        <v>45800</v>
      </c>
      <c r="G784" s="703">
        <f t="shared" si="42"/>
        <v>45849</v>
      </c>
      <c r="H784" s="713">
        <f t="shared" si="43"/>
        <v>45867</v>
      </c>
      <c r="I784" s="690" t="s">
        <v>2678</v>
      </c>
      <c r="J784" s="687" t="s">
        <v>18</v>
      </c>
      <c r="K784" s="687" t="s">
        <v>2248</v>
      </c>
      <c r="L784" s="820" t="s">
        <v>20</v>
      </c>
      <c r="M784" s="687"/>
      <c r="N784" s="802"/>
      <c r="O784" s="203"/>
      <c r="P784" s="203"/>
      <c r="Q784" s="203"/>
      <c r="R784" s="203"/>
      <c r="S784" s="203"/>
      <c r="T784" s="203"/>
      <c r="U784" s="203"/>
    </row>
    <row r="785" ht="15.4" customHeight="1" spans="1:21">
      <c r="A785" s="687" t="s">
        <v>910</v>
      </c>
      <c r="B785" s="780" t="s">
        <v>2372</v>
      </c>
      <c r="C785" s="732" t="s">
        <v>2093</v>
      </c>
      <c r="D785" s="250">
        <v>15</v>
      </c>
      <c r="E785" s="281"/>
      <c r="F785" s="675">
        <v>45800</v>
      </c>
      <c r="G785" s="703">
        <f t="shared" si="42"/>
        <v>45849</v>
      </c>
      <c r="H785" s="713">
        <f t="shared" si="43"/>
        <v>45867</v>
      </c>
      <c r="I785" s="690" t="s">
        <v>2678</v>
      </c>
      <c r="J785" s="687" t="s">
        <v>18</v>
      </c>
      <c r="K785" s="687" t="s">
        <v>2248</v>
      </c>
      <c r="L785" s="820" t="s">
        <v>20</v>
      </c>
      <c r="M785" s="687"/>
      <c r="N785" s="802"/>
      <c r="O785" s="203"/>
      <c r="P785" s="203"/>
      <c r="Q785" s="203"/>
      <c r="R785" s="203"/>
      <c r="S785" s="203"/>
      <c r="T785" s="203"/>
      <c r="U785" s="203"/>
    </row>
    <row r="786" ht="15.4" customHeight="1" spans="1:21">
      <c r="A786" s="687" t="s">
        <v>910</v>
      </c>
      <c r="B786" s="780" t="s">
        <v>2305</v>
      </c>
      <c r="C786" s="758" t="s">
        <v>2094</v>
      </c>
      <c r="D786" s="351">
        <v>10</v>
      </c>
      <c r="E786" s="281"/>
      <c r="F786" s="675">
        <v>45800</v>
      </c>
      <c r="G786" s="703">
        <f t="shared" si="42"/>
        <v>45849</v>
      </c>
      <c r="H786" s="713">
        <f t="shared" si="43"/>
        <v>45867</v>
      </c>
      <c r="I786" s="690" t="s">
        <v>2678</v>
      </c>
      <c r="J786" s="687" t="s">
        <v>18</v>
      </c>
      <c r="K786" s="687" t="s">
        <v>2248</v>
      </c>
      <c r="L786" s="820" t="s">
        <v>20</v>
      </c>
      <c r="M786" s="687"/>
      <c r="N786" s="802"/>
      <c r="O786" s="203"/>
      <c r="P786" s="203"/>
      <c r="Q786" s="203"/>
      <c r="R786" s="203"/>
      <c r="S786" s="203"/>
      <c r="T786" s="203"/>
      <c r="U786" s="203"/>
    </row>
    <row r="787" ht="15.4" customHeight="1" spans="1:21">
      <c r="A787" s="687" t="s">
        <v>2453</v>
      </c>
      <c r="B787" s="749" t="s">
        <v>2490</v>
      </c>
      <c r="C787" s="732" t="s">
        <v>2340</v>
      </c>
      <c r="D787" s="347">
        <v>10</v>
      </c>
      <c r="E787" s="281"/>
      <c r="F787" s="675">
        <v>45800</v>
      </c>
      <c r="G787" s="703">
        <f t="shared" si="42"/>
        <v>45849</v>
      </c>
      <c r="H787" s="713">
        <f t="shared" si="43"/>
        <v>45867</v>
      </c>
      <c r="I787" s="690" t="s">
        <v>2678</v>
      </c>
      <c r="J787" s="687" t="s">
        <v>18</v>
      </c>
      <c r="K787" s="687" t="s">
        <v>2248</v>
      </c>
      <c r="L787" s="820" t="s">
        <v>20</v>
      </c>
      <c r="M787" s="687" t="s">
        <v>2679</v>
      </c>
      <c r="N787" s="802"/>
      <c r="O787" s="203"/>
      <c r="P787" s="203"/>
      <c r="Q787" s="203"/>
      <c r="R787" s="203"/>
      <c r="S787" s="203"/>
      <c r="T787" s="203"/>
      <c r="U787" s="203"/>
    </row>
    <row r="788" ht="15.4" customHeight="1" spans="1:21">
      <c r="A788" s="687" t="s">
        <v>2453</v>
      </c>
      <c r="B788" s="749" t="s">
        <v>2490</v>
      </c>
      <c r="C788" s="732" t="s">
        <v>2095</v>
      </c>
      <c r="D788" s="347">
        <v>20</v>
      </c>
      <c r="E788" s="281"/>
      <c r="F788" s="675">
        <v>45800</v>
      </c>
      <c r="G788" s="703">
        <f t="shared" si="42"/>
        <v>45849</v>
      </c>
      <c r="H788" s="713">
        <f t="shared" si="43"/>
        <v>45867</v>
      </c>
      <c r="I788" s="690" t="s">
        <v>2678</v>
      </c>
      <c r="J788" s="751" t="s">
        <v>18</v>
      </c>
      <c r="K788" s="687" t="s">
        <v>2248</v>
      </c>
      <c r="L788" s="820" t="s">
        <v>20</v>
      </c>
      <c r="M788" s="687" t="s">
        <v>2679</v>
      </c>
      <c r="N788" s="802"/>
      <c r="O788" s="203"/>
      <c r="P788" s="203"/>
      <c r="Q788" s="203"/>
      <c r="R788" s="203"/>
      <c r="S788" s="203"/>
      <c r="T788" s="203"/>
      <c r="U788" s="203"/>
    </row>
    <row r="789" ht="16.5" customHeight="1" spans="1:21">
      <c r="A789" s="687" t="s">
        <v>910</v>
      </c>
      <c r="B789" s="780" t="s">
        <v>2372</v>
      </c>
      <c r="C789" s="732" t="s">
        <v>2087</v>
      </c>
      <c r="D789" s="250">
        <v>36</v>
      </c>
      <c r="E789" s="756" t="s">
        <v>2680</v>
      </c>
      <c r="F789" s="675">
        <v>45814</v>
      </c>
      <c r="G789" s="675">
        <f>VLOOKUP(CLEAN(SUBSTITUTE(TRIM(MID(E:E,FIND("/",E:E)+1,LEN(E:E)))," ","")),'Customs Decl. &amp; Local Delivery'!D:I,6,0)</f>
        <v>45849</v>
      </c>
      <c r="H789" s="790">
        <f>VLOOKUP(CLEAN(SUBSTITUTE(TRIM(MID(E:E,FIND("/",E:E)+1,LEN(E:E)))," ","")),'Customs Decl. &amp; Local Delivery'!D:J,7,0)</f>
        <v>45867</v>
      </c>
      <c r="I789" s="690" t="s">
        <v>2681</v>
      </c>
      <c r="J789" s="687" t="s">
        <v>18</v>
      </c>
      <c r="K789" s="690" t="s">
        <v>654</v>
      </c>
      <c r="L789" s="820" t="s">
        <v>20</v>
      </c>
      <c r="M789" s="687" t="s">
        <v>2656</v>
      </c>
      <c r="N789" s="802"/>
      <c r="O789" s="203"/>
      <c r="P789" s="203"/>
      <c r="Q789" s="203"/>
      <c r="R789" s="203"/>
      <c r="S789" s="203"/>
      <c r="T789" s="203"/>
      <c r="U789" s="203"/>
    </row>
    <row r="790" ht="16.5" customHeight="1" spans="1:21">
      <c r="A790" s="687" t="s">
        <v>910</v>
      </c>
      <c r="B790" s="780" t="s">
        <v>2372</v>
      </c>
      <c r="C790" s="732" t="s">
        <v>2090</v>
      </c>
      <c r="D790" s="250">
        <v>50</v>
      </c>
      <c r="E790" s="281"/>
      <c r="F790" s="675">
        <v>45814</v>
      </c>
      <c r="G790" s="703">
        <f t="shared" ref="G790:G795" si="44">G789</f>
        <v>45849</v>
      </c>
      <c r="H790" s="713">
        <f t="shared" ref="H790:H795" si="45">H789</f>
        <v>45867</v>
      </c>
      <c r="I790" s="690" t="s">
        <v>2681</v>
      </c>
      <c r="J790" s="687" t="s">
        <v>18</v>
      </c>
      <c r="K790" s="690" t="s">
        <v>654</v>
      </c>
      <c r="L790" s="820" t="s">
        <v>20</v>
      </c>
      <c r="M790" s="687" t="s">
        <v>2682</v>
      </c>
      <c r="N790" s="802"/>
      <c r="O790" s="203"/>
      <c r="P790" s="203"/>
      <c r="Q790" s="203"/>
      <c r="R790" s="203"/>
      <c r="S790" s="203"/>
      <c r="T790" s="203"/>
      <c r="U790" s="203"/>
    </row>
    <row r="791" ht="16.5" customHeight="1" spans="1:21">
      <c r="A791" s="687" t="s">
        <v>910</v>
      </c>
      <c r="B791" s="780" t="s">
        <v>2372</v>
      </c>
      <c r="C791" s="732" t="s">
        <v>2092</v>
      </c>
      <c r="D791" s="250">
        <v>15</v>
      </c>
      <c r="E791" s="281"/>
      <c r="F791" s="675">
        <v>45814</v>
      </c>
      <c r="G791" s="703">
        <f t="shared" si="44"/>
        <v>45849</v>
      </c>
      <c r="H791" s="713">
        <f t="shared" si="45"/>
        <v>45867</v>
      </c>
      <c r="I791" s="690" t="s">
        <v>2681</v>
      </c>
      <c r="J791" s="687" t="s">
        <v>18</v>
      </c>
      <c r="K791" s="690" t="s">
        <v>654</v>
      </c>
      <c r="L791" s="820" t="s">
        <v>20</v>
      </c>
      <c r="M791" s="687"/>
      <c r="N791" s="802"/>
      <c r="O791" s="203"/>
      <c r="P791" s="203"/>
      <c r="Q791" s="203"/>
      <c r="R791" s="203"/>
      <c r="S791" s="203"/>
      <c r="T791" s="203"/>
      <c r="U791" s="203"/>
    </row>
    <row r="792" ht="16.5" customHeight="1" spans="1:21">
      <c r="A792" s="687" t="s">
        <v>910</v>
      </c>
      <c r="B792" s="780" t="s">
        <v>2372</v>
      </c>
      <c r="C792" s="732" t="s">
        <v>2093</v>
      </c>
      <c r="D792" s="250">
        <v>15</v>
      </c>
      <c r="E792" s="281"/>
      <c r="F792" s="675">
        <v>45814</v>
      </c>
      <c r="G792" s="703">
        <f t="shared" si="44"/>
        <v>45849</v>
      </c>
      <c r="H792" s="713">
        <f t="shared" si="45"/>
        <v>45867</v>
      </c>
      <c r="I792" s="690" t="s">
        <v>2681</v>
      </c>
      <c r="J792" s="687" t="s">
        <v>18</v>
      </c>
      <c r="K792" s="690" t="s">
        <v>654</v>
      </c>
      <c r="L792" s="820" t="s">
        <v>20</v>
      </c>
      <c r="M792" s="687"/>
      <c r="N792" s="802"/>
      <c r="O792" s="203"/>
      <c r="P792" s="203"/>
      <c r="Q792" s="203"/>
      <c r="R792" s="203"/>
      <c r="S792" s="203"/>
      <c r="T792" s="203"/>
      <c r="U792" s="203"/>
    </row>
    <row r="793" ht="16.5" customHeight="1" spans="1:21">
      <c r="A793" s="687" t="s">
        <v>910</v>
      </c>
      <c r="B793" s="780" t="s">
        <v>2305</v>
      </c>
      <c r="C793" s="758" t="s">
        <v>2094</v>
      </c>
      <c r="D793" s="351">
        <v>10</v>
      </c>
      <c r="E793" s="281"/>
      <c r="F793" s="675">
        <v>45814</v>
      </c>
      <c r="G793" s="703">
        <f t="shared" si="44"/>
        <v>45849</v>
      </c>
      <c r="H793" s="713">
        <f t="shared" si="45"/>
        <v>45867</v>
      </c>
      <c r="I793" s="690" t="s">
        <v>2681</v>
      </c>
      <c r="J793" s="687" t="s">
        <v>18</v>
      </c>
      <c r="K793" s="690" t="s">
        <v>654</v>
      </c>
      <c r="L793" s="820" t="s">
        <v>20</v>
      </c>
      <c r="M793" s="687"/>
      <c r="N793" s="802"/>
      <c r="O793" s="203"/>
      <c r="P793" s="203"/>
      <c r="Q793" s="203"/>
      <c r="R793" s="203"/>
      <c r="S793" s="203"/>
      <c r="T793" s="203"/>
      <c r="U793" s="203"/>
    </row>
    <row r="794" ht="16.5" customHeight="1" spans="1:21">
      <c r="A794" s="687" t="s">
        <v>910</v>
      </c>
      <c r="B794" s="780" t="s">
        <v>2372</v>
      </c>
      <c r="C794" s="732" t="s">
        <v>2340</v>
      </c>
      <c r="D794" s="250">
        <v>10</v>
      </c>
      <c r="E794" s="281"/>
      <c r="F794" s="675">
        <v>45814</v>
      </c>
      <c r="G794" s="703">
        <f t="shared" si="44"/>
        <v>45849</v>
      </c>
      <c r="H794" s="713">
        <f t="shared" si="45"/>
        <v>45867</v>
      </c>
      <c r="I794" s="690" t="s">
        <v>2681</v>
      </c>
      <c r="J794" s="687" t="s">
        <v>18</v>
      </c>
      <c r="K794" s="690" t="s">
        <v>654</v>
      </c>
      <c r="L794" s="820" t="s">
        <v>20</v>
      </c>
      <c r="M794" s="687"/>
      <c r="N794" s="802"/>
      <c r="O794" s="203"/>
      <c r="P794" s="203"/>
      <c r="Q794" s="203"/>
      <c r="R794" s="203"/>
      <c r="S794" s="203"/>
      <c r="T794" s="203"/>
      <c r="U794" s="203"/>
    </row>
    <row r="795" ht="16.5" customHeight="1" spans="1:21">
      <c r="A795" s="687" t="s">
        <v>910</v>
      </c>
      <c r="B795" s="780" t="s">
        <v>2372</v>
      </c>
      <c r="C795" s="758" t="s">
        <v>2095</v>
      </c>
      <c r="D795" s="351">
        <v>20</v>
      </c>
      <c r="E795" s="281"/>
      <c r="F795" s="675">
        <v>45814</v>
      </c>
      <c r="G795" s="703">
        <f t="shared" si="44"/>
        <v>45849</v>
      </c>
      <c r="H795" s="713">
        <f t="shared" si="45"/>
        <v>45867</v>
      </c>
      <c r="I795" s="690" t="s">
        <v>2681</v>
      </c>
      <c r="J795" s="687" t="s">
        <v>18</v>
      </c>
      <c r="K795" s="690" t="s">
        <v>654</v>
      </c>
      <c r="L795" s="820" t="s">
        <v>20</v>
      </c>
      <c r="M795" s="687"/>
      <c r="N795" s="802"/>
      <c r="O795" s="203"/>
      <c r="P795" s="203"/>
      <c r="Q795" s="203"/>
      <c r="R795" s="203"/>
      <c r="S795" s="203"/>
      <c r="T795" s="203"/>
      <c r="U795" s="203"/>
    </row>
    <row r="796" ht="16.5" customHeight="1" spans="1:21">
      <c r="A796" s="687" t="s">
        <v>910</v>
      </c>
      <c r="B796" s="780" t="s">
        <v>2372</v>
      </c>
      <c r="C796" s="732" t="s">
        <v>2087</v>
      </c>
      <c r="D796" s="250">
        <v>36</v>
      </c>
      <c r="E796" s="756" t="s">
        <v>2683</v>
      </c>
      <c r="F796" s="675">
        <v>45814</v>
      </c>
      <c r="G796" s="675">
        <f>VLOOKUP(CLEAN(SUBSTITUTE(TRIM(MID(E:E,FIND("/",E:E)+1,LEN(E:E)))," ","")),'Customs Decl. &amp; Local Delivery'!D:I,6,0)</f>
        <v>45849</v>
      </c>
      <c r="H796" s="790">
        <f>VLOOKUP(CLEAN(SUBSTITUTE(TRIM(MID(E:E,FIND("/",E:E)+1,LEN(E:E)))," ","")),'Customs Decl. &amp; Local Delivery'!D:J,7,0)</f>
        <v>45867</v>
      </c>
      <c r="I796" s="690" t="s">
        <v>2684</v>
      </c>
      <c r="J796" s="687" t="s">
        <v>18</v>
      </c>
      <c r="K796" s="690" t="s">
        <v>654</v>
      </c>
      <c r="L796" s="820" t="s">
        <v>20</v>
      </c>
      <c r="M796" s="687" t="s">
        <v>2656</v>
      </c>
      <c r="N796" s="802"/>
      <c r="O796" s="203"/>
      <c r="P796" s="203"/>
      <c r="Q796" s="203"/>
      <c r="R796" s="203"/>
      <c r="S796" s="203"/>
      <c r="T796" s="203"/>
      <c r="U796" s="203"/>
    </row>
    <row r="797" ht="16.5" customHeight="1" spans="1:21">
      <c r="A797" s="687" t="s">
        <v>910</v>
      </c>
      <c r="B797" s="780" t="s">
        <v>2372</v>
      </c>
      <c r="C797" s="732" t="s">
        <v>2090</v>
      </c>
      <c r="D797" s="250">
        <v>50</v>
      </c>
      <c r="E797" s="289"/>
      <c r="F797" s="675">
        <v>45814</v>
      </c>
      <c r="G797" s="703">
        <f t="shared" ref="G797:G802" si="46">G796</f>
        <v>45849</v>
      </c>
      <c r="H797" s="713">
        <f t="shared" ref="H797:H802" si="47">H796</f>
        <v>45867</v>
      </c>
      <c r="I797" s="690" t="s">
        <v>2684</v>
      </c>
      <c r="J797" s="687" t="s">
        <v>18</v>
      </c>
      <c r="K797" s="690" t="s">
        <v>654</v>
      </c>
      <c r="L797" s="820" t="s">
        <v>20</v>
      </c>
      <c r="M797" s="687" t="s">
        <v>2682</v>
      </c>
      <c r="N797" s="802"/>
      <c r="O797" s="203"/>
      <c r="P797" s="203"/>
      <c r="Q797" s="203"/>
      <c r="R797" s="203"/>
      <c r="S797" s="203"/>
      <c r="T797" s="203"/>
      <c r="U797" s="203"/>
    </row>
    <row r="798" ht="16.5" customHeight="1" spans="1:21">
      <c r="A798" s="687" t="s">
        <v>910</v>
      </c>
      <c r="B798" s="780" t="s">
        <v>2372</v>
      </c>
      <c r="C798" s="732" t="s">
        <v>2092</v>
      </c>
      <c r="D798" s="250">
        <v>15</v>
      </c>
      <c r="E798" s="281"/>
      <c r="F798" s="675">
        <v>45814</v>
      </c>
      <c r="G798" s="703">
        <f t="shared" si="46"/>
        <v>45849</v>
      </c>
      <c r="H798" s="713">
        <f t="shared" si="47"/>
        <v>45867</v>
      </c>
      <c r="I798" s="690" t="s">
        <v>2684</v>
      </c>
      <c r="J798" s="687" t="s">
        <v>18</v>
      </c>
      <c r="K798" s="690" t="s">
        <v>654</v>
      </c>
      <c r="L798" s="820" t="s">
        <v>20</v>
      </c>
      <c r="M798" s="687"/>
      <c r="N798" s="802"/>
      <c r="O798" s="203"/>
      <c r="P798" s="203"/>
      <c r="Q798" s="203"/>
      <c r="R798" s="203"/>
      <c r="S798" s="203"/>
      <c r="T798" s="203"/>
      <c r="U798" s="203"/>
    </row>
    <row r="799" ht="16.5" customHeight="1" spans="1:21">
      <c r="A799" s="687" t="s">
        <v>910</v>
      </c>
      <c r="B799" s="780" t="s">
        <v>2372</v>
      </c>
      <c r="C799" s="732" t="s">
        <v>2093</v>
      </c>
      <c r="D799" s="250">
        <v>15</v>
      </c>
      <c r="E799" s="281"/>
      <c r="F799" s="675">
        <v>45814</v>
      </c>
      <c r="G799" s="703">
        <f t="shared" si="46"/>
        <v>45849</v>
      </c>
      <c r="H799" s="713">
        <f t="shared" si="47"/>
        <v>45867</v>
      </c>
      <c r="I799" s="690" t="s">
        <v>2684</v>
      </c>
      <c r="J799" s="687" t="s">
        <v>18</v>
      </c>
      <c r="K799" s="690" t="s">
        <v>654</v>
      </c>
      <c r="L799" s="820" t="s">
        <v>20</v>
      </c>
      <c r="M799" s="687"/>
      <c r="N799" s="802"/>
      <c r="O799" s="203"/>
      <c r="P799" s="203"/>
      <c r="Q799" s="203"/>
      <c r="R799" s="203"/>
      <c r="S799" s="203"/>
      <c r="T799" s="203"/>
      <c r="U799" s="203"/>
    </row>
    <row r="800" ht="16.5" customHeight="1" spans="1:21">
      <c r="A800" s="687" t="s">
        <v>910</v>
      </c>
      <c r="B800" s="780" t="s">
        <v>2305</v>
      </c>
      <c r="C800" s="758" t="s">
        <v>2094</v>
      </c>
      <c r="D800" s="351">
        <v>10</v>
      </c>
      <c r="E800" s="281"/>
      <c r="F800" s="675">
        <v>45814</v>
      </c>
      <c r="G800" s="703">
        <f t="shared" si="46"/>
        <v>45849</v>
      </c>
      <c r="H800" s="713">
        <f t="shared" si="47"/>
        <v>45867</v>
      </c>
      <c r="I800" s="690" t="s">
        <v>2684</v>
      </c>
      <c r="J800" s="687" t="s">
        <v>18</v>
      </c>
      <c r="K800" s="690" t="s">
        <v>654</v>
      </c>
      <c r="L800" s="820" t="s">
        <v>20</v>
      </c>
      <c r="M800" s="687"/>
      <c r="N800" s="802"/>
      <c r="O800" s="203"/>
      <c r="P800" s="203"/>
      <c r="Q800" s="203"/>
      <c r="R800" s="203"/>
      <c r="S800" s="203"/>
      <c r="T800" s="203"/>
      <c r="U800" s="203"/>
    </row>
    <row r="801" ht="16.5" customHeight="1" spans="1:21">
      <c r="A801" s="687" t="s">
        <v>910</v>
      </c>
      <c r="B801" s="780" t="s">
        <v>2372</v>
      </c>
      <c r="C801" s="732" t="s">
        <v>2340</v>
      </c>
      <c r="D801" s="250">
        <v>10</v>
      </c>
      <c r="E801" s="281"/>
      <c r="F801" s="675">
        <v>45814</v>
      </c>
      <c r="G801" s="703">
        <f t="shared" si="46"/>
        <v>45849</v>
      </c>
      <c r="H801" s="713">
        <f t="shared" si="47"/>
        <v>45867</v>
      </c>
      <c r="I801" s="690" t="s">
        <v>2684</v>
      </c>
      <c r="J801" s="687" t="s">
        <v>18</v>
      </c>
      <c r="K801" s="690" t="s">
        <v>654</v>
      </c>
      <c r="L801" s="820" t="s">
        <v>20</v>
      </c>
      <c r="M801" s="687"/>
      <c r="N801" s="802"/>
      <c r="O801" s="203"/>
      <c r="P801" s="203"/>
      <c r="Q801" s="203"/>
      <c r="R801" s="203"/>
      <c r="S801" s="203"/>
      <c r="T801" s="203"/>
      <c r="U801" s="203"/>
    </row>
    <row r="802" ht="16.5" customHeight="1" spans="1:21">
      <c r="A802" s="687" t="s">
        <v>910</v>
      </c>
      <c r="B802" s="780" t="s">
        <v>2372</v>
      </c>
      <c r="C802" s="758" t="s">
        <v>2095</v>
      </c>
      <c r="D802" s="351">
        <v>20</v>
      </c>
      <c r="E802" s="289"/>
      <c r="F802" s="675">
        <v>45814</v>
      </c>
      <c r="G802" s="703">
        <f t="shared" si="46"/>
        <v>45849</v>
      </c>
      <c r="H802" s="713">
        <f t="shared" si="47"/>
        <v>45867</v>
      </c>
      <c r="I802" s="690" t="s">
        <v>2684</v>
      </c>
      <c r="J802" s="687" t="s">
        <v>18</v>
      </c>
      <c r="K802" s="690" t="s">
        <v>654</v>
      </c>
      <c r="L802" s="820" t="s">
        <v>20</v>
      </c>
      <c r="M802" s="687"/>
      <c r="N802" s="802"/>
      <c r="O802" s="203"/>
      <c r="P802" s="203"/>
      <c r="Q802" s="203"/>
      <c r="R802" s="203"/>
      <c r="S802" s="203"/>
      <c r="T802" s="203"/>
      <c r="U802" s="203"/>
    </row>
    <row r="803" ht="16.5" customHeight="1" spans="1:21">
      <c r="A803" s="687" t="s">
        <v>910</v>
      </c>
      <c r="B803" s="780" t="s">
        <v>2372</v>
      </c>
      <c r="C803" s="732" t="s">
        <v>2087</v>
      </c>
      <c r="D803" s="250">
        <v>36</v>
      </c>
      <c r="E803" s="674" t="s">
        <v>2685</v>
      </c>
      <c r="F803" s="675">
        <v>45814</v>
      </c>
      <c r="G803" s="675">
        <f>VLOOKUP(CLEAN(SUBSTITUTE(TRIM(MID(E:E,FIND("/",E:E)+1,LEN(E:E)))," ","")),'Customs Decl. &amp; Local Delivery'!D:I,6,0)</f>
        <v>45849</v>
      </c>
      <c r="H803" s="790">
        <f>VLOOKUP(CLEAN(SUBSTITUTE(TRIM(MID(E:E,FIND("/",E:E)+1,LEN(E:E)))," ","")),'Customs Decl. &amp; Local Delivery'!D:J,7,0)</f>
        <v>45867</v>
      </c>
      <c r="I803" s="687" t="s">
        <v>2686</v>
      </c>
      <c r="J803" s="687" t="s">
        <v>18</v>
      </c>
      <c r="K803" s="690" t="s">
        <v>2687</v>
      </c>
      <c r="L803" s="820" t="s">
        <v>20</v>
      </c>
      <c r="M803" s="687" t="s">
        <v>2656</v>
      </c>
      <c r="N803" s="802"/>
      <c r="O803" s="203"/>
      <c r="P803" s="203"/>
      <c r="Q803" s="203"/>
      <c r="R803" s="203"/>
      <c r="S803" s="203"/>
      <c r="T803" s="203"/>
      <c r="U803" s="203"/>
    </row>
    <row r="804" ht="16.5" customHeight="1" spans="1:21">
      <c r="A804" s="687" t="s">
        <v>910</v>
      </c>
      <c r="B804" s="780" t="s">
        <v>2372</v>
      </c>
      <c r="C804" s="732" t="s">
        <v>2090</v>
      </c>
      <c r="D804" s="250">
        <v>50</v>
      </c>
      <c r="E804" s="281"/>
      <c r="F804" s="675">
        <v>45814</v>
      </c>
      <c r="G804" s="703">
        <f t="shared" ref="G804:G809" si="48">G803</f>
        <v>45849</v>
      </c>
      <c r="H804" s="713">
        <f t="shared" ref="H804:H809" si="49">H803</f>
        <v>45867</v>
      </c>
      <c r="I804" s="687" t="s">
        <v>2686</v>
      </c>
      <c r="J804" s="687" t="s">
        <v>18</v>
      </c>
      <c r="K804" s="690" t="s">
        <v>2687</v>
      </c>
      <c r="L804" s="820" t="s">
        <v>20</v>
      </c>
      <c r="M804" s="687"/>
      <c r="N804" s="802"/>
      <c r="O804" s="203"/>
      <c r="P804" s="203"/>
      <c r="Q804" s="203"/>
      <c r="R804" s="203"/>
      <c r="S804" s="203"/>
      <c r="T804" s="203"/>
      <c r="U804" s="203"/>
    </row>
    <row r="805" ht="16.5" customHeight="1" spans="1:21">
      <c r="A805" s="687" t="s">
        <v>910</v>
      </c>
      <c r="B805" s="780" t="s">
        <v>2372</v>
      </c>
      <c r="C805" s="732" t="s">
        <v>2092</v>
      </c>
      <c r="D805" s="250">
        <v>15</v>
      </c>
      <c r="E805" s="281"/>
      <c r="F805" s="675">
        <v>45814</v>
      </c>
      <c r="G805" s="703">
        <f t="shared" si="48"/>
        <v>45849</v>
      </c>
      <c r="H805" s="713">
        <f t="shared" si="49"/>
        <v>45867</v>
      </c>
      <c r="I805" s="687" t="s">
        <v>2686</v>
      </c>
      <c r="J805" s="687" t="s">
        <v>18</v>
      </c>
      <c r="K805" s="690" t="s">
        <v>2687</v>
      </c>
      <c r="L805" s="820" t="s">
        <v>20</v>
      </c>
      <c r="M805" s="687"/>
      <c r="N805" s="802"/>
      <c r="O805" s="203"/>
      <c r="P805" s="203"/>
      <c r="Q805" s="203"/>
      <c r="R805" s="203"/>
      <c r="S805" s="203"/>
      <c r="T805" s="203"/>
      <c r="U805" s="203"/>
    </row>
    <row r="806" ht="16.5" customHeight="1" spans="1:21">
      <c r="A806" s="687" t="s">
        <v>910</v>
      </c>
      <c r="B806" s="780" t="s">
        <v>2372</v>
      </c>
      <c r="C806" s="758" t="s">
        <v>2093</v>
      </c>
      <c r="D806" s="351">
        <v>14</v>
      </c>
      <c r="E806" s="281"/>
      <c r="F806" s="675">
        <v>45814</v>
      </c>
      <c r="G806" s="703">
        <f t="shared" si="48"/>
        <v>45849</v>
      </c>
      <c r="H806" s="713">
        <f t="shared" si="49"/>
        <v>45867</v>
      </c>
      <c r="I806" s="687" t="s">
        <v>2686</v>
      </c>
      <c r="J806" s="687" t="s">
        <v>18</v>
      </c>
      <c r="K806" s="690" t="s">
        <v>2687</v>
      </c>
      <c r="L806" s="820" t="s">
        <v>20</v>
      </c>
      <c r="M806" s="780" t="s">
        <v>2688</v>
      </c>
      <c r="N806" s="802"/>
      <c r="O806" s="203"/>
      <c r="P806" s="203"/>
      <c r="Q806" s="203"/>
      <c r="R806" s="203"/>
      <c r="S806" s="203"/>
      <c r="T806" s="203"/>
      <c r="U806" s="203"/>
    </row>
    <row r="807" ht="16.5" customHeight="1" spans="1:21">
      <c r="A807" s="687" t="s">
        <v>910</v>
      </c>
      <c r="B807" s="780" t="s">
        <v>2305</v>
      </c>
      <c r="C807" s="758" t="s">
        <v>2094</v>
      </c>
      <c r="D807" s="351">
        <v>10</v>
      </c>
      <c r="E807" s="289"/>
      <c r="F807" s="675">
        <v>45814</v>
      </c>
      <c r="G807" s="703">
        <f t="shared" si="48"/>
        <v>45849</v>
      </c>
      <c r="H807" s="713">
        <f t="shared" si="49"/>
        <v>45867</v>
      </c>
      <c r="I807" s="687" t="s">
        <v>2686</v>
      </c>
      <c r="J807" s="687" t="s">
        <v>18</v>
      </c>
      <c r="K807" s="690" t="s">
        <v>2687</v>
      </c>
      <c r="L807" s="820" t="s">
        <v>20</v>
      </c>
      <c r="M807" s="687"/>
      <c r="N807" s="802"/>
      <c r="O807" s="203"/>
      <c r="P807" s="203"/>
      <c r="Q807" s="203"/>
      <c r="R807" s="203"/>
      <c r="S807" s="203"/>
      <c r="T807" s="203"/>
      <c r="U807" s="203"/>
    </row>
    <row r="808" ht="16.5" customHeight="1" spans="1:21">
      <c r="A808" s="687" t="s">
        <v>910</v>
      </c>
      <c r="B808" s="780" t="s">
        <v>2372</v>
      </c>
      <c r="C808" s="732" t="s">
        <v>2340</v>
      </c>
      <c r="D808" s="250">
        <v>10</v>
      </c>
      <c r="E808" s="281"/>
      <c r="F808" s="675">
        <v>45814</v>
      </c>
      <c r="G808" s="703">
        <f t="shared" si="48"/>
        <v>45849</v>
      </c>
      <c r="H808" s="713">
        <f t="shared" si="49"/>
        <v>45867</v>
      </c>
      <c r="I808" s="687" t="s">
        <v>2686</v>
      </c>
      <c r="J808" s="687" t="s">
        <v>18</v>
      </c>
      <c r="K808" s="690" t="s">
        <v>2687</v>
      </c>
      <c r="L808" s="820" t="s">
        <v>20</v>
      </c>
      <c r="M808" s="687"/>
      <c r="N808" s="802"/>
      <c r="O808" s="203"/>
      <c r="P808" s="203"/>
      <c r="Q808" s="203"/>
      <c r="R808" s="203"/>
      <c r="S808" s="203"/>
      <c r="T808" s="203"/>
      <c r="U808" s="203"/>
    </row>
    <row r="809" ht="16.5" customHeight="1" spans="1:21">
      <c r="A809" s="687" t="s">
        <v>910</v>
      </c>
      <c r="B809" s="780" t="s">
        <v>2372</v>
      </c>
      <c r="C809" s="758" t="s">
        <v>2095</v>
      </c>
      <c r="D809" s="351">
        <v>20</v>
      </c>
      <c r="E809" s="281"/>
      <c r="F809" s="675">
        <v>45814</v>
      </c>
      <c r="G809" s="703">
        <f t="shared" si="48"/>
        <v>45849</v>
      </c>
      <c r="H809" s="713">
        <f t="shared" si="49"/>
        <v>45867</v>
      </c>
      <c r="I809" s="687" t="s">
        <v>2686</v>
      </c>
      <c r="J809" s="687" t="s">
        <v>18</v>
      </c>
      <c r="K809" s="690" t="s">
        <v>2687</v>
      </c>
      <c r="L809" s="820" t="s">
        <v>20</v>
      </c>
      <c r="M809" s="687"/>
      <c r="N809" s="802"/>
      <c r="O809" s="203"/>
      <c r="P809" s="203"/>
      <c r="Q809" s="203"/>
      <c r="R809" s="203"/>
      <c r="S809" s="203"/>
      <c r="T809" s="203"/>
      <c r="U809" s="203"/>
    </row>
    <row r="810" ht="16.5" customHeight="1" spans="1:21">
      <c r="A810" s="687" t="s">
        <v>910</v>
      </c>
      <c r="B810" s="780" t="s">
        <v>2372</v>
      </c>
      <c r="C810" s="732" t="s">
        <v>2087</v>
      </c>
      <c r="D810" s="250">
        <v>36</v>
      </c>
      <c r="E810" s="756" t="s">
        <v>2689</v>
      </c>
      <c r="F810" s="675">
        <v>45814</v>
      </c>
      <c r="G810" s="675">
        <f>VLOOKUP(CLEAN(SUBSTITUTE(TRIM(MID(E:E,FIND("/",E:E)+1,LEN(E:E)))," ","")),'Customs Decl. &amp; Local Delivery'!D:I,6,0)</f>
        <v>45849</v>
      </c>
      <c r="H810" s="790">
        <f>VLOOKUP(CLEAN(SUBSTITUTE(TRIM(MID(E:E,FIND("/",E:E)+1,LEN(E:E)))," ","")),'Customs Decl. &amp; Local Delivery'!D:J,7,0)</f>
        <v>45867</v>
      </c>
      <c r="I810" s="687" t="s">
        <v>2690</v>
      </c>
      <c r="J810" s="687" t="s">
        <v>18</v>
      </c>
      <c r="K810" s="690" t="s">
        <v>2342</v>
      </c>
      <c r="L810" s="820" t="s">
        <v>20</v>
      </c>
      <c r="M810" s="687" t="s">
        <v>2656</v>
      </c>
      <c r="N810" s="802"/>
      <c r="O810" s="203"/>
      <c r="P810" s="203"/>
      <c r="Q810" s="203"/>
      <c r="R810" s="203"/>
      <c r="S810" s="203"/>
      <c r="T810" s="203"/>
      <c r="U810" s="203"/>
    </row>
    <row r="811" ht="16.5" customHeight="1" spans="1:21">
      <c r="A811" s="687" t="s">
        <v>910</v>
      </c>
      <c r="B811" s="780" t="s">
        <v>2372</v>
      </c>
      <c r="C811" s="732" t="s">
        <v>2090</v>
      </c>
      <c r="D811" s="250">
        <v>50</v>
      </c>
      <c r="E811" s="281"/>
      <c r="F811" s="675">
        <v>45814</v>
      </c>
      <c r="G811" s="703">
        <f t="shared" ref="G811:G816" si="50">G810</f>
        <v>45849</v>
      </c>
      <c r="H811" s="713">
        <f t="shared" ref="H811:H816" si="51">H810</f>
        <v>45867</v>
      </c>
      <c r="I811" s="687" t="s">
        <v>2690</v>
      </c>
      <c r="J811" s="687" t="s">
        <v>18</v>
      </c>
      <c r="K811" s="690" t="s">
        <v>2342</v>
      </c>
      <c r="L811" s="820" t="s">
        <v>20</v>
      </c>
      <c r="M811" s="687"/>
      <c r="N811" s="812"/>
      <c r="O811" s="203"/>
      <c r="P811" s="203"/>
      <c r="Q811" s="203"/>
      <c r="R811" s="203"/>
      <c r="S811" s="203"/>
      <c r="T811" s="203"/>
      <c r="U811" s="203"/>
    </row>
    <row r="812" ht="16.5" customHeight="1" spans="1:21">
      <c r="A812" s="687" t="s">
        <v>910</v>
      </c>
      <c r="B812" s="780" t="s">
        <v>2372</v>
      </c>
      <c r="C812" s="758" t="s">
        <v>2092</v>
      </c>
      <c r="D812" s="351">
        <v>15</v>
      </c>
      <c r="E812" s="289"/>
      <c r="F812" s="675">
        <v>45814</v>
      </c>
      <c r="G812" s="703">
        <f t="shared" si="50"/>
        <v>45849</v>
      </c>
      <c r="H812" s="713">
        <f t="shared" si="51"/>
        <v>45867</v>
      </c>
      <c r="I812" s="687" t="s">
        <v>2690</v>
      </c>
      <c r="J812" s="687" t="s">
        <v>18</v>
      </c>
      <c r="K812" s="690" t="s">
        <v>2342</v>
      </c>
      <c r="L812" s="820" t="s">
        <v>20</v>
      </c>
      <c r="M812" s="687"/>
      <c r="N812" s="812"/>
      <c r="O812" s="203"/>
      <c r="P812" s="203"/>
      <c r="Q812" s="203"/>
      <c r="R812" s="203"/>
      <c r="S812" s="203"/>
      <c r="T812" s="203"/>
      <c r="U812" s="203"/>
    </row>
    <row r="813" ht="16.5" customHeight="1" spans="1:21">
      <c r="A813" s="687" t="s">
        <v>910</v>
      </c>
      <c r="B813" s="780" t="s">
        <v>2372</v>
      </c>
      <c r="C813" s="758" t="s">
        <v>2093</v>
      </c>
      <c r="D813" s="351">
        <f>15+1</f>
        <v>16</v>
      </c>
      <c r="E813" s="281"/>
      <c r="F813" s="675">
        <v>45814</v>
      </c>
      <c r="G813" s="703">
        <f t="shared" si="50"/>
        <v>45849</v>
      </c>
      <c r="H813" s="713">
        <f t="shared" si="51"/>
        <v>45867</v>
      </c>
      <c r="I813" s="687" t="s">
        <v>2690</v>
      </c>
      <c r="J813" s="687" t="s">
        <v>18</v>
      </c>
      <c r="K813" s="690" t="s">
        <v>2342</v>
      </c>
      <c r="L813" s="820" t="s">
        <v>20</v>
      </c>
      <c r="M813" s="780" t="s">
        <v>2691</v>
      </c>
      <c r="N813" s="812"/>
      <c r="O813" s="203"/>
      <c r="P813" s="203"/>
      <c r="Q813" s="203"/>
      <c r="R813" s="203"/>
      <c r="S813" s="203"/>
      <c r="T813" s="203"/>
      <c r="U813" s="203"/>
    </row>
    <row r="814" ht="16.5" customHeight="1" spans="1:21">
      <c r="A814" s="687" t="s">
        <v>2453</v>
      </c>
      <c r="B814" s="780" t="s">
        <v>2490</v>
      </c>
      <c r="C814" s="758" t="s">
        <v>2094</v>
      </c>
      <c r="D814" s="807">
        <v>10</v>
      </c>
      <c r="E814" s="817"/>
      <c r="F814" s="675">
        <v>45814</v>
      </c>
      <c r="G814" s="703">
        <f t="shared" si="50"/>
        <v>45849</v>
      </c>
      <c r="H814" s="713">
        <f t="shared" si="51"/>
        <v>45867</v>
      </c>
      <c r="I814" s="687" t="s">
        <v>2690</v>
      </c>
      <c r="J814" s="687" t="s">
        <v>18</v>
      </c>
      <c r="K814" s="690" t="s">
        <v>2342</v>
      </c>
      <c r="L814" s="820" t="s">
        <v>20</v>
      </c>
      <c r="M814" s="687" t="s">
        <v>2612</v>
      </c>
      <c r="N814" s="812"/>
      <c r="O814" s="203"/>
      <c r="P814" s="203"/>
      <c r="Q814" s="203"/>
      <c r="R814" s="203"/>
      <c r="S814" s="203"/>
      <c r="T814" s="203"/>
      <c r="U814" s="203"/>
    </row>
    <row r="815" ht="16.5" customHeight="1" spans="1:21">
      <c r="A815" s="687" t="s">
        <v>910</v>
      </c>
      <c r="B815" s="780" t="s">
        <v>2372</v>
      </c>
      <c r="C815" s="732" t="s">
        <v>2340</v>
      </c>
      <c r="D815" s="250">
        <v>10</v>
      </c>
      <c r="E815" s="281"/>
      <c r="F815" s="675">
        <v>45814</v>
      </c>
      <c r="G815" s="703">
        <f t="shared" si="50"/>
        <v>45849</v>
      </c>
      <c r="H815" s="713">
        <f t="shared" si="51"/>
        <v>45867</v>
      </c>
      <c r="I815" s="687" t="s">
        <v>2690</v>
      </c>
      <c r="J815" s="687" t="s">
        <v>18</v>
      </c>
      <c r="K815" s="690" t="s">
        <v>2342</v>
      </c>
      <c r="L815" s="820" t="s">
        <v>20</v>
      </c>
      <c r="M815" s="687"/>
      <c r="N815" s="812"/>
      <c r="O815" s="203"/>
      <c r="P815" s="203"/>
      <c r="Q815" s="203"/>
      <c r="R815" s="203"/>
      <c r="S815" s="203"/>
      <c r="T815" s="203"/>
      <c r="U815" s="203"/>
    </row>
    <row r="816" ht="16.5" customHeight="1" spans="1:21">
      <c r="A816" s="687" t="s">
        <v>910</v>
      </c>
      <c r="B816" s="780" t="s">
        <v>2372</v>
      </c>
      <c r="C816" s="758" t="s">
        <v>2095</v>
      </c>
      <c r="D816" s="351">
        <v>20</v>
      </c>
      <c r="E816" s="281"/>
      <c r="F816" s="675">
        <v>45814</v>
      </c>
      <c r="G816" s="703">
        <f t="shared" si="50"/>
        <v>45849</v>
      </c>
      <c r="H816" s="713">
        <f t="shared" si="51"/>
        <v>45867</v>
      </c>
      <c r="I816" s="687" t="s">
        <v>2690</v>
      </c>
      <c r="J816" s="687" t="s">
        <v>18</v>
      </c>
      <c r="K816" s="690" t="s">
        <v>2342</v>
      </c>
      <c r="L816" s="820" t="s">
        <v>20</v>
      </c>
      <c r="M816" s="780"/>
      <c r="N816" s="813"/>
      <c r="O816" s="203"/>
      <c r="P816" s="203"/>
      <c r="Q816" s="203"/>
      <c r="R816" s="203"/>
      <c r="S816" s="203"/>
      <c r="T816" s="203"/>
      <c r="U816" s="203"/>
    </row>
    <row r="817" s="179" customFormat="1" ht="15.4" customHeight="1" spans="1:21">
      <c r="A817" s="687" t="s">
        <v>910</v>
      </c>
      <c r="B817" s="749" t="s">
        <v>2305</v>
      </c>
      <c r="C817" s="758" t="s">
        <v>2072</v>
      </c>
      <c r="D817" s="350">
        <v>32</v>
      </c>
      <c r="E817" s="758" t="s">
        <v>2692</v>
      </c>
      <c r="F817" s="675">
        <v>45828</v>
      </c>
      <c r="G817" s="675">
        <f>VLOOKUP(CLEAN(SUBSTITUTE(TRIM(MID(E:E,FIND("/",E:E)+1,LEN(E:E)))," ","")),'Customs Decl. &amp; Local Delivery'!D:I,6,0)</f>
        <v>45851</v>
      </c>
      <c r="H817" s="790">
        <f>VLOOKUP(CLEAN(SUBSTITUTE(TRIM(MID(E:E,FIND("/",E:E)+1,LEN(E:E)))," ","")),'Customs Decl. &amp; Local Delivery'!D:J,7,0)</f>
        <v>45867</v>
      </c>
      <c r="I817" s="685" t="s">
        <v>2693</v>
      </c>
      <c r="J817" s="760" t="s">
        <v>18</v>
      </c>
      <c r="K817" s="687" t="s">
        <v>147</v>
      </c>
      <c r="L817" s="820" t="s">
        <v>20</v>
      </c>
      <c r="M817" s="821" t="s">
        <v>2694</v>
      </c>
      <c r="N817" s="802"/>
      <c r="O817" s="795"/>
      <c r="P817" s="203"/>
      <c r="Q817" s="203"/>
      <c r="R817" s="203"/>
      <c r="S817" s="203"/>
      <c r="T817" s="203"/>
      <c r="U817" s="203"/>
    </row>
    <row r="818" ht="15.75" customHeight="1" spans="1:21">
      <c r="A818" s="687" t="s">
        <v>910</v>
      </c>
      <c r="B818" s="749" t="s">
        <v>2305</v>
      </c>
      <c r="C818" s="758" t="s">
        <v>2090</v>
      </c>
      <c r="D818" s="350">
        <v>10</v>
      </c>
      <c r="E818" s="69"/>
      <c r="F818" s="703">
        <v>45828</v>
      </c>
      <c r="G818" s="703">
        <f t="shared" ref="G818:G831" si="52">G817</f>
        <v>45851</v>
      </c>
      <c r="H818" s="755">
        <f t="shared" ref="H818:H831" si="53">H817</f>
        <v>45867</v>
      </c>
      <c r="I818" s="685" t="s">
        <v>2693</v>
      </c>
      <c r="J818" s="687" t="s">
        <v>18</v>
      </c>
      <c r="K818" s="760" t="s">
        <v>147</v>
      </c>
      <c r="L818" s="820" t="s">
        <v>20</v>
      </c>
      <c r="M818" s="780" t="s">
        <v>2695</v>
      </c>
      <c r="N818" s="802"/>
      <c r="O818" s="795"/>
      <c r="P818" s="822"/>
      <c r="Q818" s="823"/>
      <c r="R818" s="203"/>
      <c r="S818" s="203"/>
      <c r="T818" s="203"/>
      <c r="U818" s="203"/>
    </row>
    <row r="819" ht="16.5" customHeight="1" spans="1:21">
      <c r="A819" s="687" t="s">
        <v>910</v>
      </c>
      <c r="B819" s="780" t="s">
        <v>2372</v>
      </c>
      <c r="C819" s="758" t="s">
        <v>2090</v>
      </c>
      <c r="D819" s="350">
        <v>24</v>
      </c>
      <c r="E819" s="281"/>
      <c r="F819" s="703">
        <v>45828</v>
      </c>
      <c r="G819" s="703">
        <f t="shared" si="52"/>
        <v>45851</v>
      </c>
      <c r="H819" s="755">
        <f t="shared" si="53"/>
        <v>45867</v>
      </c>
      <c r="I819" s="685" t="s">
        <v>2693</v>
      </c>
      <c r="J819" s="687" t="s">
        <v>18</v>
      </c>
      <c r="K819" s="750" t="s">
        <v>147</v>
      </c>
      <c r="L819" s="820" t="s">
        <v>20</v>
      </c>
      <c r="M819" s="780" t="s">
        <v>2696</v>
      </c>
      <c r="N819" s="802"/>
      <c r="O819" s="203"/>
      <c r="P819" s="823"/>
      <c r="Q819" s="823"/>
      <c r="R819" s="203"/>
      <c r="S819" s="203"/>
      <c r="T819" s="203"/>
      <c r="U819" s="203"/>
    </row>
    <row r="820" ht="15.4" customHeight="1" spans="1:21">
      <c r="A820" s="687" t="s">
        <v>910</v>
      </c>
      <c r="B820" s="780" t="s">
        <v>2372</v>
      </c>
      <c r="C820" s="758" t="s">
        <v>2090</v>
      </c>
      <c r="D820" s="807">
        <f>131-100</f>
        <v>31</v>
      </c>
      <c r="E820" s="281"/>
      <c r="F820" s="703">
        <v>45828</v>
      </c>
      <c r="G820" s="703">
        <f t="shared" si="52"/>
        <v>45851</v>
      </c>
      <c r="H820" s="755">
        <f t="shared" si="53"/>
        <v>45867</v>
      </c>
      <c r="I820" s="685" t="s">
        <v>2693</v>
      </c>
      <c r="J820" s="777" t="s">
        <v>18</v>
      </c>
      <c r="K820" s="776" t="s">
        <v>147</v>
      </c>
      <c r="L820" s="820" t="s">
        <v>20</v>
      </c>
      <c r="M820" s="811" t="s">
        <v>2697</v>
      </c>
      <c r="N820" s="802"/>
      <c r="O820" s="203"/>
      <c r="P820" s="823"/>
      <c r="Q820" s="823"/>
      <c r="R820" s="203"/>
      <c r="S820" s="203"/>
      <c r="T820" s="203"/>
      <c r="U820" s="203"/>
    </row>
    <row r="821" ht="15.4" customHeight="1" spans="1:21">
      <c r="A821" s="687" t="s">
        <v>910</v>
      </c>
      <c r="B821" s="780" t="s">
        <v>2372</v>
      </c>
      <c r="C821" s="758" t="s">
        <v>2092</v>
      </c>
      <c r="D821" s="351">
        <v>15</v>
      </c>
      <c r="E821" s="281"/>
      <c r="F821" s="703">
        <v>45828</v>
      </c>
      <c r="G821" s="703">
        <f t="shared" si="52"/>
        <v>45851</v>
      </c>
      <c r="H821" s="755">
        <f t="shared" si="53"/>
        <v>45867</v>
      </c>
      <c r="I821" s="685" t="s">
        <v>2693</v>
      </c>
      <c r="J821" s="750" t="s">
        <v>18</v>
      </c>
      <c r="K821" s="776" t="s">
        <v>147</v>
      </c>
      <c r="L821" s="820" t="s">
        <v>20</v>
      </c>
      <c r="M821" s="780" t="s">
        <v>2698</v>
      </c>
      <c r="N821" s="802"/>
      <c r="O821" s="795"/>
      <c r="P821" s="823"/>
      <c r="Q821" s="823"/>
      <c r="R821" s="203"/>
      <c r="S821" s="203"/>
      <c r="T821" s="203"/>
      <c r="U821" s="203"/>
    </row>
    <row r="822" s="179" customFormat="1" ht="15.4" customHeight="1" spans="1:21">
      <c r="A822" s="687" t="s">
        <v>910</v>
      </c>
      <c r="B822" s="749" t="s">
        <v>2305</v>
      </c>
      <c r="C822" s="758" t="s">
        <v>2092</v>
      </c>
      <c r="D822" s="350">
        <v>45</v>
      </c>
      <c r="E822" s="281"/>
      <c r="F822" s="703">
        <v>45828</v>
      </c>
      <c r="G822" s="703">
        <f t="shared" si="52"/>
        <v>45851</v>
      </c>
      <c r="H822" s="755">
        <f t="shared" si="53"/>
        <v>45867</v>
      </c>
      <c r="I822" s="685" t="s">
        <v>2693</v>
      </c>
      <c r="J822" s="810" t="s">
        <v>18</v>
      </c>
      <c r="K822" s="776" t="s">
        <v>147</v>
      </c>
      <c r="L822" s="820" t="s">
        <v>20</v>
      </c>
      <c r="M822" s="780" t="s">
        <v>2699</v>
      </c>
      <c r="N822" s="802"/>
      <c r="O822" s="795"/>
      <c r="P822" s="823"/>
      <c r="Q822" s="823"/>
      <c r="R822" s="203"/>
      <c r="S822" s="203"/>
      <c r="T822" s="203"/>
      <c r="U822" s="203"/>
    </row>
    <row r="823" ht="15.4" customHeight="1" spans="1:21">
      <c r="A823" s="687" t="s">
        <v>2453</v>
      </c>
      <c r="B823" s="749" t="s">
        <v>2490</v>
      </c>
      <c r="C823" s="758" t="s">
        <v>2093</v>
      </c>
      <c r="D823" s="807">
        <v>18</v>
      </c>
      <c r="E823" s="69"/>
      <c r="F823" s="703">
        <v>45828</v>
      </c>
      <c r="G823" s="703">
        <f t="shared" si="52"/>
        <v>45851</v>
      </c>
      <c r="H823" s="755">
        <f t="shared" si="53"/>
        <v>45867</v>
      </c>
      <c r="I823" s="685" t="s">
        <v>2693</v>
      </c>
      <c r="J823" s="760" t="s">
        <v>18</v>
      </c>
      <c r="K823" s="824" t="s">
        <v>147</v>
      </c>
      <c r="L823" s="820" t="s">
        <v>20</v>
      </c>
      <c r="M823" s="780" t="s">
        <v>2568</v>
      </c>
      <c r="N823" s="802"/>
      <c r="O823" s="795"/>
      <c r="P823" s="823"/>
      <c r="Q823" s="823"/>
      <c r="R823" s="203"/>
      <c r="S823" s="203"/>
      <c r="T823" s="203"/>
      <c r="U823" s="203"/>
    </row>
    <row r="824" ht="15.4" customHeight="1" spans="1:21">
      <c r="A824" s="687" t="s">
        <v>910</v>
      </c>
      <c r="B824" s="780" t="s">
        <v>2372</v>
      </c>
      <c r="C824" s="758" t="s">
        <v>2093</v>
      </c>
      <c r="D824" s="351">
        <v>15</v>
      </c>
      <c r="E824" s="281"/>
      <c r="F824" s="703">
        <v>45828</v>
      </c>
      <c r="G824" s="703">
        <f t="shared" si="52"/>
        <v>45851</v>
      </c>
      <c r="H824" s="755">
        <f t="shared" si="53"/>
        <v>45867</v>
      </c>
      <c r="I824" s="685" t="s">
        <v>2693</v>
      </c>
      <c r="J824" s="750" t="s">
        <v>18</v>
      </c>
      <c r="K824" s="776" t="s">
        <v>147</v>
      </c>
      <c r="L824" s="820" t="s">
        <v>20</v>
      </c>
      <c r="M824" s="780" t="s">
        <v>2700</v>
      </c>
      <c r="N824" s="802"/>
      <c r="O824" s="795"/>
      <c r="P824" s="203"/>
      <c r="Q824" s="203"/>
      <c r="R824" s="203"/>
      <c r="S824" s="203"/>
      <c r="T824" s="203"/>
      <c r="U824" s="203"/>
    </row>
    <row r="825" ht="15.4" customHeight="1" spans="1:21">
      <c r="A825" s="687" t="s">
        <v>910</v>
      </c>
      <c r="B825" s="780" t="s">
        <v>2372</v>
      </c>
      <c r="C825" s="758" t="s">
        <v>2094</v>
      </c>
      <c r="D825" s="351">
        <v>5</v>
      </c>
      <c r="E825" s="69"/>
      <c r="F825" s="703">
        <v>45828</v>
      </c>
      <c r="G825" s="703">
        <f t="shared" si="52"/>
        <v>45851</v>
      </c>
      <c r="H825" s="755">
        <f t="shared" si="53"/>
        <v>45867</v>
      </c>
      <c r="I825" s="685" t="s">
        <v>2693</v>
      </c>
      <c r="J825" s="750" t="s">
        <v>18</v>
      </c>
      <c r="K825" s="776" t="s">
        <v>147</v>
      </c>
      <c r="L825" s="820" t="s">
        <v>20</v>
      </c>
      <c r="M825" s="780" t="s">
        <v>2700</v>
      </c>
      <c r="N825" s="802"/>
      <c r="O825" s="795"/>
      <c r="P825" s="203"/>
      <c r="Q825" s="203"/>
      <c r="R825" s="203"/>
      <c r="S825" s="203"/>
      <c r="T825" s="203"/>
      <c r="U825" s="203"/>
    </row>
    <row r="826" s="179" customFormat="1" ht="15.4" customHeight="1" spans="1:21">
      <c r="A826" s="687" t="s">
        <v>2453</v>
      </c>
      <c r="B826" s="780" t="s">
        <v>2490</v>
      </c>
      <c r="C826" s="758" t="s">
        <v>2094</v>
      </c>
      <c r="D826" s="807">
        <v>5</v>
      </c>
      <c r="E826" s="818"/>
      <c r="F826" s="703">
        <v>45828</v>
      </c>
      <c r="G826" s="703">
        <f t="shared" si="52"/>
        <v>45851</v>
      </c>
      <c r="H826" s="755">
        <f t="shared" si="53"/>
        <v>45867</v>
      </c>
      <c r="I826" s="685" t="s">
        <v>2693</v>
      </c>
      <c r="J826" s="750" t="s">
        <v>18</v>
      </c>
      <c r="K826" s="776" t="s">
        <v>147</v>
      </c>
      <c r="L826" s="820" t="s">
        <v>20</v>
      </c>
      <c r="M826" s="780" t="s">
        <v>2701</v>
      </c>
      <c r="N826" s="802"/>
      <c r="O826" s="795"/>
      <c r="P826" s="203"/>
      <c r="Q826" s="203"/>
      <c r="R826" s="203"/>
      <c r="S826" s="203"/>
      <c r="T826" s="203"/>
      <c r="U826" s="203"/>
    </row>
    <row r="827" s="179" customFormat="1" ht="15.4" customHeight="1" spans="1:21">
      <c r="A827" s="687" t="s">
        <v>910</v>
      </c>
      <c r="B827" s="749" t="s">
        <v>2305</v>
      </c>
      <c r="C827" s="758" t="s">
        <v>2094</v>
      </c>
      <c r="D827" s="350">
        <v>25</v>
      </c>
      <c r="E827" s="281"/>
      <c r="F827" s="703">
        <v>45828</v>
      </c>
      <c r="G827" s="703">
        <f t="shared" si="52"/>
        <v>45851</v>
      </c>
      <c r="H827" s="755">
        <f t="shared" si="53"/>
        <v>45867</v>
      </c>
      <c r="I827" s="685" t="s">
        <v>2693</v>
      </c>
      <c r="J827" s="774" t="s">
        <v>18</v>
      </c>
      <c r="K827" s="824" t="s">
        <v>147</v>
      </c>
      <c r="L827" s="820" t="s">
        <v>20</v>
      </c>
      <c r="M827" s="687" t="s">
        <v>2499</v>
      </c>
      <c r="N827" s="802"/>
      <c r="O827" s="795"/>
      <c r="P827" s="203"/>
      <c r="Q827" s="203"/>
      <c r="R827" s="203"/>
      <c r="S827" s="203"/>
      <c r="T827" s="203"/>
      <c r="U827" s="203"/>
    </row>
    <row r="828" ht="15.4" customHeight="1" spans="1:21">
      <c r="A828" s="687" t="s">
        <v>910</v>
      </c>
      <c r="B828" s="780" t="s">
        <v>2372</v>
      </c>
      <c r="C828" s="758" t="s">
        <v>2340</v>
      </c>
      <c r="D828" s="351">
        <v>10</v>
      </c>
      <c r="E828" s="281"/>
      <c r="F828" s="703">
        <v>45828</v>
      </c>
      <c r="G828" s="703">
        <f t="shared" si="52"/>
        <v>45851</v>
      </c>
      <c r="H828" s="755">
        <f t="shared" si="53"/>
        <v>45867</v>
      </c>
      <c r="I828" s="685" t="s">
        <v>2693</v>
      </c>
      <c r="J828" s="750" t="s">
        <v>18</v>
      </c>
      <c r="K828" s="776" t="s">
        <v>147</v>
      </c>
      <c r="L828" s="820" t="s">
        <v>20</v>
      </c>
      <c r="M828" s="687" t="s">
        <v>2700</v>
      </c>
      <c r="N828" s="802"/>
      <c r="O828" s="795"/>
      <c r="P828" s="203"/>
      <c r="Q828" s="203"/>
      <c r="R828" s="203"/>
      <c r="S828" s="203"/>
      <c r="T828" s="203"/>
      <c r="U828" s="203"/>
    </row>
    <row r="829" s="179" customFormat="1" ht="15.4" customHeight="1" spans="1:21">
      <c r="A829" s="687" t="s">
        <v>910</v>
      </c>
      <c r="B829" s="749" t="s">
        <v>2372</v>
      </c>
      <c r="C829" s="758" t="s">
        <v>2095</v>
      </c>
      <c r="D829" s="350">
        <v>34</v>
      </c>
      <c r="E829" s="281"/>
      <c r="F829" s="703">
        <v>45828</v>
      </c>
      <c r="G829" s="703">
        <f t="shared" si="52"/>
        <v>45851</v>
      </c>
      <c r="H829" s="755">
        <f t="shared" si="53"/>
        <v>45867</v>
      </c>
      <c r="I829" s="685" t="s">
        <v>2693</v>
      </c>
      <c r="J829" s="760" t="s">
        <v>18</v>
      </c>
      <c r="K829" s="824" t="s">
        <v>147</v>
      </c>
      <c r="L829" s="820" t="s">
        <v>20</v>
      </c>
      <c r="M829" s="687" t="s">
        <v>2570</v>
      </c>
      <c r="N829" s="802"/>
      <c r="O829" s="795"/>
      <c r="P829" s="203"/>
      <c r="Q829" s="203"/>
      <c r="R829" s="203"/>
      <c r="S829" s="203"/>
      <c r="T829" s="203"/>
      <c r="U829" s="203"/>
    </row>
    <row r="830" ht="15.4" customHeight="1" spans="1:21">
      <c r="A830" s="687" t="s">
        <v>910</v>
      </c>
      <c r="B830" s="780" t="s">
        <v>2372</v>
      </c>
      <c r="C830" s="758" t="s">
        <v>2095</v>
      </c>
      <c r="D830" s="351">
        <v>20</v>
      </c>
      <c r="E830" s="819"/>
      <c r="F830" s="703">
        <v>45828</v>
      </c>
      <c r="G830" s="703">
        <f t="shared" si="52"/>
        <v>45851</v>
      </c>
      <c r="H830" s="755">
        <f t="shared" si="53"/>
        <v>45867</v>
      </c>
      <c r="I830" s="685" t="s">
        <v>2693</v>
      </c>
      <c r="J830" s="760" t="s">
        <v>18</v>
      </c>
      <c r="K830" s="751" t="s">
        <v>147</v>
      </c>
      <c r="L830" s="820" t="s">
        <v>20</v>
      </c>
      <c r="M830" s="687" t="s">
        <v>2700</v>
      </c>
      <c r="N830" s="802"/>
      <c r="O830" s="795"/>
      <c r="P830" s="203"/>
      <c r="Q830" s="203"/>
      <c r="R830" s="203"/>
      <c r="S830" s="203"/>
      <c r="T830" s="203"/>
      <c r="U830" s="203"/>
    </row>
    <row r="831" ht="15.4" customHeight="1" spans="1:21">
      <c r="A831" s="687" t="s">
        <v>910</v>
      </c>
      <c r="B831" s="780" t="s">
        <v>2305</v>
      </c>
      <c r="C831" s="758" t="s">
        <v>2095</v>
      </c>
      <c r="D831" s="351">
        <v>1</v>
      </c>
      <c r="E831" s="69"/>
      <c r="F831" s="703">
        <v>45828</v>
      </c>
      <c r="G831" s="703">
        <f t="shared" si="52"/>
        <v>45851</v>
      </c>
      <c r="H831" s="755">
        <f t="shared" si="53"/>
        <v>45867</v>
      </c>
      <c r="I831" s="690" t="s">
        <v>2693</v>
      </c>
      <c r="J831" s="760" t="s">
        <v>18</v>
      </c>
      <c r="K831" s="751" t="s">
        <v>147</v>
      </c>
      <c r="L831" s="820" t="s">
        <v>20</v>
      </c>
      <c r="M831" s="687" t="s">
        <v>2570</v>
      </c>
      <c r="N831" s="802"/>
      <c r="O831" s="795"/>
      <c r="P831" s="203"/>
      <c r="Q831" s="203"/>
      <c r="R831" s="203"/>
      <c r="S831" s="203"/>
      <c r="T831" s="203"/>
      <c r="U831" s="203"/>
    </row>
    <row r="832" ht="16.5" customHeight="1" spans="1:21">
      <c r="A832" s="687" t="s">
        <v>910</v>
      </c>
      <c r="B832" s="687" t="s">
        <v>2372</v>
      </c>
      <c r="C832" s="758" t="s">
        <v>2087</v>
      </c>
      <c r="D832" s="350">
        <v>36</v>
      </c>
      <c r="E832" s="756" t="s">
        <v>2702</v>
      </c>
      <c r="F832" s="675">
        <v>45821</v>
      </c>
      <c r="G832" s="675">
        <f>VLOOKUP(CLEAN(SUBSTITUTE(TRIM(MID(E:E,FIND("/",E:E)+1,LEN(E:E)))," ","")),'Customs Decl. &amp; Local Delivery'!D:I,6,0)</f>
        <v>45853</v>
      </c>
      <c r="H832" s="790">
        <f>VLOOKUP(CLEAN(SUBSTITUTE(TRIM(MID(E:E,FIND("/",E:E)+1,LEN(E:E)))," ","")),'Customs Decl. &amp; Local Delivery'!D:J,7,0)</f>
        <v>45878</v>
      </c>
      <c r="I832" s="687" t="s">
        <v>2703</v>
      </c>
      <c r="J832" s="750" t="s">
        <v>18</v>
      </c>
      <c r="K832" s="687" t="s">
        <v>2248</v>
      </c>
      <c r="L832" s="786" t="s">
        <v>20</v>
      </c>
      <c r="M832" s="687" t="s">
        <v>2704</v>
      </c>
      <c r="N832" s="802"/>
      <c r="O832" s="512"/>
      <c r="P832" s="512"/>
      <c r="Q832" s="512"/>
      <c r="R832" s="512"/>
      <c r="S832" s="512"/>
      <c r="T832" s="512"/>
      <c r="U832" s="512"/>
    </row>
    <row r="833" ht="16.5" customHeight="1" spans="1:21">
      <c r="A833" s="687" t="s">
        <v>910</v>
      </c>
      <c r="B833" s="687" t="s">
        <v>2372</v>
      </c>
      <c r="C833" s="758" t="s">
        <v>2090</v>
      </c>
      <c r="D833" s="350">
        <v>65</v>
      </c>
      <c r="E833" s="281"/>
      <c r="F833" s="675">
        <v>45821</v>
      </c>
      <c r="G833" s="703">
        <f>G832</f>
        <v>45853</v>
      </c>
      <c r="H833" s="713">
        <f>H832</f>
        <v>45878</v>
      </c>
      <c r="I833" s="687" t="s">
        <v>2703</v>
      </c>
      <c r="J833" s="750" t="s">
        <v>18</v>
      </c>
      <c r="K833" s="687" t="s">
        <v>2248</v>
      </c>
      <c r="L833" s="786" t="s">
        <v>20</v>
      </c>
      <c r="M833" s="687"/>
      <c r="N833" s="802"/>
      <c r="O833" s="512"/>
      <c r="P833" s="512"/>
      <c r="Q833" s="512"/>
      <c r="R833" s="512"/>
      <c r="S833" s="512"/>
      <c r="T833" s="512"/>
      <c r="U833" s="512"/>
    </row>
    <row r="834" ht="16.5" customHeight="1" spans="1:21">
      <c r="A834" s="687" t="s">
        <v>910</v>
      </c>
      <c r="B834" s="687" t="s">
        <v>2372</v>
      </c>
      <c r="C834" s="758" t="s">
        <v>2092</v>
      </c>
      <c r="D834" s="350">
        <v>12</v>
      </c>
      <c r="E834" s="281"/>
      <c r="F834" s="675">
        <v>45821</v>
      </c>
      <c r="G834" s="703">
        <f>G833</f>
        <v>45853</v>
      </c>
      <c r="H834" s="713">
        <f>H833</f>
        <v>45878</v>
      </c>
      <c r="I834" s="687" t="s">
        <v>2703</v>
      </c>
      <c r="J834" s="750" t="s">
        <v>18</v>
      </c>
      <c r="K834" s="687" t="s">
        <v>2248</v>
      </c>
      <c r="L834" s="786" t="s">
        <v>20</v>
      </c>
      <c r="M834" s="687"/>
      <c r="N834" s="843"/>
      <c r="O834" s="512"/>
      <c r="P834" s="512"/>
      <c r="Q834" s="512"/>
      <c r="R834" s="512"/>
      <c r="S834" s="512"/>
      <c r="T834" s="512"/>
      <c r="U834" s="512"/>
    </row>
    <row r="835" ht="16.5" customHeight="1" spans="1:21">
      <c r="A835" s="687" t="s">
        <v>910</v>
      </c>
      <c r="B835" s="687" t="s">
        <v>2372</v>
      </c>
      <c r="C835" s="758" t="s">
        <v>2093</v>
      </c>
      <c r="D835" s="350">
        <v>20</v>
      </c>
      <c r="E835" s="281"/>
      <c r="F835" s="675">
        <v>45821</v>
      </c>
      <c r="G835" s="703">
        <f>G834</f>
        <v>45853</v>
      </c>
      <c r="H835" s="713">
        <f>H834</f>
        <v>45878</v>
      </c>
      <c r="I835" s="687" t="s">
        <v>2703</v>
      </c>
      <c r="J835" s="750" t="s">
        <v>18</v>
      </c>
      <c r="K835" s="687" t="s">
        <v>2248</v>
      </c>
      <c r="L835" s="786" t="s">
        <v>20</v>
      </c>
      <c r="M835" s="687"/>
      <c r="N835" s="843"/>
      <c r="O835" s="512"/>
      <c r="P835" s="512"/>
      <c r="Q835" s="512"/>
      <c r="R835" s="512"/>
      <c r="S835" s="512"/>
      <c r="T835" s="512"/>
      <c r="U835" s="512"/>
    </row>
    <row r="836" ht="16.5" customHeight="1" spans="1:21">
      <c r="A836" s="687" t="s">
        <v>2453</v>
      </c>
      <c r="B836" s="687" t="s">
        <v>2490</v>
      </c>
      <c r="C836" s="758" t="s">
        <v>2095</v>
      </c>
      <c r="D836" s="807">
        <v>30</v>
      </c>
      <c r="E836" s="817"/>
      <c r="F836" s="675">
        <v>45821</v>
      </c>
      <c r="G836" s="703">
        <f>G835</f>
        <v>45853</v>
      </c>
      <c r="H836" s="713">
        <f>H835</f>
        <v>45878</v>
      </c>
      <c r="I836" s="687" t="s">
        <v>2703</v>
      </c>
      <c r="J836" s="760" t="s">
        <v>18</v>
      </c>
      <c r="K836" s="687" t="s">
        <v>2248</v>
      </c>
      <c r="L836" s="786" t="s">
        <v>20</v>
      </c>
      <c r="M836" s="687" t="s">
        <v>2612</v>
      </c>
      <c r="N836" s="843"/>
      <c r="O836" s="512"/>
      <c r="P836" s="512"/>
      <c r="Q836" s="512"/>
      <c r="R836" s="512"/>
      <c r="S836" s="512"/>
      <c r="T836" s="512"/>
      <c r="U836" s="512"/>
    </row>
    <row r="837" ht="16.5" customHeight="1" spans="1:21">
      <c r="A837" s="687" t="s">
        <v>910</v>
      </c>
      <c r="B837" s="687" t="s">
        <v>2372</v>
      </c>
      <c r="C837" s="732" t="s">
        <v>2087</v>
      </c>
      <c r="D837" s="313">
        <v>36</v>
      </c>
      <c r="E837" s="756" t="s">
        <v>2705</v>
      </c>
      <c r="F837" s="675">
        <v>45821</v>
      </c>
      <c r="G837" s="675">
        <f>VLOOKUP(CLEAN(SUBSTITUTE(TRIM(MID(E:E,FIND("/",E:E)+1,LEN(E:E)))," ","")),'Customs Decl. &amp; Local Delivery'!D:I,6,0)</f>
        <v>45853</v>
      </c>
      <c r="H837" s="790">
        <f>VLOOKUP(CLEAN(SUBSTITUTE(TRIM(MID(E:E,FIND("/",E:E)+1,LEN(E:E)))," ","")),'Customs Decl. &amp; Local Delivery'!D:J,7,0)</f>
        <v>45878</v>
      </c>
      <c r="I837" s="687" t="s">
        <v>2703</v>
      </c>
      <c r="J837" s="750" t="s">
        <v>18</v>
      </c>
      <c r="K837" s="687" t="s">
        <v>2619</v>
      </c>
      <c r="L837" s="786" t="s">
        <v>20</v>
      </c>
      <c r="M837" s="687" t="s">
        <v>2704</v>
      </c>
      <c r="N837" s="802"/>
      <c r="O837" s="512"/>
      <c r="P837" s="512"/>
      <c r="Q837" s="512"/>
      <c r="R837" s="512"/>
      <c r="S837" s="512"/>
      <c r="T837" s="512"/>
      <c r="U837" s="512"/>
    </row>
    <row r="838" ht="16.5" customHeight="1" spans="1:21">
      <c r="A838" s="687" t="s">
        <v>910</v>
      </c>
      <c r="B838" s="687" t="s">
        <v>2372</v>
      </c>
      <c r="C838" s="732" t="s">
        <v>2090</v>
      </c>
      <c r="D838" s="313">
        <v>65</v>
      </c>
      <c r="E838" s="281"/>
      <c r="F838" s="675">
        <v>45821</v>
      </c>
      <c r="G838" s="703">
        <f>G837</f>
        <v>45853</v>
      </c>
      <c r="H838" s="713">
        <f>H837</f>
        <v>45878</v>
      </c>
      <c r="I838" s="687" t="s">
        <v>2703</v>
      </c>
      <c r="J838" s="750" t="s">
        <v>18</v>
      </c>
      <c r="K838" s="687" t="s">
        <v>2619</v>
      </c>
      <c r="L838" s="786" t="s">
        <v>20</v>
      </c>
      <c r="M838" s="687"/>
      <c r="N838" s="802"/>
      <c r="O838" s="512"/>
      <c r="P838" s="512"/>
      <c r="Q838" s="512"/>
      <c r="R838" s="512"/>
      <c r="S838" s="512"/>
      <c r="T838" s="512"/>
      <c r="U838" s="512"/>
    </row>
    <row r="839" ht="16.5" customHeight="1" spans="1:21">
      <c r="A839" s="687" t="s">
        <v>910</v>
      </c>
      <c r="B839" s="687" t="s">
        <v>2372</v>
      </c>
      <c r="C839" s="732" t="s">
        <v>2092</v>
      </c>
      <c r="D839" s="313">
        <v>12</v>
      </c>
      <c r="E839" s="281"/>
      <c r="F839" s="675">
        <v>45821</v>
      </c>
      <c r="G839" s="703">
        <f>G838</f>
        <v>45853</v>
      </c>
      <c r="H839" s="713">
        <f>H838</f>
        <v>45878</v>
      </c>
      <c r="I839" s="687" t="s">
        <v>2703</v>
      </c>
      <c r="J839" s="750" t="s">
        <v>18</v>
      </c>
      <c r="K839" s="687" t="s">
        <v>2619</v>
      </c>
      <c r="L839" s="786" t="s">
        <v>20</v>
      </c>
      <c r="M839" s="687"/>
      <c r="N839" s="843"/>
      <c r="O839" s="512"/>
      <c r="P839" s="512"/>
      <c r="Q839" s="512"/>
      <c r="R839" s="512"/>
      <c r="S839" s="512"/>
      <c r="T839" s="512"/>
      <c r="U839" s="512"/>
    </row>
    <row r="840" ht="16.5" customHeight="1" spans="1:21">
      <c r="A840" s="687" t="s">
        <v>910</v>
      </c>
      <c r="B840" s="687" t="s">
        <v>2372</v>
      </c>
      <c r="C840" s="732" t="s">
        <v>2093</v>
      </c>
      <c r="D840" s="313">
        <v>20</v>
      </c>
      <c r="E840" s="281"/>
      <c r="F840" s="675">
        <v>45821</v>
      </c>
      <c r="G840" s="703">
        <f>G839</f>
        <v>45853</v>
      </c>
      <c r="H840" s="713">
        <f>H839</f>
        <v>45878</v>
      </c>
      <c r="I840" s="687" t="s">
        <v>2703</v>
      </c>
      <c r="J840" s="750" t="s">
        <v>18</v>
      </c>
      <c r="K840" s="687" t="s">
        <v>2619</v>
      </c>
      <c r="L840" s="786" t="s">
        <v>20</v>
      </c>
      <c r="M840" s="687"/>
      <c r="N840" s="843"/>
      <c r="O840" s="512"/>
      <c r="P840" s="512"/>
      <c r="Q840" s="512"/>
      <c r="R840" s="512"/>
      <c r="S840" s="512"/>
      <c r="T840" s="512"/>
      <c r="U840" s="512"/>
    </row>
    <row r="841" ht="16.5" customHeight="1" spans="1:21">
      <c r="A841" s="751" t="s">
        <v>910</v>
      </c>
      <c r="B841" s="751" t="s">
        <v>2372</v>
      </c>
      <c r="C841" s="752" t="s">
        <v>2095</v>
      </c>
      <c r="D841" s="313">
        <v>30</v>
      </c>
      <c r="E841" s="281"/>
      <c r="F841" s="675">
        <v>45821</v>
      </c>
      <c r="G841" s="703">
        <f>G840</f>
        <v>45853</v>
      </c>
      <c r="H841" s="713">
        <f>H840</f>
        <v>45878</v>
      </c>
      <c r="I841" s="687" t="s">
        <v>2703</v>
      </c>
      <c r="J841" s="760" t="s">
        <v>18</v>
      </c>
      <c r="K841" s="687" t="s">
        <v>2619</v>
      </c>
      <c r="L841" s="786" t="s">
        <v>20</v>
      </c>
      <c r="M841" s="687"/>
      <c r="N841" s="843"/>
      <c r="O841" s="512"/>
      <c r="P841" s="512"/>
      <c r="Q841" s="512"/>
      <c r="R841" s="512"/>
      <c r="S841" s="512"/>
      <c r="T841" s="512"/>
      <c r="U841" s="512"/>
    </row>
    <row r="842" ht="16.5" customHeight="1" spans="1:21">
      <c r="A842" s="687" t="s">
        <v>910</v>
      </c>
      <c r="B842" s="687" t="s">
        <v>2372</v>
      </c>
      <c r="C842" s="732" t="s">
        <v>2087</v>
      </c>
      <c r="D842" s="313">
        <v>36</v>
      </c>
      <c r="E842" s="756" t="s">
        <v>2706</v>
      </c>
      <c r="F842" s="675">
        <v>45821</v>
      </c>
      <c r="G842" s="703">
        <f>VLOOKUP(CLEAN(SUBSTITUTE(TRIM(MID(E:E,FIND("/",E:E)+1,LEN(E:E)))," ","")),'Customs Decl. &amp; Local Delivery'!D:I,6,0)</f>
        <v>45854</v>
      </c>
      <c r="H842" s="825">
        <f>VLOOKUP(CLEAN(SUBSTITUTE(TRIM(MID(E:E,FIND("/",E:E)+1,LEN(E:E)))," ","")),'Customs Decl. &amp; Local Delivery'!D:J,7,0)</f>
        <v>45878</v>
      </c>
      <c r="I842" s="687" t="s">
        <v>2707</v>
      </c>
      <c r="J842" s="750" t="s">
        <v>18</v>
      </c>
      <c r="K842" s="687" t="s">
        <v>654</v>
      </c>
      <c r="L842" s="786" t="s">
        <v>20</v>
      </c>
      <c r="M842" s="687" t="s">
        <v>2704</v>
      </c>
      <c r="N842" s="802"/>
      <c r="O842" s="512"/>
      <c r="P842" s="512"/>
      <c r="Q842" s="512"/>
      <c r="R842" s="512"/>
      <c r="S842" s="512"/>
      <c r="T842" s="512"/>
      <c r="U842" s="512"/>
    </row>
    <row r="843" ht="16.5" customHeight="1" spans="1:21">
      <c r="A843" s="687" t="s">
        <v>910</v>
      </c>
      <c r="B843" s="687" t="s">
        <v>2372</v>
      </c>
      <c r="C843" s="732" t="s">
        <v>2090</v>
      </c>
      <c r="D843" s="313">
        <v>65</v>
      </c>
      <c r="E843" s="281"/>
      <c r="F843" s="675">
        <v>45821</v>
      </c>
      <c r="G843" s="703">
        <f>G842</f>
        <v>45854</v>
      </c>
      <c r="H843" s="713">
        <f>H842</f>
        <v>45878</v>
      </c>
      <c r="I843" s="690" t="s">
        <v>2707</v>
      </c>
      <c r="J843" s="750" t="s">
        <v>18</v>
      </c>
      <c r="K843" s="687" t="s">
        <v>654</v>
      </c>
      <c r="L843" s="786" t="s">
        <v>20</v>
      </c>
      <c r="M843" s="687"/>
      <c r="N843" s="802"/>
      <c r="O843" s="512"/>
      <c r="P843" s="512"/>
      <c r="Q843" s="512"/>
      <c r="R843" s="512"/>
      <c r="S843" s="512"/>
      <c r="T843" s="512"/>
      <c r="U843" s="512"/>
    </row>
    <row r="844" ht="16.5" customHeight="1" spans="1:21">
      <c r="A844" s="687" t="s">
        <v>910</v>
      </c>
      <c r="B844" s="780" t="s">
        <v>2372</v>
      </c>
      <c r="C844" s="758" t="s">
        <v>2092</v>
      </c>
      <c r="D844" s="350">
        <v>12</v>
      </c>
      <c r="E844" s="281"/>
      <c r="F844" s="675">
        <v>45821</v>
      </c>
      <c r="G844" s="703">
        <f>G843</f>
        <v>45854</v>
      </c>
      <c r="H844" s="713">
        <f>H843</f>
        <v>45878</v>
      </c>
      <c r="I844" s="690" t="s">
        <v>2707</v>
      </c>
      <c r="J844" s="750" t="s">
        <v>18</v>
      </c>
      <c r="K844" s="687" t="s">
        <v>654</v>
      </c>
      <c r="L844" s="786" t="s">
        <v>20</v>
      </c>
      <c r="M844" s="687"/>
      <c r="N844" s="843"/>
      <c r="O844" s="512"/>
      <c r="P844" s="512"/>
      <c r="Q844" s="512"/>
      <c r="R844" s="512"/>
      <c r="S844" s="512"/>
      <c r="T844" s="512"/>
      <c r="U844" s="512"/>
    </row>
    <row r="845" ht="16.5" customHeight="1" spans="1:21">
      <c r="A845" s="687" t="s">
        <v>910</v>
      </c>
      <c r="B845" s="780" t="s">
        <v>2372</v>
      </c>
      <c r="C845" s="758" t="s">
        <v>2093</v>
      </c>
      <c r="D845" s="350">
        <v>20</v>
      </c>
      <c r="E845" s="281"/>
      <c r="F845" s="675">
        <v>45821</v>
      </c>
      <c r="G845" s="703">
        <f>G844</f>
        <v>45854</v>
      </c>
      <c r="H845" s="713">
        <f>H844</f>
        <v>45878</v>
      </c>
      <c r="I845" s="690" t="s">
        <v>2707</v>
      </c>
      <c r="J845" s="750" t="s">
        <v>18</v>
      </c>
      <c r="K845" s="687" t="s">
        <v>654</v>
      </c>
      <c r="L845" s="786" t="s">
        <v>20</v>
      </c>
      <c r="M845" s="687"/>
      <c r="N845" s="843"/>
      <c r="O845" s="512"/>
      <c r="P845" s="512"/>
      <c r="Q845" s="512"/>
      <c r="R845" s="512"/>
      <c r="S845" s="512"/>
      <c r="T845" s="512"/>
      <c r="U845" s="512"/>
    </row>
    <row r="846" ht="16.5" customHeight="1" spans="1:21">
      <c r="A846" s="687" t="s">
        <v>2453</v>
      </c>
      <c r="B846" s="687" t="s">
        <v>2490</v>
      </c>
      <c r="C846" s="758" t="s">
        <v>2095</v>
      </c>
      <c r="D846" s="350">
        <v>12</v>
      </c>
      <c r="E846" s="817"/>
      <c r="F846" s="675">
        <v>45821</v>
      </c>
      <c r="G846" s="703">
        <f>G845</f>
        <v>45854</v>
      </c>
      <c r="H846" s="713">
        <f>H845</f>
        <v>45878</v>
      </c>
      <c r="I846" s="690" t="s">
        <v>2707</v>
      </c>
      <c r="J846" s="750" t="s">
        <v>18</v>
      </c>
      <c r="K846" s="687" t="s">
        <v>654</v>
      </c>
      <c r="L846" s="786" t="s">
        <v>20</v>
      </c>
      <c r="M846" s="687" t="s">
        <v>2612</v>
      </c>
      <c r="N846" s="802"/>
      <c r="O846" s="512"/>
      <c r="P846" s="512"/>
      <c r="Q846" s="512"/>
      <c r="R846" s="512"/>
      <c r="S846" s="512"/>
      <c r="T846" s="512"/>
      <c r="U846" s="512"/>
    </row>
    <row r="847" ht="16.5" customHeight="1" spans="1:21">
      <c r="A847" s="751" t="s">
        <v>910</v>
      </c>
      <c r="B847" s="808" t="s">
        <v>2372</v>
      </c>
      <c r="C847" s="765" t="s">
        <v>2095</v>
      </c>
      <c r="D847" s="350">
        <v>18</v>
      </c>
      <c r="E847" s="281"/>
      <c r="F847" s="675">
        <v>45821</v>
      </c>
      <c r="G847" s="703">
        <f>G846</f>
        <v>45854</v>
      </c>
      <c r="H847" s="713">
        <f>H846</f>
        <v>45878</v>
      </c>
      <c r="I847" s="690" t="s">
        <v>2707</v>
      </c>
      <c r="J847" s="760" t="s">
        <v>18</v>
      </c>
      <c r="K847" s="687" t="s">
        <v>654</v>
      </c>
      <c r="L847" s="786" t="s">
        <v>20</v>
      </c>
      <c r="M847" s="687"/>
      <c r="N847" s="802"/>
      <c r="O847" s="512"/>
      <c r="P847" s="512"/>
      <c r="Q847" s="512"/>
      <c r="R847" s="512"/>
      <c r="S847" s="512"/>
      <c r="T847" s="512"/>
      <c r="U847" s="512"/>
    </row>
    <row r="848" ht="16.5" customHeight="1" spans="1:21">
      <c r="A848" s="687" t="s">
        <v>910</v>
      </c>
      <c r="B848" s="780" t="s">
        <v>2372</v>
      </c>
      <c r="C848" s="758" t="s">
        <v>2087</v>
      </c>
      <c r="D848" s="350">
        <v>36</v>
      </c>
      <c r="E848" s="756" t="s">
        <v>2708</v>
      </c>
      <c r="F848" s="675">
        <v>45821</v>
      </c>
      <c r="G848" s="703">
        <f>VLOOKUP(CLEAN(SUBSTITUTE(TRIM(MID(E:E,FIND("/",E:E)+1,LEN(E:E)))," ","")),'Customs Decl. &amp; Local Delivery'!D:I,6,0)</f>
        <v>45854</v>
      </c>
      <c r="H848" s="825">
        <f>VLOOKUP(CLEAN(SUBSTITUTE(TRIM(MID(E:E,FIND("/",E:E)+1,LEN(E:E)))," ","")),'Customs Decl. &amp; Local Delivery'!D:J,7,0)</f>
        <v>45878</v>
      </c>
      <c r="I848" s="690" t="s">
        <v>2707</v>
      </c>
      <c r="J848" s="750" t="s">
        <v>18</v>
      </c>
      <c r="K848" s="687" t="s">
        <v>654</v>
      </c>
      <c r="L848" s="786" t="s">
        <v>20</v>
      </c>
      <c r="M848" s="687" t="s">
        <v>2709</v>
      </c>
      <c r="N848" s="802"/>
      <c r="O848" s="512"/>
      <c r="P848" s="512"/>
      <c r="Q848" s="512"/>
      <c r="R848" s="512"/>
      <c r="S848" s="512"/>
      <c r="T848" s="512"/>
      <c r="U848" s="512"/>
    </row>
    <row r="849" ht="16.5" customHeight="1" spans="1:21">
      <c r="A849" s="687" t="s">
        <v>910</v>
      </c>
      <c r="B849" s="780" t="s">
        <v>2372</v>
      </c>
      <c r="C849" s="758" t="s">
        <v>2090</v>
      </c>
      <c r="D849" s="350">
        <v>65</v>
      </c>
      <c r="E849" s="281"/>
      <c r="F849" s="675">
        <v>45821</v>
      </c>
      <c r="G849" s="703">
        <f>G848</f>
        <v>45854</v>
      </c>
      <c r="H849" s="713">
        <f>H848</f>
        <v>45878</v>
      </c>
      <c r="I849" s="690" t="s">
        <v>2707</v>
      </c>
      <c r="J849" s="750" t="s">
        <v>18</v>
      </c>
      <c r="K849" s="687" t="s">
        <v>654</v>
      </c>
      <c r="L849" s="786" t="s">
        <v>20</v>
      </c>
      <c r="M849" s="687" t="s">
        <v>2704</v>
      </c>
      <c r="N849" s="802"/>
      <c r="O849" s="512"/>
      <c r="P849" s="512"/>
      <c r="Q849" s="512"/>
      <c r="R849" s="512"/>
      <c r="S849" s="512"/>
      <c r="T849" s="512"/>
      <c r="U849" s="512"/>
    </row>
    <row r="850" ht="16.5" customHeight="1" spans="1:21">
      <c r="A850" s="687" t="s">
        <v>910</v>
      </c>
      <c r="B850" s="780" t="s">
        <v>2372</v>
      </c>
      <c r="C850" s="758" t="s">
        <v>2092</v>
      </c>
      <c r="D850" s="350">
        <v>12</v>
      </c>
      <c r="E850" s="281"/>
      <c r="F850" s="675">
        <v>45821</v>
      </c>
      <c r="G850" s="703">
        <f>G849</f>
        <v>45854</v>
      </c>
      <c r="H850" s="713">
        <f>H849</f>
        <v>45878</v>
      </c>
      <c r="I850" s="690" t="s">
        <v>2707</v>
      </c>
      <c r="J850" s="750" t="s">
        <v>18</v>
      </c>
      <c r="K850" s="687" t="s">
        <v>654</v>
      </c>
      <c r="L850" s="786" t="s">
        <v>20</v>
      </c>
      <c r="M850" s="687"/>
      <c r="N850" s="843"/>
      <c r="O850" s="512"/>
      <c r="P850" s="512"/>
      <c r="Q850" s="512"/>
      <c r="R850" s="512"/>
      <c r="S850" s="512"/>
      <c r="T850" s="512"/>
      <c r="U850" s="512"/>
    </row>
    <row r="851" ht="16.5" customHeight="1" spans="1:21">
      <c r="A851" s="687" t="s">
        <v>910</v>
      </c>
      <c r="B851" s="780" t="s">
        <v>2372</v>
      </c>
      <c r="C851" s="758" t="s">
        <v>2093</v>
      </c>
      <c r="D851" s="350">
        <v>15</v>
      </c>
      <c r="E851" s="69"/>
      <c r="F851" s="675">
        <v>45821</v>
      </c>
      <c r="G851" s="703">
        <f>G850</f>
        <v>45854</v>
      </c>
      <c r="H851" s="713">
        <f>H850</f>
        <v>45878</v>
      </c>
      <c r="I851" s="690" t="s">
        <v>2707</v>
      </c>
      <c r="J851" s="750" t="s">
        <v>18</v>
      </c>
      <c r="K851" s="687" t="s">
        <v>654</v>
      </c>
      <c r="L851" s="786" t="s">
        <v>20</v>
      </c>
      <c r="M851" s="687"/>
      <c r="N851" s="843"/>
      <c r="O851" s="512"/>
      <c r="P851" s="512"/>
      <c r="Q851" s="512"/>
      <c r="R851" s="512"/>
      <c r="S851" s="512"/>
      <c r="T851" s="512"/>
      <c r="U851" s="512"/>
    </row>
    <row r="852" ht="16.5" customHeight="1" spans="1:21">
      <c r="A852" s="751" t="s">
        <v>910</v>
      </c>
      <c r="B852" s="808" t="s">
        <v>2372</v>
      </c>
      <c r="C852" s="765" t="s">
        <v>2095</v>
      </c>
      <c r="D852" s="350">
        <v>30</v>
      </c>
      <c r="E852" s="281"/>
      <c r="F852" s="675">
        <v>45821</v>
      </c>
      <c r="G852" s="703">
        <f>G851</f>
        <v>45854</v>
      </c>
      <c r="H852" s="713">
        <f>H851</f>
        <v>45878</v>
      </c>
      <c r="I852" s="690" t="s">
        <v>2707</v>
      </c>
      <c r="J852" s="760" t="s">
        <v>18</v>
      </c>
      <c r="K852" s="687" t="s">
        <v>654</v>
      </c>
      <c r="L852" s="786" t="s">
        <v>20</v>
      </c>
      <c r="M852" s="687"/>
      <c r="N852" s="802"/>
      <c r="O852" s="512"/>
      <c r="P852" s="512"/>
      <c r="Q852" s="512"/>
      <c r="R852" s="512"/>
      <c r="S852" s="512"/>
      <c r="T852" s="512"/>
      <c r="U852" s="512"/>
    </row>
    <row r="853" ht="16.5" customHeight="1" spans="1:21">
      <c r="A853" s="687" t="s">
        <v>910</v>
      </c>
      <c r="B853" s="687" t="s">
        <v>2372</v>
      </c>
      <c r="C853" s="732" t="s">
        <v>2087</v>
      </c>
      <c r="D853" s="313">
        <v>36</v>
      </c>
      <c r="E853" s="756" t="s">
        <v>2710</v>
      </c>
      <c r="F853" s="703">
        <v>45828</v>
      </c>
      <c r="G853" s="703">
        <f>VLOOKUP(CLEAN(SUBSTITUTE(TRIM(MID(E:E,FIND("/",E:E)+1,LEN(E:E)))," ","")),'Customs Decl. &amp; Local Delivery'!D:I,6,0)</f>
        <v>45854</v>
      </c>
      <c r="H853" s="825">
        <f>VLOOKUP(CLEAN(SUBSTITUTE(TRIM(MID(E:E,FIND("/",E:E)+1,LEN(E:E)))," ","")),'Customs Decl. &amp; Local Delivery'!D:J,7,0)</f>
        <v>45878</v>
      </c>
      <c r="I853" s="690" t="s">
        <v>2707</v>
      </c>
      <c r="J853" s="750" t="s">
        <v>18</v>
      </c>
      <c r="K853" s="687" t="s">
        <v>654</v>
      </c>
      <c r="L853" s="347" t="s">
        <v>20</v>
      </c>
      <c r="M853" s="780" t="s">
        <v>2711</v>
      </c>
      <c r="N853" s="802"/>
      <c r="O853" s="512"/>
      <c r="P853" s="512"/>
      <c r="Q853" s="512"/>
      <c r="R853" s="512"/>
      <c r="S853" s="512"/>
      <c r="T853" s="512"/>
      <c r="U853" s="512"/>
    </row>
    <row r="854" ht="16.5" customHeight="1" spans="1:21">
      <c r="A854" s="687" t="s">
        <v>910</v>
      </c>
      <c r="B854" s="687" t="s">
        <v>2372</v>
      </c>
      <c r="C854" s="732" t="s">
        <v>2090</v>
      </c>
      <c r="D854" s="313">
        <v>65</v>
      </c>
      <c r="E854" s="281"/>
      <c r="F854" s="703">
        <v>45828</v>
      </c>
      <c r="G854" s="703">
        <f>G853</f>
        <v>45854</v>
      </c>
      <c r="H854" s="713">
        <f>H853</f>
        <v>45878</v>
      </c>
      <c r="I854" s="690" t="s">
        <v>2707</v>
      </c>
      <c r="J854" s="750" t="s">
        <v>18</v>
      </c>
      <c r="K854" s="687" t="s">
        <v>654</v>
      </c>
      <c r="L854" s="347" t="s">
        <v>20</v>
      </c>
      <c r="M854" s="687" t="s">
        <v>2712</v>
      </c>
      <c r="N854" s="802"/>
      <c r="O854" s="512"/>
      <c r="P854" s="512"/>
      <c r="Q854" s="512"/>
      <c r="R854" s="512"/>
      <c r="S854" s="512"/>
      <c r="T854" s="512"/>
      <c r="U854" s="512"/>
    </row>
    <row r="855" customFormat="1" ht="16.5" customHeight="1" spans="1:21">
      <c r="A855" s="687" t="s">
        <v>2453</v>
      </c>
      <c r="B855" s="687" t="s">
        <v>2490</v>
      </c>
      <c r="C855" s="732" t="s">
        <v>2092</v>
      </c>
      <c r="D855" s="313">
        <v>12</v>
      </c>
      <c r="E855" s="281"/>
      <c r="F855" s="703">
        <v>45828</v>
      </c>
      <c r="G855" s="703">
        <f>G854</f>
        <v>45854</v>
      </c>
      <c r="H855" s="713">
        <f>H854</f>
        <v>45878</v>
      </c>
      <c r="I855" s="690" t="s">
        <v>2707</v>
      </c>
      <c r="J855" s="750" t="s">
        <v>18</v>
      </c>
      <c r="K855" s="687" t="s">
        <v>654</v>
      </c>
      <c r="L855" s="347" t="s">
        <v>20</v>
      </c>
      <c r="M855" s="687" t="s">
        <v>2612</v>
      </c>
      <c r="N855" s="843"/>
      <c r="O855" s="512"/>
      <c r="P855" s="512"/>
      <c r="Q855" s="512"/>
      <c r="R855" s="512"/>
      <c r="S855" s="512"/>
      <c r="T855" s="512"/>
      <c r="U855" s="512"/>
    </row>
    <row r="856" ht="16.5" customHeight="1" spans="1:21">
      <c r="A856" s="687" t="s">
        <v>910</v>
      </c>
      <c r="B856" s="687" t="s">
        <v>2372</v>
      </c>
      <c r="C856" s="758" t="s">
        <v>2093</v>
      </c>
      <c r="D856" s="350">
        <v>20</v>
      </c>
      <c r="E856" s="281"/>
      <c r="F856" s="703">
        <v>45828</v>
      </c>
      <c r="G856" s="703">
        <f>G855</f>
        <v>45854</v>
      </c>
      <c r="H856" s="713">
        <f>H855</f>
        <v>45878</v>
      </c>
      <c r="I856" s="690" t="s">
        <v>2707</v>
      </c>
      <c r="J856" s="750" t="s">
        <v>18</v>
      </c>
      <c r="K856" s="687" t="s">
        <v>654</v>
      </c>
      <c r="L856" s="347" t="s">
        <v>20</v>
      </c>
      <c r="M856" s="780" t="s">
        <v>2713</v>
      </c>
      <c r="N856" s="802"/>
      <c r="O856" s="512"/>
      <c r="P856" s="512"/>
      <c r="Q856" s="512"/>
      <c r="R856" s="512"/>
      <c r="S856" s="512"/>
      <c r="T856" s="512"/>
      <c r="U856" s="512"/>
    </row>
    <row r="857" ht="16.5" customHeight="1" spans="1:21">
      <c r="A857" s="687" t="s">
        <v>2453</v>
      </c>
      <c r="B857" s="687" t="s">
        <v>2490</v>
      </c>
      <c r="C857" s="752" t="s">
        <v>2095</v>
      </c>
      <c r="D857" s="313">
        <v>30</v>
      </c>
      <c r="E857" s="281"/>
      <c r="F857" s="703">
        <v>45828</v>
      </c>
      <c r="G857" s="703">
        <f>G856</f>
        <v>45854</v>
      </c>
      <c r="H857" s="713">
        <f>H856</f>
        <v>45878</v>
      </c>
      <c r="I857" s="690" t="s">
        <v>2707</v>
      </c>
      <c r="J857" s="760" t="s">
        <v>18</v>
      </c>
      <c r="K857" s="687" t="s">
        <v>654</v>
      </c>
      <c r="L857" s="347" t="s">
        <v>20</v>
      </c>
      <c r="M857" s="780" t="s">
        <v>2612</v>
      </c>
      <c r="N857" s="802"/>
      <c r="O857" s="512"/>
      <c r="P857" s="512"/>
      <c r="Q857" s="512"/>
      <c r="R857" s="512"/>
      <c r="S857" s="512"/>
      <c r="T857" s="512"/>
      <c r="U857" s="512"/>
    </row>
    <row r="858" ht="16.5" customHeight="1" spans="1:21">
      <c r="A858" s="687" t="s">
        <v>910</v>
      </c>
      <c r="B858" s="780" t="s">
        <v>2372</v>
      </c>
      <c r="C858" s="758" t="s">
        <v>2087</v>
      </c>
      <c r="D858" s="350">
        <v>35</v>
      </c>
      <c r="E858" s="756" t="s">
        <v>2714</v>
      </c>
      <c r="F858" s="703">
        <v>45828</v>
      </c>
      <c r="G858" s="703">
        <f>VLOOKUP(CLEAN(SUBSTITUTE(TRIM(MID(E:E,FIND("/",E:E)+1,LEN(E:E)))," ","")),'Customs Decl. &amp; Local Delivery'!D:I,6,0)</f>
        <v>45857</v>
      </c>
      <c r="H858" s="825">
        <f>VLOOKUP(CLEAN(SUBSTITUTE(TRIM(MID(E:E,FIND("/",E:E)+1,LEN(E:E)))," ","")),'Customs Decl. &amp; Local Delivery'!D:J,7,0)</f>
        <v>45883</v>
      </c>
      <c r="I858" s="690" t="s">
        <v>2715</v>
      </c>
      <c r="J858" s="750" t="s">
        <v>18</v>
      </c>
      <c r="K858" s="687" t="s">
        <v>654</v>
      </c>
      <c r="L858" s="347" t="s">
        <v>20</v>
      </c>
      <c r="M858" s="780" t="s">
        <v>2716</v>
      </c>
      <c r="N858" s="802"/>
      <c r="O858" s="512"/>
      <c r="P858" s="512"/>
      <c r="Q858" s="512"/>
      <c r="R858" s="512"/>
      <c r="S858" s="512"/>
      <c r="T858" s="512"/>
      <c r="U858" s="512"/>
    </row>
    <row r="859" ht="16.5" customHeight="1" spans="1:21">
      <c r="A859" s="687" t="s">
        <v>910</v>
      </c>
      <c r="B859" s="780" t="s">
        <v>2372</v>
      </c>
      <c r="C859" s="758" t="s">
        <v>2090</v>
      </c>
      <c r="D859" s="350">
        <v>65</v>
      </c>
      <c r="E859" s="281"/>
      <c r="F859" s="703">
        <v>45828</v>
      </c>
      <c r="G859" s="703">
        <f>G858</f>
        <v>45857</v>
      </c>
      <c r="H859" s="713">
        <f>H858</f>
        <v>45883</v>
      </c>
      <c r="I859" s="690" t="s">
        <v>2715</v>
      </c>
      <c r="J859" s="750" t="s">
        <v>18</v>
      </c>
      <c r="K859" s="687" t="s">
        <v>654</v>
      </c>
      <c r="L859" s="347" t="s">
        <v>20</v>
      </c>
      <c r="M859" s="687" t="s">
        <v>2704</v>
      </c>
      <c r="N859" s="802"/>
      <c r="O859" s="512"/>
      <c r="P859" s="512"/>
      <c r="Q859" s="512"/>
      <c r="R859" s="512"/>
      <c r="S859" s="512"/>
      <c r="T859" s="512"/>
      <c r="U859" s="512"/>
    </row>
    <row r="860" ht="16.5" customHeight="1" spans="1:21">
      <c r="A860" s="687" t="s">
        <v>910</v>
      </c>
      <c r="B860" s="780" t="s">
        <v>2372</v>
      </c>
      <c r="C860" s="758" t="s">
        <v>2092</v>
      </c>
      <c r="D860" s="350">
        <v>12</v>
      </c>
      <c r="E860" s="281"/>
      <c r="F860" s="703">
        <v>45828</v>
      </c>
      <c r="G860" s="703">
        <f>G859</f>
        <v>45857</v>
      </c>
      <c r="H860" s="713">
        <f>H859</f>
        <v>45883</v>
      </c>
      <c r="I860" s="690" t="s">
        <v>2715</v>
      </c>
      <c r="J860" s="750" t="s">
        <v>18</v>
      </c>
      <c r="K860" s="687" t="s">
        <v>654</v>
      </c>
      <c r="L860" s="347" t="s">
        <v>20</v>
      </c>
      <c r="M860" s="687"/>
      <c r="N860" s="843"/>
      <c r="O860" s="512"/>
      <c r="P860" s="512"/>
      <c r="Q860" s="512"/>
      <c r="R860" s="512"/>
      <c r="S860" s="512"/>
      <c r="T860" s="512"/>
      <c r="U860" s="512"/>
    </row>
    <row r="861" ht="16.5" customHeight="1" spans="1:21">
      <c r="A861" s="687" t="s">
        <v>910</v>
      </c>
      <c r="B861" s="780" t="s">
        <v>2372</v>
      </c>
      <c r="C861" s="758" t="s">
        <v>2093</v>
      </c>
      <c r="D861" s="350">
        <v>15</v>
      </c>
      <c r="E861" s="281"/>
      <c r="F861" s="703">
        <v>45828</v>
      </c>
      <c r="G861" s="703">
        <f>G860</f>
        <v>45857</v>
      </c>
      <c r="H861" s="713">
        <f>H860</f>
        <v>45883</v>
      </c>
      <c r="I861" s="690" t="s">
        <v>2715</v>
      </c>
      <c r="J861" s="750" t="s">
        <v>18</v>
      </c>
      <c r="K861" s="687" t="s">
        <v>654</v>
      </c>
      <c r="L861" s="347" t="s">
        <v>20</v>
      </c>
      <c r="M861" s="687"/>
      <c r="N861" s="843"/>
      <c r="O861" s="512"/>
      <c r="P861" s="512"/>
      <c r="Q861" s="512"/>
      <c r="R861" s="512"/>
      <c r="S861" s="512"/>
      <c r="T861" s="512"/>
      <c r="U861" s="512"/>
    </row>
    <row r="862" ht="16.5" customHeight="1" spans="1:21">
      <c r="A862" s="751" t="s">
        <v>910</v>
      </c>
      <c r="B862" s="808" t="s">
        <v>2372</v>
      </c>
      <c r="C862" s="765" t="s">
        <v>2095</v>
      </c>
      <c r="D862" s="350">
        <v>30</v>
      </c>
      <c r="E862" s="281"/>
      <c r="F862" s="703">
        <v>45828</v>
      </c>
      <c r="G862" s="703">
        <f>G861</f>
        <v>45857</v>
      </c>
      <c r="H862" s="713">
        <f>H861</f>
        <v>45883</v>
      </c>
      <c r="I862" s="690" t="s">
        <v>2715</v>
      </c>
      <c r="J862" s="760" t="s">
        <v>18</v>
      </c>
      <c r="K862" s="687" t="s">
        <v>654</v>
      </c>
      <c r="L862" s="347" t="s">
        <v>20</v>
      </c>
      <c r="M862" s="687"/>
      <c r="N862" s="802"/>
      <c r="O862" s="512"/>
      <c r="P862" s="512"/>
      <c r="Q862" s="512"/>
      <c r="R862" s="512"/>
      <c r="S862" s="512"/>
      <c r="T862" s="512"/>
      <c r="U862" s="512"/>
    </row>
    <row r="863" ht="16.5" customHeight="1" spans="1:21">
      <c r="A863" s="687" t="s">
        <v>910</v>
      </c>
      <c r="B863" s="780" t="s">
        <v>2372</v>
      </c>
      <c r="C863" s="758" t="s">
        <v>2087</v>
      </c>
      <c r="D863" s="350">
        <v>36</v>
      </c>
      <c r="E863" s="756" t="s">
        <v>2717</v>
      </c>
      <c r="F863" s="703">
        <v>45828</v>
      </c>
      <c r="G863" s="703">
        <f>VLOOKUP(CLEAN(SUBSTITUTE(TRIM(MID(E:E,FIND("/",E:E)+1,LEN(E:E)))," ","")),'Customs Decl. &amp; Local Delivery'!D:I,6,0)</f>
        <v>45857</v>
      </c>
      <c r="H863" s="825">
        <f>VLOOKUP(CLEAN(SUBSTITUTE(TRIM(MID(E:E,FIND("/",E:E)+1,LEN(E:E)))," ","")),'Customs Decl. &amp; Local Delivery'!D:J,7,0)</f>
        <v>45883</v>
      </c>
      <c r="I863" s="690" t="s">
        <v>2715</v>
      </c>
      <c r="J863" s="750" t="s">
        <v>18</v>
      </c>
      <c r="K863" s="687" t="s">
        <v>654</v>
      </c>
      <c r="L863" s="347" t="s">
        <v>20</v>
      </c>
      <c r="M863" s="780" t="s">
        <v>2718</v>
      </c>
      <c r="N863" s="802"/>
      <c r="O863" s="800"/>
      <c r="P863" s="512"/>
      <c r="Q863" s="512"/>
      <c r="R863" s="512"/>
      <c r="S863" s="512"/>
      <c r="T863" s="512"/>
      <c r="U863" s="512"/>
    </row>
    <row r="864" ht="16.5" customHeight="1" spans="1:21">
      <c r="A864" s="687" t="s">
        <v>910</v>
      </c>
      <c r="B864" s="780" t="s">
        <v>2372</v>
      </c>
      <c r="C864" s="758" t="s">
        <v>2090</v>
      </c>
      <c r="D864" s="350">
        <v>65</v>
      </c>
      <c r="E864" s="281"/>
      <c r="F864" s="703">
        <v>45828</v>
      </c>
      <c r="G864" s="703">
        <f>G863</f>
        <v>45857</v>
      </c>
      <c r="H864" s="713">
        <f>H863</f>
        <v>45883</v>
      </c>
      <c r="I864" s="690" t="s">
        <v>2715</v>
      </c>
      <c r="J864" s="750" t="s">
        <v>18</v>
      </c>
      <c r="K864" s="687" t="s">
        <v>654</v>
      </c>
      <c r="L864" s="347" t="s">
        <v>20</v>
      </c>
      <c r="M864" s="687" t="s">
        <v>2704</v>
      </c>
      <c r="N864" s="802"/>
      <c r="O864" s="800"/>
      <c r="P864" s="512"/>
      <c r="Q864" s="512"/>
      <c r="R864" s="512"/>
      <c r="S864" s="512"/>
      <c r="T864" s="512"/>
      <c r="U864" s="512"/>
    </row>
    <row r="865" customFormat="1" ht="16.5" customHeight="1" spans="1:21">
      <c r="A865" s="687" t="s">
        <v>2453</v>
      </c>
      <c r="B865" s="780" t="s">
        <v>2490</v>
      </c>
      <c r="C865" s="758" t="s">
        <v>2092</v>
      </c>
      <c r="D865" s="350">
        <v>12</v>
      </c>
      <c r="E865" s="281"/>
      <c r="F865" s="703">
        <v>45828</v>
      </c>
      <c r="G865" s="703">
        <f>G864</f>
        <v>45857</v>
      </c>
      <c r="H865" s="713">
        <f>H864</f>
        <v>45883</v>
      </c>
      <c r="I865" s="690" t="s">
        <v>2715</v>
      </c>
      <c r="J865" s="750" t="s">
        <v>18</v>
      </c>
      <c r="K865" s="687" t="s">
        <v>654</v>
      </c>
      <c r="L865" s="347" t="s">
        <v>20</v>
      </c>
      <c r="M865" s="687" t="s">
        <v>2612</v>
      </c>
      <c r="N865" s="802"/>
      <c r="O865" s="800"/>
      <c r="P865" s="512"/>
      <c r="Q865" s="512"/>
      <c r="R865" s="512"/>
      <c r="S865" s="512"/>
      <c r="T865" s="512"/>
      <c r="U865" s="512"/>
    </row>
    <row r="866" ht="16.5" customHeight="1" spans="1:21">
      <c r="A866" s="687" t="s">
        <v>910</v>
      </c>
      <c r="B866" s="780" t="s">
        <v>2372</v>
      </c>
      <c r="C866" s="758" t="s">
        <v>2093</v>
      </c>
      <c r="D866" s="350">
        <v>15</v>
      </c>
      <c r="E866" s="281"/>
      <c r="F866" s="703">
        <v>45828</v>
      </c>
      <c r="G866" s="703">
        <f>G865</f>
        <v>45857</v>
      </c>
      <c r="H866" s="713">
        <f>H865</f>
        <v>45883</v>
      </c>
      <c r="I866" s="690" t="s">
        <v>2715</v>
      </c>
      <c r="J866" s="750" t="s">
        <v>18</v>
      </c>
      <c r="K866" s="687" t="s">
        <v>654</v>
      </c>
      <c r="L866" s="347" t="s">
        <v>20</v>
      </c>
      <c r="M866" s="687"/>
      <c r="N866" s="802"/>
      <c r="O866" s="800"/>
      <c r="P866" s="512"/>
      <c r="Q866" s="512"/>
      <c r="R866" s="512"/>
      <c r="S866" s="512"/>
      <c r="T866" s="512"/>
      <c r="U866" s="512"/>
    </row>
    <row r="867" ht="16.5" customHeight="1" spans="1:21">
      <c r="A867" s="687" t="s">
        <v>2453</v>
      </c>
      <c r="B867" s="780" t="s">
        <v>2490</v>
      </c>
      <c r="C867" s="765" t="s">
        <v>2095</v>
      </c>
      <c r="D867" s="350">
        <v>30</v>
      </c>
      <c r="E867" s="281"/>
      <c r="F867" s="703">
        <v>45828</v>
      </c>
      <c r="G867" s="703">
        <f>G866</f>
        <v>45857</v>
      </c>
      <c r="H867" s="713">
        <f>H866</f>
        <v>45883</v>
      </c>
      <c r="I867" s="690" t="s">
        <v>2715</v>
      </c>
      <c r="J867" s="760" t="s">
        <v>18</v>
      </c>
      <c r="K867" s="687" t="s">
        <v>654</v>
      </c>
      <c r="L867" s="347" t="s">
        <v>20</v>
      </c>
      <c r="M867" s="687" t="s">
        <v>2612</v>
      </c>
      <c r="N867" s="802"/>
      <c r="O867" s="800"/>
      <c r="P867" s="512"/>
      <c r="Q867" s="512"/>
      <c r="R867" s="512"/>
      <c r="S867" s="512"/>
      <c r="T867" s="512"/>
      <c r="U867" s="512"/>
    </row>
    <row r="868" customFormat="1" ht="15.4" customHeight="1" spans="1:21">
      <c r="A868" s="826" t="s">
        <v>1294</v>
      </c>
      <c r="B868" s="827" t="s">
        <v>2719</v>
      </c>
      <c r="C868" s="828" t="s">
        <v>2720</v>
      </c>
      <c r="D868" s="829">
        <v>6</v>
      </c>
      <c r="E868" s="764" t="s">
        <v>2721</v>
      </c>
      <c r="F868" s="830">
        <v>45839</v>
      </c>
      <c r="G868" s="830">
        <f>VLOOKUP(CLEAN(SUBSTITUTE(TRIM(MID(E:E,FIND("/",E:E)+1,LEN(E:E)))," ","")),'Customs Decl. &amp; Local Delivery'!D:I,6,0)</f>
        <v>45857</v>
      </c>
      <c r="H868" s="831">
        <f>VLOOKUP(CLEAN(SUBSTITUTE(TRIM(MID(E:E,FIND("/",E:E)+1,LEN(E:E)))," ","")),'Customs Decl. &amp; Local Delivery'!D:J,7,0)</f>
        <v>45893</v>
      </c>
      <c r="I868" s="844" t="s">
        <v>2722</v>
      </c>
      <c r="J868" s="845" t="s">
        <v>39</v>
      </c>
      <c r="K868" s="846" t="s">
        <v>2723</v>
      </c>
      <c r="L868" s="847" t="s">
        <v>20</v>
      </c>
      <c r="M868" s="826" t="s">
        <v>2724</v>
      </c>
      <c r="N868" s="802"/>
      <c r="O868" s="512"/>
      <c r="P868" s="512"/>
      <c r="Q868" s="512"/>
      <c r="R868" s="512"/>
      <c r="S868" s="512"/>
      <c r="T868" s="512"/>
      <c r="U868" s="512"/>
    </row>
    <row r="869" customFormat="1" ht="15.4" customHeight="1" spans="1:21">
      <c r="A869" s="832" t="s">
        <v>1294</v>
      </c>
      <c r="B869" s="827" t="s">
        <v>309</v>
      </c>
      <c r="C869" s="833" t="s">
        <v>2725</v>
      </c>
      <c r="D869" s="834">
        <v>2</v>
      </c>
      <c r="E869" s="281"/>
      <c r="F869" s="835" t="s">
        <v>309</v>
      </c>
      <c r="G869" s="835" t="s">
        <v>309</v>
      </c>
      <c r="H869" s="836" t="s">
        <v>309</v>
      </c>
      <c r="I869" s="848" t="s">
        <v>309</v>
      </c>
      <c r="J869" s="849" t="s">
        <v>39</v>
      </c>
      <c r="K869" s="850" t="s">
        <v>2723</v>
      </c>
      <c r="L869" s="851" t="s">
        <v>309</v>
      </c>
      <c r="M869" s="852" t="s">
        <v>2726</v>
      </c>
      <c r="N869" s="688"/>
      <c r="O869" s="512"/>
      <c r="P869" s="512"/>
      <c r="Q869" s="512"/>
      <c r="R869" s="512"/>
      <c r="S869" s="512"/>
      <c r="T869" s="512"/>
      <c r="U869" s="512"/>
    </row>
    <row r="870" customFormat="1" ht="15.4" customHeight="1" spans="1:21">
      <c r="A870" s="826" t="s">
        <v>1294</v>
      </c>
      <c r="B870" s="826" t="s">
        <v>2719</v>
      </c>
      <c r="C870" s="837" t="s">
        <v>2720</v>
      </c>
      <c r="D870" s="838">
        <v>3</v>
      </c>
      <c r="E870" s="281"/>
      <c r="F870" s="830">
        <v>45870</v>
      </c>
      <c r="G870" s="839">
        <f>G868</f>
        <v>45857</v>
      </c>
      <c r="H870" s="836">
        <f>H868</f>
        <v>45893</v>
      </c>
      <c r="I870" s="853" t="s">
        <v>2722</v>
      </c>
      <c r="J870" s="854" t="s">
        <v>39</v>
      </c>
      <c r="K870" s="826" t="s">
        <v>2723</v>
      </c>
      <c r="L870" s="855" t="s">
        <v>20</v>
      </c>
      <c r="M870" s="826" t="s">
        <v>2727</v>
      </c>
      <c r="N870" s="802"/>
      <c r="O870" s="512"/>
      <c r="P870" s="512"/>
      <c r="Q870" s="512"/>
      <c r="R870" s="512"/>
      <c r="S870" s="512"/>
      <c r="T870" s="512"/>
      <c r="U870" s="512"/>
    </row>
    <row r="871" customFormat="1" ht="16.5" customHeight="1" spans="1:21">
      <c r="A871" s="687" t="s">
        <v>2728</v>
      </c>
      <c r="B871" s="687" t="s">
        <v>2729</v>
      </c>
      <c r="C871" s="671" t="s">
        <v>2087</v>
      </c>
      <c r="D871" s="250">
        <v>36</v>
      </c>
      <c r="E871" s="674" t="s">
        <v>2730</v>
      </c>
      <c r="F871" s="840">
        <v>45853</v>
      </c>
      <c r="G871" s="840">
        <f>VLOOKUP(CLEAN(SUBSTITUTE(TRIM(MID(E:E,FIND("/",E:E)+1,LEN(E:E)))," ","")),'Customs Decl. &amp; Local Delivery'!D:I,6,0)</f>
        <v>45859</v>
      </c>
      <c r="H871" s="841">
        <f>VLOOKUP(CLEAN(SUBSTITUTE(TRIM(MID(E:E,FIND("/",E:E)+1,LEN(E:E)))," ","")),'Customs Decl. &amp; Local Delivery'!D:J,7,0)</f>
        <v>45887</v>
      </c>
      <c r="I871" s="690" t="s">
        <v>2731</v>
      </c>
      <c r="J871" s="687" t="s">
        <v>18</v>
      </c>
      <c r="K871" s="687" t="s">
        <v>2687</v>
      </c>
      <c r="L871" s="347" t="s">
        <v>20</v>
      </c>
      <c r="M871" s="690" t="s">
        <v>2732</v>
      </c>
      <c r="N871" s="814"/>
      <c r="O871" s="512"/>
      <c r="P871" s="512"/>
      <c r="Q871" s="512"/>
      <c r="R871" s="512"/>
      <c r="S871" s="512"/>
      <c r="T871" s="512"/>
      <c r="U871" s="512"/>
    </row>
    <row r="872" customFormat="1" ht="16.5" customHeight="1" spans="1:21">
      <c r="A872" s="687" t="s">
        <v>2728</v>
      </c>
      <c r="B872" s="687" t="s">
        <v>2729</v>
      </c>
      <c r="C872" s="671" t="s">
        <v>2090</v>
      </c>
      <c r="D872" s="250">
        <v>150</v>
      </c>
      <c r="E872" s="281"/>
      <c r="F872" s="840">
        <v>45853</v>
      </c>
      <c r="G872" s="703">
        <f>G871</f>
        <v>45859</v>
      </c>
      <c r="H872" s="676">
        <f>H871</f>
        <v>45887</v>
      </c>
      <c r="I872" s="690" t="s">
        <v>2731</v>
      </c>
      <c r="J872" s="687" t="s">
        <v>18</v>
      </c>
      <c r="K872" s="687" t="s">
        <v>2687</v>
      </c>
      <c r="L872" s="347" t="s">
        <v>20</v>
      </c>
      <c r="M872" s="687" t="s">
        <v>2704</v>
      </c>
      <c r="N872" s="814"/>
      <c r="O872" s="512"/>
      <c r="P872" s="512"/>
      <c r="Q872" s="512"/>
      <c r="R872" s="512"/>
      <c r="S872" s="512"/>
      <c r="T872" s="512"/>
      <c r="U872" s="512"/>
    </row>
    <row r="873" customFormat="1" ht="16.5" customHeight="1" spans="1:21">
      <c r="A873" s="687" t="s">
        <v>2728</v>
      </c>
      <c r="B873" s="687" t="s">
        <v>2729</v>
      </c>
      <c r="C873" s="671" t="s">
        <v>2087</v>
      </c>
      <c r="D873" s="250">
        <v>36</v>
      </c>
      <c r="E873" s="674" t="s">
        <v>2733</v>
      </c>
      <c r="F873" s="840">
        <v>45853</v>
      </c>
      <c r="G873" s="840">
        <f>VLOOKUP(CLEAN(SUBSTITUTE(TRIM(MID(E:E,FIND("/",E:E)+1,LEN(E:E)))," ","")),'Customs Decl. &amp; Local Delivery'!D:I,6,0)</f>
        <v>45859</v>
      </c>
      <c r="H873" s="841">
        <f>VLOOKUP(CLEAN(SUBSTITUTE(TRIM(MID(E:E,FIND("/",E:E)+1,LEN(E:E)))," ","")),'Customs Decl. &amp; Local Delivery'!D:J,7,0)</f>
        <v>45887</v>
      </c>
      <c r="I873" s="690" t="s">
        <v>2731</v>
      </c>
      <c r="J873" s="687" t="s">
        <v>18</v>
      </c>
      <c r="K873" s="687" t="s">
        <v>654</v>
      </c>
      <c r="L873" s="347" t="s">
        <v>20</v>
      </c>
      <c r="M873" s="687" t="s">
        <v>2734</v>
      </c>
      <c r="N873" s="814"/>
      <c r="O873" s="512"/>
      <c r="P873" s="512"/>
      <c r="Q873" s="512"/>
      <c r="R873" s="512"/>
      <c r="S873" s="512"/>
      <c r="T873" s="512"/>
      <c r="U873" s="512"/>
    </row>
    <row r="874" customFormat="1" ht="16.5" customHeight="1" spans="1:21">
      <c r="A874" s="687" t="s">
        <v>2728</v>
      </c>
      <c r="B874" s="687" t="s">
        <v>2729</v>
      </c>
      <c r="C874" s="671" t="s">
        <v>2090</v>
      </c>
      <c r="D874" s="250">
        <v>150</v>
      </c>
      <c r="E874" s="281"/>
      <c r="F874" s="840">
        <v>45853</v>
      </c>
      <c r="G874" s="703">
        <f>G873</f>
        <v>45859</v>
      </c>
      <c r="H874" s="676">
        <f>H873</f>
        <v>45887</v>
      </c>
      <c r="I874" s="690" t="s">
        <v>2731</v>
      </c>
      <c r="J874" s="687" t="s">
        <v>18</v>
      </c>
      <c r="K874" s="687" t="s">
        <v>654</v>
      </c>
      <c r="L874" s="347" t="s">
        <v>20</v>
      </c>
      <c r="M874" s="687" t="s">
        <v>2704</v>
      </c>
      <c r="N874" s="814"/>
      <c r="O874" s="512"/>
      <c r="P874" s="512"/>
      <c r="Q874" s="512"/>
      <c r="R874" s="512"/>
      <c r="S874" s="512"/>
      <c r="T874" s="512"/>
      <c r="U874" s="512"/>
    </row>
    <row r="875" customFormat="1" ht="16.5" customHeight="1" spans="1:21">
      <c r="A875" s="687" t="s">
        <v>2728</v>
      </c>
      <c r="B875" s="687" t="s">
        <v>2729</v>
      </c>
      <c r="C875" s="671" t="s">
        <v>2087</v>
      </c>
      <c r="D875" s="250">
        <v>36</v>
      </c>
      <c r="E875" s="674" t="s">
        <v>2735</v>
      </c>
      <c r="F875" s="840">
        <v>45853</v>
      </c>
      <c r="G875" s="840">
        <f>VLOOKUP(CLEAN(SUBSTITUTE(TRIM(MID(E:E,FIND("/",E:E)+1,LEN(E:E)))," ","")),'Customs Decl. &amp; Local Delivery'!D:I,6,0)</f>
        <v>45859</v>
      </c>
      <c r="H875" s="841">
        <f>VLOOKUP(CLEAN(SUBSTITUTE(TRIM(MID(E:E,FIND("/",E:E)+1,LEN(E:E)))," ","")),'Customs Decl. &amp; Local Delivery'!D:J,7,0)</f>
        <v>45887</v>
      </c>
      <c r="I875" s="690" t="s">
        <v>2731</v>
      </c>
      <c r="J875" s="687" t="s">
        <v>18</v>
      </c>
      <c r="K875" s="687" t="s">
        <v>654</v>
      </c>
      <c r="L875" s="347" t="s">
        <v>20</v>
      </c>
      <c r="M875" s="687" t="s">
        <v>2736</v>
      </c>
      <c r="N875" s="814"/>
      <c r="O875" s="512"/>
      <c r="P875" s="512"/>
      <c r="Q875" s="512"/>
      <c r="R875" s="512"/>
      <c r="S875" s="512"/>
      <c r="T875" s="512"/>
      <c r="U875" s="512"/>
    </row>
    <row r="876" customFormat="1" ht="16.5" customHeight="1" spans="1:21">
      <c r="A876" s="687" t="s">
        <v>2728</v>
      </c>
      <c r="B876" s="687" t="s">
        <v>2729</v>
      </c>
      <c r="C876" s="671" t="s">
        <v>2092</v>
      </c>
      <c r="D876" s="250">
        <v>150</v>
      </c>
      <c r="E876" s="281"/>
      <c r="F876" s="840">
        <v>45853</v>
      </c>
      <c r="G876" s="703">
        <f>G875</f>
        <v>45859</v>
      </c>
      <c r="H876" s="676">
        <f>H875</f>
        <v>45887</v>
      </c>
      <c r="I876" s="690" t="s">
        <v>2731</v>
      </c>
      <c r="J876" s="687" t="s">
        <v>18</v>
      </c>
      <c r="K876" s="687" t="s">
        <v>654</v>
      </c>
      <c r="L876" s="347" t="s">
        <v>20</v>
      </c>
      <c r="M876" s="687" t="s">
        <v>2704</v>
      </c>
      <c r="N876" s="814"/>
      <c r="O876" s="512"/>
      <c r="P876" s="512"/>
      <c r="Q876" s="512"/>
      <c r="R876" s="512"/>
      <c r="S876" s="512"/>
      <c r="T876" s="512"/>
      <c r="U876" s="512"/>
    </row>
    <row r="877" customFormat="1" ht="16.5" customHeight="1" spans="1:21">
      <c r="A877" s="687" t="s">
        <v>2728</v>
      </c>
      <c r="B877" s="687" t="s">
        <v>2729</v>
      </c>
      <c r="C877" s="671" t="s">
        <v>2087</v>
      </c>
      <c r="D877" s="250">
        <v>36</v>
      </c>
      <c r="E877" s="674" t="s">
        <v>2737</v>
      </c>
      <c r="F877" s="840">
        <v>45853</v>
      </c>
      <c r="G877" s="840">
        <f>VLOOKUP(CLEAN(SUBSTITUTE(TRIM(MID(E:E,FIND("/",E:E)+1,LEN(E:E)))," ","")),'Customs Decl. &amp; Local Delivery'!D:I,6,0)</f>
        <v>45859</v>
      </c>
      <c r="H877" s="841">
        <f>VLOOKUP(CLEAN(SUBSTITUTE(TRIM(MID(E:E,FIND("/",E:E)+1,LEN(E:E)))," ","")),'Customs Decl. &amp; Local Delivery'!D:J,7,0)</f>
        <v>45887</v>
      </c>
      <c r="I877" s="690" t="s">
        <v>2731</v>
      </c>
      <c r="J877" s="687" t="s">
        <v>18</v>
      </c>
      <c r="K877" s="687" t="s">
        <v>2738</v>
      </c>
      <c r="L877" s="347" t="s">
        <v>20</v>
      </c>
      <c r="M877" s="687" t="s">
        <v>2704</v>
      </c>
      <c r="N877" s="814"/>
      <c r="O877" s="512"/>
      <c r="P877" s="512"/>
      <c r="Q877" s="512"/>
      <c r="R877" s="512"/>
      <c r="S877" s="512"/>
      <c r="T877" s="512"/>
      <c r="U877" s="512"/>
    </row>
    <row r="878" customFormat="1" ht="16.5" customHeight="1" spans="1:21">
      <c r="A878" s="687" t="s">
        <v>2728</v>
      </c>
      <c r="B878" s="687" t="s">
        <v>2729</v>
      </c>
      <c r="C878" s="671" t="s">
        <v>2092</v>
      </c>
      <c r="D878" s="250">
        <v>150</v>
      </c>
      <c r="E878" s="281"/>
      <c r="F878" s="840">
        <v>45853</v>
      </c>
      <c r="G878" s="703">
        <f>G877</f>
        <v>45859</v>
      </c>
      <c r="H878" s="676">
        <f>H877</f>
        <v>45887</v>
      </c>
      <c r="I878" s="690" t="s">
        <v>2731</v>
      </c>
      <c r="J878" s="687" t="s">
        <v>18</v>
      </c>
      <c r="K878" s="687" t="s">
        <v>2738</v>
      </c>
      <c r="L878" s="347" t="s">
        <v>20</v>
      </c>
      <c r="M878" s="687"/>
      <c r="N878" s="814"/>
      <c r="O878" s="512"/>
      <c r="P878" s="512"/>
      <c r="Q878" s="512"/>
      <c r="R878" s="512"/>
      <c r="S878" s="512"/>
      <c r="T878" s="512"/>
      <c r="U878" s="512"/>
    </row>
    <row r="879" customFormat="1" ht="16.5" customHeight="1" spans="1:21">
      <c r="A879" s="687" t="s">
        <v>2728</v>
      </c>
      <c r="B879" s="687" t="s">
        <v>2729</v>
      </c>
      <c r="C879" s="671" t="s">
        <v>2087</v>
      </c>
      <c r="D879" s="250">
        <v>36</v>
      </c>
      <c r="E879" s="674" t="s">
        <v>2739</v>
      </c>
      <c r="F879" s="840">
        <v>45853</v>
      </c>
      <c r="G879" s="840">
        <f>VLOOKUP(CLEAN(SUBSTITUTE(TRIM(MID(E:E,FIND("/",E:E)+1,LEN(E:E)))," ","")),'Customs Decl. &amp; Local Delivery'!D:I,6,0)</f>
        <v>45859</v>
      </c>
      <c r="H879" s="841">
        <f>VLOOKUP(CLEAN(SUBSTITUTE(TRIM(MID(E:E,FIND("/",E:E)+1,LEN(E:E)))," ","")),'Customs Decl. &amp; Local Delivery'!D:J,7,0)</f>
        <v>45887</v>
      </c>
      <c r="I879" s="690" t="s">
        <v>2731</v>
      </c>
      <c r="J879" s="687" t="s">
        <v>18</v>
      </c>
      <c r="K879" s="687" t="s">
        <v>654</v>
      </c>
      <c r="L879" s="347" t="s">
        <v>20</v>
      </c>
      <c r="M879" s="687" t="s">
        <v>2740</v>
      </c>
      <c r="N879" s="814"/>
      <c r="O879" s="512"/>
      <c r="P879" s="512"/>
      <c r="Q879" s="512"/>
      <c r="R879" s="512"/>
      <c r="S879" s="512"/>
      <c r="T879" s="512"/>
      <c r="U879" s="512"/>
    </row>
    <row r="880" customFormat="1" ht="16.5" customHeight="1" spans="1:21">
      <c r="A880" s="687" t="s">
        <v>2728</v>
      </c>
      <c r="B880" s="687" t="s">
        <v>2729</v>
      </c>
      <c r="C880" s="671" t="s">
        <v>2092</v>
      </c>
      <c r="D880" s="250">
        <v>150</v>
      </c>
      <c r="E880" s="69"/>
      <c r="F880" s="840">
        <v>45853</v>
      </c>
      <c r="G880" s="703">
        <f>G879</f>
        <v>45859</v>
      </c>
      <c r="H880" s="676">
        <f>H879</f>
        <v>45887</v>
      </c>
      <c r="I880" s="690" t="s">
        <v>2731</v>
      </c>
      <c r="J880" s="687" t="s">
        <v>18</v>
      </c>
      <c r="K880" s="687" t="s">
        <v>654</v>
      </c>
      <c r="L880" s="347" t="s">
        <v>20</v>
      </c>
      <c r="M880" s="687" t="s">
        <v>2704</v>
      </c>
      <c r="N880" s="814"/>
      <c r="O880" s="512"/>
      <c r="P880" s="512"/>
      <c r="Q880" s="512"/>
      <c r="R880" s="512"/>
      <c r="S880" s="512"/>
      <c r="T880" s="512"/>
      <c r="U880" s="512"/>
    </row>
    <row r="881" ht="15.4" customHeight="1" spans="1:21">
      <c r="A881" s="687" t="s">
        <v>910</v>
      </c>
      <c r="B881" s="690" t="s">
        <v>2305</v>
      </c>
      <c r="C881" s="732" t="s">
        <v>2087</v>
      </c>
      <c r="D881" s="350">
        <v>2</v>
      </c>
      <c r="E881" s="756" t="s">
        <v>2741</v>
      </c>
      <c r="F881" s="840">
        <v>45814</v>
      </c>
      <c r="G881" s="840">
        <f>VLOOKUP(CLEAN(SUBSTITUTE(TRIM(MID(E:E,FIND("/",E:E)+1,LEN(E:E)))," ","")),'Customs Decl. &amp; Local Delivery'!D:I,6,0)</f>
        <v>45860</v>
      </c>
      <c r="H881" s="841">
        <f>VLOOKUP(CLEAN(SUBSTITUTE(TRIM(MID(E:E,FIND("/",E:E)+1,LEN(E:E)))," ","")),'Customs Decl. &amp; Local Delivery'!D:J,7,0)</f>
        <v>45878</v>
      </c>
      <c r="I881" s="687" t="s">
        <v>2742</v>
      </c>
      <c r="J881" s="687" t="s">
        <v>18</v>
      </c>
      <c r="K881" s="687" t="s">
        <v>2743</v>
      </c>
      <c r="L881" s="347" t="s">
        <v>20</v>
      </c>
      <c r="M881" s="687" t="s">
        <v>2744</v>
      </c>
      <c r="N881" s="802"/>
      <c r="O881" s="795"/>
      <c r="P881" s="203"/>
      <c r="Q881" s="203"/>
      <c r="R881" s="203"/>
      <c r="S881" s="203"/>
      <c r="T881" s="203"/>
      <c r="U881" s="203"/>
    </row>
    <row r="882" ht="16.5" customHeight="1" spans="1:21">
      <c r="A882" s="687" t="s">
        <v>910</v>
      </c>
      <c r="B882" s="687" t="s">
        <v>2372</v>
      </c>
      <c r="C882" s="732" t="s">
        <v>2087</v>
      </c>
      <c r="D882" s="250">
        <f>24-16+2</f>
        <v>10</v>
      </c>
      <c r="E882" s="281"/>
      <c r="F882" s="840">
        <v>45814</v>
      </c>
      <c r="G882" s="840">
        <f t="shared" ref="G882:G889" si="54">G881</f>
        <v>45860</v>
      </c>
      <c r="H882" s="842">
        <f t="shared" ref="H882:H889" si="55">H881</f>
        <v>45878</v>
      </c>
      <c r="I882" s="687" t="s">
        <v>2742</v>
      </c>
      <c r="J882" s="777" t="s">
        <v>18</v>
      </c>
      <c r="K882" s="777" t="s">
        <v>2743</v>
      </c>
      <c r="L882" s="347" t="s">
        <v>20</v>
      </c>
      <c r="M882" s="687" t="s">
        <v>2745</v>
      </c>
      <c r="N882" s="802"/>
      <c r="O882" s="203"/>
      <c r="P882" s="203"/>
      <c r="Q882" s="203"/>
      <c r="R882" s="203"/>
      <c r="S882" s="203"/>
      <c r="T882" s="203"/>
      <c r="U882" s="203"/>
    </row>
    <row r="883" ht="16.5" customHeight="1" spans="1:21">
      <c r="A883" s="687" t="s">
        <v>910</v>
      </c>
      <c r="B883" s="749" t="s">
        <v>2305</v>
      </c>
      <c r="C883" s="758" t="s">
        <v>2090</v>
      </c>
      <c r="D883" s="807">
        <v>40</v>
      </c>
      <c r="E883" s="281"/>
      <c r="F883" s="840">
        <v>45814</v>
      </c>
      <c r="G883" s="840">
        <f t="shared" si="54"/>
        <v>45860</v>
      </c>
      <c r="H883" s="842">
        <f t="shared" si="55"/>
        <v>45878</v>
      </c>
      <c r="I883" s="687" t="s">
        <v>2742</v>
      </c>
      <c r="J883" s="687" t="s">
        <v>18</v>
      </c>
      <c r="K883" s="687" t="s">
        <v>147</v>
      </c>
      <c r="L883" s="347" t="s">
        <v>20</v>
      </c>
      <c r="M883" s="687" t="s">
        <v>2746</v>
      </c>
      <c r="N883" s="802"/>
      <c r="O883" s="203"/>
      <c r="P883" s="203"/>
      <c r="Q883" s="203"/>
      <c r="R883" s="203"/>
      <c r="S883" s="203"/>
      <c r="T883" s="203"/>
      <c r="U883" s="203"/>
    </row>
    <row r="884" ht="16.5" customHeight="1" spans="1:21">
      <c r="A884" s="687" t="s">
        <v>910</v>
      </c>
      <c r="B884" s="687" t="s">
        <v>2372</v>
      </c>
      <c r="C884" s="732" t="s">
        <v>2090</v>
      </c>
      <c r="D884" s="250">
        <v>50</v>
      </c>
      <c r="E884" s="281"/>
      <c r="F884" s="840">
        <v>45814</v>
      </c>
      <c r="G884" s="840">
        <f t="shared" si="54"/>
        <v>45860</v>
      </c>
      <c r="H884" s="842">
        <f t="shared" si="55"/>
        <v>45878</v>
      </c>
      <c r="I884" s="687" t="s">
        <v>2742</v>
      </c>
      <c r="J884" s="687" t="s">
        <v>18</v>
      </c>
      <c r="K884" s="687" t="s">
        <v>147</v>
      </c>
      <c r="L884" s="347" t="s">
        <v>20</v>
      </c>
      <c r="M884" s="780" t="s">
        <v>2747</v>
      </c>
      <c r="N884" s="843"/>
      <c r="O884" s="203"/>
      <c r="P884" s="203"/>
      <c r="Q884" s="203"/>
      <c r="R884" s="203"/>
      <c r="S884" s="203"/>
      <c r="T884" s="203"/>
      <c r="U884" s="203"/>
    </row>
    <row r="885" ht="16.5" customHeight="1" spans="1:21">
      <c r="A885" s="687" t="s">
        <v>910</v>
      </c>
      <c r="B885" s="687" t="s">
        <v>2372</v>
      </c>
      <c r="C885" s="732" t="s">
        <v>2092</v>
      </c>
      <c r="D885" s="250">
        <v>15</v>
      </c>
      <c r="E885" s="281"/>
      <c r="F885" s="840">
        <v>45814</v>
      </c>
      <c r="G885" s="840">
        <f t="shared" si="54"/>
        <v>45860</v>
      </c>
      <c r="H885" s="842">
        <f t="shared" si="55"/>
        <v>45878</v>
      </c>
      <c r="I885" s="687" t="s">
        <v>2742</v>
      </c>
      <c r="J885" s="687" t="s">
        <v>18</v>
      </c>
      <c r="K885" s="687" t="s">
        <v>147</v>
      </c>
      <c r="L885" s="347" t="s">
        <v>20</v>
      </c>
      <c r="M885" s="780" t="s">
        <v>2748</v>
      </c>
      <c r="N885" s="843"/>
      <c r="O885" s="203"/>
      <c r="P885" s="203"/>
      <c r="Q885" s="203"/>
      <c r="R885" s="203"/>
      <c r="S885" s="203"/>
      <c r="T885" s="203"/>
      <c r="U885" s="203"/>
    </row>
    <row r="886" ht="16.5" customHeight="1" spans="1:21">
      <c r="A886" s="687" t="s">
        <v>910</v>
      </c>
      <c r="B886" s="687" t="s">
        <v>2372</v>
      </c>
      <c r="C886" s="758" t="s">
        <v>2093</v>
      </c>
      <c r="D886" s="351">
        <v>15</v>
      </c>
      <c r="E886" s="281"/>
      <c r="F886" s="840">
        <v>45814</v>
      </c>
      <c r="G886" s="840">
        <f t="shared" si="54"/>
        <v>45860</v>
      </c>
      <c r="H886" s="842">
        <f t="shared" si="55"/>
        <v>45878</v>
      </c>
      <c r="I886" s="687" t="s">
        <v>2742</v>
      </c>
      <c r="J886" s="687" t="s">
        <v>18</v>
      </c>
      <c r="K886" s="687" t="s">
        <v>147</v>
      </c>
      <c r="L886" s="347" t="s">
        <v>20</v>
      </c>
      <c r="M886" s="687"/>
      <c r="N886" s="843"/>
      <c r="O886" s="203"/>
      <c r="P886" s="203"/>
      <c r="Q886" s="203"/>
      <c r="R886" s="203"/>
      <c r="S886" s="203"/>
      <c r="T886" s="203"/>
      <c r="U886" s="203"/>
    </row>
    <row r="887" ht="16.5" customHeight="1" spans="1:21">
      <c r="A887" s="687" t="s">
        <v>2453</v>
      </c>
      <c r="B887" s="687" t="s">
        <v>2490</v>
      </c>
      <c r="C887" s="758" t="s">
        <v>2094</v>
      </c>
      <c r="D887" s="807">
        <v>10</v>
      </c>
      <c r="E887" s="281"/>
      <c r="F887" s="840">
        <v>45814</v>
      </c>
      <c r="G887" s="840">
        <f t="shared" si="54"/>
        <v>45860</v>
      </c>
      <c r="H887" s="842">
        <f t="shared" si="55"/>
        <v>45878</v>
      </c>
      <c r="I887" s="687" t="s">
        <v>2742</v>
      </c>
      <c r="J887" s="687" t="s">
        <v>18</v>
      </c>
      <c r="K887" s="687" t="s">
        <v>147</v>
      </c>
      <c r="L887" s="347" t="s">
        <v>20</v>
      </c>
      <c r="M887" s="672" t="s">
        <v>2589</v>
      </c>
      <c r="N887" s="843"/>
      <c r="O887" s="203"/>
      <c r="P887" s="203"/>
      <c r="Q887" s="203"/>
      <c r="R887" s="203"/>
      <c r="S887" s="203"/>
      <c r="T887" s="203"/>
      <c r="U887" s="203"/>
    </row>
    <row r="888" ht="16.5" customHeight="1" spans="1:21">
      <c r="A888" s="687" t="s">
        <v>910</v>
      </c>
      <c r="B888" s="687" t="s">
        <v>2372</v>
      </c>
      <c r="C888" s="758" t="s">
        <v>2340</v>
      </c>
      <c r="D888" s="351">
        <v>10</v>
      </c>
      <c r="E888" s="281"/>
      <c r="F888" s="840">
        <v>45814</v>
      </c>
      <c r="G888" s="840">
        <f t="shared" si="54"/>
        <v>45860</v>
      </c>
      <c r="H888" s="842">
        <f t="shared" si="55"/>
        <v>45878</v>
      </c>
      <c r="I888" s="687" t="s">
        <v>2742</v>
      </c>
      <c r="J888" s="687" t="s">
        <v>18</v>
      </c>
      <c r="K888" s="687" t="s">
        <v>147</v>
      </c>
      <c r="L888" s="347" t="s">
        <v>20</v>
      </c>
      <c r="M888" s="687"/>
      <c r="N888" s="843"/>
      <c r="O888" s="203"/>
      <c r="P888" s="203"/>
      <c r="Q888" s="203"/>
      <c r="R888" s="203"/>
      <c r="S888" s="203"/>
      <c r="T888" s="203"/>
      <c r="U888" s="203"/>
    </row>
    <row r="889" ht="16.5" customHeight="1" spans="1:21">
      <c r="A889" s="687" t="s">
        <v>2453</v>
      </c>
      <c r="B889" s="687" t="s">
        <v>2490</v>
      </c>
      <c r="C889" s="758" t="s">
        <v>2095</v>
      </c>
      <c r="D889" s="807">
        <v>20</v>
      </c>
      <c r="E889" s="281"/>
      <c r="F889" s="840">
        <v>45814</v>
      </c>
      <c r="G889" s="840">
        <f t="shared" si="54"/>
        <v>45860</v>
      </c>
      <c r="H889" s="842">
        <f t="shared" si="55"/>
        <v>45878</v>
      </c>
      <c r="I889" s="687" t="s">
        <v>2742</v>
      </c>
      <c r="J889" s="687" t="s">
        <v>18</v>
      </c>
      <c r="K889" s="687" t="s">
        <v>147</v>
      </c>
      <c r="L889" s="347" t="s">
        <v>20</v>
      </c>
      <c r="M889" s="687" t="s">
        <v>2612</v>
      </c>
      <c r="N889" s="843"/>
      <c r="O889" s="203"/>
      <c r="P889" s="203"/>
      <c r="Q889" s="203"/>
      <c r="R889" s="203"/>
      <c r="S889" s="203"/>
      <c r="T889" s="203"/>
      <c r="U889" s="203"/>
    </row>
    <row r="890" spans="1:21">
      <c r="A890" s="687" t="s">
        <v>910</v>
      </c>
      <c r="B890" s="690" t="s">
        <v>2305</v>
      </c>
      <c r="C890" s="758" t="s">
        <v>2087</v>
      </c>
      <c r="D890" s="807">
        <v>30</v>
      </c>
      <c r="E890" s="756" t="s">
        <v>2749</v>
      </c>
      <c r="F890" s="840">
        <v>45879</v>
      </c>
      <c r="G890" s="840">
        <f>VLOOKUP(CLEAN(SUBSTITUTE(TRIM(MID(E:E,FIND("/",E:E)+1,LEN(E:E)))," ","")),'Customs Decl. &amp; Local Delivery'!D:I,6,0)</f>
        <v>45860</v>
      </c>
      <c r="H890" s="841">
        <f>VLOOKUP(CLEAN(SUBSTITUTE(TRIM(MID(E:E,FIND("/",E:E)+1,LEN(E:E)))," ","")),'Customs Decl. &amp; Local Delivery'!D:J,7,0)</f>
        <v>45878</v>
      </c>
      <c r="I890" s="690" t="s">
        <v>2750</v>
      </c>
      <c r="J890" s="687" t="s">
        <v>18</v>
      </c>
      <c r="K890" s="687" t="s">
        <v>19</v>
      </c>
      <c r="L890" s="786" t="s">
        <v>20</v>
      </c>
      <c r="M890" s="687" t="s">
        <v>2751</v>
      </c>
      <c r="N890" s="802"/>
      <c r="O890" s="512"/>
      <c r="P890" s="512"/>
      <c r="Q890" s="512"/>
      <c r="R890" s="512"/>
      <c r="S890" s="512"/>
      <c r="T890" s="512"/>
      <c r="U890" s="512"/>
    </row>
    <row r="891" ht="16.5" customHeight="1" spans="1:21">
      <c r="A891" s="687" t="s">
        <v>910</v>
      </c>
      <c r="B891" s="690" t="s">
        <v>2305</v>
      </c>
      <c r="C891" s="758" t="s">
        <v>2090</v>
      </c>
      <c r="D891" s="807">
        <v>60</v>
      </c>
      <c r="E891" s="281"/>
      <c r="F891" s="840">
        <v>45879</v>
      </c>
      <c r="G891" s="840">
        <f t="shared" ref="G891:G897" si="56">G890</f>
        <v>45860</v>
      </c>
      <c r="H891" s="842">
        <f t="shared" ref="H891:H897" si="57">H890</f>
        <v>45878</v>
      </c>
      <c r="I891" s="690" t="s">
        <v>2750</v>
      </c>
      <c r="J891" s="687" t="s">
        <v>18</v>
      </c>
      <c r="K891" s="687" t="s">
        <v>19</v>
      </c>
      <c r="L891" s="786" t="s">
        <v>20</v>
      </c>
      <c r="M891" s="687" t="s">
        <v>2752</v>
      </c>
      <c r="N891" s="802"/>
      <c r="O891" s="512"/>
      <c r="P891" s="512"/>
      <c r="Q891" s="512"/>
      <c r="R891" s="512"/>
      <c r="S891" s="512"/>
      <c r="T891" s="512"/>
      <c r="U891" s="512"/>
    </row>
    <row r="892" ht="16.5" customHeight="1" spans="1:21">
      <c r="A892" s="687" t="s">
        <v>2453</v>
      </c>
      <c r="B892" s="687" t="s">
        <v>2490</v>
      </c>
      <c r="C892" s="732" t="s">
        <v>2092</v>
      </c>
      <c r="D892" s="321">
        <v>45</v>
      </c>
      <c r="E892" s="281"/>
      <c r="F892" s="840">
        <v>45879</v>
      </c>
      <c r="G892" s="840">
        <f t="shared" si="56"/>
        <v>45860</v>
      </c>
      <c r="H892" s="842">
        <f t="shared" si="57"/>
        <v>45878</v>
      </c>
      <c r="I892" s="690" t="s">
        <v>2750</v>
      </c>
      <c r="J892" s="687" t="s">
        <v>18</v>
      </c>
      <c r="K892" s="687" t="s">
        <v>19</v>
      </c>
      <c r="L892" s="786" t="s">
        <v>20</v>
      </c>
      <c r="M892" s="751" t="s">
        <v>2612</v>
      </c>
      <c r="N892" s="843"/>
      <c r="O892" s="512"/>
      <c r="P892" s="512"/>
      <c r="Q892" s="512"/>
      <c r="R892" s="512"/>
      <c r="S892" s="512"/>
      <c r="T892" s="512"/>
      <c r="U892" s="512"/>
    </row>
    <row r="893" ht="16.5" customHeight="1" spans="1:21">
      <c r="A893" s="687" t="s">
        <v>2453</v>
      </c>
      <c r="B893" s="687" t="s">
        <v>2490</v>
      </c>
      <c r="C893" s="732" t="s">
        <v>2093</v>
      </c>
      <c r="D893" s="321">
        <v>14</v>
      </c>
      <c r="E893" s="281"/>
      <c r="F893" s="840">
        <v>45879</v>
      </c>
      <c r="G893" s="840">
        <f t="shared" si="56"/>
        <v>45860</v>
      </c>
      <c r="H893" s="842">
        <f t="shared" si="57"/>
        <v>45878</v>
      </c>
      <c r="I893" s="690" t="s">
        <v>2750</v>
      </c>
      <c r="J893" s="687" t="s">
        <v>18</v>
      </c>
      <c r="K893" s="687" t="s">
        <v>19</v>
      </c>
      <c r="L893" s="786" t="s">
        <v>20</v>
      </c>
      <c r="M893" s="190"/>
      <c r="N893" s="802"/>
      <c r="O893" s="512"/>
      <c r="P893" s="512"/>
      <c r="Q893" s="512"/>
      <c r="R893" s="512"/>
      <c r="S893" s="512"/>
      <c r="T893" s="512"/>
      <c r="U893" s="512"/>
    </row>
    <row r="894" ht="16.5" customHeight="1" spans="1:21">
      <c r="A894" s="687" t="s">
        <v>2453</v>
      </c>
      <c r="B894" s="687" t="s">
        <v>2490</v>
      </c>
      <c r="C894" s="732" t="s">
        <v>2094</v>
      </c>
      <c r="D894" s="321">
        <v>14</v>
      </c>
      <c r="E894" s="281"/>
      <c r="F894" s="840">
        <v>45879</v>
      </c>
      <c r="G894" s="840">
        <f t="shared" si="56"/>
        <v>45860</v>
      </c>
      <c r="H894" s="842">
        <f t="shared" si="57"/>
        <v>45878</v>
      </c>
      <c r="I894" s="690" t="s">
        <v>2750</v>
      </c>
      <c r="J894" s="687" t="s">
        <v>18</v>
      </c>
      <c r="K894" s="687" t="s">
        <v>19</v>
      </c>
      <c r="L894" s="786" t="s">
        <v>20</v>
      </c>
      <c r="M894" s="192"/>
      <c r="N894" s="802"/>
      <c r="O894" s="512"/>
      <c r="P894" s="512"/>
      <c r="Q894" s="512"/>
      <c r="R894" s="512"/>
      <c r="S894" s="512"/>
      <c r="T894" s="512"/>
      <c r="U894" s="512"/>
    </row>
    <row r="895" ht="16.5" customHeight="1" spans="1:21">
      <c r="A895" s="687" t="s">
        <v>910</v>
      </c>
      <c r="B895" s="690" t="s">
        <v>2305</v>
      </c>
      <c r="C895" s="732" t="s">
        <v>2340</v>
      </c>
      <c r="D895" s="321">
        <v>10</v>
      </c>
      <c r="E895" s="281"/>
      <c r="F895" s="840">
        <v>45879</v>
      </c>
      <c r="G895" s="840">
        <f t="shared" si="56"/>
        <v>45860</v>
      </c>
      <c r="H895" s="842">
        <f t="shared" si="57"/>
        <v>45878</v>
      </c>
      <c r="I895" s="690" t="s">
        <v>2750</v>
      </c>
      <c r="J895" s="687" t="s">
        <v>18</v>
      </c>
      <c r="K895" s="687" t="s">
        <v>19</v>
      </c>
      <c r="L895" s="786" t="s">
        <v>20</v>
      </c>
      <c r="M895" s="687"/>
      <c r="N895" s="843"/>
      <c r="O895" s="512"/>
      <c r="P895" s="512"/>
      <c r="Q895" s="512"/>
      <c r="R895" s="512"/>
      <c r="S895" s="512"/>
      <c r="T895" s="512"/>
      <c r="U895" s="512"/>
    </row>
    <row r="896" ht="16.5" customHeight="1" spans="1:21">
      <c r="A896" s="687" t="s">
        <v>2453</v>
      </c>
      <c r="B896" s="687" t="s">
        <v>2490</v>
      </c>
      <c r="C896" s="732" t="s">
        <v>2340</v>
      </c>
      <c r="D896" s="321">
        <v>8</v>
      </c>
      <c r="E896" s="281"/>
      <c r="F896" s="840">
        <v>45879</v>
      </c>
      <c r="G896" s="840">
        <f t="shared" si="56"/>
        <v>45860</v>
      </c>
      <c r="H896" s="842">
        <f t="shared" si="57"/>
        <v>45878</v>
      </c>
      <c r="I896" s="690" t="s">
        <v>2750</v>
      </c>
      <c r="J896" s="687" t="s">
        <v>18</v>
      </c>
      <c r="K896" s="687" t="s">
        <v>19</v>
      </c>
      <c r="L896" s="786" t="s">
        <v>20</v>
      </c>
      <c r="M896" s="687" t="s">
        <v>2612</v>
      </c>
      <c r="N896" s="843"/>
      <c r="O896" s="512"/>
      <c r="P896" s="512"/>
      <c r="Q896" s="512"/>
      <c r="R896" s="512"/>
      <c r="S896" s="512"/>
      <c r="T896" s="512"/>
      <c r="U896" s="512"/>
    </row>
    <row r="897" ht="16.5" customHeight="1" spans="1:21">
      <c r="A897" s="687" t="s">
        <v>910</v>
      </c>
      <c r="B897" s="690" t="s">
        <v>2305</v>
      </c>
      <c r="C897" s="732" t="s">
        <v>2095</v>
      </c>
      <c r="D897" s="321">
        <v>18</v>
      </c>
      <c r="E897" s="69"/>
      <c r="F897" s="840">
        <v>45879</v>
      </c>
      <c r="G897" s="840">
        <f t="shared" si="56"/>
        <v>45860</v>
      </c>
      <c r="H897" s="842">
        <f t="shared" si="57"/>
        <v>45878</v>
      </c>
      <c r="I897" s="690" t="s">
        <v>2750</v>
      </c>
      <c r="J897" s="687" t="s">
        <v>18</v>
      </c>
      <c r="K897" s="687" t="s">
        <v>19</v>
      </c>
      <c r="L897" s="786" t="s">
        <v>20</v>
      </c>
      <c r="M897" s="687"/>
      <c r="N897" s="802"/>
      <c r="O897" s="512"/>
      <c r="P897" s="512"/>
      <c r="Q897" s="512"/>
      <c r="R897" s="512"/>
      <c r="S897" s="512"/>
      <c r="T897" s="512"/>
      <c r="U897" s="512"/>
    </row>
    <row r="898" ht="16.5" customHeight="1" spans="1:21">
      <c r="A898" s="856" t="s">
        <v>910</v>
      </c>
      <c r="B898" s="857" t="s">
        <v>2305</v>
      </c>
      <c r="C898" s="858" t="s">
        <v>2391</v>
      </c>
      <c r="D898" s="859">
        <v>0</v>
      </c>
      <c r="E898" s="281"/>
      <c r="F898" s="840" t="s">
        <v>309</v>
      </c>
      <c r="G898" s="840" t="s">
        <v>309</v>
      </c>
      <c r="H898" s="842" t="s">
        <v>309</v>
      </c>
      <c r="I898" s="690" t="s">
        <v>309</v>
      </c>
      <c r="J898" s="687" t="s">
        <v>18</v>
      </c>
      <c r="K898" s="687" t="s">
        <v>19</v>
      </c>
      <c r="L898" s="347" t="s">
        <v>309</v>
      </c>
      <c r="M898" s="856" t="s">
        <v>2753</v>
      </c>
      <c r="N898" s="843"/>
      <c r="O898" s="512"/>
      <c r="P898" s="512"/>
      <c r="Q898" s="512"/>
      <c r="R898" s="512"/>
      <c r="S898" s="512"/>
      <c r="T898" s="512"/>
      <c r="U898" s="512"/>
    </row>
    <row r="899" ht="16.5" customHeight="1" spans="1:21">
      <c r="A899" s="687" t="s">
        <v>910</v>
      </c>
      <c r="B899" s="690" t="s">
        <v>2305</v>
      </c>
      <c r="C899" s="732" t="s">
        <v>2140</v>
      </c>
      <c r="D899" s="321">
        <v>8</v>
      </c>
      <c r="E899" s="281"/>
      <c r="F899" s="840">
        <v>45879</v>
      </c>
      <c r="G899" s="840">
        <f>G897</f>
        <v>45860</v>
      </c>
      <c r="H899" s="842">
        <f>H897</f>
        <v>45878</v>
      </c>
      <c r="I899" s="690" t="s">
        <v>2750</v>
      </c>
      <c r="J899" s="687" t="s">
        <v>18</v>
      </c>
      <c r="K899" s="687" t="s">
        <v>19</v>
      </c>
      <c r="L899" s="347" t="s">
        <v>20</v>
      </c>
      <c r="M899" s="687"/>
      <c r="N899" s="843"/>
      <c r="O899" s="512"/>
      <c r="P899" s="512"/>
      <c r="Q899" s="512"/>
      <c r="R899" s="512"/>
      <c r="S899" s="512"/>
      <c r="T899" s="512"/>
      <c r="U899" s="512"/>
    </row>
    <row r="900" ht="16.5" customHeight="1" spans="1:21">
      <c r="A900" s="687" t="s">
        <v>910</v>
      </c>
      <c r="B900" s="690" t="s">
        <v>2372</v>
      </c>
      <c r="C900" s="732" t="s">
        <v>2114</v>
      </c>
      <c r="D900" s="321">
        <v>8</v>
      </c>
      <c r="E900" s="69"/>
      <c r="F900" s="840">
        <v>45879</v>
      </c>
      <c r="G900" s="840">
        <f>G899</f>
        <v>45860</v>
      </c>
      <c r="H900" s="842">
        <f>H899</f>
        <v>45878</v>
      </c>
      <c r="I900" s="690" t="s">
        <v>2750</v>
      </c>
      <c r="J900" s="687" t="s">
        <v>18</v>
      </c>
      <c r="K900" s="687" t="s">
        <v>19</v>
      </c>
      <c r="L900" s="347" t="s">
        <v>20</v>
      </c>
      <c r="M900" s="687"/>
      <c r="N900" s="843"/>
      <c r="O900" s="512"/>
      <c r="P900" s="512"/>
      <c r="Q900" s="512"/>
      <c r="R900" s="512"/>
      <c r="S900" s="512"/>
      <c r="T900" s="512"/>
      <c r="U900" s="512"/>
    </row>
    <row r="901" ht="16.5" customHeight="1" spans="1:21">
      <c r="A901" s="687" t="s">
        <v>910</v>
      </c>
      <c r="B901" s="690" t="s">
        <v>2305</v>
      </c>
      <c r="C901" s="732" t="s">
        <v>2182</v>
      </c>
      <c r="D901" s="321">
        <v>11</v>
      </c>
      <c r="E901" s="281"/>
      <c r="F901" s="840">
        <v>45879</v>
      </c>
      <c r="G901" s="840">
        <f>G900</f>
        <v>45860</v>
      </c>
      <c r="H901" s="842">
        <f>H900</f>
        <v>45878</v>
      </c>
      <c r="I901" s="690" t="s">
        <v>2750</v>
      </c>
      <c r="J901" s="687" t="s">
        <v>18</v>
      </c>
      <c r="K901" s="687" t="s">
        <v>19</v>
      </c>
      <c r="L901" s="347" t="s">
        <v>20</v>
      </c>
      <c r="M901" s="687"/>
      <c r="N901" s="843"/>
      <c r="O901" s="512"/>
      <c r="P901" s="512"/>
      <c r="Q901" s="512"/>
      <c r="R901" s="512"/>
      <c r="S901" s="512"/>
      <c r="T901" s="512"/>
      <c r="U901" s="512"/>
    </row>
    <row r="902" ht="16.5" customHeight="1" spans="1:21">
      <c r="A902" s="687" t="s">
        <v>910</v>
      </c>
      <c r="B902" s="690" t="s">
        <v>2305</v>
      </c>
      <c r="C902" s="732" t="s">
        <v>2087</v>
      </c>
      <c r="D902" s="321">
        <v>30</v>
      </c>
      <c r="E902" s="756" t="s">
        <v>2754</v>
      </c>
      <c r="F902" s="840">
        <v>45879</v>
      </c>
      <c r="G902" s="840">
        <f>VLOOKUP(CLEAN(SUBSTITUTE(TRIM(MID(E:E,FIND("/",E:E)+1,LEN(E:E)))," ","")),'Customs Decl. &amp; Local Delivery'!D:I,6,0)</f>
        <v>45860</v>
      </c>
      <c r="H902" s="841">
        <f>VLOOKUP(CLEAN(SUBSTITUTE(TRIM(MID(E:E,FIND("/",E:E)+1,LEN(E:E)))," ","")),'Customs Decl. &amp; Local Delivery'!D:J,7,0)</f>
        <v>45878</v>
      </c>
      <c r="I902" s="690" t="s">
        <v>2755</v>
      </c>
      <c r="J902" s="687" t="s">
        <v>18</v>
      </c>
      <c r="K902" s="687" t="s">
        <v>19</v>
      </c>
      <c r="L902" s="347" t="s">
        <v>20</v>
      </c>
      <c r="M902" s="687" t="s">
        <v>2756</v>
      </c>
      <c r="N902" s="802"/>
      <c r="O902" s="512"/>
      <c r="P902" s="512"/>
      <c r="Q902" s="512"/>
      <c r="R902" s="512"/>
      <c r="S902" s="512"/>
      <c r="T902" s="512"/>
      <c r="U902" s="512"/>
    </row>
    <row r="903" ht="16.5" customHeight="1" spans="1:21">
      <c r="A903" s="687" t="s">
        <v>910</v>
      </c>
      <c r="B903" s="690" t="s">
        <v>2305</v>
      </c>
      <c r="C903" s="732" t="s">
        <v>2090</v>
      </c>
      <c r="D903" s="321">
        <v>60</v>
      </c>
      <c r="E903" s="289"/>
      <c r="F903" s="840">
        <v>45879</v>
      </c>
      <c r="G903" s="840">
        <f t="shared" ref="G903:G908" si="58">G902</f>
        <v>45860</v>
      </c>
      <c r="H903" s="842">
        <f t="shared" ref="H903:H908" si="59">H902</f>
        <v>45878</v>
      </c>
      <c r="I903" s="862" t="s">
        <v>2755</v>
      </c>
      <c r="J903" s="687" t="s">
        <v>18</v>
      </c>
      <c r="K903" s="687" t="s">
        <v>19</v>
      </c>
      <c r="L903" s="347" t="s">
        <v>20</v>
      </c>
      <c r="M903" s="687" t="s">
        <v>2752</v>
      </c>
      <c r="N903" s="802"/>
      <c r="O903" s="512"/>
      <c r="P903" s="512"/>
      <c r="Q903" s="512"/>
      <c r="R903" s="512"/>
      <c r="S903" s="512"/>
      <c r="T903" s="512"/>
      <c r="U903" s="512"/>
    </row>
    <row r="904" ht="16.5" customHeight="1" spans="1:21">
      <c r="A904" s="687" t="s">
        <v>2453</v>
      </c>
      <c r="B904" s="687" t="s">
        <v>2490</v>
      </c>
      <c r="C904" s="732" t="s">
        <v>2092</v>
      </c>
      <c r="D904" s="321">
        <v>45</v>
      </c>
      <c r="E904" s="281"/>
      <c r="F904" s="840">
        <v>45879</v>
      </c>
      <c r="G904" s="840">
        <f t="shared" si="58"/>
        <v>45860</v>
      </c>
      <c r="H904" s="842">
        <f t="shared" si="59"/>
        <v>45878</v>
      </c>
      <c r="I904" s="862" t="s">
        <v>2755</v>
      </c>
      <c r="J904" s="687" t="s">
        <v>18</v>
      </c>
      <c r="K904" s="687" t="s">
        <v>19</v>
      </c>
      <c r="L904" s="347" t="s">
        <v>20</v>
      </c>
      <c r="M904" s="751" t="s">
        <v>2612</v>
      </c>
      <c r="N904" s="843"/>
      <c r="O904" s="512"/>
      <c r="P904" s="512"/>
      <c r="Q904" s="512"/>
      <c r="R904" s="512"/>
      <c r="S904" s="512"/>
      <c r="T904" s="512"/>
      <c r="U904" s="512"/>
    </row>
    <row r="905" ht="16.5" customHeight="1" spans="1:21">
      <c r="A905" s="687" t="s">
        <v>2453</v>
      </c>
      <c r="B905" s="687" t="s">
        <v>2490</v>
      </c>
      <c r="C905" s="732" t="s">
        <v>2093</v>
      </c>
      <c r="D905" s="321">
        <v>14</v>
      </c>
      <c r="E905" s="281"/>
      <c r="F905" s="840">
        <v>45879</v>
      </c>
      <c r="G905" s="840">
        <f t="shared" si="58"/>
        <v>45860</v>
      </c>
      <c r="H905" s="842">
        <f t="shared" si="59"/>
        <v>45878</v>
      </c>
      <c r="I905" s="862" t="s">
        <v>2755</v>
      </c>
      <c r="J905" s="687" t="s">
        <v>18</v>
      </c>
      <c r="K905" s="687" t="s">
        <v>19</v>
      </c>
      <c r="L905" s="347" t="s">
        <v>20</v>
      </c>
      <c r="M905" s="190"/>
      <c r="N905" s="802"/>
      <c r="O905" s="512"/>
      <c r="P905" s="512"/>
      <c r="Q905" s="512"/>
      <c r="R905" s="512"/>
      <c r="S905" s="512"/>
      <c r="T905" s="512"/>
      <c r="U905" s="512"/>
    </row>
    <row r="906" ht="16.5" customHeight="1" spans="1:21">
      <c r="A906" s="687" t="s">
        <v>2453</v>
      </c>
      <c r="B906" s="687" t="s">
        <v>2490</v>
      </c>
      <c r="C906" s="732" t="s">
        <v>2094</v>
      </c>
      <c r="D906" s="321">
        <v>14</v>
      </c>
      <c r="E906" s="289"/>
      <c r="F906" s="840">
        <v>45879</v>
      </c>
      <c r="G906" s="840">
        <f t="shared" si="58"/>
        <v>45860</v>
      </c>
      <c r="H906" s="842">
        <f t="shared" si="59"/>
        <v>45878</v>
      </c>
      <c r="I906" s="862" t="s">
        <v>2755</v>
      </c>
      <c r="J906" s="687" t="s">
        <v>18</v>
      </c>
      <c r="K906" s="687" t="s">
        <v>19</v>
      </c>
      <c r="L906" s="347" t="s">
        <v>20</v>
      </c>
      <c r="M906" s="190"/>
      <c r="N906" s="802"/>
      <c r="O906" s="512"/>
      <c r="P906" s="512"/>
      <c r="Q906" s="512"/>
      <c r="R906" s="512"/>
      <c r="S906" s="512"/>
      <c r="T906" s="512"/>
      <c r="U906" s="512"/>
    </row>
    <row r="907" ht="16.5" customHeight="1" spans="1:21">
      <c r="A907" s="687" t="s">
        <v>2453</v>
      </c>
      <c r="B907" s="687" t="s">
        <v>2490</v>
      </c>
      <c r="C907" s="732" t="s">
        <v>2340</v>
      </c>
      <c r="D907" s="321">
        <v>18</v>
      </c>
      <c r="E907" s="281"/>
      <c r="F907" s="840">
        <v>45879</v>
      </c>
      <c r="G907" s="840">
        <f t="shared" si="58"/>
        <v>45860</v>
      </c>
      <c r="H907" s="842">
        <f t="shared" si="59"/>
        <v>45878</v>
      </c>
      <c r="I907" s="862" t="s">
        <v>2755</v>
      </c>
      <c r="J907" s="687" t="s">
        <v>18</v>
      </c>
      <c r="K907" s="687" t="s">
        <v>19</v>
      </c>
      <c r="L907" s="347" t="s">
        <v>20</v>
      </c>
      <c r="M907" s="192"/>
      <c r="N907" s="843"/>
      <c r="O907" s="512"/>
      <c r="P907" s="512"/>
      <c r="Q907" s="512"/>
      <c r="R907" s="512"/>
      <c r="S907" s="512"/>
      <c r="T907" s="512"/>
      <c r="U907" s="512"/>
    </row>
    <row r="908" ht="16.5" customHeight="1" spans="1:21">
      <c r="A908" s="687" t="s">
        <v>910</v>
      </c>
      <c r="B908" s="690" t="s">
        <v>2305</v>
      </c>
      <c r="C908" s="732" t="s">
        <v>2095</v>
      </c>
      <c r="D908" s="321">
        <v>18</v>
      </c>
      <c r="E908" s="281"/>
      <c r="F908" s="840">
        <v>45879</v>
      </c>
      <c r="G908" s="840">
        <f t="shared" si="58"/>
        <v>45860</v>
      </c>
      <c r="H908" s="842">
        <f t="shared" si="59"/>
        <v>45878</v>
      </c>
      <c r="I908" s="862" t="s">
        <v>2755</v>
      </c>
      <c r="J908" s="687" t="s">
        <v>18</v>
      </c>
      <c r="K908" s="687" t="s">
        <v>19</v>
      </c>
      <c r="L908" s="347" t="s">
        <v>20</v>
      </c>
      <c r="M908" s="687"/>
      <c r="N908" s="802"/>
      <c r="O908" s="512"/>
      <c r="P908" s="512"/>
      <c r="Q908" s="512"/>
      <c r="R908" s="512"/>
      <c r="S908" s="512"/>
      <c r="T908" s="512"/>
      <c r="U908" s="512"/>
    </row>
    <row r="909" ht="16.5" customHeight="1" spans="1:21">
      <c r="A909" s="856" t="s">
        <v>910</v>
      </c>
      <c r="B909" s="857" t="s">
        <v>2305</v>
      </c>
      <c r="C909" s="858" t="s">
        <v>2391</v>
      </c>
      <c r="D909" s="859">
        <v>0</v>
      </c>
      <c r="E909" s="69"/>
      <c r="F909" s="840" t="s">
        <v>309</v>
      </c>
      <c r="G909" s="840" t="s">
        <v>309</v>
      </c>
      <c r="H909" s="842" t="s">
        <v>309</v>
      </c>
      <c r="I909" s="862" t="s">
        <v>309</v>
      </c>
      <c r="J909" s="687" t="s">
        <v>18</v>
      </c>
      <c r="K909" s="687" t="s">
        <v>19</v>
      </c>
      <c r="L909" s="347" t="s">
        <v>309</v>
      </c>
      <c r="M909" s="856" t="s">
        <v>2753</v>
      </c>
      <c r="N909" s="843"/>
      <c r="O909" s="512"/>
      <c r="P909" s="512"/>
      <c r="Q909" s="512"/>
      <c r="R909" s="512"/>
      <c r="S909" s="512"/>
      <c r="T909" s="512"/>
      <c r="U909" s="512"/>
    </row>
    <row r="910" ht="16.5" customHeight="1" spans="1:21">
      <c r="A910" s="687" t="s">
        <v>910</v>
      </c>
      <c r="B910" s="690" t="s">
        <v>2305</v>
      </c>
      <c r="C910" s="732" t="s">
        <v>2140</v>
      </c>
      <c r="D910" s="321">
        <v>8</v>
      </c>
      <c r="E910" s="281"/>
      <c r="F910" s="840">
        <v>45879</v>
      </c>
      <c r="G910" s="840">
        <f>G908</f>
        <v>45860</v>
      </c>
      <c r="H910" s="842">
        <f>H908</f>
        <v>45878</v>
      </c>
      <c r="I910" s="862" t="s">
        <v>2755</v>
      </c>
      <c r="J910" s="687" t="s">
        <v>18</v>
      </c>
      <c r="K910" s="687" t="s">
        <v>19</v>
      </c>
      <c r="L910" s="347" t="s">
        <v>20</v>
      </c>
      <c r="M910" s="687"/>
      <c r="N910" s="843"/>
      <c r="O910" s="512"/>
      <c r="P910" s="512"/>
      <c r="Q910" s="512"/>
      <c r="R910" s="512"/>
      <c r="S910" s="512"/>
      <c r="T910" s="512"/>
      <c r="U910" s="512"/>
    </row>
    <row r="911" ht="16.5" customHeight="1" spans="1:21">
      <c r="A911" s="687" t="s">
        <v>910</v>
      </c>
      <c r="B911" s="690" t="s">
        <v>2372</v>
      </c>
      <c r="C911" s="732" t="s">
        <v>2114</v>
      </c>
      <c r="D911" s="321">
        <v>8</v>
      </c>
      <c r="E911" s="281"/>
      <c r="F911" s="840">
        <v>45879</v>
      </c>
      <c r="G911" s="840">
        <f>G910</f>
        <v>45860</v>
      </c>
      <c r="H911" s="842">
        <f>H910</f>
        <v>45878</v>
      </c>
      <c r="I911" s="862" t="s">
        <v>2755</v>
      </c>
      <c r="J911" s="687" t="s">
        <v>18</v>
      </c>
      <c r="K911" s="687" t="s">
        <v>19</v>
      </c>
      <c r="L911" s="347" t="s">
        <v>20</v>
      </c>
      <c r="M911" s="687"/>
      <c r="N911" s="843"/>
      <c r="O911" s="512"/>
      <c r="P911" s="512"/>
      <c r="Q911" s="512"/>
      <c r="R911" s="512"/>
      <c r="S911" s="512"/>
      <c r="T911" s="512"/>
      <c r="U911" s="512"/>
    </row>
    <row r="912" ht="16.5" customHeight="1" spans="1:21">
      <c r="A912" s="687" t="s">
        <v>910</v>
      </c>
      <c r="B912" s="690" t="s">
        <v>2305</v>
      </c>
      <c r="C912" s="732" t="s">
        <v>2182</v>
      </c>
      <c r="D912" s="321">
        <v>11</v>
      </c>
      <c r="E912" s="289"/>
      <c r="F912" s="840">
        <v>45879</v>
      </c>
      <c r="G912" s="840">
        <f>G911</f>
        <v>45860</v>
      </c>
      <c r="H912" s="842">
        <f>H911</f>
        <v>45878</v>
      </c>
      <c r="I912" s="862" t="s">
        <v>2755</v>
      </c>
      <c r="J912" s="687" t="s">
        <v>18</v>
      </c>
      <c r="K912" s="687" t="s">
        <v>19</v>
      </c>
      <c r="L912" s="347" t="s">
        <v>20</v>
      </c>
      <c r="M912" s="687"/>
      <c r="N912" s="843"/>
      <c r="O912" s="512"/>
      <c r="P912" s="512"/>
      <c r="Q912" s="512"/>
      <c r="R912" s="512"/>
      <c r="S912" s="512"/>
      <c r="T912" s="512"/>
      <c r="U912" s="512"/>
    </row>
    <row r="913" customFormat="1" ht="16.5" customHeight="1" spans="1:21">
      <c r="A913" s="687" t="s">
        <v>2728</v>
      </c>
      <c r="B913" s="687" t="s">
        <v>2729</v>
      </c>
      <c r="C913" s="671" t="s">
        <v>2087</v>
      </c>
      <c r="D913" s="250">
        <v>36</v>
      </c>
      <c r="E913" s="674" t="s">
        <v>2757</v>
      </c>
      <c r="F913" s="840">
        <v>45853</v>
      </c>
      <c r="G913" s="840">
        <f>VLOOKUP(CLEAN(SUBSTITUTE(TRIM(MID(E:E,FIND("/",E:E)+1,LEN(E:E)))," ","")),'Customs Decl. &amp; Local Delivery'!D:I,6,0)</f>
        <v>45864</v>
      </c>
      <c r="H913" s="841">
        <f>VLOOKUP(CLEAN(SUBSTITUTE(TRIM(MID(E:E,FIND("/",E:E)+1,LEN(E:E)))," ","")),'Customs Decl. &amp; Local Delivery'!D:J,7,0)</f>
        <v>45883</v>
      </c>
      <c r="I913" s="749" t="s">
        <v>2758</v>
      </c>
      <c r="J913" s="687" t="s">
        <v>18</v>
      </c>
      <c r="K913" s="687" t="s">
        <v>654</v>
      </c>
      <c r="L913" s="347" t="s">
        <v>20</v>
      </c>
      <c r="M913" s="687" t="s">
        <v>2759</v>
      </c>
      <c r="N913" s="814"/>
      <c r="O913" s="203"/>
      <c r="P913" s="203"/>
      <c r="Q913" s="203"/>
      <c r="R913" s="203"/>
      <c r="S913" s="203"/>
      <c r="T913" s="203"/>
      <c r="U913" s="203"/>
    </row>
    <row r="914" customFormat="1" ht="16.5" customHeight="1" spans="1:21">
      <c r="A914" s="687" t="s">
        <v>2728</v>
      </c>
      <c r="B914" s="687" t="s">
        <v>2729</v>
      </c>
      <c r="C914" s="671" t="s">
        <v>2092</v>
      </c>
      <c r="D914" s="250">
        <v>25</v>
      </c>
      <c r="E914" s="281"/>
      <c r="F914" s="840">
        <v>45853</v>
      </c>
      <c r="G914" s="703">
        <f>G913</f>
        <v>45864</v>
      </c>
      <c r="H914" s="676">
        <f>H913</f>
        <v>45883</v>
      </c>
      <c r="I914" s="749" t="s">
        <v>2758</v>
      </c>
      <c r="J914" s="687" t="s">
        <v>18</v>
      </c>
      <c r="K914" s="687" t="s">
        <v>654</v>
      </c>
      <c r="L914" s="347" t="s">
        <v>20</v>
      </c>
      <c r="M914" s="687" t="s">
        <v>2752</v>
      </c>
      <c r="N914" s="814"/>
      <c r="O914" s="203"/>
      <c r="P914" s="203"/>
      <c r="Q914" s="203"/>
      <c r="R914" s="203"/>
      <c r="S914" s="203"/>
      <c r="T914" s="203"/>
      <c r="U914" s="203"/>
    </row>
    <row r="915" customFormat="1" ht="16.5" customHeight="1" spans="1:21">
      <c r="A915" s="687" t="s">
        <v>2728</v>
      </c>
      <c r="B915" s="687" t="s">
        <v>2729</v>
      </c>
      <c r="C915" s="671" t="s">
        <v>2093</v>
      </c>
      <c r="D915" s="250">
        <v>100</v>
      </c>
      <c r="E915" s="69"/>
      <c r="F915" s="840">
        <v>45853</v>
      </c>
      <c r="G915" s="703">
        <f>G914</f>
        <v>45864</v>
      </c>
      <c r="H915" s="676">
        <f>H914</f>
        <v>45883</v>
      </c>
      <c r="I915" s="749" t="s">
        <v>2758</v>
      </c>
      <c r="J915" s="687" t="s">
        <v>18</v>
      </c>
      <c r="K915" s="687" t="s">
        <v>654</v>
      </c>
      <c r="L915" s="347" t="s">
        <v>20</v>
      </c>
      <c r="M915" s="687"/>
      <c r="N915" s="814"/>
      <c r="O915" s="203"/>
      <c r="P915" s="203"/>
      <c r="Q915" s="203"/>
      <c r="R915" s="203"/>
      <c r="S915" s="203"/>
      <c r="T915" s="203"/>
      <c r="U915" s="203"/>
    </row>
    <row r="916" customFormat="1" ht="16.5" customHeight="1" spans="1:21">
      <c r="A916" s="687" t="s">
        <v>2728</v>
      </c>
      <c r="B916" s="687" t="s">
        <v>2729</v>
      </c>
      <c r="C916" s="671" t="s">
        <v>2087</v>
      </c>
      <c r="D916" s="250">
        <v>36</v>
      </c>
      <c r="E916" s="674" t="s">
        <v>2760</v>
      </c>
      <c r="F916" s="840">
        <v>45853</v>
      </c>
      <c r="G916" s="840">
        <f>VLOOKUP(CLEAN(SUBSTITUTE(TRIM(MID(E:E,FIND("/",E:E)+1,LEN(E:E)))," ","")),'Customs Decl. &amp; Local Delivery'!D:I,6,0)</f>
        <v>45864</v>
      </c>
      <c r="H916" s="841">
        <f>VLOOKUP(CLEAN(SUBSTITUTE(TRIM(MID(E:E,FIND("/",E:E)+1,LEN(E:E)))," ","")),'Customs Decl. &amp; Local Delivery'!D:J,7,0)</f>
        <v>45883</v>
      </c>
      <c r="I916" s="749" t="s">
        <v>2761</v>
      </c>
      <c r="J916" s="687" t="s">
        <v>18</v>
      </c>
      <c r="K916" s="687" t="s">
        <v>654</v>
      </c>
      <c r="L916" s="347" t="s">
        <v>20</v>
      </c>
      <c r="M916" s="687" t="s">
        <v>2762</v>
      </c>
      <c r="N916" s="814"/>
      <c r="O916" s="203"/>
      <c r="P916" s="203"/>
      <c r="Q916" s="203"/>
      <c r="R916" s="203"/>
      <c r="S916" s="203"/>
      <c r="T916" s="203"/>
      <c r="U916" s="203"/>
    </row>
    <row r="917" customFormat="1" ht="16.5" customHeight="1" spans="1:21">
      <c r="A917" s="687" t="s">
        <v>2728</v>
      </c>
      <c r="B917" s="687" t="s">
        <v>2729</v>
      </c>
      <c r="C917" s="671" t="s">
        <v>2092</v>
      </c>
      <c r="D917" s="250">
        <v>25</v>
      </c>
      <c r="E917" s="281"/>
      <c r="F917" s="840">
        <v>45853</v>
      </c>
      <c r="G917" s="703">
        <f>G916</f>
        <v>45864</v>
      </c>
      <c r="H917" s="676">
        <f>H916</f>
        <v>45883</v>
      </c>
      <c r="I917" s="749" t="s">
        <v>2761</v>
      </c>
      <c r="J917" s="687" t="s">
        <v>18</v>
      </c>
      <c r="K917" s="687" t="s">
        <v>654</v>
      </c>
      <c r="L917" s="347" t="s">
        <v>20</v>
      </c>
      <c r="M917" s="687" t="s">
        <v>2752</v>
      </c>
      <c r="N917" s="814"/>
      <c r="O917" s="203"/>
      <c r="P917" s="203"/>
      <c r="Q917" s="203"/>
      <c r="R917" s="203"/>
      <c r="S917" s="203"/>
      <c r="T917" s="203"/>
      <c r="U917" s="203"/>
    </row>
    <row r="918" customFormat="1" ht="16.5" customHeight="1" spans="1:21">
      <c r="A918" s="687" t="s">
        <v>2728</v>
      </c>
      <c r="B918" s="687" t="s">
        <v>2729</v>
      </c>
      <c r="C918" s="671" t="s">
        <v>2094</v>
      </c>
      <c r="D918" s="250">
        <v>100</v>
      </c>
      <c r="E918" s="281"/>
      <c r="F918" s="840">
        <v>45853</v>
      </c>
      <c r="G918" s="703">
        <f>G917</f>
        <v>45864</v>
      </c>
      <c r="H918" s="676">
        <f>H917</f>
        <v>45883</v>
      </c>
      <c r="I918" s="749" t="s">
        <v>2761</v>
      </c>
      <c r="J918" s="687" t="s">
        <v>18</v>
      </c>
      <c r="K918" s="687" t="s">
        <v>654</v>
      </c>
      <c r="L918" s="347" t="s">
        <v>20</v>
      </c>
      <c r="M918" s="687"/>
      <c r="N918" s="814"/>
      <c r="O918" s="203"/>
      <c r="P918" s="203"/>
      <c r="Q918" s="203"/>
      <c r="R918" s="203"/>
      <c r="S918" s="203"/>
      <c r="T918" s="203"/>
      <c r="U918" s="203"/>
    </row>
    <row r="919" customFormat="1" ht="16.5" customHeight="1" spans="1:21">
      <c r="A919" s="687" t="s">
        <v>2728</v>
      </c>
      <c r="B919" s="687" t="s">
        <v>2729</v>
      </c>
      <c r="C919" s="671" t="s">
        <v>2087</v>
      </c>
      <c r="D919" s="250">
        <v>36</v>
      </c>
      <c r="E919" s="674" t="s">
        <v>2763</v>
      </c>
      <c r="F919" s="840">
        <v>45853</v>
      </c>
      <c r="G919" s="840">
        <f>VLOOKUP(CLEAN(SUBSTITUTE(TRIM(MID(E:E,FIND("/",E:E)+1,LEN(E:E)))," ","")),'Customs Decl. &amp; Local Delivery'!D:I,6,0)</f>
        <v>45864</v>
      </c>
      <c r="H919" s="841">
        <f>VLOOKUP(CLEAN(SUBSTITUTE(TRIM(MID(E:E,FIND("/",E:E)+1,LEN(E:E)))," ","")),'Customs Decl. &amp; Local Delivery'!D:J,7,0)</f>
        <v>45883</v>
      </c>
      <c r="I919" s="749" t="s">
        <v>2764</v>
      </c>
      <c r="J919" s="687" t="s">
        <v>18</v>
      </c>
      <c r="K919" s="687" t="s">
        <v>2405</v>
      </c>
      <c r="L919" s="347" t="s">
        <v>20</v>
      </c>
      <c r="M919" s="690" t="s">
        <v>2765</v>
      </c>
      <c r="N919" s="814"/>
      <c r="O919" s="203"/>
      <c r="P919" s="203"/>
      <c r="Q919" s="203"/>
      <c r="R919" s="203"/>
      <c r="S919" s="203"/>
      <c r="T919" s="203"/>
      <c r="U919" s="203"/>
    </row>
    <row r="920" customFormat="1" ht="16.5" customHeight="1" spans="1:21">
      <c r="A920" s="687" t="s">
        <v>2728</v>
      </c>
      <c r="B920" s="687" t="s">
        <v>2729</v>
      </c>
      <c r="C920" s="671" t="s">
        <v>2340</v>
      </c>
      <c r="D920" s="250">
        <v>100</v>
      </c>
      <c r="E920" s="281"/>
      <c r="F920" s="840">
        <v>45853</v>
      </c>
      <c r="G920" s="703">
        <f>G919</f>
        <v>45864</v>
      </c>
      <c r="H920" s="676">
        <f>H919</f>
        <v>45883</v>
      </c>
      <c r="I920" s="749" t="s">
        <v>2764</v>
      </c>
      <c r="J920" s="687" t="s">
        <v>18</v>
      </c>
      <c r="K920" s="687" t="s">
        <v>2405</v>
      </c>
      <c r="L920" s="347" t="s">
        <v>20</v>
      </c>
      <c r="M920" s="687" t="s">
        <v>2752</v>
      </c>
      <c r="N920" s="814"/>
      <c r="O920" s="203"/>
      <c r="P920" s="203"/>
      <c r="Q920" s="203"/>
      <c r="R920" s="203"/>
      <c r="S920" s="203"/>
      <c r="T920" s="203"/>
      <c r="U920" s="203"/>
    </row>
    <row r="921" customFormat="1" ht="16.5" customHeight="1" spans="1:21">
      <c r="A921" s="687" t="s">
        <v>2728</v>
      </c>
      <c r="B921" s="687" t="s">
        <v>2729</v>
      </c>
      <c r="C921" s="671" t="s">
        <v>2087</v>
      </c>
      <c r="D921" s="250">
        <v>36</v>
      </c>
      <c r="E921" s="674" t="s">
        <v>2766</v>
      </c>
      <c r="F921" s="840">
        <v>45853</v>
      </c>
      <c r="G921" s="840">
        <f>VLOOKUP(CLEAN(SUBSTITUTE(TRIM(MID(E:E,FIND("/",E:E)+1,LEN(E:E)))," ","")),'Customs Decl. &amp; Local Delivery'!D:I,6,0)</f>
        <v>45864</v>
      </c>
      <c r="H921" s="841">
        <f>VLOOKUP(CLEAN(SUBSTITUTE(TRIM(MID(E:E,FIND("/",E:E)+1,LEN(E:E)))," ","")),'Customs Decl. &amp; Local Delivery'!D:J,7,0)</f>
        <v>45883</v>
      </c>
      <c r="I921" s="749" t="s">
        <v>2767</v>
      </c>
      <c r="J921" s="687" t="s">
        <v>18</v>
      </c>
      <c r="K921" s="687" t="s">
        <v>147</v>
      </c>
      <c r="L921" s="347" t="s">
        <v>20</v>
      </c>
      <c r="M921" s="687" t="s">
        <v>2765</v>
      </c>
      <c r="N921" s="814"/>
      <c r="O921" s="203"/>
      <c r="P921" s="203"/>
      <c r="Q921" s="203"/>
      <c r="R921" s="203"/>
      <c r="S921" s="203"/>
      <c r="T921" s="203"/>
      <c r="U921" s="203"/>
    </row>
    <row r="922" customFormat="1" ht="16.5" customHeight="1" spans="1:21">
      <c r="A922" s="687" t="s">
        <v>2728</v>
      </c>
      <c r="B922" s="687" t="s">
        <v>2729</v>
      </c>
      <c r="C922" s="671" t="s">
        <v>2095</v>
      </c>
      <c r="D922" s="250">
        <v>100</v>
      </c>
      <c r="E922" s="281"/>
      <c r="F922" s="840">
        <v>45853</v>
      </c>
      <c r="G922" s="703">
        <f>G921</f>
        <v>45864</v>
      </c>
      <c r="H922" s="676">
        <f>H921</f>
        <v>45883</v>
      </c>
      <c r="I922" s="749" t="s">
        <v>2767</v>
      </c>
      <c r="J922" s="687" t="s">
        <v>18</v>
      </c>
      <c r="K922" s="687" t="s">
        <v>147</v>
      </c>
      <c r="L922" s="347" t="s">
        <v>20</v>
      </c>
      <c r="M922" s="690" t="s">
        <v>2752</v>
      </c>
      <c r="N922" s="814"/>
      <c r="O922" s="203"/>
      <c r="P922" s="203"/>
      <c r="Q922" s="203"/>
      <c r="R922" s="203"/>
      <c r="S922" s="203"/>
      <c r="T922" s="203"/>
      <c r="U922" s="203"/>
    </row>
    <row r="923" customFormat="1" ht="16.5" customHeight="1" spans="1:21">
      <c r="A923" s="687" t="s">
        <v>2728</v>
      </c>
      <c r="B923" s="687" t="s">
        <v>2729</v>
      </c>
      <c r="C923" s="671" t="s">
        <v>2087</v>
      </c>
      <c r="D923" s="250">
        <v>36</v>
      </c>
      <c r="E923" s="674" t="s">
        <v>2768</v>
      </c>
      <c r="F923" s="840">
        <v>45853</v>
      </c>
      <c r="G923" s="840">
        <f>VLOOKUP(CLEAN(SUBSTITUTE(TRIM(MID(E:E,FIND("/",E:E)+1,LEN(E:E)))," ","")),'Customs Decl. &amp; Local Delivery'!D:I,6,0)</f>
        <v>45864</v>
      </c>
      <c r="H923" s="841">
        <f>VLOOKUP(CLEAN(SUBSTITUTE(TRIM(MID(E:E,FIND("/",E:E)+1,LEN(E:E)))," ","")),'Customs Decl. &amp; Local Delivery'!D:J,7,0)</f>
        <v>45883</v>
      </c>
      <c r="I923" s="749" t="s">
        <v>2769</v>
      </c>
      <c r="J923" s="687" t="s">
        <v>18</v>
      </c>
      <c r="K923" s="687" t="s">
        <v>147</v>
      </c>
      <c r="L923" s="347" t="s">
        <v>20</v>
      </c>
      <c r="M923" s="687" t="s">
        <v>2752</v>
      </c>
      <c r="N923" s="814"/>
      <c r="O923" s="203"/>
      <c r="P923" s="203"/>
      <c r="Q923" s="203"/>
      <c r="R923" s="203"/>
      <c r="S923" s="203"/>
      <c r="T923" s="203"/>
      <c r="U923" s="203"/>
    </row>
    <row r="924" customFormat="1" ht="16.5" customHeight="1" spans="1:21">
      <c r="A924" s="687" t="s">
        <v>2728</v>
      </c>
      <c r="B924" s="687" t="s">
        <v>2729</v>
      </c>
      <c r="C924" s="732" t="s">
        <v>2182</v>
      </c>
      <c r="D924" s="313">
        <v>180</v>
      </c>
      <c r="E924" s="281"/>
      <c r="F924" s="840">
        <v>45853</v>
      </c>
      <c r="G924" s="703">
        <f>G923</f>
        <v>45864</v>
      </c>
      <c r="H924" s="676">
        <f>H923</f>
        <v>45883</v>
      </c>
      <c r="I924" s="690" t="s">
        <v>2769</v>
      </c>
      <c r="J924" s="687" t="s">
        <v>18</v>
      </c>
      <c r="K924" s="687" t="s">
        <v>147</v>
      </c>
      <c r="L924" s="347" t="s">
        <v>20</v>
      </c>
      <c r="M924" s="687"/>
      <c r="N924" s="863"/>
      <c r="O924" s="203"/>
      <c r="P924" s="203"/>
      <c r="Q924" s="203"/>
      <c r="R924" s="203"/>
      <c r="S924" s="203"/>
      <c r="T924" s="203"/>
      <c r="U924" s="203"/>
    </row>
    <row r="925" customFormat="1" ht="16.5" customHeight="1" spans="1:21">
      <c r="A925" s="687" t="s">
        <v>2728</v>
      </c>
      <c r="B925" s="687" t="s">
        <v>2729</v>
      </c>
      <c r="C925" s="671" t="s">
        <v>2087</v>
      </c>
      <c r="D925" s="250">
        <v>36</v>
      </c>
      <c r="E925" s="674" t="s">
        <v>2770</v>
      </c>
      <c r="F925" s="840">
        <v>45853</v>
      </c>
      <c r="G925" s="840">
        <f>VLOOKUP(CLEAN(SUBSTITUTE(TRIM(MID(E:E,FIND("/",E:E)+1,LEN(E:E)))," ","")),'Customs Decl. &amp; Local Delivery'!D:I,6,0)</f>
        <v>45864</v>
      </c>
      <c r="H925" s="841">
        <f>VLOOKUP(CLEAN(SUBSTITUTE(TRIM(MID(E:E,FIND("/",E:E)+1,LEN(E:E)))," ","")),'Customs Decl. &amp; Local Delivery'!D:J,7,0)</f>
        <v>45883</v>
      </c>
      <c r="I925" s="749" t="s">
        <v>2771</v>
      </c>
      <c r="J925" s="687" t="s">
        <v>18</v>
      </c>
      <c r="K925" s="687" t="s">
        <v>147</v>
      </c>
      <c r="L925" s="347" t="s">
        <v>20</v>
      </c>
      <c r="M925" s="687" t="s">
        <v>2752</v>
      </c>
      <c r="N925" s="814"/>
      <c r="O925" s="203"/>
      <c r="P925" s="203"/>
      <c r="Q925" s="203"/>
      <c r="R925" s="203"/>
      <c r="S925" s="203"/>
      <c r="T925" s="203"/>
      <c r="U925" s="203"/>
    </row>
    <row r="926" customFormat="1" ht="16.5" customHeight="1" spans="1:21">
      <c r="A926" s="687" t="s">
        <v>2728</v>
      </c>
      <c r="B926" s="687" t="s">
        <v>2729</v>
      </c>
      <c r="C926" s="671" t="s">
        <v>2090</v>
      </c>
      <c r="D926" s="250">
        <v>80</v>
      </c>
      <c r="E926" s="281"/>
      <c r="F926" s="840">
        <v>45853</v>
      </c>
      <c r="G926" s="703">
        <f>G925</f>
        <v>45864</v>
      </c>
      <c r="H926" s="676">
        <f>H925</f>
        <v>45883</v>
      </c>
      <c r="I926" s="690" t="s">
        <v>2771</v>
      </c>
      <c r="J926" s="687" t="s">
        <v>18</v>
      </c>
      <c r="K926" s="687" t="s">
        <v>147</v>
      </c>
      <c r="L926" s="347" t="s">
        <v>20</v>
      </c>
      <c r="M926" s="687"/>
      <c r="N926" s="814"/>
      <c r="O926" s="203"/>
      <c r="P926" s="203"/>
      <c r="Q926" s="203"/>
      <c r="R926" s="203"/>
      <c r="S926" s="203"/>
      <c r="T926" s="203"/>
      <c r="U926" s="203"/>
    </row>
    <row r="927" customFormat="1" ht="16.5" customHeight="1" spans="1:21">
      <c r="A927" s="687" t="s">
        <v>2728</v>
      </c>
      <c r="B927" s="687" t="s">
        <v>2729</v>
      </c>
      <c r="C927" s="732" t="s">
        <v>2182</v>
      </c>
      <c r="D927" s="313">
        <v>70</v>
      </c>
      <c r="E927" s="281"/>
      <c r="F927" s="840">
        <v>45853</v>
      </c>
      <c r="G927" s="703">
        <f>G926</f>
        <v>45864</v>
      </c>
      <c r="H927" s="676">
        <f>H926</f>
        <v>45883</v>
      </c>
      <c r="I927" s="690" t="s">
        <v>2771</v>
      </c>
      <c r="J927" s="687" t="s">
        <v>18</v>
      </c>
      <c r="K927" s="687" t="s">
        <v>147</v>
      </c>
      <c r="L927" s="347" t="s">
        <v>20</v>
      </c>
      <c r="M927" s="687"/>
      <c r="N927" s="863"/>
      <c r="O927" s="203"/>
      <c r="P927" s="203"/>
      <c r="Q927" s="203"/>
      <c r="R927" s="203"/>
      <c r="S927" s="203"/>
      <c r="T927" s="203"/>
      <c r="U927" s="203"/>
    </row>
    <row r="928" customFormat="1" ht="16.5" customHeight="1" spans="1:21">
      <c r="A928" s="687" t="s">
        <v>2728</v>
      </c>
      <c r="B928" s="687" t="s">
        <v>2729</v>
      </c>
      <c r="C928" s="671" t="s">
        <v>2087</v>
      </c>
      <c r="D928" s="250">
        <v>36</v>
      </c>
      <c r="E928" s="674" t="s">
        <v>2772</v>
      </c>
      <c r="F928" s="840">
        <v>45853</v>
      </c>
      <c r="G928" s="840">
        <f>VLOOKUP(CLEAN(SUBSTITUTE(TRIM(MID(E:E,FIND("/",E:E)+1,LEN(E:E)))," ","")),'Customs Decl. &amp; Local Delivery'!D:I,6,0)</f>
        <v>45864</v>
      </c>
      <c r="H928" s="841">
        <f>VLOOKUP(CLEAN(SUBSTITUTE(TRIM(MID(E:E,FIND("/",E:E)+1,LEN(E:E)))," ","")),'Customs Decl. &amp; Local Delivery'!D:J,7,0)</f>
        <v>45883</v>
      </c>
      <c r="I928" s="749" t="s">
        <v>2773</v>
      </c>
      <c r="J928" s="687" t="s">
        <v>18</v>
      </c>
      <c r="K928" s="687" t="s">
        <v>2619</v>
      </c>
      <c r="L928" s="347" t="s">
        <v>20</v>
      </c>
      <c r="M928" s="687" t="s">
        <v>2752</v>
      </c>
      <c r="N928" s="814"/>
      <c r="O928" s="512"/>
      <c r="P928" s="512"/>
      <c r="Q928" s="512"/>
      <c r="R928" s="512"/>
      <c r="S928" s="512"/>
      <c r="T928" s="512"/>
      <c r="U928" s="512"/>
    </row>
    <row r="929" customFormat="1" ht="16.5" customHeight="1" spans="1:21">
      <c r="A929" s="687" t="s">
        <v>2728</v>
      </c>
      <c r="B929" s="687" t="s">
        <v>2729</v>
      </c>
      <c r="C929" s="671" t="s">
        <v>2092</v>
      </c>
      <c r="D929" s="250">
        <v>150</v>
      </c>
      <c r="E929" s="281"/>
      <c r="F929" s="840">
        <v>45853</v>
      </c>
      <c r="G929" s="703">
        <f>G928</f>
        <v>45864</v>
      </c>
      <c r="H929" s="676">
        <f>H928</f>
        <v>45883</v>
      </c>
      <c r="I929" s="690" t="s">
        <v>2773</v>
      </c>
      <c r="J929" s="687" t="s">
        <v>18</v>
      </c>
      <c r="K929" s="687" t="s">
        <v>2619</v>
      </c>
      <c r="L929" s="347" t="s">
        <v>20</v>
      </c>
      <c r="M929" s="687"/>
      <c r="N929" s="814"/>
      <c r="O929" s="512"/>
      <c r="P929" s="512"/>
      <c r="Q929" s="512"/>
      <c r="R929" s="512"/>
      <c r="S929" s="512"/>
      <c r="T929" s="512"/>
      <c r="U929" s="512"/>
    </row>
    <row r="930" customFormat="1" ht="16.5" customHeight="1" spans="1:21">
      <c r="A930" s="687" t="s">
        <v>2728</v>
      </c>
      <c r="B930" s="687" t="s">
        <v>2729</v>
      </c>
      <c r="C930" s="671" t="s">
        <v>2087</v>
      </c>
      <c r="D930" s="250">
        <v>36</v>
      </c>
      <c r="E930" s="674" t="s">
        <v>2774</v>
      </c>
      <c r="F930" s="840">
        <v>45853</v>
      </c>
      <c r="G930" s="840">
        <f>VLOOKUP(CLEAN(SUBSTITUTE(TRIM(MID(E:E,FIND("/",E:E)+1,LEN(E:E)))," ","")),'Customs Decl. &amp; Local Delivery'!D:I,6,0)</f>
        <v>45864</v>
      </c>
      <c r="H930" s="841">
        <f>VLOOKUP(CLEAN(SUBSTITUTE(TRIM(MID(E:E,FIND("/",E:E)+1,LEN(E:E)))," ","")),'Customs Decl. &amp; Local Delivery'!D:J,7,0)</f>
        <v>45883</v>
      </c>
      <c r="I930" s="749" t="s">
        <v>2775</v>
      </c>
      <c r="J930" s="687" t="s">
        <v>18</v>
      </c>
      <c r="K930" s="690" t="s">
        <v>2342</v>
      </c>
      <c r="L930" s="347" t="s">
        <v>20</v>
      </c>
      <c r="M930" s="687" t="s">
        <v>2752</v>
      </c>
      <c r="N930" s="814"/>
      <c r="O930" s="512"/>
      <c r="P930" s="512"/>
      <c r="Q930" s="512"/>
      <c r="R930" s="512"/>
      <c r="S930" s="512"/>
      <c r="T930" s="512"/>
      <c r="U930" s="512"/>
    </row>
    <row r="931" customFormat="1" ht="16.5" customHeight="1" spans="1:21">
      <c r="A931" s="751" t="s">
        <v>2728</v>
      </c>
      <c r="B931" s="687" t="s">
        <v>2729</v>
      </c>
      <c r="C931" s="748" t="s">
        <v>2093</v>
      </c>
      <c r="D931" s="293">
        <v>120</v>
      </c>
      <c r="E931" s="281"/>
      <c r="F931" s="840">
        <v>45853</v>
      </c>
      <c r="G931" s="703">
        <f>G930</f>
        <v>45864</v>
      </c>
      <c r="H931" s="676">
        <f>H930</f>
        <v>45883</v>
      </c>
      <c r="I931" s="685" t="s">
        <v>2775</v>
      </c>
      <c r="J931" s="751" t="s">
        <v>18</v>
      </c>
      <c r="K931" s="690" t="s">
        <v>2342</v>
      </c>
      <c r="L931" s="347" t="s">
        <v>20</v>
      </c>
      <c r="M931" s="687"/>
      <c r="N931" s="814"/>
      <c r="O931" s="512"/>
      <c r="P931" s="512"/>
      <c r="Q931" s="512"/>
      <c r="R931" s="512"/>
      <c r="S931" s="512"/>
      <c r="T931" s="512"/>
      <c r="U931" s="512"/>
    </row>
    <row r="932" ht="15.4" customHeight="1" spans="1:21">
      <c r="A932" s="687" t="s">
        <v>910</v>
      </c>
      <c r="B932" s="687" t="s">
        <v>2372</v>
      </c>
      <c r="C932" s="732" t="s">
        <v>2087</v>
      </c>
      <c r="D932" s="321">
        <v>29</v>
      </c>
      <c r="E932" s="756" t="s">
        <v>2776</v>
      </c>
      <c r="F932" s="840">
        <v>45872</v>
      </c>
      <c r="G932" s="840">
        <f>VLOOKUP(CLEAN(SUBSTITUTE(TRIM(MID(E:E,FIND("/",E:E)+1,LEN(E:E)))," ","")),'Customs Decl. &amp; Local Delivery'!D:I,6,0)</f>
        <v>45864</v>
      </c>
      <c r="H932" s="841">
        <f>VLOOKUP(CLEAN(SUBSTITUTE(TRIM(MID(E:E,FIND("/",E:E)+1,LEN(E:E)))," ","")),'Customs Decl. &amp; Local Delivery'!D:J,7,0)</f>
        <v>45883</v>
      </c>
      <c r="I932" s="749" t="s">
        <v>2777</v>
      </c>
      <c r="J932" s="750" t="s">
        <v>18</v>
      </c>
      <c r="K932" s="687" t="s">
        <v>19</v>
      </c>
      <c r="L932" s="347" t="s">
        <v>20</v>
      </c>
      <c r="M932" s="690" t="s">
        <v>2778</v>
      </c>
      <c r="N932" s="802"/>
      <c r="O932" s="512"/>
      <c r="P932" s="512"/>
      <c r="Q932" s="512"/>
      <c r="R932" s="512"/>
      <c r="S932" s="512"/>
      <c r="T932" s="512"/>
      <c r="U932" s="512"/>
    </row>
    <row r="933" ht="15.4" customHeight="1" spans="1:21">
      <c r="A933" s="687" t="s">
        <v>910</v>
      </c>
      <c r="B933" s="687" t="s">
        <v>2372</v>
      </c>
      <c r="C933" s="732" t="s">
        <v>2090</v>
      </c>
      <c r="D933" s="321">
        <v>50</v>
      </c>
      <c r="E933" s="281"/>
      <c r="F933" s="840">
        <v>45872</v>
      </c>
      <c r="G933" s="703">
        <f t="shared" ref="G933:G939" si="60">G932</f>
        <v>45864</v>
      </c>
      <c r="H933" s="676">
        <f t="shared" ref="H933:H939" si="61">H932</f>
        <v>45883</v>
      </c>
      <c r="I933" s="749" t="s">
        <v>2777</v>
      </c>
      <c r="J933" s="750" t="s">
        <v>18</v>
      </c>
      <c r="K933" s="687" t="s">
        <v>19</v>
      </c>
      <c r="L933" s="347" t="s">
        <v>20</v>
      </c>
      <c r="M933" s="690" t="s">
        <v>2752</v>
      </c>
      <c r="N933" s="802"/>
      <c r="O933" s="512"/>
      <c r="P933" s="512"/>
      <c r="Q933" s="512"/>
      <c r="R933" s="512"/>
      <c r="S933" s="512"/>
      <c r="T933" s="512"/>
      <c r="U933" s="512"/>
    </row>
    <row r="934" ht="15.4" customHeight="1" spans="1:21">
      <c r="A934" s="687" t="s">
        <v>2453</v>
      </c>
      <c r="B934" s="687" t="s">
        <v>2490</v>
      </c>
      <c r="C934" s="732" t="s">
        <v>2092</v>
      </c>
      <c r="D934" s="321">
        <v>12</v>
      </c>
      <c r="E934" s="281"/>
      <c r="F934" s="840">
        <v>45872</v>
      </c>
      <c r="G934" s="703">
        <f t="shared" si="60"/>
        <v>45864</v>
      </c>
      <c r="H934" s="676">
        <f t="shared" si="61"/>
        <v>45883</v>
      </c>
      <c r="I934" s="749" t="s">
        <v>2777</v>
      </c>
      <c r="J934" s="750" t="s">
        <v>18</v>
      </c>
      <c r="K934" s="687" t="s">
        <v>19</v>
      </c>
      <c r="L934" s="347" t="s">
        <v>20</v>
      </c>
      <c r="M934" s="672" t="s">
        <v>2612</v>
      </c>
      <c r="N934" s="802"/>
      <c r="O934" s="512"/>
      <c r="P934" s="512"/>
      <c r="Q934" s="512"/>
      <c r="R934" s="512"/>
      <c r="S934" s="512"/>
      <c r="T934" s="512"/>
      <c r="U934" s="512"/>
    </row>
    <row r="935" ht="15.4" customHeight="1" spans="1:21">
      <c r="A935" s="687" t="s">
        <v>910</v>
      </c>
      <c r="B935" s="687" t="s">
        <v>2372</v>
      </c>
      <c r="C935" s="732" t="s">
        <v>2092</v>
      </c>
      <c r="D935" s="321">
        <v>24</v>
      </c>
      <c r="E935" s="281"/>
      <c r="F935" s="840">
        <v>45872</v>
      </c>
      <c r="G935" s="703">
        <f t="shared" si="60"/>
        <v>45864</v>
      </c>
      <c r="H935" s="676">
        <f t="shared" si="61"/>
        <v>45883</v>
      </c>
      <c r="I935" s="749" t="s">
        <v>2777</v>
      </c>
      <c r="J935" s="750" t="s">
        <v>18</v>
      </c>
      <c r="K935" s="687" t="s">
        <v>19</v>
      </c>
      <c r="L935" s="347" t="s">
        <v>20</v>
      </c>
      <c r="M935" s="690"/>
      <c r="N935" s="802"/>
      <c r="O935" s="512"/>
      <c r="P935" s="512"/>
      <c r="Q935" s="512"/>
      <c r="R935" s="512"/>
      <c r="S935" s="512"/>
      <c r="T935" s="512"/>
      <c r="U935" s="512"/>
    </row>
    <row r="936" ht="15.4" customHeight="1" spans="1:21">
      <c r="A936" s="687" t="s">
        <v>910</v>
      </c>
      <c r="B936" s="687" t="s">
        <v>2372</v>
      </c>
      <c r="C936" s="732" t="s">
        <v>2093</v>
      </c>
      <c r="D936" s="321">
        <v>9</v>
      </c>
      <c r="E936" s="281"/>
      <c r="F936" s="840">
        <v>45872</v>
      </c>
      <c r="G936" s="703">
        <f t="shared" si="60"/>
        <v>45864</v>
      </c>
      <c r="H936" s="676">
        <f t="shared" si="61"/>
        <v>45883</v>
      </c>
      <c r="I936" s="749" t="s">
        <v>2777</v>
      </c>
      <c r="J936" s="750" t="s">
        <v>18</v>
      </c>
      <c r="K936" s="687" t="s">
        <v>19</v>
      </c>
      <c r="L936" s="347" t="s">
        <v>20</v>
      </c>
      <c r="M936" s="690"/>
      <c r="N936" s="802"/>
      <c r="O936" s="512"/>
      <c r="P936" s="512"/>
      <c r="Q936" s="512"/>
      <c r="R936" s="512"/>
      <c r="S936" s="512"/>
      <c r="T936" s="512"/>
      <c r="U936" s="512"/>
    </row>
    <row r="937" ht="15.4" customHeight="1" spans="1:21">
      <c r="A937" s="687" t="s">
        <v>2453</v>
      </c>
      <c r="B937" s="687" t="s">
        <v>2490</v>
      </c>
      <c r="C937" s="732" t="s">
        <v>2094</v>
      </c>
      <c r="D937" s="321">
        <v>29</v>
      </c>
      <c r="E937" s="281"/>
      <c r="F937" s="840">
        <v>45872</v>
      </c>
      <c r="G937" s="703">
        <f t="shared" si="60"/>
        <v>45864</v>
      </c>
      <c r="H937" s="676">
        <f t="shared" si="61"/>
        <v>45883</v>
      </c>
      <c r="I937" s="749" t="s">
        <v>2777</v>
      </c>
      <c r="J937" s="750" t="s">
        <v>18</v>
      </c>
      <c r="K937" s="687" t="s">
        <v>19</v>
      </c>
      <c r="L937" s="347" t="s">
        <v>20</v>
      </c>
      <c r="M937" s="772" t="s">
        <v>2612</v>
      </c>
      <c r="N937" s="802"/>
      <c r="O937" s="512"/>
      <c r="P937" s="512"/>
      <c r="Q937" s="512"/>
      <c r="R937" s="512"/>
      <c r="S937" s="512"/>
      <c r="T937" s="512"/>
      <c r="U937" s="512"/>
    </row>
    <row r="938" ht="15.4" customHeight="1" spans="1:21">
      <c r="A938" s="687" t="s">
        <v>2453</v>
      </c>
      <c r="B938" s="687" t="s">
        <v>2490</v>
      </c>
      <c r="C938" s="732" t="s">
        <v>2340</v>
      </c>
      <c r="D938" s="321">
        <v>9</v>
      </c>
      <c r="E938" s="281"/>
      <c r="F938" s="840">
        <v>45872</v>
      </c>
      <c r="G938" s="703">
        <f t="shared" si="60"/>
        <v>45864</v>
      </c>
      <c r="H938" s="676">
        <f t="shared" si="61"/>
        <v>45883</v>
      </c>
      <c r="I938" s="749" t="s">
        <v>2777</v>
      </c>
      <c r="J938" s="750" t="s">
        <v>18</v>
      </c>
      <c r="K938" s="687" t="s">
        <v>19</v>
      </c>
      <c r="L938" s="347" t="s">
        <v>20</v>
      </c>
      <c r="M938" s="190"/>
      <c r="N938" s="802"/>
      <c r="O938" s="512"/>
      <c r="P938" s="512"/>
      <c r="Q938" s="512"/>
      <c r="R938" s="512"/>
      <c r="S938" s="512"/>
      <c r="T938" s="512"/>
      <c r="U938" s="512"/>
    </row>
    <row r="939" ht="15.4" customHeight="1" spans="1:21">
      <c r="A939" s="687" t="s">
        <v>2453</v>
      </c>
      <c r="B939" s="687" t="s">
        <v>2490</v>
      </c>
      <c r="C939" s="732" t="s">
        <v>2095</v>
      </c>
      <c r="D939" s="321">
        <v>29</v>
      </c>
      <c r="E939" s="281"/>
      <c r="F939" s="840">
        <v>45872</v>
      </c>
      <c r="G939" s="703">
        <f t="shared" si="60"/>
        <v>45864</v>
      </c>
      <c r="H939" s="676">
        <f t="shared" si="61"/>
        <v>45883</v>
      </c>
      <c r="I939" s="749" t="s">
        <v>2777</v>
      </c>
      <c r="J939" s="760" t="s">
        <v>18</v>
      </c>
      <c r="K939" s="687" t="s">
        <v>19</v>
      </c>
      <c r="L939" s="347" t="s">
        <v>20</v>
      </c>
      <c r="M939" s="192"/>
      <c r="N939" s="802"/>
      <c r="O939" s="512"/>
      <c r="P939" s="512"/>
      <c r="Q939" s="512"/>
      <c r="R939" s="512"/>
      <c r="S939" s="512"/>
      <c r="T939" s="512"/>
      <c r="U939" s="512"/>
    </row>
    <row r="940" ht="15.4" customHeight="1" spans="1:21">
      <c r="A940" s="856" t="s">
        <v>910</v>
      </c>
      <c r="B940" s="857" t="s">
        <v>2305</v>
      </c>
      <c r="C940" s="858" t="s">
        <v>2391</v>
      </c>
      <c r="D940" s="859">
        <v>0</v>
      </c>
      <c r="E940" s="281"/>
      <c r="F940" s="840" t="s">
        <v>309</v>
      </c>
      <c r="G940" s="703" t="s">
        <v>309</v>
      </c>
      <c r="H940" s="676" t="s">
        <v>309</v>
      </c>
      <c r="I940" s="749" t="s">
        <v>309</v>
      </c>
      <c r="J940" s="687" t="s">
        <v>18</v>
      </c>
      <c r="K940" s="750" t="s">
        <v>19</v>
      </c>
      <c r="L940" s="347" t="s">
        <v>309</v>
      </c>
      <c r="M940" s="857" t="s">
        <v>2753</v>
      </c>
      <c r="N940" s="843"/>
      <c r="O940" s="512"/>
      <c r="P940" s="512"/>
      <c r="Q940" s="512"/>
      <c r="R940" s="512"/>
      <c r="S940" s="512"/>
      <c r="T940" s="512"/>
      <c r="U940" s="512"/>
    </row>
    <row r="941" ht="15.4" customHeight="1" spans="1:21">
      <c r="A941" s="687" t="s">
        <v>910</v>
      </c>
      <c r="B941" s="690" t="s">
        <v>2305</v>
      </c>
      <c r="C941" s="732" t="s">
        <v>2140</v>
      </c>
      <c r="D941" s="321">
        <v>8</v>
      </c>
      <c r="E941" s="281"/>
      <c r="F941" s="840">
        <v>45872</v>
      </c>
      <c r="G941" s="703">
        <f>G939</f>
        <v>45864</v>
      </c>
      <c r="H941" s="676">
        <f>H939</f>
        <v>45883</v>
      </c>
      <c r="I941" s="749" t="s">
        <v>2777</v>
      </c>
      <c r="J941" s="687" t="s">
        <v>18</v>
      </c>
      <c r="K941" s="750" t="s">
        <v>19</v>
      </c>
      <c r="L941" s="347" t="s">
        <v>20</v>
      </c>
      <c r="M941" s="690"/>
      <c r="N941" s="843"/>
      <c r="O941" s="512"/>
      <c r="P941" s="512"/>
      <c r="Q941" s="512"/>
      <c r="R941" s="512"/>
      <c r="S941" s="512"/>
      <c r="T941" s="512"/>
      <c r="U941" s="512"/>
    </row>
    <row r="942" ht="15.4" customHeight="1" spans="1:21">
      <c r="A942" s="687" t="s">
        <v>910</v>
      </c>
      <c r="B942" s="690" t="s">
        <v>2372</v>
      </c>
      <c r="C942" s="732" t="s">
        <v>2114</v>
      </c>
      <c r="D942" s="321">
        <v>4</v>
      </c>
      <c r="E942" s="281"/>
      <c r="F942" s="840">
        <v>45872</v>
      </c>
      <c r="G942" s="703">
        <f>G941</f>
        <v>45864</v>
      </c>
      <c r="H942" s="676">
        <f>H941</f>
        <v>45883</v>
      </c>
      <c r="I942" s="749" t="s">
        <v>2777</v>
      </c>
      <c r="J942" s="687" t="s">
        <v>18</v>
      </c>
      <c r="K942" s="750" t="s">
        <v>19</v>
      </c>
      <c r="L942" s="347" t="s">
        <v>20</v>
      </c>
      <c r="M942" s="690"/>
      <c r="N942" s="802"/>
      <c r="O942" s="512"/>
      <c r="P942" s="512"/>
      <c r="Q942" s="512"/>
      <c r="R942" s="512"/>
      <c r="S942" s="512"/>
      <c r="T942" s="512"/>
      <c r="U942" s="512"/>
    </row>
    <row r="943" ht="15.4" customHeight="1" spans="1:21">
      <c r="A943" s="687" t="s">
        <v>2728</v>
      </c>
      <c r="B943" s="687" t="s">
        <v>2729</v>
      </c>
      <c r="C943" s="732" t="s">
        <v>2114</v>
      </c>
      <c r="D943" s="313">
        <v>4</v>
      </c>
      <c r="E943" s="817"/>
      <c r="F943" s="840">
        <v>45872</v>
      </c>
      <c r="G943" s="703">
        <f>G941</f>
        <v>45864</v>
      </c>
      <c r="H943" s="676">
        <f>H941</f>
        <v>45883</v>
      </c>
      <c r="I943" s="749" t="s">
        <v>2777</v>
      </c>
      <c r="J943" s="687" t="s">
        <v>18</v>
      </c>
      <c r="K943" s="750" t="s">
        <v>19</v>
      </c>
      <c r="L943" s="347" t="s">
        <v>20</v>
      </c>
      <c r="M943" s="690" t="s">
        <v>2779</v>
      </c>
      <c r="N943" s="802"/>
      <c r="O943" s="512"/>
      <c r="P943" s="512"/>
      <c r="Q943" s="512"/>
      <c r="R943" s="512"/>
      <c r="S943" s="512"/>
      <c r="T943" s="512"/>
      <c r="U943" s="512"/>
    </row>
    <row r="944" ht="15.4" customHeight="1" spans="1:21">
      <c r="A944" s="687" t="s">
        <v>1507</v>
      </c>
      <c r="B944" s="687" t="s">
        <v>2557</v>
      </c>
      <c r="C944" s="765" t="s">
        <v>2182</v>
      </c>
      <c r="D944" s="807">
        <v>10</v>
      </c>
      <c r="E944" s="281"/>
      <c r="F944" s="840">
        <v>45872</v>
      </c>
      <c r="G944" s="703">
        <f>G942</f>
        <v>45864</v>
      </c>
      <c r="H944" s="676">
        <f>H942</f>
        <v>45883</v>
      </c>
      <c r="I944" s="749" t="s">
        <v>2777</v>
      </c>
      <c r="J944" s="687" t="s">
        <v>18</v>
      </c>
      <c r="K944" s="750" t="s">
        <v>19</v>
      </c>
      <c r="L944" s="347" t="s">
        <v>20</v>
      </c>
      <c r="M944" s="690" t="s">
        <v>2780</v>
      </c>
      <c r="N944" s="802"/>
      <c r="O944" s="512"/>
      <c r="P944" s="512"/>
      <c r="Q944" s="512"/>
      <c r="R944" s="512"/>
      <c r="S944" s="512"/>
      <c r="T944" s="512"/>
      <c r="U944" s="512"/>
    </row>
    <row r="945" ht="15.4" customHeight="1" spans="1:21">
      <c r="A945" s="687" t="s">
        <v>910</v>
      </c>
      <c r="B945" s="687" t="s">
        <v>2372</v>
      </c>
      <c r="C945" s="732" t="s">
        <v>2087</v>
      </c>
      <c r="D945" s="321">
        <v>29</v>
      </c>
      <c r="E945" s="756" t="s">
        <v>2781</v>
      </c>
      <c r="F945" s="840">
        <v>45872</v>
      </c>
      <c r="G945" s="840">
        <f>VLOOKUP(CLEAN(SUBSTITUTE(TRIM(MID(E:E,FIND("/",E:E)+1,LEN(E:E)))," ","")),'Customs Decl. &amp; Local Delivery'!D:I,6,0)</f>
        <v>45864</v>
      </c>
      <c r="H945" s="841">
        <f>VLOOKUP(CLEAN(SUBSTITUTE(TRIM(MID(E:E,FIND("/",E:E)+1,LEN(E:E)))," ","")),'Customs Decl. &amp; Local Delivery'!D:J,7,0)</f>
        <v>45883</v>
      </c>
      <c r="I945" s="749" t="s">
        <v>2782</v>
      </c>
      <c r="J945" s="687" t="s">
        <v>18</v>
      </c>
      <c r="K945" s="750" t="s">
        <v>19</v>
      </c>
      <c r="L945" s="347" t="s">
        <v>20</v>
      </c>
      <c r="M945" s="690" t="s">
        <v>2783</v>
      </c>
      <c r="N945" s="802"/>
      <c r="O945" s="512"/>
      <c r="P945" s="512"/>
      <c r="Q945" s="512"/>
      <c r="R945" s="512"/>
      <c r="S945" s="512"/>
      <c r="T945" s="512"/>
      <c r="U945" s="512"/>
    </row>
    <row r="946" ht="15.4" customHeight="1" spans="1:21">
      <c r="A946" s="687" t="s">
        <v>910</v>
      </c>
      <c r="B946" s="687" t="s">
        <v>2372</v>
      </c>
      <c r="C946" s="732" t="s">
        <v>2090</v>
      </c>
      <c r="D946" s="321">
        <v>50</v>
      </c>
      <c r="E946" s="281"/>
      <c r="F946" s="840">
        <v>45872</v>
      </c>
      <c r="G946" s="703">
        <f t="shared" ref="G946:G951" si="62">G945</f>
        <v>45864</v>
      </c>
      <c r="H946" s="676">
        <f t="shared" ref="H946:H951" si="63">H945</f>
        <v>45883</v>
      </c>
      <c r="I946" s="749" t="s">
        <v>2782</v>
      </c>
      <c r="J946" s="777" t="s">
        <v>18</v>
      </c>
      <c r="K946" s="687" t="s">
        <v>19</v>
      </c>
      <c r="L946" s="347" t="s">
        <v>20</v>
      </c>
      <c r="M946" s="690" t="s">
        <v>2752</v>
      </c>
      <c r="N946" s="802"/>
      <c r="O946" s="512"/>
      <c r="P946" s="512"/>
      <c r="Q946" s="512"/>
      <c r="R946" s="512"/>
      <c r="S946" s="512"/>
      <c r="T946" s="512"/>
      <c r="U946" s="512"/>
    </row>
    <row r="947" ht="15.4" customHeight="1" spans="1:21">
      <c r="A947" s="687" t="s">
        <v>910</v>
      </c>
      <c r="B947" s="687" t="s">
        <v>2372</v>
      </c>
      <c r="C947" s="732" t="s">
        <v>2092</v>
      </c>
      <c r="D947" s="321">
        <v>36</v>
      </c>
      <c r="E947" s="281"/>
      <c r="F947" s="840">
        <v>45872</v>
      </c>
      <c r="G947" s="703">
        <f t="shared" si="62"/>
        <v>45864</v>
      </c>
      <c r="H947" s="676">
        <f t="shared" si="63"/>
        <v>45883</v>
      </c>
      <c r="I947" s="749" t="s">
        <v>2782</v>
      </c>
      <c r="J947" s="687" t="s">
        <v>18</v>
      </c>
      <c r="K947" s="687" t="s">
        <v>19</v>
      </c>
      <c r="L947" s="347" t="s">
        <v>20</v>
      </c>
      <c r="M947" s="690"/>
      <c r="N947" s="843"/>
      <c r="O947" s="512"/>
      <c r="P947" s="512"/>
      <c r="Q947" s="512"/>
      <c r="R947" s="512"/>
      <c r="S947" s="512"/>
      <c r="T947" s="512"/>
      <c r="U947" s="512"/>
    </row>
    <row r="948" ht="15.4" customHeight="1" spans="1:21">
      <c r="A948" s="687" t="s">
        <v>910</v>
      </c>
      <c r="B948" s="687" t="s">
        <v>2372</v>
      </c>
      <c r="C948" s="732" t="s">
        <v>2093</v>
      </c>
      <c r="D948" s="321">
        <v>9</v>
      </c>
      <c r="E948" s="281"/>
      <c r="F948" s="840">
        <v>45872</v>
      </c>
      <c r="G948" s="703">
        <f t="shared" si="62"/>
        <v>45864</v>
      </c>
      <c r="H948" s="676">
        <f t="shared" si="63"/>
        <v>45883</v>
      </c>
      <c r="I948" s="749" t="s">
        <v>2782</v>
      </c>
      <c r="J948" s="687" t="s">
        <v>18</v>
      </c>
      <c r="K948" s="687" t="s">
        <v>19</v>
      </c>
      <c r="L948" s="347" t="s">
        <v>20</v>
      </c>
      <c r="M948" s="690"/>
      <c r="N948" s="802"/>
      <c r="O948" s="512"/>
      <c r="P948" s="512"/>
      <c r="Q948" s="512"/>
      <c r="R948" s="512"/>
      <c r="S948" s="512"/>
      <c r="T948" s="512"/>
      <c r="U948" s="512"/>
    </row>
    <row r="949" ht="15.4" customHeight="1" spans="1:21">
      <c r="A949" s="687" t="s">
        <v>2453</v>
      </c>
      <c r="B949" s="687" t="s">
        <v>2490</v>
      </c>
      <c r="C949" s="732" t="s">
        <v>2094</v>
      </c>
      <c r="D949" s="321">
        <v>29</v>
      </c>
      <c r="E949" s="281"/>
      <c r="F949" s="840">
        <v>45872</v>
      </c>
      <c r="G949" s="703">
        <f t="shared" si="62"/>
        <v>45864</v>
      </c>
      <c r="H949" s="676">
        <f t="shared" si="63"/>
        <v>45883</v>
      </c>
      <c r="I949" s="749" t="s">
        <v>2782</v>
      </c>
      <c r="J949" s="687" t="s">
        <v>18</v>
      </c>
      <c r="K949" s="687" t="s">
        <v>19</v>
      </c>
      <c r="L949" s="347" t="s">
        <v>20</v>
      </c>
      <c r="M949" s="772" t="s">
        <v>2612</v>
      </c>
      <c r="N949" s="802"/>
      <c r="O949" s="512"/>
      <c r="P949" s="512"/>
      <c r="Q949" s="512"/>
      <c r="R949" s="512"/>
      <c r="S949" s="512"/>
      <c r="T949" s="512"/>
      <c r="U949" s="512"/>
    </row>
    <row r="950" ht="15.4" customHeight="1" spans="1:21">
      <c r="A950" s="687" t="s">
        <v>2453</v>
      </c>
      <c r="B950" s="687" t="s">
        <v>2490</v>
      </c>
      <c r="C950" s="732" t="s">
        <v>2340</v>
      </c>
      <c r="D950" s="321">
        <v>9</v>
      </c>
      <c r="E950" s="281"/>
      <c r="F950" s="840">
        <v>45872</v>
      </c>
      <c r="G950" s="703">
        <f t="shared" si="62"/>
        <v>45864</v>
      </c>
      <c r="H950" s="676">
        <f t="shared" si="63"/>
        <v>45883</v>
      </c>
      <c r="I950" s="749" t="s">
        <v>2782</v>
      </c>
      <c r="J950" s="687" t="s">
        <v>18</v>
      </c>
      <c r="K950" s="687" t="s">
        <v>19</v>
      </c>
      <c r="L950" s="347" t="s">
        <v>20</v>
      </c>
      <c r="M950" s="190"/>
      <c r="N950" s="843"/>
      <c r="O950" s="512"/>
      <c r="P950" s="512"/>
      <c r="Q950" s="512"/>
      <c r="R950" s="512"/>
      <c r="S950" s="512"/>
      <c r="T950" s="512"/>
      <c r="U950" s="512"/>
    </row>
    <row r="951" ht="15.4" customHeight="1" spans="1:21">
      <c r="A951" s="751" t="s">
        <v>2453</v>
      </c>
      <c r="B951" s="751" t="s">
        <v>2490</v>
      </c>
      <c r="C951" s="752" t="s">
        <v>2095</v>
      </c>
      <c r="D951" s="321">
        <v>29</v>
      </c>
      <c r="E951" s="281"/>
      <c r="F951" s="840">
        <v>45872</v>
      </c>
      <c r="G951" s="703">
        <f t="shared" si="62"/>
        <v>45864</v>
      </c>
      <c r="H951" s="676">
        <f t="shared" si="63"/>
        <v>45883</v>
      </c>
      <c r="I951" s="749" t="s">
        <v>2782</v>
      </c>
      <c r="J951" s="687" t="s">
        <v>18</v>
      </c>
      <c r="K951" s="687" t="s">
        <v>19</v>
      </c>
      <c r="L951" s="347" t="s">
        <v>20</v>
      </c>
      <c r="M951" s="192"/>
      <c r="N951" s="802"/>
      <c r="O951" s="512"/>
      <c r="P951" s="512"/>
      <c r="Q951" s="512"/>
      <c r="R951" s="512"/>
      <c r="S951" s="512"/>
      <c r="T951" s="512"/>
      <c r="U951" s="512"/>
    </row>
    <row r="952" ht="15.4" customHeight="1" spans="1:21">
      <c r="A952" s="856" t="s">
        <v>910</v>
      </c>
      <c r="B952" s="857" t="s">
        <v>2305</v>
      </c>
      <c r="C952" s="858" t="s">
        <v>2391</v>
      </c>
      <c r="D952" s="860">
        <v>0</v>
      </c>
      <c r="E952" s="281"/>
      <c r="F952" s="840">
        <v>45872</v>
      </c>
      <c r="G952" s="703" t="s">
        <v>309</v>
      </c>
      <c r="H952" s="676" t="s">
        <v>309</v>
      </c>
      <c r="I952" s="749" t="s">
        <v>309</v>
      </c>
      <c r="J952" s="687" t="s">
        <v>18</v>
      </c>
      <c r="K952" s="687" t="s">
        <v>19</v>
      </c>
      <c r="L952" s="347" t="s">
        <v>309</v>
      </c>
      <c r="M952" s="857" t="s">
        <v>2753</v>
      </c>
      <c r="N952" s="843"/>
      <c r="O952" s="512"/>
      <c r="P952" s="512"/>
      <c r="Q952" s="512"/>
      <c r="R952" s="512"/>
      <c r="S952" s="512"/>
      <c r="T952" s="512"/>
      <c r="U952" s="512"/>
    </row>
    <row r="953" ht="15.4" customHeight="1" spans="1:21">
      <c r="A953" s="687" t="s">
        <v>910</v>
      </c>
      <c r="B953" s="690" t="s">
        <v>2305</v>
      </c>
      <c r="C953" s="732" t="s">
        <v>2140</v>
      </c>
      <c r="D953" s="385">
        <v>8</v>
      </c>
      <c r="E953" s="281"/>
      <c r="F953" s="840">
        <v>45872</v>
      </c>
      <c r="G953" s="703">
        <f>G945</f>
        <v>45864</v>
      </c>
      <c r="H953" s="676">
        <f>H945</f>
        <v>45883</v>
      </c>
      <c r="I953" s="749" t="s">
        <v>2782</v>
      </c>
      <c r="J953" s="687" t="s">
        <v>18</v>
      </c>
      <c r="K953" s="687" t="s">
        <v>19</v>
      </c>
      <c r="L953" s="347" t="s">
        <v>20</v>
      </c>
      <c r="M953" s="690"/>
      <c r="N953" s="843"/>
      <c r="O953" s="512"/>
      <c r="P953" s="512"/>
      <c r="Q953" s="512"/>
      <c r="R953" s="512"/>
      <c r="S953" s="512"/>
      <c r="T953" s="512"/>
      <c r="U953" s="512"/>
    </row>
    <row r="954" ht="15.4" customHeight="1" spans="1:21">
      <c r="A954" s="687" t="s">
        <v>910</v>
      </c>
      <c r="B954" s="690" t="s">
        <v>2372</v>
      </c>
      <c r="C954" s="732" t="s">
        <v>2114</v>
      </c>
      <c r="D954" s="385">
        <v>8</v>
      </c>
      <c r="E954" s="281"/>
      <c r="F954" s="840">
        <v>45872</v>
      </c>
      <c r="G954" s="703">
        <f>G946</f>
        <v>45864</v>
      </c>
      <c r="H954" s="676">
        <f>H946</f>
        <v>45883</v>
      </c>
      <c r="I954" s="749" t="s">
        <v>2782</v>
      </c>
      <c r="J954" s="687" t="s">
        <v>18</v>
      </c>
      <c r="K954" s="687" t="s">
        <v>19</v>
      </c>
      <c r="L954" s="347" t="s">
        <v>20</v>
      </c>
      <c r="M954" s="690"/>
      <c r="N954" s="843"/>
      <c r="O954" s="512"/>
      <c r="P954" s="512"/>
      <c r="Q954" s="512"/>
      <c r="R954" s="512"/>
      <c r="S954" s="512"/>
      <c r="T954" s="512"/>
      <c r="U954" s="512"/>
    </row>
    <row r="955" ht="15.4" customHeight="1" spans="1:21">
      <c r="A955" s="687" t="s">
        <v>1507</v>
      </c>
      <c r="B955" s="687" t="s">
        <v>2557</v>
      </c>
      <c r="C955" s="758" t="s">
        <v>2182</v>
      </c>
      <c r="D955" s="861">
        <v>10</v>
      </c>
      <c r="E955" s="281"/>
      <c r="F955" s="840">
        <v>45872</v>
      </c>
      <c r="G955" s="703">
        <f>G947</f>
        <v>45864</v>
      </c>
      <c r="H955" s="676">
        <f>H947</f>
        <v>45883</v>
      </c>
      <c r="I955" s="749" t="s">
        <v>2782</v>
      </c>
      <c r="J955" s="687" t="s">
        <v>18</v>
      </c>
      <c r="K955" s="687" t="s">
        <v>19</v>
      </c>
      <c r="L955" s="347" t="s">
        <v>20</v>
      </c>
      <c r="M955" s="690" t="s">
        <v>2780</v>
      </c>
      <c r="N955" s="843"/>
      <c r="O955" s="512"/>
      <c r="P955" s="512"/>
      <c r="Q955" s="512"/>
      <c r="R955" s="512"/>
      <c r="S955" s="512"/>
      <c r="T955" s="512"/>
      <c r="U955" s="512"/>
    </row>
    <row r="956" customFormat="1" ht="16.5" customHeight="1" spans="1:21">
      <c r="A956" s="687" t="s">
        <v>2784</v>
      </c>
      <c r="B956" s="687" t="s">
        <v>2785</v>
      </c>
      <c r="C956" s="732" t="s">
        <v>2391</v>
      </c>
      <c r="D956" s="347">
        <v>79</v>
      </c>
      <c r="E956" s="732" t="s">
        <v>2786</v>
      </c>
      <c r="F956" s="840">
        <v>45868</v>
      </c>
      <c r="G956" s="840">
        <f>VLOOKUP(CLEAN(SUBSTITUTE(TRIM(MID(E:E,FIND("/",E:E)+1,LEN(E:E)))," ","")),'Customs Decl. &amp; Local Delivery'!D:I,6,0)</f>
        <v>45864</v>
      </c>
      <c r="H956" s="841">
        <f>VLOOKUP(CLEAN(SUBSTITUTE(TRIM(MID(E:E,FIND("/",E:E)+1,LEN(E:E)))," ","")),'Customs Decl. &amp; Local Delivery'!D:J,7,0)</f>
        <v>45883</v>
      </c>
      <c r="I956" s="749" t="s">
        <v>2787</v>
      </c>
      <c r="J956" s="750" t="s">
        <v>18</v>
      </c>
      <c r="K956" s="687" t="s">
        <v>147</v>
      </c>
      <c r="L956" s="347" t="s">
        <v>20</v>
      </c>
      <c r="M956" s="749" t="s">
        <v>2788</v>
      </c>
      <c r="N956" s="814"/>
      <c r="O956" s="512"/>
      <c r="P956" s="512"/>
      <c r="Q956" s="512"/>
      <c r="R956" s="512"/>
      <c r="S956" s="512"/>
      <c r="T956" s="512"/>
      <c r="U956" s="512"/>
    </row>
    <row r="957" ht="15.4" customHeight="1" spans="1:21">
      <c r="A957" s="687" t="s">
        <v>1811</v>
      </c>
      <c r="B957" s="690" t="s">
        <v>2789</v>
      </c>
      <c r="C957" s="671" t="s">
        <v>2790</v>
      </c>
      <c r="D957" s="250">
        <v>15</v>
      </c>
      <c r="E957" s="281"/>
      <c r="F957" s="840">
        <v>45868</v>
      </c>
      <c r="G957" s="703">
        <f t="shared" ref="G957:G968" si="64">G956</f>
        <v>45864</v>
      </c>
      <c r="H957" s="676">
        <f t="shared" ref="H957:H968" si="65">H956</f>
        <v>45883</v>
      </c>
      <c r="I957" s="749" t="s">
        <v>2787</v>
      </c>
      <c r="J957" s="760" t="s">
        <v>18</v>
      </c>
      <c r="K957" s="751" t="s">
        <v>147</v>
      </c>
      <c r="L957" s="347" t="s">
        <v>20</v>
      </c>
      <c r="M957" s="751" t="s">
        <v>2791</v>
      </c>
      <c r="N957" s="802"/>
      <c r="O957" s="512"/>
      <c r="P957" s="512"/>
      <c r="Q957" s="512"/>
      <c r="R957" s="512"/>
      <c r="S957" s="512"/>
      <c r="T957" s="512"/>
      <c r="U957" s="512"/>
    </row>
    <row r="958" ht="15.4" customHeight="1" spans="1:21">
      <c r="A958" s="731" t="s">
        <v>1811</v>
      </c>
      <c r="B958" s="690" t="s">
        <v>2789</v>
      </c>
      <c r="C958" s="671" t="s">
        <v>2792</v>
      </c>
      <c r="D958" s="250">
        <v>16</v>
      </c>
      <c r="E958" s="281"/>
      <c r="F958" s="840">
        <v>45868</v>
      </c>
      <c r="G958" s="703">
        <f t="shared" si="64"/>
        <v>45864</v>
      </c>
      <c r="H958" s="676">
        <f t="shared" si="65"/>
        <v>45883</v>
      </c>
      <c r="I958" s="749" t="s">
        <v>2787</v>
      </c>
      <c r="J958" s="760" t="s">
        <v>18</v>
      </c>
      <c r="K958" s="751" t="s">
        <v>147</v>
      </c>
      <c r="L958" s="347" t="s">
        <v>20</v>
      </c>
      <c r="M958" s="192"/>
      <c r="N958" s="802"/>
      <c r="O958" s="512"/>
      <c r="P958" s="512"/>
      <c r="Q958" s="512"/>
      <c r="R958" s="512"/>
      <c r="S958" s="512"/>
      <c r="T958" s="512"/>
      <c r="U958" s="512"/>
    </row>
    <row r="959" ht="15.4" customHeight="1" spans="1:21">
      <c r="A959" s="687" t="s">
        <v>910</v>
      </c>
      <c r="B959" s="690" t="s">
        <v>2305</v>
      </c>
      <c r="C959" s="758" t="s">
        <v>2090</v>
      </c>
      <c r="D959" s="350">
        <v>14</v>
      </c>
      <c r="E959" s="281"/>
      <c r="F959" s="840">
        <v>45868</v>
      </c>
      <c r="G959" s="703">
        <f t="shared" si="64"/>
        <v>45864</v>
      </c>
      <c r="H959" s="676">
        <f t="shared" si="65"/>
        <v>45883</v>
      </c>
      <c r="I959" s="749" t="s">
        <v>2787</v>
      </c>
      <c r="J959" s="760" t="s">
        <v>18</v>
      </c>
      <c r="K959" s="751" t="s">
        <v>147</v>
      </c>
      <c r="L959" s="347" t="s">
        <v>20</v>
      </c>
      <c r="M959" s="687" t="s">
        <v>2793</v>
      </c>
      <c r="N959" s="802"/>
      <c r="O959" s="512"/>
      <c r="P959" s="512"/>
      <c r="Q959" s="512"/>
      <c r="R959" s="512"/>
      <c r="S959" s="512"/>
      <c r="T959" s="512"/>
      <c r="U959" s="512"/>
    </row>
    <row r="960" ht="15.4" customHeight="1" spans="1:21">
      <c r="A960" s="687" t="s">
        <v>910</v>
      </c>
      <c r="B960" s="690" t="s">
        <v>2305</v>
      </c>
      <c r="C960" s="758" t="s">
        <v>2092</v>
      </c>
      <c r="D960" s="350">
        <f>30+10+45</f>
        <v>85</v>
      </c>
      <c r="E960" s="281"/>
      <c r="F960" s="840">
        <v>45868</v>
      </c>
      <c r="G960" s="703">
        <f t="shared" si="64"/>
        <v>45864</v>
      </c>
      <c r="H960" s="676">
        <f t="shared" si="65"/>
        <v>45883</v>
      </c>
      <c r="I960" s="749" t="s">
        <v>2787</v>
      </c>
      <c r="J960" s="760" t="s">
        <v>18</v>
      </c>
      <c r="K960" s="751" t="s">
        <v>147</v>
      </c>
      <c r="L960" s="347" t="s">
        <v>20</v>
      </c>
      <c r="M960" s="690" t="s">
        <v>2794</v>
      </c>
      <c r="N960" s="802"/>
      <c r="O960" s="512"/>
      <c r="P960" s="512"/>
      <c r="Q960" s="512"/>
      <c r="R960" s="512"/>
      <c r="S960" s="512"/>
      <c r="T960" s="512"/>
      <c r="U960" s="512"/>
    </row>
    <row r="961" ht="15.4" customHeight="1" spans="1:21">
      <c r="A961" s="687" t="s">
        <v>910</v>
      </c>
      <c r="B961" s="687" t="s">
        <v>2372</v>
      </c>
      <c r="C961" s="758" t="s">
        <v>2092</v>
      </c>
      <c r="D961" s="350">
        <v>47</v>
      </c>
      <c r="E961" s="281"/>
      <c r="F961" s="840">
        <v>45868</v>
      </c>
      <c r="G961" s="703">
        <f t="shared" si="64"/>
        <v>45864</v>
      </c>
      <c r="H961" s="676">
        <f t="shared" si="65"/>
        <v>45883</v>
      </c>
      <c r="I961" s="749" t="s">
        <v>2787</v>
      </c>
      <c r="J961" s="750" t="s">
        <v>18</v>
      </c>
      <c r="K961" s="810" t="s">
        <v>147</v>
      </c>
      <c r="L961" s="347" t="s">
        <v>20</v>
      </c>
      <c r="M961" s="671" t="s">
        <v>2795</v>
      </c>
      <c r="N961" s="802"/>
      <c r="O961" s="512"/>
      <c r="P961" s="512"/>
      <c r="Q961" s="512"/>
      <c r="R961" s="512"/>
      <c r="S961" s="512"/>
      <c r="T961" s="512"/>
      <c r="U961" s="512"/>
    </row>
    <row r="962" s="179" customFormat="1" ht="15.4" customHeight="1" spans="1:21">
      <c r="A962" s="687" t="s">
        <v>2453</v>
      </c>
      <c r="B962" s="862" t="s">
        <v>2490</v>
      </c>
      <c r="C962" s="758" t="s">
        <v>2092</v>
      </c>
      <c r="D962" s="350">
        <v>10</v>
      </c>
      <c r="E962" s="281"/>
      <c r="F962" s="840">
        <v>45868</v>
      </c>
      <c r="G962" s="703">
        <f t="shared" si="64"/>
        <v>45864</v>
      </c>
      <c r="H962" s="676">
        <f t="shared" si="65"/>
        <v>45883</v>
      </c>
      <c r="I962" s="749" t="s">
        <v>2787</v>
      </c>
      <c r="J962" s="750" t="s">
        <v>18</v>
      </c>
      <c r="K962" s="750" t="s">
        <v>147</v>
      </c>
      <c r="L962" s="347" t="s">
        <v>20</v>
      </c>
      <c r="M962" s="687" t="s">
        <v>2796</v>
      </c>
      <c r="N962" s="843"/>
      <c r="O962" s="512"/>
      <c r="P962" s="512"/>
      <c r="Q962" s="512"/>
      <c r="R962" s="512"/>
      <c r="S962" s="512"/>
      <c r="T962" s="512"/>
      <c r="U962" s="512"/>
    </row>
    <row r="963" ht="15.4" customHeight="1" spans="1:21">
      <c r="A963" s="687" t="s">
        <v>910</v>
      </c>
      <c r="B963" s="690" t="s">
        <v>2305</v>
      </c>
      <c r="C963" s="758" t="s">
        <v>2093</v>
      </c>
      <c r="D963" s="350">
        <f>25+25</f>
        <v>50</v>
      </c>
      <c r="E963" s="281"/>
      <c r="F963" s="840">
        <v>45868</v>
      </c>
      <c r="G963" s="703">
        <f t="shared" si="64"/>
        <v>45864</v>
      </c>
      <c r="H963" s="676">
        <f t="shared" si="65"/>
        <v>45883</v>
      </c>
      <c r="I963" s="749" t="s">
        <v>2787</v>
      </c>
      <c r="J963" s="774" t="s">
        <v>18</v>
      </c>
      <c r="K963" s="687" t="s">
        <v>147</v>
      </c>
      <c r="L963" s="347" t="s">
        <v>20</v>
      </c>
      <c r="M963" s="690" t="s">
        <v>2797</v>
      </c>
      <c r="N963" s="843"/>
      <c r="O963" s="512"/>
      <c r="P963" s="512"/>
      <c r="Q963" s="512"/>
      <c r="R963" s="512"/>
      <c r="S963" s="512"/>
      <c r="T963" s="512"/>
      <c r="U963" s="512"/>
    </row>
    <row r="964" ht="16.5" customHeight="1" spans="1:21">
      <c r="A964" s="687" t="s">
        <v>910</v>
      </c>
      <c r="B964" s="780" t="s">
        <v>2372</v>
      </c>
      <c r="C964" s="758" t="s">
        <v>2093</v>
      </c>
      <c r="D964" s="350">
        <f>102-5</f>
        <v>97</v>
      </c>
      <c r="E964" s="281"/>
      <c r="F964" s="840">
        <v>45868</v>
      </c>
      <c r="G964" s="703">
        <f t="shared" si="64"/>
        <v>45864</v>
      </c>
      <c r="H964" s="676">
        <f t="shared" si="65"/>
        <v>45883</v>
      </c>
      <c r="I964" s="749" t="s">
        <v>2787</v>
      </c>
      <c r="J964" s="750" t="s">
        <v>18</v>
      </c>
      <c r="K964" s="774" t="s">
        <v>147</v>
      </c>
      <c r="L964" s="347" t="s">
        <v>20</v>
      </c>
      <c r="M964" s="671" t="s">
        <v>2798</v>
      </c>
      <c r="N964" s="802"/>
      <c r="O964" s="800"/>
      <c r="P964" s="512"/>
      <c r="Q964" s="512"/>
      <c r="R964" s="512"/>
      <c r="S964" s="512"/>
      <c r="T964" s="512"/>
      <c r="U964" s="512"/>
    </row>
    <row r="965" ht="16.5" customHeight="1" spans="1:21">
      <c r="A965" s="687" t="s">
        <v>2453</v>
      </c>
      <c r="B965" s="780" t="s">
        <v>2490</v>
      </c>
      <c r="C965" s="758" t="s">
        <v>2093</v>
      </c>
      <c r="D965" s="350">
        <f>10+18</f>
        <v>28</v>
      </c>
      <c r="E965" s="281"/>
      <c r="F965" s="840">
        <v>45868</v>
      </c>
      <c r="G965" s="703">
        <f t="shared" si="64"/>
        <v>45864</v>
      </c>
      <c r="H965" s="676">
        <f t="shared" si="65"/>
        <v>45883</v>
      </c>
      <c r="I965" s="749" t="s">
        <v>2787</v>
      </c>
      <c r="J965" s="810" t="s">
        <v>18</v>
      </c>
      <c r="K965" s="687" t="s">
        <v>147</v>
      </c>
      <c r="L965" s="347" t="s">
        <v>20</v>
      </c>
      <c r="M965" s="672" t="s">
        <v>2799</v>
      </c>
      <c r="N965" s="802"/>
      <c r="O965" s="800"/>
      <c r="P965" s="512"/>
      <c r="Q965" s="512"/>
      <c r="R965" s="512"/>
      <c r="S965" s="512"/>
      <c r="T965" s="512"/>
      <c r="U965" s="512"/>
    </row>
    <row r="966" customFormat="1" ht="15.4" customHeight="1" spans="1:21">
      <c r="A966" s="687" t="s">
        <v>910</v>
      </c>
      <c r="B966" s="864" t="s">
        <v>2305</v>
      </c>
      <c r="C966" s="758" t="s">
        <v>2340</v>
      </c>
      <c r="D966" s="380">
        <v>10</v>
      </c>
      <c r="E966" s="281"/>
      <c r="F966" s="840">
        <v>45868</v>
      </c>
      <c r="G966" s="703">
        <f t="shared" si="64"/>
        <v>45864</v>
      </c>
      <c r="H966" s="676">
        <f t="shared" si="65"/>
        <v>45883</v>
      </c>
      <c r="I966" s="749" t="s">
        <v>2787</v>
      </c>
      <c r="J966" s="760" t="s">
        <v>18</v>
      </c>
      <c r="K966" s="750" t="s">
        <v>147</v>
      </c>
      <c r="L966" s="347" t="s">
        <v>20</v>
      </c>
      <c r="M966" s="687" t="s">
        <v>2800</v>
      </c>
      <c r="N966" s="802"/>
      <c r="O966" s="512"/>
      <c r="P966" s="512"/>
      <c r="Q966" s="512"/>
      <c r="R966" s="512"/>
      <c r="S966" s="512"/>
      <c r="T966" s="512"/>
      <c r="U966" s="512"/>
    </row>
    <row r="967" customFormat="1" ht="15.4" customHeight="1" spans="1:21">
      <c r="A967" s="687" t="s">
        <v>910</v>
      </c>
      <c r="B967" s="687" t="s">
        <v>2305</v>
      </c>
      <c r="C967" s="865" t="s">
        <v>2076</v>
      </c>
      <c r="D967" s="350">
        <v>5</v>
      </c>
      <c r="E967" s="281"/>
      <c r="F967" s="840">
        <v>45868</v>
      </c>
      <c r="G967" s="703">
        <f t="shared" si="64"/>
        <v>45864</v>
      </c>
      <c r="H967" s="676">
        <f t="shared" si="65"/>
        <v>45883</v>
      </c>
      <c r="I967" s="749" t="s">
        <v>2787</v>
      </c>
      <c r="J967" s="750" t="s">
        <v>18</v>
      </c>
      <c r="K967" s="750" t="s">
        <v>147</v>
      </c>
      <c r="L967" s="347" t="s">
        <v>20</v>
      </c>
      <c r="M967" s="875" t="s">
        <v>2801</v>
      </c>
      <c r="N967" s="802"/>
      <c r="O967" s="800"/>
      <c r="P967" s="512"/>
      <c r="Q967" s="512"/>
      <c r="R967" s="512"/>
      <c r="S967" s="512"/>
      <c r="T967" s="512"/>
      <c r="U967" s="512"/>
    </row>
    <row r="968" s="180" customFormat="1" ht="15.4" customHeight="1" spans="1:21">
      <c r="A968" s="687" t="s">
        <v>910</v>
      </c>
      <c r="B968" s="687" t="s">
        <v>2305</v>
      </c>
      <c r="C968" s="865" t="s">
        <v>2279</v>
      </c>
      <c r="D968" s="350">
        <v>5</v>
      </c>
      <c r="E968" s="281"/>
      <c r="F968" s="840">
        <v>45868</v>
      </c>
      <c r="G968" s="703">
        <f t="shared" si="64"/>
        <v>45864</v>
      </c>
      <c r="H968" s="676">
        <f t="shared" si="65"/>
        <v>45883</v>
      </c>
      <c r="I968" s="749" t="s">
        <v>2787</v>
      </c>
      <c r="J968" s="750" t="s">
        <v>18</v>
      </c>
      <c r="K968" s="750" t="s">
        <v>147</v>
      </c>
      <c r="L968" s="347" t="s">
        <v>20</v>
      </c>
      <c r="M968" s="192"/>
      <c r="N968" s="802"/>
      <c r="O968" s="800"/>
      <c r="P968" s="512"/>
      <c r="Q968" s="512"/>
      <c r="R968" s="512"/>
      <c r="S968" s="512"/>
      <c r="T968" s="512"/>
      <c r="U968" s="512"/>
    </row>
    <row r="969" ht="16.5" customHeight="1" spans="1:21">
      <c r="A969" s="687" t="s">
        <v>910</v>
      </c>
      <c r="B969" s="690" t="s">
        <v>2305</v>
      </c>
      <c r="C969" s="732" t="s">
        <v>2087</v>
      </c>
      <c r="D969" s="321">
        <v>30</v>
      </c>
      <c r="E969" s="756" t="s">
        <v>2802</v>
      </c>
      <c r="F969" s="840">
        <v>45873</v>
      </c>
      <c r="G969" s="840">
        <f>VLOOKUP(CLEAN(SUBSTITUTE(TRIM(MID(E:E,FIND("/",E:E)+1,LEN(E:E)))," ","")),'Customs Decl. &amp; Local Delivery'!D:I,6,0)</f>
        <v>45864</v>
      </c>
      <c r="H969" s="841">
        <f>VLOOKUP(CLEAN(SUBSTITUTE(TRIM(MID(E:E,FIND("/",E:E)+1,LEN(E:E)))," ","")),'Customs Decl. &amp; Local Delivery'!D:J,7,0)</f>
        <v>45883</v>
      </c>
      <c r="I969" s="749" t="s">
        <v>2803</v>
      </c>
      <c r="J969" s="687" t="s">
        <v>18</v>
      </c>
      <c r="K969" s="687" t="s">
        <v>147</v>
      </c>
      <c r="L969" s="347" t="s">
        <v>20</v>
      </c>
      <c r="M969" s="687" t="s">
        <v>2752</v>
      </c>
      <c r="N969" s="802"/>
      <c r="O969" s="512"/>
      <c r="P969" s="512"/>
      <c r="Q969" s="512"/>
      <c r="R969" s="512"/>
      <c r="S969" s="512"/>
      <c r="T969" s="512"/>
      <c r="U969" s="512"/>
    </row>
    <row r="970" ht="16.5" customHeight="1" spans="1:21">
      <c r="A970" s="687" t="s">
        <v>910</v>
      </c>
      <c r="B970" s="690" t="s">
        <v>2305</v>
      </c>
      <c r="C970" s="732" t="s">
        <v>2090</v>
      </c>
      <c r="D970" s="321">
        <v>60</v>
      </c>
      <c r="E970" s="281"/>
      <c r="F970" s="840">
        <v>45873</v>
      </c>
      <c r="G970" s="703">
        <f t="shared" ref="G970:G976" si="66">G969</f>
        <v>45864</v>
      </c>
      <c r="H970" s="676">
        <f t="shared" ref="H970:H976" si="67">H969</f>
        <v>45883</v>
      </c>
      <c r="I970" s="749" t="s">
        <v>2803</v>
      </c>
      <c r="J970" s="687" t="s">
        <v>18</v>
      </c>
      <c r="K970" s="687" t="s">
        <v>147</v>
      </c>
      <c r="L970" s="347" t="s">
        <v>20</v>
      </c>
      <c r="M970" s="687"/>
      <c r="N970" s="802"/>
      <c r="O970" s="512"/>
      <c r="P970" s="512"/>
      <c r="Q970" s="512"/>
      <c r="R970" s="512"/>
      <c r="S970" s="512"/>
      <c r="T970" s="512"/>
      <c r="U970" s="512"/>
    </row>
    <row r="971" ht="16.5" customHeight="1" spans="1:21">
      <c r="A971" s="687" t="s">
        <v>910</v>
      </c>
      <c r="B971" s="749" t="s">
        <v>2305</v>
      </c>
      <c r="C971" s="758" t="s">
        <v>2090</v>
      </c>
      <c r="D971" s="350">
        <v>10</v>
      </c>
      <c r="E971" s="69"/>
      <c r="F971" s="840">
        <v>45873</v>
      </c>
      <c r="G971" s="703">
        <f t="shared" si="66"/>
        <v>45864</v>
      </c>
      <c r="H971" s="676">
        <f t="shared" si="67"/>
        <v>45883</v>
      </c>
      <c r="I971" s="749" t="s">
        <v>2803</v>
      </c>
      <c r="J971" s="687" t="s">
        <v>18</v>
      </c>
      <c r="K971" s="760" t="s">
        <v>147</v>
      </c>
      <c r="L971" s="347" t="s">
        <v>20</v>
      </c>
      <c r="M971" s="780" t="s">
        <v>2804</v>
      </c>
      <c r="N971" s="802"/>
      <c r="O971" s="512"/>
      <c r="P971" s="512"/>
      <c r="Q971" s="512"/>
      <c r="R971" s="512"/>
      <c r="S971" s="512"/>
      <c r="T971" s="512"/>
      <c r="U971" s="512"/>
    </row>
    <row r="972" ht="16.5" customHeight="1" spans="1:21">
      <c r="A972" s="687" t="s">
        <v>2453</v>
      </c>
      <c r="B972" s="780" t="s">
        <v>2490</v>
      </c>
      <c r="C972" s="732" t="s">
        <v>2092</v>
      </c>
      <c r="D972" s="321">
        <v>24</v>
      </c>
      <c r="E972" s="281"/>
      <c r="F972" s="840">
        <v>45873</v>
      </c>
      <c r="G972" s="703">
        <f t="shared" si="66"/>
        <v>45864</v>
      </c>
      <c r="H972" s="676">
        <f t="shared" si="67"/>
        <v>45883</v>
      </c>
      <c r="I972" s="749" t="s">
        <v>2803</v>
      </c>
      <c r="J972" s="687" t="s">
        <v>18</v>
      </c>
      <c r="K972" s="687" t="s">
        <v>147</v>
      </c>
      <c r="L972" s="347" t="s">
        <v>20</v>
      </c>
      <c r="M972" s="687" t="s">
        <v>2805</v>
      </c>
      <c r="N972" s="843"/>
      <c r="O972" s="512"/>
      <c r="P972" s="512"/>
      <c r="Q972" s="512"/>
      <c r="R972" s="512"/>
      <c r="S972" s="512"/>
      <c r="T972" s="512"/>
      <c r="U972" s="512"/>
    </row>
    <row r="973" ht="16.5" customHeight="1" spans="1:21">
      <c r="A973" s="687" t="s">
        <v>2453</v>
      </c>
      <c r="B973" s="687" t="s">
        <v>2490</v>
      </c>
      <c r="C973" s="732" t="s">
        <v>2093</v>
      </c>
      <c r="D973" s="321">
        <v>14</v>
      </c>
      <c r="E973" s="281"/>
      <c r="F973" s="840">
        <v>45873</v>
      </c>
      <c r="G973" s="703">
        <f t="shared" si="66"/>
        <v>45864</v>
      </c>
      <c r="H973" s="676">
        <f t="shared" si="67"/>
        <v>45883</v>
      </c>
      <c r="I973" s="749" t="s">
        <v>2803</v>
      </c>
      <c r="J973" s="687" t="s">
        <v>18</v>
      </c>
      <c r="K973" s="687" t="s">
        <v>147</v>
      </c>
      <c r="L973" s="347" t="s">
        <v>20</v>
      </c>
      <c r="M973" s="687" t="s">
        <v>2612</v>
      </c>
      <c r="N973" s="802"/>
      <c r="O973" s="512"/>
      <c r="P973" s="512"/>
      <c r="Q973" s="512"/>
      <c r="R973" s="512"/>
      <c r="S973" s="512"/>
      <c r="T973" s="512"/>
      <c r="U973" s="512"/>
    </row>
    <row r="974" ht="16.5" customHeight="1" spans="1:21">
      <c r="A974" s="687" t="s">
        <v>2453</v>
      </c>
      <c r="B974" s="687" t="s">
        <v>2490</v>
      </c>
      <c r="C974" s="732" t="s">
        <v>2094</v>
      </c>
      <c r="D974" s="321">
        <v>14</v>
      </c>
      <c r="E974" s="69"/>
      <c r="F974" s="840">
        <v>45873</v>
      </c>
      <c r="G974" s="703">
        <f t="shared" si="66"/>
        <v>45864</v>
      </c>
      <c r="H974" s="676">
        <f t="shared" si="67"/>
        <v>45883</v>
      </c>
      <c r="I974" s="749" t="s">
        <v>2803</v>
      </c>
      <c r="J974" s="687" t="s">
        <v>18</v>
      </c>
      <c r="K974" s="687" t="s">
        <v>147</v>
      </c>
      <c r="L974" s="347" t="s">
        <v>20</v>
      </c>
      <c r="M974" s="281"/>
      <c r="N974" s="802"/>
      <c r="O974" s="512"/>
      <c r="P974" s="512"/>
      <c r="Q974" s="512"/>
      <c r="R974" s="512"/>
      <c r="S974" s="512"/>
      <c r="T974" s="512"/>
      <c r="U974" s="512"/>
    </row>
    <row r="975" ht="16.5" customHeight="1" spans="1:21">
      <c r="A975" s="687" t="s">
        <v>2453</v>
      </c>
      <c r="B975" s="687" t="s">
        <v>2490</v>
      </c>
      <c r="C975" s="732" t="s">
        <v>2340</v>
      </c>
      <c r="D975" s="321">
        <v>18</v>
      </c>
      <c r="E975" s="281"/>
      <c r="F975" s="840">
        <v>45873</v>
      </c>
      <c r="G975" s="703">
        <f t="shared" si="66"/>
        <v>45864</v>
      </c>
      <c r="H975" s="676">
        <f t="shared" si="67"/>
        <v>45883</v>
      </c>
      <c r="I975" s="749" t="s">
        <v>2803</v>
      </c>
      <c r="J975" s="687" t="s">
        <v>18</v>
      </c>
      <c r="K975" s="687" t="s">
        <v>147</v>
      </c>
      <c r="L975" s="347" t="s">
        <v>20</v>
      </c>
      <c r="M975" s="281"/>
      <c r="N975" s="843"/>
      <c r="O975" s="512"/>
      <c r="P975" s="512"/>
      <c r="Q975" s="512"/>
      <c r="R975" s="512"/>
      <c r="S975" s="512"/>
      <c r="T975" s="512"/>
      <c r="U975" s="512"/>
    </row>
    <row r="976" ht="16.5" customHeight="1" spans="1:21">
      <c r="A976" s="687" t="s">
        <v>910</v>
      </c>
      <c r="B976" s="690" t="s">
        <v>2305</v>
      </c>
      <c r="C976" s="732" t="s">
        <v>2095</v>
      </c>
      <c r="D976" s="321">
        <v>18</v>
      </c>
      <c r="E976" s="281"/>
      <c r="F976" s="840">
        <v>45873</v>
      </c>
      <c r="G976" s="703">
        <f t="shared" si="66"/>
        <v>45864</v>
      </c>
      <c r="H976" s="676">
        <f t="shared" si="67"/>
        <v>45883</v>
      </c>
      <c r="I976" s="749" t="s">
        <v>2803</v>
      </c>
      <c r="J976" s="687" t="s">
        <v>18</v>
      </c>
      <c r="K976" s="687" t="s">
        <v>147</v>
      </c>
      <c r="L976" s="347" t="s">
        <v>20</v>
      </c>
      <c r="M976" s="687"/>
      <c r="N976" s="802"/>
      <c r="O976" s="512"/>
      <c r="P976" s="512"/>
      <c r="Q976" s="512"/>
      <c r="R976" s="512"/>
      <c r="S976" s="512"/>
      <c r="T976" s="512"/>
      <c r="U976" s="512"/>
    </row>
    <row r="977" ht="16.5" customHeight="1" spans="1:21">
      <c r="A977" s="856" t="s">
        <v>910</v>
      </c>
      <c r="B977" s="857" t="s">
        <v>2305</v>
      </c>
      <c r="C977" s="858" t="s">
        <v>2391</v>
      </c>
      <c r="D977" s="859">
        <v>0</v>
      </c>
      <c r="E977" s="281"/>
      <c r="F977" s="840" t="s">
        <v>309</v>
      </c>
      <c r="G977" s="703" t="s">
        <v>309</v>
      </c>
      <c r="H977" s="676" t="s">
        <v>309</v>
      </c>
      <c r="I977" s="749" t="s">
        <v>309</v>
      </c>
      <c r="J977" s="687" t="s">
        <v>18</v>
      </c>
      <c r="K977" s="687" t="s">
        <v>147</v>
      </c>
      <c r="L977" s="347" t="s">
        <v>309</v>
      </c>
      <c r="M977" s="856"/>
      <c r="N977" s="843"/>
      <c r="O977" s="512"/>
      <c r="P977" s="512"/>
      <c r="Q977" s="512"/>
      <c r="R977" s="512"/>
      <c r="S977" s="512"/>
      <c r="T977" s="512"/>
      <c r="U977" s="512"/>
    </row>
    <row r="978" ht="16.5" customHeight="1" spans="1:21">
      <c r="A978" s="687" t="s">
        <v>910</v>
      </c>
      <c r="B978" s="690" t="s">
        <v>2305</v>
      </c>
      <c r="C978" s="732" t="s">
        <v>2140</v>
      </c>
      <c r="D978" s="321">
        <v>8</v>
      </c>
      <c r="E978" s="281"/>
      <c r="F978" s="840">
        <v>45873</v>
      </c>
      <c r="G978" s="703">
        <f>G969</f>
        <v>45864</v>
      </c>
      <c r="H978" s="676">
        <f>H969</f>
        <v>45883</v>
      </c>
      <c r="I978" s="749" t="s">
        <v>2803</v>
      </c>
      <c r="J978" s="687" t="s">
        <v>18</v>
      </c>
      <c r="K978" s="687" t="s">
        <v>147</v>
      </c>
      <c r="L978" s="347" t="s">
        <v>20</v>
      </c>
      <c r="M978" s="687"/>
      <c r="N978" s="843"/>
      <c r="O978" s="512"/>
      <c r="P978" s="512"/>
      <c r="Q978" s="512"/>
      <c r="R978" s="512"/>
      <c r="S978" s="512"/>
      <c r="T978" s="512"/>
      <c r="U978" s="512"/>
    </row>
    <row r="979" ht="16.5" customHeight="1" spans="1:21">
      <c r="A979" s="856" t="s">
        <v>910</v>
      </c>
      <c r="B979" s="857" t="s">
        <v>2372</v>
      </c>
      <c r="C979" s="858" t="s">
        <v>2114</v>
      </c>
      <c r="D979" s="859">
        <v>0</v>
      </c>
      <c r="E979" s="281"/>
      <c r="F979" s="840" t="s">
        <v>309</v>
      </c>
      <c r="G979" s="703" t="s">
        <v>309</v>
      </c>
      <c r="H979" s="676" t="s">
        <v>309</v>
      </c>
      <c r="I979" s="749" t="s">
        <v>309</v>
      </c>
      <c r="J979" s="687" t="s">
        <v>18</v>
      </c>
      <c r="K979" s="687" t="s">
        <v>147</v>
      </c>
      <c r="L979" s="347" t="s">
        <v>309</v>
      </c>
      <c r="M979" s="856"/>
      <c r="N979" s="843"/>
      <c r="O979" s="512"/>
      <c r="P979" s="512"/>
      <c r="Q979" s="512"/>
      <c r="R979" s="512"/>
      <c r="S979" s="512"/>
      <c r="T979" s="512"/>
      <c r="U979" s="512"/>
    </row>
    <row r="980" ht="16.5" customHeight="1" spans="1:21">
      <c r="A980" s="751" t="s">
        <v>910</v>
      </c>
      <c r="B980" s="685" t="s">
        <v>2305</v>
      </c>
      <c r="C980" s="758" t="s">
        <v>2182</v>
      </c>
      <c r="D980" s="807">
        <v>6</v>
      </c>
      <c r="E980" s="281"/>
      <c r="F980" s="840">
        <v>45873</v>
      </c>
      <c r="G980" s="703">
        <f>G969</f>
        <v>45864</v>
      </c>
      <c r="H980" s="676">
        <f>H969</f>
        <v>45883</v>
      </c>
      <c r="I980" s="749" t="s">
        <v>2803</v>
      </c>
      <c r="J980" s="687" t="s">
        <v>18</v>
      </c>
      <c r="K980" s="687" t="s">
        <v>147</v>
      </c>
      <c r="L980" s="347" t="s">
        <v>20</v>
      </c>
      <c r="M980" s="687"/>
      <c r="N980" s="843"/>
      <c r="O980" s="512"/>
      <c r="P980" s="512"/>
      <c r="Q980" s="512"/>
      <c r="R980" s="512"/>
      <c r="S980" s="512"/>
      <c r="T980" s="512"/>
      <c r="U980" s="512"/>
    </row>
    <row r="981" ht="15.4" customHeight="1" spans="1:21">
      <c r="A981" s="687" t="s">
        <v>1507</v>
      </c>
      <c r="B981" s="687" t="s">
        <v>2557</v>
      </c>
      <c r="C981" s="758" t="s">
        <v>2182</v>
      </c>
      <c r="D981" s="556">
        <v>5</v>
      </c>
      <c r="E981" s="281"/>
      <c r="F981" s="840">
        <v>45873</v>
      </c>
      <c r="G981" s="703">
        <f>G970</f>
        <v>45864</v>
      </c>
      <c r="H981" s="676">
        <f>H970</f>
        <v>45883</v>
      </c>
      <c r="I981" s="749" t="s">
        <v>2803</v>
      </c>
      <c r="J981" s="687" t="s">
        <v>18</v>
      </c>
      <c r="K981" s="687" t="s">
        <v>147</v>
      </c>
      <c r="L981" s="347" t="s">
        <v>20</v>
      </c>
      <c r="M981" s="687" t="s">
        <v>2806</v>
      </c>
      <c r="N981" s="843"/>
      <c r="O981" s="512"/>
      <c r="P981" s="325"/>
      <c r="Q981" s="325"/>
      <c r="R981" s="325"/>
      <c r="S981" s="325"/>
      <c r="T981" s="325"/>
      <c r="U981" s="325"/>
    </row>
    <row r="982" s="180" customFormat="1" ht="20" customHeight="1" spans="1:21">
      <c r="A982" s="826" t="s">
        <v>2728</v>
      </c>
      <c r="B982" s="826" t="s">
        <v>2807</v>
      </c>
      <c r="C982" s="866" t="s">
        <v>2087</v>
      </c>
      <c r="D982" s="392">
        <v>36</v>
      </c>
      <c r="E982" s="809" t="s">
        <v>2808</v>
      </c>
      <c r="F982" s="830">
        <v>45861</v>
      </c>
      <c r="G982" s="830">
        <f>VLOOKUP(CLEAN(SUBSTITUTE(TRIM(MID(E:E,FIND("/",E:E)+1,LEN(E:E)))," ","")),'Customs Decl. &amp; Local Delivery'!D:I,6,0)</f>
        <v>45868</v>
      </c>
      <c r="H982" s="831">
        <f>VLOOKUP(CLEAN(SUBSTITUTE(TRIM(MID(E:E,FIND("/",E:E)+1,LEN(E:E)))," ","")),'Customs Decl. &amp; Local Delivery'!D:J,7,0)</f>
        <v>45896</v>
      </c>
      <c r="I982" s="853" t="s">
        <v>2809</v>
      </c>
      <c r="J982" s="872" t="s">
        <v>18</v>
      </c>
      <c r="K982" s="872" t="s">
        <v>2687</v>
      </c>
      <c r="L982" s="423" t="s">
        <v>20</v>
      </c>
      <c r="M982" s="826" t="s">
        <v>2810</v>
      </c>
      <c r="N982" s="802"/>
      <c r="O982" s="512"/>
      <c r="P982" s="512"/>
      <c r="Q982" s="512"/>
      <c r="R982" s="512"/>
      <c r="S982" s="512"/>
      <c r="T982" s="512"/>
      <c r="U982" s="512"/>
    </row>
    <row r="983" s="180" customFormat="1" ht="20" customHeight="1" spans="1:21">
      <c r="A983" s="826" t="s">
        <v>2728</v>
      </c>
      <c r="B983" s="826" t="s">
        <v>2807</v>
      </c>
      <c r="C983" s="866" t="s">
        <v>2090</v>
      </c>
      <c r="D983" s="392">
        <v>150</v>
      </c>
      <c r="E983" s="281"/>
      <c r="F983" s="830">
        <v>45861</v>
      </c>
      <c r="G983" s="839">
        <f>G982</f>
        <v>45868</v>
      </c>
      <c r="H983" s="836">
        <f>H982</f>
        <v>45896</v>
      </c>
      <c r="I983" s="853" t="s">
        <v>2809</v>
      </c>
      <c r="J983" s="872" t="s">
        <v>18</v>
      </c>
      <c r="K983" s="872" t="s">
        <v>2687</v>
      </c>
      <c r="L983" s="423" t="s">
        <v>20</v>
      </c>
      <c r="M983" s="868" t="s">
        <v>2811</v>
      </c>
      <c r="N983" s="802"/>
      <c r="O983" s="512"/>
      <c r="P983" s="512"/>
      <c r="Q983" s="512"/>
      <c r="R983" s="512"/>
      <c r="S983" s="512"/>
      <c r="T983" s="512"/>
      <c r="U983" s="512"/>
    </row>
    <row r="984" s="180" customFormat="1" ht="20" customHeight="1" spans="1:21">
      <c r="A984" s="826" t="s">
        <v>2728</v>
      </c>
      <c r="B984" s="826" t="s">
        <v>2807</v>
      </c>
      <c r="C984" s="866" t="s">
        <v>2087</v>
      </c>
      <c r="D984" s="392">
        <v>36</v>
      </c>
      <c r="E984" s="809" t="s">
        <v>2812</v>
      </c>
      <c r="F984" s="830">
        <v>45861</v>
      </c>
      <c r="G984" s="830">
        <f>VLOOKUP(CLEAN(SUBSTITUTE(TRIM(MID(E:E,FIND("/",E:E)+1,LEN(E:E)))," ","")),'Customs Decl. &amp; Local Delivery'!D:I,6,0)</f>
        <v>45868</v>
      </c>
      <c r="H984" s="831">
        <f>VLOOKUP(CLEAN(SUBSTITUTE(TRIM(MID(E:E,FIND("/",E:E)+1,LEN(E:E)))," ","")),'Customs Decl. &amp; Local Delivery'!D:J,7,0)</f>
        <v>45896</v>
      </c>
      <c r="I984" s="853" t="s">
        <v>2809</v>
      </c>
      <c r="J984" s="872" t="s">
        <v>18</v>
      </c>
      <c r="K984" s="872" t="s">
        <v>147</v>
      </c>
      <c r="L984" s="423" t="s">
        <v>20</v>
      </c>
      <c r="M984" s="826" t="s">
        <v>2810</v>
      </c>
      <c r="N984" s="802"/>
      <c r="O984" s="512"/>
      <c r="P984" s="512"/>
      <c r="Q984" s="512"/>
      <c r="R984" s="512"/>
      <c r="S984" s="512"/>
      <c r="T984" s="512"/>
      <c r="U984" s="512"/>
    </row>
    <row r="985" s="180" customFormat="1" ht="20" customHeight="1" spans="1:21">
      <c r="A985" s="826" t="s">
        <v>2728</v>
      </c>
      <c r="B985" s="826" t="s">
        <v>2807</v>
      </c>
      <c r="C985" s="866" t="s">
        <v>2090</v>
      </c>
      <c r="D985" s="392">
        <v>150</v>
      </c>
      <c r="E985" s="281"/>
      <c r="F985" s="830">
        <v>45861</v>
      </c>
      <c r="G985" s="839">
        <f>G984</f>
        <v>45868</v>
      </c>
      <c r="H985" s="836">
        <f>H984</f>
        <v>45896</v>
      </c>
      <c r="I985" s="853" t="s">
        <v>2809</v>
      </c>
      <c r="J985" s="872" t="s">
        <v>18</v>
      </c>
      <c r="K985" s="872" t="s">
        <v>147</v>
      </c>
      <c r="L985" s="423" t="s">
        <v>20</v>
      </c>
      <c r="M985" s="868" t="s">
        <v>2811</v>
      </c>
      <c r="N985" s="802"/>
      <c r="O985" s="512"/>
      <c r="P985" s="512"/>
      <c r="Q985" s="512"/>
      <c r="R985" s="512"/>
      <c r="S985" s="512"/>
      <c r="T985" s="512"/>
      <c r="U985" s="512"/>
    </row>
    <row r="986" s="180" customFormat="1" ht="20" customHeight="1" spans="1:21">
      <c r="A986" s="826" t="s">
        <v>2728</v>
      </c>
      <c r="B986" s="826" t="s">
        <v>2807</v>
      </c>
      <c r="C986" s="866" t="s">
        <v>2087</v>
      </c>
      <c r="D986" s="392">
        <v>36</v>
      </c>
      <c r="E986" s="809" t="s">
        <v>2813</v>
      </c>
      <c r="F986" s="830">
        <v>45861</v>
      </c>
      <c r="G986" s="830">
        <f>VLOOKUP(CLEAN(SUBSTITUTE(TRIM(MID(E:E,FIND("/",E:E)+1,LEN(E:E)))," ","")),'Customs Decl. &amp; Local Delivery'!D:I,6,0)</f>
        <v>45868</v>
      </c>
      <c r="H986" s="831">
        <f>VLOOKUP(CLEAN(SUBSTITUTE(TRIM(MID(E:E,FIND("/",E:E)+1,LEN(E:E)))," ","")),'Customs Decl. &amp; Local Delivery'!D:J,7,0)</f>
        <v>45896</v>
      </c>
      <c r="I986" s="853" t="s">
        <v>2809</v>
      </c>
      <c r="J986" s="872" t="s">
        <v>18</v>
      </c>
      <c r="K986" s="872" t="s">
        <v>147</v>
      </c>
      <c r="L986" s="423" t="s">
        <v>20</v>
      </c>
      <c r="M986" s="826" t="s">
        <v>2810</v>
      </c>
      <c r="N986" s="802"/>
      <c r="O986" s="512"/>
      <c r="P986" s="512"/>
      <c r="Q986" s="512"/>
      <c r="R986" s="512"/>
      <c r="S986" s="512"/>
      <c r="T986" s="512"/>
      <c r="U986" s="512"/>
    </row>
    <row r="987" s="180" customFormat="1" ht="20" customHeight="1" spans="1:21">
      <c r="A987" s="826" t="s">
        <v>2728</v>
      </c>
      <c r="B987" s="826" t="s">
        <v>2807</v>
      </c>
      <c r="C987" s="866" t="s">
        <v>2092</v>
      </c>
      <c r="D987" s="392">
        <v>150</v>
      </c>
      <c r="E987" s="69"/>
      <c r="F987" s="830">
        <v>45861</v>
      </c>
      <c r="G987" s="839">
        <f>G986</f>
        <v>45868</v>
      </c>
      <c r="H987" s="836">
        <f>H986</f>
        <v>45896</v>
      </c>
      <c r="I987" s="853" t="s">
        <v>2809</v>
      </c>
      <c r="J987" s="872" t="s">
        <v>18</v>
      </c>
      <c r="K987" s="872" t="s">
        <v>147</v>
      </c>
      <c r="L987" s="423" t="s">
        <v>20</v>
      </c>
      <c r="M987" s="868" t="s">
        <v>2811</v>
      </c>
      <c r="N987" s="802"/>
      <c r="O987" s="512"/>
      <c r="P987" s="512"/>
      <c r="Q987" s="512"/>
      <c r="R987" s="512"/>
      <c r="S987" s="512"/>
      <c r="T987" s="512"/>
      <c r="U987" s="512"/>
    </row>
    <row r="988" s="180" customFormat="1" ht="20" customHeight="1" spans="1:21">
      <c r="A988" s="826" t="s">
        <v>2728</v>
      </c>
      <c r="B988" s="826" t="s">
        <v>2807</v>
      </c>
      <c r="C988" s="866" t="s">
        <v>2087</v>
      </c>
      <c r="D988" s="392">
        <v>36</v>
      </c>
      <c r="E988" s="809" t="s">
        <v>2814</v>
      </c>
      <c r="F988" s="830">
        <v>45861</v>
      </c>
      <c r="G988" s="830">
        <f>VLOOKUP(CLEAN(SUBSTITUTE(TRIM(MID(E:E,FIND("/",E:E)+1,LEN(E:E)))," ","")),'Customs Decl. &amp; Local Delivery'!D:I,6,0)</f>
        <v>45868</v>
      </c>
      <c r="H988" s="831">
        <f>VLOOKUP(CLEAN(SUBSTITUTE(TRIM(MID(E:E,FIND("/",E:E)+1,LEN(E:E)))," ","")),'Customs Decl. &amp; Local Delivery'!D:J,7,0)</f>
        <v>45896</v>
      </c>
      <c r="I988" s="853" t="s">
        <v>2809</v>
      </c>
      <c r="J988" s="872" t="s">
        <v>18</v>
      </c>
      <c r="K988" s="872" t="s">
        <v>147</v>
      </c>
      <c r="L988" s="423" t="s">
        <v>20</v>
      </c>
      <c r="M988" s="826" t="s">
        <v>2810</v>
      </c>
      <c r="N988" s="802"/>
      <c r="O988" s="512"/>
      <c r="P988" s="512"/>
      <c r="Q988" s="512"/>
      <c r="R988" s="512"/>
      <c r="S988" s="512"/>
      <c r="T988" s="512"/>
      <c r="U988" s="512"/>
    </row>
    <row r="989" s="180" customFormat="1" ht="20" customHeight="1" spans="1:21">
      <c r="A989" s="826" t="s">
        <v>2728</v>
      </c>
      <c r="B989" s="826" t="s">
        <v>2807</v>
      </c>
      <c r="C989" s="866" t="s">
        <v>2092</v>
      </c>
      <c r="D989" s="392">
        <v>150</v>
      </c>
      <c r="E989" s="281"/>
      <c r="F989" s="830">
        <v>45861</v>
      </c>
      <c r="G989" s="839">
        <f>G988</f>
        <v>45868</v>
      </c>
      <c r="H989" s="836">
        <f>H988</f>
        <v>45896</v>
      </c>
      <c r="I989" s="853" t="s">
        <v>2809</v>
      </c>
      <c r="J989" s="872" t="s">
        <v>18</v>
      </c>
      <c r="K989" s="872" t="s">
        <v>147</v>
      </c>
      <c r="L989" s="423" t="s">
        <v>20</v>
      </c>
      <c r="M989" s="868" t="s">
        <v>2811</v>
      </c>
      <c r="N989" s="802"/>
      <c r="O989" s="512"/>
      <c r="P989" s="512"/>
      <c r="Q989" s="512"/>
      <c r="R989" s="512"/>
      <c r="S989" s="512"/>
      <c r="T989" s="512"/>
      <c r="U989" s="512"/>
    </row>
    <row r="990" s="180" customFormat="1" ht="20" customHeight="1" spans="1:21">
      <c r="A990" s="826" t="s">
        <v>2728</v>
      </c>
      <c r="B990" s="826" t="s">
        <v>2807</v>
      </c>
      <c r="C990" s="866" t="s">
        <v>2087</v>
      </c>
      <c r="D990" s="392">
        <v>36</v>
      </c>
      <c r="E990" s="809" t="s">
        <v>2815</v>
      </c>
      <c r="F990" s="830">
        <v>45861</v>
      </c>
      <c r="G990" s="830">
        <f>VLOOKUP(CLEAN(SUBSTITUTE(TRIM(MID(E:E,FIND("/",E:E)+1,LEN(E:E)))," ","")),'Customs Decl. &amp; Local Delivery'!D:I,6,0)</f>
        <v>45868</v>
      </c>
      <c r="H990" s="831">
        <f>VLOOKUP(CLEAN(SUBSTITUTE(TRIM(MID(E:E,FIND("/",E:E)+1,LEN(E:E)))," ","")),'Customs Decl. &amp; Local Delivery'!D:J,7,0)</f>
        <v>45896</v>
      </c>
      <c r="I990" s="853" t="s">
        <v>2809</v>
      </c>
      <c r="J990" s="872" t="s">
        <v>18</v>
      </c>
      <c r="K990" s="872" t="s">
        <v>147</v>
      </c>
      <c r="L990" s="423" t="s">
        <v>20</v>
      </c>
      <c r="M990" s="826" t="s">
        <v>2810</v>
      </c>
      <c r="N990" s="802"/>
      <c r="O990" s="512"/>
      <c r="P990" s="512"/>
      <c r="Q990" s="512"/>
      <c r="R990" s="512"/>
      <c r="S990" s="512"/>
      <c r="T990" s="512"/>
      <c r="U990" s="512"/>
    </row>
    <row r="991" s="180" customFormat="1" ht="20" customHeight="1" spans="1:21">
      <c r="A991" s="826" t="s">
        <v>2728</v>
      </c>
      <c r="B991" s="826" t="s">
        <v>2807</v>
      </c>
      <c r="C991" s="866" t="s">
        <v>2092</v>
      </c>
      <c r="D991" s="392">
        <v>150</v>
      </c>
      <c r="E991" s="281"/>
      <c r="F991" s="830">
        <v>45861</v>
      </c>
      <c r="G991" s="839">
        <f>G990</f>
        <v>45868</v>
      </c>
      <c r="H991" s="836">
        <f>H990</f>
        <v>45896</v>
      </c>
      <c r="I991" s="853" t="s">
        <v>2809</v>
      </c>
      <c r="J991" s="872" t="s">
        <v>18</v>
      </c>
      <c r="K991" s="872" t="s">
        <v>147</v>
      </c>
      <c r="L991" s="423" t="s">
        <v>20</v>
      </c>
      <c r="M991" s="868" t="s">
        <v>2811</v>
      </c>
      <c r="N991" s="802"/>
      <c r="O991" s="512"/>
      <c r="P991" s="512"/>
      <c r="Q991" s="512"/>
      <c r="R991" s="512"/>
      <c r="S991" s="512"/>
      <c r="T991" s="512"/>
      <c r="U991" s="512"/>
    </row>
    <row r="992" customFormat="1" ht="16.5" customHeight="1" spans="1:21">
      <c r="A992" s="687" t="s">
        <v>2728</v>
      </c>
      <c r="B992" s="687" t="s">
        <v>2729</v>
      </c>
      <c r="C992" s="671" t="s">
        <v>2087</v>
      </c>
      <c r="D992" s="250">
        <v>36</v>
      </c>
      <c r="E992" s="756" t="s">
        <v>2816</v>
      </c>
      <c r="F992" s="840">
        <v>45861</v>
      </c>
      <c r="G992" s="840">
        <f>VLOOKUP(CLEAN(SUBSTITUTE(TRIM(MID(E:E,FIND("/",E:E)+1,LEN(E:E)))," ","")),'Customs Decl. &amp; Local Delivery'!D:I,6,0)</f>
        <v>45871</v>
      </c>
      <c r="H992" s="841">
        <f>VLOOKUP(CLEAN(SUBSTITUTE(TRIM(MID(E:E,FIND("/",E:E)+1,LEN(E:E)))," ","")),'Customs Decl. &amp; Local Delivery'!D:J,7,0)</f>
        <v>45889</v>
      </c>
      <c r="I992" s="749" t="s">
        <v>2817</v>
      </c>
      <c r="J992" s="687" t="s">
        <v>18</v>
      </c>
      <c r="K992" s="687" t="s">
        <v>147</v>
      </c>
      <c r="L992" s="347" t="s">
        <v>20</v>
      </c>
      <c r="M992" s="687" t="s">
        <v>2818</v>
      </c>
      <c r="N992" s="814"/>
      <c r="O992" s="876"/>
      <c r="P992" s="512"/>
      <c r="Q992" s="512"/>
      <c r="R992" s="512"/>
      <c r="S992" s="512"/>
      <c r="T992" s="512"/>
      <c r="U992" s="512"/>
    </row>
    <row r="993" customFormat="1" ht="16.5" customHeight="1" spans="1:21">
      <c r="A993" s="687" t="s">
        <v>2728</v>
      </c>
      <c r="B993" s="687" t="s">
        <v>2729</v>
      </c>
      <c r="C993" s="732" t="s">
        <v>2140</v>
      </c>
      <c r="D993" s="313">
        <v>200</v>
      </c>
      <c r="E993" s="281"/>
      <c r="F993" s="840">
        <v>45861</v>
      </c>
      <c r="G993" s="703">
        <f>G992</f>
        <v>45871</v>
      </c>
      <c r="H993" s="676">
        <f>H992</f>
        <v>45889</v>
      </c>
      <c r="I993" s="749" t="s">
        <v>2817</v>
      </c>
      <c r="J993" s="687" t="s">
        <v>18</v>
      </c>
      <c r="K993" s="687" t="s">
        <v>147</v>
      </c>
      <c r="L993" s="347" t="s">
        <v>20</v>
      </c>
      <c r="M993" s="687"/>
      <c r="N993" s="863"/>
      <c r="O993" s="512"/>
      <c r="P993" s="512"/>
      <c r="Q993" s="512"/>
      <c r="R993" s="512"/>
      <c r="S993" s="512"/>
      <c r="T993" s="512"/>
      <c r="U993" s="512"/>
    </row>
    <row r="994" customFormat="1" ht="16.5" customHeight="1" spans="1:21">
      <c r="A994" s="826" t="s">
        <v>2728</v>
      </c>
      <c r="B994" s="826" t="s">
        <v>2729</v>
      </c>
      <c r="C994" s="866" t="s">
        <v>2087</v>
      </c>
      <c r="D994" s="392">
        <v>36</v>
      </c>
      <c r="E994" s="764" t="s">
        <v>2819</v>
      </c>
      <c r="F994" s="830">
        <v>45861</v>
      </c>
      <c r="G994" s="830">
        <f>VLOOKUP(CLEAN(SUBSTITUTE(TRIM(MID(E:E,FIND("/",E:E)+1,LEN(E:E)))," ","")),'Customs Decl. &amp; Local Delivery'!D:I,6,0)</f>
        <v>45871</v>
      </c>
      <c r="H994" s="831">
        <f>VLOOKUP(CLEAN(SUBSTITUTE(TRIM(MID(E:E,FIND("/",E:E)+1,LEN(E:E)))," ","")),'Customs Decl. &amp; Local Delivery'!D:J,7,0)</f>
        <v>45889</v>
      </c>
      <c r="I994" s="877" t="s">
        <v>2820</v>
      </c>
      <c r="J994" s="826" t="s">
        <v>18</v>
      </c>
      <c r="K994" s="826" t="s">
        <v>147</v>
      </c>
      <c r="L994" s="423" t="s">
        <v>20</v>
      </c>
      <c r="M994" s="826" t="s">
        <v>2821</v>
      </c>
      <c r="N994" s="814"/>
      <c r="O994" s="876"/>
      <c r="P994" s="512"/>
      <c r="Q994" s="512"/>
      <c r="R994" s="512"/>
      <c r="S994" s="512"/>
      <c r="T994" s="512"/>
      <c r="U994" s="512"/>
    </row>
    <row r="995" customFormat="1" ht="16.5" customHeight="1" spans="1:21">
      <c r="A995" s="826" t="s">
        <v>2728</v>
      </c>
      <c r="B995" s="826" t="s">
        <v>2729</v>
      </c>
      <c r="C995" s="837" t="s">
        <v>2140</v>
      </c>
      <c r="D995" s="394">
        <v>100</v>
      </c>
      <c r="E995" s="281"/>
      <c r="F995" s="830">
        <v>45861</v>
      </c>
      <c r="G995" s="839">
        <f>G994</f>
        <v>45871</v>
      </c>
      <c r="H995" s="836">
        <f>H994</f>
        <v>45889</v>
      </c>
      <c r="I995" s="877" t="s">
        <v>2820</v>
      </c>
      <c r="J995" s="826" t="s">
        <v>18</v>
      </c>
      <c r="K995" s="826" t="s">
        <v>147</v>
      </c>
      <c r="L995" s="423" t="s">
        <v>20</v>
      </c>
      <c r="M995" s="826"/>
      <c r="N995" s="863"/>
      <c r="O995" s="512"/>
      <c r="P995" s="512"/>
      <c r="Q995" s="512"/>
      <c r="R995" s="512"/>
      <c r="S995" s="512"/>
      <c r="T995" s="512"/>
      <c r="U995" s="512"/>
    </row>
    <row r="996" customFormat="1" ht="16.5" customHeight="1" spans="1:21">
      <c r="A996" s="826" t="s">
        <v>2728</v>
      </c>
      <c r="B996" s="826" t="s">
        <v>2729</v>
      </c>
      <c r="C996" s="837" t="s">
        <v>2114</v>
      </c>
      <c r="D996" s="394">
        <v>96</v>
      </c>
      <c r="E996" s="281"/>
      <c r="F996" s="830">
        <v>45861</v>
      </c>
      <c r="G996" s="839">
        <f>G995</f>
        <v>45871</v>
      </c>
      <c r="H996" s="836">
        <f>H995</f>
        <v>45889</v>
      </c>
      <c r="I996" s="877" t="s">
        <v>2820</v>
      </c>
      <c r="J996" s="826" t="s">
        <v>18</v>
      </c>
      <c r="K996" s="826" t="s">
        <v>147</v>
      </c>
      <c r="L996" s="423" t="s">
        <v>20</v>
      </c>
      <c r="M996" s="826" t="s">
        <v>2822</v>
      </c>
      <c r="N996" s="863"/>
      <c r="O996" s="512"/>
      <c r="P996" s="512"/>
      <c r="Q996" s="512"/>
      <c r="R996" s="512"/>
      <c r="S996" s="512"/>
      <c r="T996" s="512"/>
      <c r="U996" s="512"/>
    </row>
    <row r="997" ht="15.4" customHeight="1" spans="1:21">
      <c r="A997" s="826" t="s">
        <v>910</v>
      </c>
      <c r="B997" s="826" t="s">
        <v>2305</v>
      </c>
      <c r="C997" s="867" t="s">
        <v>2072</v>
      </c>
      <c r="D997" s="829">
        <v>20</v>
      </c>
      <c r="E997" s="828" t="s">
        <v>2823</v>
      </c>
      <c r="F997" s="830">
        <v>45861</v>
      </c>
      <c r="G997" s="830">
        <f>VLOOKUP(CLEAN(SUBSTITUTE(TRIM(MID(E:E,FIND("/",E:E)+1,LEN(E:E)))," ","")),'Customs Decl. &amp; Local Delivery'!D:I,6,0)</f>
        <v>45871</v>
      </c>
      <c r="H997" s="831">
        <f>VLOOKUP(CLEAN(SUBSTITUTE(TRIM(MID(E:E,FIND("/",E:E)+1,LEN(E:E)))," ","")),'Customs Decl. &amp; Local Delivery'!D:J,7,0)</f>
        <v>45889</v>
      </c>
      <c r="I997" s="877" t="s">
        <v>2824</v>
      </c>
      <c r="J997" s="826" t="s">
        <v>18</v>
      </c>
      <c r="K997" s="846" t="s">
        <v>147</v>
      </c>
      <c r="L997" s="423" t="s">
        <v>20</v>
      </c>
      <c r="M997" s="826" t="s">
        <v>2825</v>
      </c>
      <c r="N997" s="802"/>
      <c r="O997" s="876"/>
      <c r="P997" s="512"/>
      <c r="Q997" s="512"/>
      <c r="R997" s="512"/>
      <c r="S997" s="512"/>
      <c r="T997" s="512"/>
      <c r="U997" s="512"/>
    </row>
    <row r="998" ht="16.5" customHeight="1" spans="1:21">
      <c r="A998" s="826" t="s">
        <v>910</v>
      </c>
      <c r="B998" s="868" t="s">
        <v>2372</v>
      </c>
      <c r="C998" s="828" t="s">
        <v>2090</v>
      </c>
      <c r="D998" s="829">
        <v>41</v>
      </c>
      <c r="E998" s="281"/>
      <c r="F998" s="830">
        <v>45861</v>
      </c>
      <c r="G998" s="869">
        <f t="shared" ref="G998:G1004" si="68">G997</f>
        <v>45871</v>
      </c>
      <c r="H998" s="836">
        <f t="shared" ref="H998:H1004" si="69">H997</f>
        <v>45889</v>
      </c>
      <c r="I998" s="877" t="s">
        <v>2824</v>
      </c>
      <c r="J998" s="826" t="s">
        <v>18</v>
      </c>
      <c r="K998" s="846" t="s">
        <v>147</v>
      </c>
      <c r="L998" s="423" t="s">
        <v>20</v>
      </c>
      <c r="M998" s="826" t="s">
        <v>2826</v>
      </c>
      <c r="N998" s="802"/>
      <c r="O998" s="800"/>
      <c r="P998" s="512"/>
      <c r="Q998" s="512"/>
      <c r="R998" s="512"/>
      <c r="S998" s="512"/>
      <c r="T998" s="512"/>
      <c r="U998" s="512"/>
    </row>
    <row r="999" s="180" customFormat="1" ht="16.5" customHeight="1" spans="1:21">
      <c r="A999" s="826" t="s">
        <v>910</v>
      </c>
      <c r="B999" s="826" t="s">
        <v>2372</v>
      </c>
      <c r="C999" s="828" t="s">
        <v>2093</v>
      </c>
      <c r="D999" s="829">
        <v>7</v>
      </c>
      <c r="E999" s="281"/>
      <c r="F999" s="830">
        <v>45861</v>
      </c>
      <c r="G999" s="869">
        <f t="shared" si="68"/>
        <v>45871</v>
      </c>
      <c r="H999" s="836">
        <f t="shared" si="69"/>
        <v>45889</v>
      </c>
      <c r="I999" s="877" t="s">
        <v>2824</v>
      </c>
      <c r="J999" s="878" t="s">
        <v>18</v>
      </c>
      <c r="K999" s="879" t="s">
        <v>147</v>
      </c>
      <c r="L999" s="423" t="s">
        <v>20</v>
      </c>
      <c r="M999" s="826" t="s">
        <v>2827</v>
      </c>
      <c r="N999" s="802"/>
      <c r="O999" s="512"/>
      <c r="P999" s="512"/>
      <c r="Q999" s="512"/>
      <c r="R999" s="512"/>
      <c r="S999" s="512"/>
      <c r="T999" s="512"/>
      <c r="U999" s="512"/>
    </row>
    <row r="1000" ht="16.5" customHeight="1" spans="1:21">
      <c r="A1000" s="826" t="s">
        <v>2453</v>
      </c>
      <c r="B1000" s="868" t="s">
        <v>2490</v>
      </c>
      <c r="C1000" s="870" t="s">
        <v>2094</v>
      </c>
      <c r="D1000" s="829">
        <f>5+10+15+20</f>
        <v>50</v>
      </c>
      <c r="E1000" s="281"/>
      <c r="F1000" s="830">
        <v>45861</v>
      </c>
      <c r="G1000" s="869">
        <f t="shared" si="68"/>
        <v>45871</v>
      </c>
      <c r="H1000" s="836">
        <f t="shared" si="69"/>
        <v>45889</v>
      </c>
      <c r="I1000" s="877" t="s">
        <v>2824</v>
      </c>
      <c r="J1000" s="826" t="s">
        <v>18</v>
      </c>
      <c r="K1000" s="846" t="s">
        <v>147</v>
      </c>
      <c r="L1000" s="423" t="s">
        <v>20</v>
      </c>
      <c r="M1000" s="826" t="s">
        <v>2828</v>
      </c>
      <c r="N1000" s="802"/>
      <c r="O1000" s="800"/>
      <c r="P1000" s="512"/>
      <c r="Q1000" s="512"/>
      <c r="R1000" s="512"/>
      <c r="S1000" s="512"/>
      <c r="T1000" s="512"/>
      <c r="U1000" s="512"/>
    </row>
    <row r="1001" customFormat="1" ht="15.4" customHeight="1" spans="1:21">
      <c r="A1001" s="826" t="s">
        <v>910</v>
      </c>
      <c r="B1001" s="871" t="s">
        <v>2305</v>
      </c>
      <c r="C1001" s="870" t="s">
        <v>2340</v>
      </c>
      <c r="D1001" s="829">
        <v>10</v>
      </c>
      <c r="E1001" s="281"/>
      <c r="F1001" s="830">
        <v>45861</v>
      </c>
      <c r="G1001" s="869">
        <f t="shared" si="68"/>
        <v>45871</v>
      </c>
      <c r="H1001" s="836">
        <f t="shared" si="69"/>
        <v>45889</v>
      </c>
      <c r="I1001" s="877" t="s">
        <v>2824</v>
      </c>
      <c r="J1001" s="826" t="s">
        <v>18</v>
      </c>
      <c r="K1001" s="846" t="s">
        <v>147</v>
      </c>
      <c r="L1001" s="423" t="s">
        <v>20</v>
      </c>
      <c r="M1001" s="826" t="s">
        <v>2800</v>
      </c>
      <c r="N1001" s="802"/>
      <c r="O1001" s="512"/>
      <c r="P1001" s="512"/>
      <c r="Q1001" s="512"/>
      <c r="R1001" s="512"/>
      <c r="S1001" s="512"/>
      <c r="T1001" s="512"/>
      <c r="U1001" s="512"/>
    </row>
    <row r="1002" ht="15.4" customHeight="1" spans="1:21">
      <c r="A1002" s="826" t="s">
        <v>910</v>
      </c>
      <c r="B1002" s="868" t="s">
        <v>2372</v>
      </c>
      <c r="C1002" s="870" t="s">
        <v>2340</v>
      </c>
      <c r="D1002" s="829">
        <f>10+10</f>
        <v>20</v>
      </c>
      <c r="E1002" s="281"/>
      <c r="F1002" s="830">
        <v>45861</v>
      </c>
      <c r="G1002" s="869">
        <f t="shared" si="68"/>
        <v>45871</v>
      </c>
      <c r="H1002" s="836">
        <f t="shared" si="69"/>
        <v>45889</v>
      </c>
      <c r="I1002" s="877" t="s">
        <v>2824</v>
      </c>
      <c r="J1002" s="826" t="s">
        <v>18</v>
      </c>
      <c r="K1002" s="880" t="s">
        <v>147</v>
      </c>
      <c r="L1002" s="423" t="s">
        <v>20</v>
      </c>
      <c r="M1002" s="866" t="s">
        <v>2829</v>
      </c>
      <c r="N1002" s="802"/>
      <c r="O1002" s="512"/>
      <c r="P1002" s="512"/>
      <c r="Q1002" s="512"/>
      <c r="R1002" s="512"/>
      <c r="S1002" s="512"/>
      <c r="T1002" s="512"/>
      <c r="U1002" s="512"/>
    </row>
    <row r="1003" ht="16.5" customHeight="1" spans="1:21">
      <c r="A1003" s="826" t="s">
        <v>2453</v>
      </c>
      <c r="B1003" s="868" t="s">
        <v>2490</v>
      </c>
      <c r="C1003" s="870" t="s">
        <v>2340</v>
      </c>
      <c r="D1003" s="829">
        <f>2+10+10</f>
        <v>22</v>
      </c>
      <c r="E1003" s="281"/>
      <c r="F1003" s="830">
        <v>45861</v>
      </c>
      <c r="G1003" s="869">
        <f t="shared" si="68"/>
        <v>45871</v>
      </c>
      <c r="H1003" s="836">
        <f t="shared" si="69"/>
        <v>45889</v>
      </c>
      <c r="I1003" s="877" t="s">
        <v>2824</v>
      </c>
      <c r="J1003" s="826" t="s">
        <v>18</v>
      </c>
      <c r="K1003" s="881" t="s">
        <v>147</v>
      </c>
      <c r="L1003" s="423" t="s">
        <v>20</v>
      </c>
      <c r="M1003" s="882" t="s">
        <v>2830</v>
      </c>
      <c r="N1003" s="802"/>
      <c r="O1003" s="800"/>
      <c r="P1003" s="512"/>
      <c r="Q1003" s="512"/>
      <c r="R1003" s="512"/>
      <c r="S1003" s="512"/>
      <c r="T1003" s="512"/>
      <c r="U1003" s="512"/>
    </row>
    <row r="1004" s="179" customFormat="1" ht="16.5" customHeight="1" spans="1:21">
      <c r="A1004" s="872" t="s">
        <v>910</v>
      </c>
      <c r="B1004" s="872" t="s">
        <v>2372</v>
      </c>
      <c r="C1004" s="873" t="s">
        <v>2095</v>
      </c>
      <c r="D1004" s="829">
        <v>16</v>
      </c>
      <c r="E1004" s="281"/>
      <c r="F1004" s="830">
        <v>45861</v>
      </c>
      <c r="G1004" s="869">
        <f t="shared" si="68"/>
        <v>45871</v>
      </c>
      <c r="H1004" s="836">
        <f t="shared" si="69"/>
        <v>45889</v>
      </c>
      <c r="I1004" s="877" t="s">
        <v>2824</v>
      </c>
      <c r="J1004" s="826" t="s">
        <v>18</v>
      </c>
      <c r="K1004" s="881" t="s">
        <v>147</v>
      </c>
      <c r="L1004" s="423" t="s">
        <v>20</v>
      </c>
      <c r="M1004" s="868" t="s">
        <v>2831</v>
      </c>
      <c r="N1004" s="802"/>
      <c r="O1004" s="883"/>
      <c r="P1004" s="883"/>
      <c r="Q1004" s="883"/>
      <c r="R1004" s="883"/>
      <c r="S1004" s="883"/>
      <c r="T1004" s="883"/>
      <c r="U1004" s="883"/>
    </row>
    <row r="1005" s="180" customFormat="1" spans="1:21">
      <c r="A1005" s="826" t="s">
        <v>2728</v>
      </c>
      <c r="B1005" s="826" t="s">
        <v>2807</v>
      </c>
      <c r="C1005" s="866" t="s">
        <v>2087</v>
      </c>
      <c r="D1005" s="392">
        <v>36</v>
      </c>
      <c r="E1005" s="809" t="s">
        <v>2832</v>
      </c>
      <c r="F1005" s="830">
        <v>45861</v>
      </c>
      <c r="G1005" s="830">
        <f>VLOOKUP(CLEAN(SUBSTITUTE(TRIM(MID(E:E,FIND("/",E:E)+1,LEN(E:E)))," ","")),'Customs Decl. &amp; Local Delivery'!D:I,6,0)</f>
        <v>45871</v>
      </c>
      <c r="H1005" s="831">
        <f>VLOOKUP(CLEAN(SUBSTITUTE(TRIM(MID(E:E,FIND("/",E:E)+1,LEN(E:E)))," ","")),'Customs Decl. &amp; Local Delivery'!D:J,7,0)</f>
        <v>45889</v>
      </c>
      <c r="I1005" s="853" t="s">
        <v>2833</v>
      </c>
      <c r="J1005" s="872" t="s">
        <v>18</v>
      </c>
      <c r="K1005" s="872" t="s">
        <v>147</v>
      </c>
      <c r="L1005" s="423" t="s">
        <v>20</v>
      </c>
      <c r="M1005" s="826" t="s">
        <v>2834</v>
      </c>
      <c r="N1005" s="802"/>
      <c r="O1005" s="203"/>
      <c r="P1005" s="203"/>
      <c r="Q1005" s="203"/>
      <c r="R1005" s="203"/>
      <c r="S1005" s="203"/>
      <c r="T1005" s="203"/>
      <c r="U1005" s="203"/>
    </row>
    <row r="1006" s="180" customFormat="1" spans="1:21">
      <c r="A1006" s="826" t="s">
        <v>2728</v>
      </c>
      <c r="B1006" s="826" t="s">
        <v>2807</v>
      </c>
      <c r="C1006" s="866" t="s">
        <v>2092</v>
      </c>
      <c r="D1006" s="392">
        <v>25</v>
      </c>
      <c r="E1006" s="69"/>
      <c r="F1006" s="830">
        <v>45861</v>
      </c>
      <c r="G1006" s="839">
        <f>G1005</f>
        <v>45871</v>
      </c>
      <c r="H1006" s="836">
        <f>H1005</f>
        <v>45889</v>
      </c>
      <c r="I1006" s="853" t="s">
        <v>2833</v>
      </c>
      <c r="J1006" s="872" t="s">
        <v>18</v>
      </c>
      <c r="K1006" s="872" t="s">
        <v>147</v>
      </c>
      <c r="L1006" s="423" t="s">
        <v>20</v>
      </c>
      <c r="M1006" s="884"/>
      <c r="N1006" s="802"/>
      <c r="O1006" s="203"/>
      <c r="P1006" s="203"/>
      <c r="Q1006" s="203"/>
      <c r="R1006" s="203"/>
      <c r="S1006" s="203"/>
      <c r="T1006" s="203"/>
      <c r="U1006" s="203"/>
    </row>
    <row r="1007" s="180" customFormat="1" spans="1:21">
      <c r="A1007" s="826" t="s">
        <v>2728</v>
      </c>
      <c r="B1007" s="826" t="s">
        <v>2807</v>
      </c>
      <c r="C1007" s="866" t="s">
        <v>2093</v>
      </c>
      <c r="D1007" s="874">
        <v>100</v>
      </c>
      <c r="E1007" s="69"/>
      <c r="F1007" s="830">
        <v>45861</v>
      </c>
      <c r="G1007" s="839">
        <f>G1006</f>
        <v>45871</v>
      </c>
      <c r="H1007" s="836">
        <f>H1006</f>
        <v>45889</v>
      </c>
      <c r="I1007" s="853" t="s">
        <v>2833</v>
      </c>
      <c r="J1007" s="872" t="s">
        <v>18</v>
      </c>
      <c r="K1007" s="872" t="s">
        <v>147</v>
      </c>
      <c r="L1007" s="423" t="s">
        <v>20</v>
      </c>
      <c r="M1007" s="884"/>
      <c r="N1007" s="802"/>
      <c r="O1007" s="203"/>
      <c r="P1007" s="203"/>
      <c r="Q1007" s="203"/>
      <c r="R1007" s="203"/>
      <c r="S1007" s="203"/>
      <c r="T1007" s="203"/>
      <c r="U1007" s="203"/>
    </row>
    <row r="1008" s="180" customFormat="1" spans="1:21">
      <c r="A1008" s="826" t="s">
        <v>2728</v>
      </c>
      <c r="B1008" s="826" t="s">
        <v>2807</v>
      </c>
      <c r="C1008" s="866" t="s">
        <v>2087</v>
      </c>
      <c r="D1008" s="392">
        <v>36</v>
      </c>
      <c r="E1008" s="809" t="s">
        <v>2835</v>
      </c>
      <c r="F1008" s="830">
        <v>45861</v>
      </c>
      <c r="G1008" s="830">
        <f>VLOOKUP(CLEAN(SUBSTITUTE(TRIM(MID(E:E,FIND("/",E:E)+1,LEN(E:E)))," ","")),'Customs Decl. &amp; Local Delivery'!D:I,6,0)</f>
        <v>45871</v>
      </c>
      <c r="H1008" s="831">
        <f>VLOOKUP(CLEAN(SUBSTITUTE(TRIM(MID(E:E,FIND("/",E:E)+1,LEN(E:E)))," ","")),'Customs Decl. &amp; Local Delivery'!D:J,7,0)</f>
        <v>45889</v>
      </c>
      <c r="I1008" s="853" t="s">
        <v>2836</v>
      </c>
      <c r="J1008" s="872" t="s">
        <v>18</v>
      </c>
      <c r="K1008" s="872" t="s">
        <v>147</v>
      </c>
      <c r="L1008" s="423" t="s">
        <v>20</v>
      </c>
      <c r="M1008" s="826" t="s">
        <v>2834</v>
      </c>
      <c r="N1008" s="802"/>
      <c r="O1008" s="203"/>
      <c r="P1008" s="203"/>
      <c r="Q1008" s="203"/>
      <c r="R1008" s="203"/>
      <c r="S1008" s="203"/>
      <c r="T1008" s="203"/>
      <c r="U1008" s="203"/>
    </row>
    <row r="1009" s="180" customFormat="1" spans="1:21">
      <c r="A1009" s="826" t="s">
        <v>2728</v>
      </c>
      <c r="B1009" s="826" t="s">
        <v>2807</v>
      </c>
      <c r="C1009" s="866" t="s">
        <v>2092</v>
      </c>
      <c r="D1009" s="392">
        <v>25</v>
      </c>
      <c r="E1009" s="69"/>
      <c r="F1009" s="830">
        <v>45861</v>
      </c>
      <c r="G1009" s="839">
        <f>G1008</f>
        <v>45871</v>
      </c>
      <c r="H1009" s="836">
        <f>H1008</f>
        <v>45889</v>
      </c>
      <c r="I1009" s="853" t="s">
        <v>2836</v>
      </c>
      <c r="J1009" s="872" t="s">
        <v>18</v>
      </c>
      <c r="K1009" s="872" t="s">
        <v>147</v>
      </c>
      <c r="L1009" s="423" t="s">
        <v>20</v>
      </c>
      <c r="M1009" s="884"/>
      <c r="N1009" s="802"/>
      <c r="O1009" s="203"/>
      <c r="P1009" s="203"/>
      <c r="Q1009" s="203"/>
      <c r="R1009" s="203"/>
      <c r="S1009" s="203"/>
      <c r="T1009" s="203"/>
      <c r="U1009" s="203"/>
    </row>
    <row r="1010" s="180" customFormat="1" spans="1:21">
      <c r="A1010" s="826" t="s">
        <v>2728</v>
      </c>
      <c r="B1010" s="826" t="s">
        <v>2807</v>
      </c>
      <c r="C1010" s="866" t="s">
        <v>2094</v>
      </c>
      <c r="D1010" s="392">
        <v>100</v>
      </c>
      <c r="E1010" s="69"/>
      <c r="F1010" s="830">
        <v>45861</v>
      </c>
      <c r="G1010" s="839">
        <f>G1009</f>
        <v>45871</v>
      </c>
      <c r="H1010" s="836">
        <f>H1009</f>
        <v>45889</v>
      </c>
      <c r="I1010" s="853" t="s">
        <v>2836</v>
      </c>
      <c r="J1010" s="872" t="s">
        <v>18</v>
      </c>
      <c r="K1010" s="872" t="s">
        <v>147</v>
      </c>
      <c r="L1010" s="423" t="s">
        <v>20</v>
      </c>
      <c r="M1010" s="884"/>
      <c r="N1010" s="802"/>
      <c r="O1010" s="203"/>
      <c r="P1010" s="203"/>
      <c r="Q1010" s="203"/>
      <c r="R1010" s="203"/>
      <c r="S1010" s="203"/>
      <c r="T1010" s="203"/>
      <c r="U1010" s="203"/>
    </row>
    <row r="1011" s="180" customFormat="1" spans="1:21">
      <c r="A1011" s="687" t="s">
        <v>2728</v>
      </c>
      <c r="B1011" s="687" t="s">
        <v>2807</v>
      </c>
      <c r="C1011" s="671" t="s">
        <v>2087</v>
      </c>
      <c r="D1011" s="250">
        <v>36</v>
      </c>
      <c r="E1011" s="674" t="s">
        <v>2837</v>
      </c>
      <c r="F1011" s="840">
        <v>45861</v>
      </c>
      <c r="G1011" s="840">
        <f>VLOOKUP(CLEAN(SUBSTITUTE(TRIM(MID(E:E,FIND("/",E:E)+1,LEN(E:E)))," ","")),'Customs Decl. &amp; Local Delivery'!D:I,6,0)</f>
        <v>45871</v>
      </c>
      <c r="H1011" s="841">
        <f>VLOOKUP(CLEAN(SUBSTITUTE(TRIM(MID(E:E,FIND("/",E:E)+1,LEN(E:E)))," ","")),'Customs Decl. &amp; Local Delivery'!D:J,7,0)</f>
        <v>45889</v>
      </c>
      <c r="I1011" s="690" t="s">
        <v>2838</v>
      </c>
      <c r="J1011" s="751" t="s">
        <v>18</v>
      </c>
      <c r="K1011" s="751" t="s">
        <v>147</v>
      </c>
      <c r="L1011" s="347" t="s">
        <v>20</v>
      </c>
      <c r="M1011" s="687" t="s">
        <v>2834</v>
      </c>
      <c r="N1011" s="802"/>
      <c r="O1011" s="203"/>
      <c r="P1011" s="203"/>
      <c r="Q1011" s="203"/>
      <c r="R1011" s="203"/>
      <c r="S1011" s="203"/>
      <c r="T1011" s="203"/>
      <c r="U1011" s="203"/>
    </row>
    <row r="1012" s="180" customFormat="1" spans="1:21">
      <c r="A1012" s="687" t="s">
        <v>2728</v>
      </c>
      <c r="B1012" s="687" t="s">
        <v>2807</v>
      </c>
      <c r="C1012" s="671" t="s">
        <v>2340</v>
      </c>
      <c r="D1012" s="250">
        <v>100</v>
      </c>
      <c r="E1012" s="69"/>
      <c r="F1012" s="840">
        <v>45861</v>
      </c>
      <c r="G1012" s="703">
        <f>G1011</f>
        <v>45871</v>
      </c>
      <c r="H1012" s="676">
        <f>H1011</f>
        <v>45889</v>
      </c>
      <c r="I1012" s="690" t="s">
        <v>2838</v>
      </c>
      <c r="J1012" s="751" t="s">
        <v>18</v>
      </c>
      <c r="K1012" s="751" t="s">
        <v>147</v>
      </c>
      <c r="L1012" s="347" t="s">
        <v>20</v>
      </c>
      <c r="M1012" s="885"/>
      <c r="N1012" s="802"/>
      <c r="O1012" s="203"/>
      <c r="P1012" s="203"/>
      <c r="Q1012" s="203"/>
      <c r="R1012" s="203"/>
      <c r="S1012" s="203"/>
      <c r="T1012" s="203"/>
      <c r="U1012" s="203"/>
    </row>
    <row r="1013" s="180" customFormat="1" spans="1:21">
      <c r="A1013" s="826" t="s">
        <v>2728</v>
      </c>
      <c r="B1013" s="826" t="s">
        <v>2807</v>
      </c>
      <c r="C1013" s="866" t="s">
        <v>2087</v>
      </c>
      <c r="D1013" s="392">
        <v>36</v>
      </c>
      <c r="E1013" s="809" t="s">
        <v>2839</v>
      </c>
      <c r="F1013" s="830">
        <v>45861</v>
      </c>
      <c r="G1013" s="830">
        <f>VLOOKUP(CLEAN(SUBSTITUTE(TRIM(MID(E:E,FIND("/",E:E)+1,LEN(E:E)))," ","")),'Customs Decl. &amp; Local Delivery'!D:I,6,0)</f>
        <v>45871</v>
      </c>
      <c r="H1013" s="831">
        <f>VLOOKUP(CLEAN(SUBSTITUTE(TRIM(MID(E:E,FIND("/",E:E)+1,LEN(E:E)))," ","")),'Customs Decl. &amp; Local Delivery'!D:J,7,0)</f>
        <v>45889</v>
      </c>
      <c r="I1013" s="853" t="s">
        <v>2840</v>
      </c>
      <c r="J1013" s="872" t="s">
        <v>18</v>
      </c>
      <c r="K1013" s="872" t="s">
        <v>147</v>
      </c>
      <c r="L1013" s="423" t="s">
        <v>20</v>
      </c>
      <c r="M1013" s="826" t="s">
        <v>2834</v>
      </c>
      <c r="N1013" s="802"/>
      <c r="O1013" s="203"/>
      <c r="P1013" s="203"/>
      <c r="Q1013" s="203"/>
      <c r="R1013" s="203"/>
      <c r="S1013" s="203"/>
      <c r="T1013" s="203"/>
      <c r="U1013" s="203"/>
    </row>
    <row r="1014" s="180" customFormat="1" spans="1:21">
      <c r="A1014" s="826" t="s">
        <v>2728</v>
      </c>
      <c r="B1014" s="826" t="s">
        <v>2807</v>
      </c>
      <c r="C1014" s="866" t="s">
        <v>2095</v>
      </c>
      <c r="D1014" s="392">
        <v>100</v>
      </c>
      <c r="E1014" s="69"/>
      <c r="F1014" s="830">
        <v>45861</v>
      </c>
      <c r="G1014" s="839">
        <f>G1013</f>
        <v>45871</v>
      </c>
      <c r="H1014" s="836">
        <f>H1013</f>
        <v>45889</v>
      </c>
      <c r="I1014" s="853" t="s">
        <v>2840</v>
      </c>
      <c r="J1014" s="872" t="s">
        <v>18</v>
      </c>
      <c r="K1014" s="872" t="s">
        <v>147</v>
      </c>
      <c r="L1014" s="423" t="s">
        <v>20</v>
      </c>
      <c r="M1014" s="884"/>
      <c r="N1014" s="802"/>
      <c r="O1014" s="203"/>
      <c r="P1014" s="203"/>
      <c r="Q1014" s="203"/>
      <c r="R1014" s="203"/>
      <c r="S1014" s="203"/>
      <c r="T1014" s="203"/>
      <c r="U1014" s="203"/>
    </row>
    <row r="1015" s="180" customFormat="1" spans="1:21">
      <c r="A1015" s="687" t="s">
        <v>2728</v>
      </c>
      <c r="B1015" s="687" t="s">
        <v>2807</v>
      </c>
      <c r="C1015" s="671" t="s">
        <v>2087</v>
      </c>
      <c r="D1015" s="250">
        <v>36</v>
      </c>
      <c r="E1015" s="674" t="s">
        <v>2841</v>
      </c>
      <c r="F1015" s="840">
        <v>45861</v>
      </c>
      <c r="G1015" s="840">
        <f>VLOOKUP(CLEAN(SUBSTITUTE(TRIM(MID(E:E,FIND("/",E:E)+1,LEN(E:E)))," ","")),'Customs Decl. &amp; Local Delivery'!D:I,6,0)</f>
        <v>45871</v>
      </c>
      <c r="H1015" s="841">
        <f>VLOOKUP(CLEAN(SUBSTITUTE(TRIM(MID(E:E,FIND("/",E:E)+1,LEN(E:E)))," ","")),'Customs Decl. &amp; Local Delivery'!D:J,7,0)</f>
        <v>45889</v>
      </c>
      <c r="I1015" s="690" t="s">
        <v>2842</v>
      </c>
      <c r="J1015" s="751" t="s">
        <v>18</v>
      </c>
      <c r="K1015" s="751" t="s">
        <v>147</v>
      </c>
      <c r="L1015" s="347" t="s">
        <v>20</v>
      </c>
      <c r="M1015" s="687" t="s">
        <v>2834</v>
      </c>
      <c r="N1015" s="802"/>
      <c r="O1015" s="203"/>
      <c r="P1015" s="203"/>
      <c r="Q1015" s="203"/>
      <c r="R1015" s="203"/>
      <c r="S1015" s="203"/>
      <c r="T1015" s="203"/>
      <c r="U1015" s="203"/>
    </row>
    <row r="1016" s="180" customFormat="1" spans="1:21">
      <c r="A1016" s="687" t="s">
        <v>2728</v>
      </c>
      <c r="B1016" s="687" t="s">
        <v>2807</v>
      </c>
      <c r="C1016" s="732" t="s">
        <v>2140</v>
      </c>
      <c r="D1016" s="313">
        <v>200</v>
      </c>
      <c r="E1016" s="69"/>
      <c r="F1016" s="840">
        <v>45861</v>
      </c>
      <c r="G1016" s="703">
        <f>G1015</f>
        <v>45871</v>
      </c>
      <c r="H1016" s="676">
        <f>H1015</f>
        <v>45889</v>
      </c>
      <c r="I1016" s="690" t="s">
        <v>2842</v>
      </c>
      <c r="J1016" s="751" t="s">
        <v>18</v>
      </c>
      <c r="K1016" s="751" t="s">
        <v>147</v>
      </c>
      <c r="L1016" s="347" t="s">
        <v>20</v>
      </c>
      <c r="M1016" s="885"/>
      <c r="N1016" s="843"/>
      <c r="O1016" s="203"/>
      <c r="P1016" s="203"/>
      <c r="Q1016" s="203"/>
      <c r="R1016" s="203"/>
      <c r="S1016" s="203"/>
      <c r="T1016" s="203"/>
      <c r="U1016" s="203"/>
    </row>
    <row r="1017" s="180" customFormat="1" ht="23" customHeight="1" spans="1:21">
      <c r="A1017" s="826" t="s">
        <v>2728</v>
      </c>
      <c r="B1017" s="826" t="s">
        <v>2807</v>
      </c>
      <c r="C1017" s="866" t="s">
        <v>2087</v>
      </c>
      <c r="D1017" s="392">
        <v>35</v>
      </c>
      <c r="E1017" s="809" t="s">
        <v>2843</v>
      </c>
      <c r="F1017" s="830">
        <v>45861</v>
      </c>
      <c r="G1017" s="830">
        <f>VLOOKUP(CLEAN(SUBSTITUTE(TRIM(MID(E:E,FIND("/",E:E)+1,LEN(E:E)))," ","")),'Customs Decl. &amp; Local Delivery'!D:I,6,0)</f>
        <v>45871</v>
      </c>
      <c r="H1017" s="831">
        <f>VLOOKUP(CLEAN(SUBSTITUTE(TRIM(MID(E:E,FIND("/",E:E)+1,LEN(E:E)))," ","")),'Customs Decl. &amp; Local Delivery'!D:J,7,0)</f>
        <v>45889</v>
      </c>
      <c r="I1017" s="886" t="s">
        <v>2844</v>
      </c>
      <c r="J1017" s="872" t="s">
        <v>18</v>
      </c>
      <c r="K1017" s="872" t="s">
        <v>147</v>
      </c>
      <c r="L1017" s="423" t="s">
        <v>20</v>
      </c>
      <c r="M1017" s="868" t="s">
        <v>2845</v>
      </c>
      <c r="N1017" s="802"/>
      <c r="O1017" s="203"/>
      <c r="P1017" s="203"/>
      <c r="Q1017" s="203"/>
      <c r="R1017" s="203"/>
      <c r="S1017" s="203"/>
      <c r="T1017" s="203"/>
      <c r="U1017" s="203"/>
    </row>
    <row r="1018" s="180" customFormat="1" ht="20" customHeight="1" spans="1:21">
      <c r="A1018" s="826" t="s">
        <v>2728</v>
      </c>
      <c r="B1018" s="826" t="s">
        <v>2807</v>
      </c>
      <c r="C1018" s="866" t="s">
        <v>2090</v>
      </c>
      <c r="D1018" s="392">
        <v>70</v>
      </c>
      <c r="E1018" s="281"/>
      <c r="F1018" s="830">
        <v>45861</v>
      </c>
      <c r="G1018" s="839">
        <f>G1017</f>
        <v>45871</v>
      </c>
      <c r="H1018" s="836">
        <f>H1017</f>
        <v>45889</v>
      </c>
      <c r="I1018" s="886" t="s">
        <v>2844</v>
      </c>
      <c r="J1018" s="872" t="s">
        <v>18</v>
      </c>
      <c r="K1018" s="872" t="s">
        <v>147</v>
      </c>
      <c r="L1018" s="423" t="s">
        <v>20</v>
      </c>
      <c r="M1018" s="868" t="s">
        <v>2834</v>
      </c>
      <c r="N1018" s="802"/>
      <c r="O1018" s="203"/>
      <c r="P1018" s="203"/>
      <c r="Q1018" s="203"/>
      <c r="R1018" s="203"/>
      <c r="S1018" s="203"/>
      <c r="T1018" s="203"/>
      <c r="U1018" s="203"/>
    </row>
    <row r="1019" s="180" customFormat="1" ht="20" customHeight="1" spans="1:21">
      <c r="A1019" s="826" t="s">
        <v>2728</v>
      </c>
      <c r="B1019" s="826" t="s">
        <v>2807</v>
      </c>
      <c r="C1019" s="837" t="s">
        <v>2114</v>
      </c>
      <c r="D1019" s="394">
        <v>100</v>
      </c>
      <c r="E1019" s="281"/>
      <c r="F1019" s="830">
        <v>45861</v>
      </c>
      <c r="G1019" s="839">
        <f>G1018</f>
        <v>45871</v>
      </c>
      <c r="H1019" s="836">
        <f>H1018</f>
        <v>45889</v>
      </c>
      <c r="I1019" s="886" t="s">
        <v>2844</v>
      </c>
      <c r="J1019" s="872" t="s">
        <v>18</v>
      </c>
      <c r="K1019" s="872" t="s">
        <v>147</v>
      </c>
      <c r="L1019" s="423" t="s">
        <v>20</v>
      </c>
      <c r="M1019" s="884"/>
      <c r="N1019" s="802"/>
      <c r="O1019" s="203"/>
      <c r="P1019" s="203"/>
      <c r="Q1019" s="203"/>
      <c r="R1019" s="203"/>
      <c r="S1019" s="203"/>
      <c r="T1019" s="203"/>
      <c r="U1019" s="203"/>
    </row>
    <row r="1020" s="180" customFormat="1" spans="1:21">
      <c r="A1020" s="826" t="s">
        <v>2728</v>
      </c>
      <c r="B1020" s="826" t="s">
        <v>2807</v>
      </c>
      <c r="C1020" s="866" t="s">
        <v>2087</v>
      </c>
      <c r="D1020" s="392">
        <v>36</v>
      </c>
      <c r="E1020" s="809" t="s">
        <v>2846</v>
      </c>
      <c r="F1020" s="830">
        <v>45861</v>
      </c>
      <c r="G1020" s="830">
        <f>VLOOKUP(CLEAN(SUBSTITUTE(TRIM(MID(E:E,FIND("/",E:E)+1,LEN(E:E)))," ","")),'Customs Decl. &amp; Local Delivery'!D:I,6,0)</f>
        <v>45871</v>
      </c>
      <c r="H1020" s="831">
        <f>VLOOKUP(CLEAN(SUBSTITUTE(TRIM(MID(E:E,FIND("/",E:E)+1,LEN(E:E)))," ","")),'Customs Decl. &amp; Local Delivery'!D:J,7,0)</f>
        <v>45889</v>
      </c>
      <c r="I1020" s="886" t="s">
        <v>2847</v>
      </c>
      <c r="J1020" s="872" t="s">
        <v>18</v>
      </c>
      <c r="K1020" s="872" t="s">
        <v>2248</v>
      </c>
      <c r="L1020" s="423" t="s">
        <v>20</v>
      </c>
      <c r="M1020" s="826" t="s">
        <v>2834</v>
      </c>
      <c r="N1020" s="802"/>
      <c r="O1020" s="203"/>
      <c r="P1020" s="203"/>
      <c r="Q1020" s="203"/>
      <c r="R1020" s="203"/>
      <c r="S1020" s="203"/>
      <c r="T1020" s="203"/>
      <c r="U1020" s="203"/>
    </row>
    <row r="1021" s="180" customFormat="1" spans="1:21">
      <c r="A1021" s="826" t="s">
        <v>2728</v>
      </c>
      <c r="B1021" s="826" t="s">
        <v>2807</v>
      </c>
      <c r="C1021" s="837" t="s">
        <v>2182</v>
      </c>
      <c r="D1021" s="394">
        <v>180</v>
      </c>
      <c r="E1021" s="69"/>
      <c r="F1021" s="830">
        <v>45861</v>
      </c>
      <c r="G1021" s="839">
        <f>G1020</f>
        <v>45871</v>
      </c>
      <c r="H1021" s="836">
        <f>H1020</f>
        <v>45889</v>
      </c>
      <c r="I1021" s="886" t="s">
        <v>2847</v>
      </c>
      <c r="J1021" s="872" t="s">
        <v>18</v>
      </c>
      <c r="K1021" s="872" t="s">
        <v>2248</v>
      </c>
      <c r="L1021" s="423" t="s">
        <v>20</v>
      </c>
      <c r="M1021" s="884"/>
      <c r="N1021" s="802"/>
      <c r="O1021" s="203"/>
      <c r="P1021" s="203"/>
      <c r="Q1021" s="203"/>
      <c r="R1021" s="203"/>
      <c r="S1021" s="203"/>
      <c r="T1021" s="203"/>
      <c r="U1021" s="203"/>
    </row>
    <row r="1022" s="180" customFormat="1" spans="1:21">
      <c r="A1022" s="687" t="s">
        <v>2728</v>
      </c>
      <c r="B1022" s="687" t="s">
        <v>2807</v>
      </c>
      <c r="C1022" s="671" t="s">
        <v>2087</v>
      </c>
      <c r="D1022" s="250">
        <v>36</v>
      </c>
      <c r="E1022" s="674" t="s">
        <v>2848</v>
      </c>
      <c r="F1022" s="840">
        <v>45861</v>
      </c>
      <c r="G1022" s="840">
        <f>VLOOKUP(CLEAN(SUBSTITUTE(TRIM(MID(E:E,FIND("/",E:E)+1,LEN(E:E)))," ","")),'Customs Decl. &amp; Local Delivery'!D:I,6,0)</f>
        <v>45871</v>
      </c>
      <c r="H1022" s="841">
        <f>VLOOKUP(CLEAN(SUBSTITUTE(TRIM(MID(E:E,FIND("/",E:E)+1,LEN(E:E)))," ","")),'Customs Decl. &amp; Local Delivery'!D:J,7,0)</f>
        <v>45889</v>
      </c>
      <c r="I1022" s="784" t="s">
        <v>2849</v>
      </c>
      <c r="J1022" s="751" t="s">
        <v>18</v>
      </c>
      <c r="K1022" s="751" t="s">
        <v>147</v>
      </c>
      <c r="L1022" s="347" t="s">
        <v>20</v>
      </c>
      <c r="M1022" s="687" t="s">
        <v>2834</v>
      </c>
      <c r="N1022" s="802"/>
      <c r="O1022" s="203"/>
      <c r="P1022" s="203"/>
      <c r="Q1022" s="203"/>
      <c r="R1022" s="203"/>
      <c r="S1022" s="203"/>
      <c r="T1022" s="203"/>
      <c r="U1022" s="203"/>
    </row>
    <row r="1023" s="180" customFormat="1" spans="1:21">
      <c r="A1023" s="687" t="s">
        <v>2728</v>
      </c>
      <c r="B1023" s="687" t="s">
        <v>2807</v>
      </c>
      <c r="C1023" s="671" t="s">
        <v>2092</v>
      </c>
      <c r="D1023" s="250">
        <v>130</v>
      </c>
      <c r="E1023" s="69"/>
      <c r="F1023" s="840">
        <v>45861</v>
      </c>
      <c r="G1023" s="703">
        <f>G1022</f>
        <v>45871</v>
      </c>
      <c r="H1023" s="676">
        <f>H1022</f>
        <v>45889</v>
      </c>
      <c r="I1023" s="784" t="s">
        <v>2849</v>
      </c>
      <c r="J1023" s="751" t="s">
        <v>18</v>
      </c>
      <c r="K1023" s="751" t="s">
        <v>147</v>
      </c>
      <c r="L1023" s="347" t="s">
        <v>20</v>
      </c>
      <c r="M1023" s="885"/>
      <c r="N1023" s="802"/>
      <c r="O1023" s="203"/>
      <c r="P1023" s="203"/>
      <c r="Q1023" s="203"/>
      <c r="R1023" s="203"/>
      <c r="S1023" s="203"/>
      <c r="T1023" s="203"/>
      <c r="U1023" s="203"/>
    </row>
    <row r="1024" s="180" customFormat="1" spans="1:21">
      <c r="A1024" s="687" t="s">
        <v>2728</v>
      </c>
      <c r="B1024" s="687" t="s">
        <v>2807</v>
      </c>
      <c r="C1024" s="732" t="s">
        <v>2182</v>
      </c>
      <c r="D1024" s="313">
        <v>20</v>
      </c>
      <c r="E1024" s="69"/>
      <c r="F1024" s="840">
        <v>45861</v>
      </c>
      <c r="G1024" s="703">
        <f>G1023</f>
        <v>45871</v>
      </c>
      <c r="H1024" s="676">
        <f>H1023</f>
        <v>45889</v>
      </c>
      <c r="I1024" s="784" t="s">
        <v>2849</v>
      </c>
      <c r="J1024" s="751" t="s">
        <v>18</v>
      </c>
      <c r="K1024" s="751" t="s">
        <v>147</v>
      </c>
      <c r="L1024" s="347" t="s">
        <v>20</v>
      </c>
      <c r="M1024" s="885"/>
      <c r="N1024" s="802"/>
      <c r="O1024" s="203"/>
      <c r="P1024" s="203"/>
      <c r="Q1024" s="203"/>
      <c r="R1024" s="203"/>
      <c r="S1024" s="203"/>
      <c r="T1024" s="203"/>
      <c r="U1024" s="203"/>
    </row>
    <row r="1025" s="180" customFormat="1" spans="1:21">
      <c r="A1025" s="687" t="s">
        <v>2728</v>
      </c>
      <c r="B1025" s="687" t="s">
        <v>2807</v>
      </c>
      <c r="C1025" s="671" t="s">
        <v>2087</v>
      </c>
      <c r="D1025" s="250">
        <v>36</v>
      </c>
      <c r="E1025" s="674" t="s">
        <v>2850</v>
      </c>
      <c r="F1025" s="840">
        <v>45861</v>
      </c>
      <c r="G1025" s="840">
        <f>VLOOKUP(CLEAN(SUBSTITUTE(TRIM(MID(E:E,FIND("/",E:E)+1,LEN(E:E)))," ","")),'Customs Decl. &amp; Local Delivery'!D:I,6,0)</f>
        <v>45871</v>
      </c>
      <c r="H1025" s="841">
        <f>VLOOKUP(CLEAN(SUBSTITUTE(TRIM(MID(E:E,FIND("/",E:E)+1,LEN(E:E)))," ","")),'Customs Decl. &amp; Local Delivery'!D:J,7,0)</f>
        <v>45889</v>
      </c>
      <c r="I1025" s="784" t="s">
        <v>2851</v>
      </c>
      <c r="J1025" s="751" t="s">
        <v>18</v>
      </c>
      <c r="K1025" s="751" t="s">
        <v>2687</v>
      </c>
      <c r="L1025" s="347" t="s">
        <v>20</v>
      </c>
      <c r="M1025" s="687" t="s">
        <v>2834</v>
      </c>
      <c r="N1025" s="802"/>
      <c r="O1025" s="203"/>
      <c r="P1025" s="203"/>
      <c r="Q1025" s="203"/>
      <c r="R1025" s="203"/>
      <c r="S1025" s="203"/>
      <c r="T1025" s="203"/>
      <c r="U1025" s="203"/>
    </row>
    <row r="1026" s="180" customFormat="1" spans="1:21">
      <c r="A1026" s="687" t="s">
        <v>2728</v>
      </c>
      <c r="B1026" s="687" t="s">
        <v>2807</v>
      </c>
      <c r="C1026" s="671" t="s">
        <v>2093</v>
      </c>
      <c r="D1026" s="250">
        <v>120</v>
      </c>
      <c r="E1026" s="69"/>
      <c r="F1026" s="840">
        <v>45861</v>
      </c>
      <c r="G1026" s="703">
        <f>G1025</f>
        <v>45871</v>
      </c>
      <c r="H1026" s="676">
        <f>H1025</f>
        <v>45889</v>
      </c>
      <c r="I1026" s="784" t="s">
        <v>2851</v>
      </c>
      <c r="J1026" s="751" t="s">
        <v>18</v>
      </c>
      <c r="K1026" s="751" t="s">
        <v>2687</v>
      </c>
      <c r="L1026" s="347" t="s">
        <v>20</v>
      </c>
      <c r="M1026" s="885"/>
      <c r="N1026" s="802"/>
      <c r="O1026" s="203"/>
      <c r="P1026" s="203"/>
      <c r="Q1026" s="203"/>
      <c r="R1026" s="203"/>
      <c r="S1026" s="203"/>
      <c r="T1026" s="203"/>
      <c r="U1026" s="203"/>
    </row>
    <row r="1027" s="180" customFormat="1" spans="1:21">
      <c r="A1027" s="826" t="s">
        <v>2728</v>
      </c>
      <c r="B1027" s="826" t="s">
        <v>2807</v>
      </c>
      <c r="C1027" s="866" t="s">
        <v>2087</v>
      </c>
      <c r="D1027" s="392">
        <v>36</v>
      </c>
      <c r="E1027" s="809" t="s">
        <v>2852</v>
      </c>
      <c r="F1027" s="830">
        <v>45861</v>
      </c>
      <c r="G1027" s="830">
        <f>VLOOKUP(CLEAN(SUBSTITUTE(TRIM(MID(E:E,FIND("/",E:E)+1,LEN(E:E)))," ","")),'Customs Decl. &amp; Local Delivery'!D:I,6,0)</f>
        <v>45871</v>
      </c>
      <c r="H1027" s="831">
        <f>VLOOKUP(CLEAN(SUBSTITUTE(TRIM(MID(E:E,FIND("/",E:E)+1,LEN(E:E)))," ","")),'Customs Decl. &amp; Local Delivery'!D:J,7,0)</f>
        <v>45889</v>
      </c>
      <c r="I1027" s="886" t="s">
        <v>2853</v>
      </c>
      <c r="J1027" s="872" t="s">
        <v>18</v>
      </c>
      <c r="K1027" s="872" t="s">
        <v>576</v>
      </c>
      <c r="L1027" s="423" t="s">
        <v>20</v>
      </c>
      <c r="M1027" s="826" t="s">
        <v>2854</v>
      </c>
      <c r="N1027" s="802"/>
      <c r="O1027" s="203"/>
      <c r="P1027" s="203"/>
      <c r="Q1027" s="203"/>
      <c r="R1027" s="203"/>
      <c r="S1027" s="203"/>
      <c r="T1027" s="203"/>
      <c r="U1027" s="203"/>
    </row>
    <row r="1028" s="180" customFormat="1" spans="1:21">
      <c r="A1028" s="826" t="s">
        <v>2728</v>
      </c>
      <c r="B1028" s="826" t="s">
        <v>2807</v>
      </c>
      <c r="C1028" s="866" t="s">
        <v>2092</v>
      </c>
      <c r="D1028" s="392">
        <v>150</v>
      </c>
      <c r="E1028" s="69"/>
      <c r="F1028" s="830">
        <v>45861</v>
      </c>
      <c r="G1028" s="839">
        <f>G1027</f>
        <v>45871</v>
      </c>
      <c r="H1028" s="836">
        <f>H1027</f>
        <v>45889</v>
      </c>
      <c r="I1028" s="886" t="s">
        <v>2853</v>
      </c>
      <c r="J1028" s="872" t="s">
        <v>18</v>
      </c>
      <c r="K1028" s="872" t="s">
        <v>576</v>
      </c>
      <c r="L1028" s="423" t="s">
        <v>20</v>
      </c>
      <c r="M1028" s="826" t="s">
        <v>2834</v>
      </c>
      <c r="N1028" s="802"/>
      <c r="O1028" s="203"/>
      <c r="P1028" s="203"/>
      <c r="Q1028" s="203"/>
      <c r="R1028" s="203"/>
      <c r="S1028" s="203"/>
      <c r="T1028" s="203"/>
      <c r="U1028" s="203"/>
    </row>
    <row r="1029" s="180" customFormat="1" ht="15.4" customHeight="1" spans="1:21">
      <c r="A1029" s="887" t="s">
        <v>2855</v>
      </c>
      <c r="B1029" s="853" t="s">
        <v>2856</v>
      </c>
      <c r="C1029" s="866" t="s">
        <v>2857</v>
      </c>
      <c r="D1029" s="392">
        <v>1</v>
      </c>
      <c r="E1029" s="888" t="s">
        <v>2858</v>
      </c>
      <c r="F1029" s="830">
        <v>45870</v>
      </c>
      <c r="G1029" s="830">
        <f>VLOOKUP(CLEAN(SUBSTITUTE(TRIM(MID(E:E,FIND("/",E:E)+1,LEN(E:E)))," ","")),'Customs Decl. &amp; Local Delivery'!D:I,6,0)</f>
        <v>45880</v>
      </c>
      <c r="H1029" s="831">
        <f>VLOOKUP(CLEAN(SUBSTITUTE(TRIM(MID(E:E,FIND("/",E:E)+1,LEN(E:E)))," ","")),'Customs Decl. &amp; Local Delivery'!D:J,7,0)</f>
        <v>45905</v>
      </c>
      <c r="I1029" s="887" t="s">
        <v>2859</v>
      </c>
      <c r="J1029" s="872" t="s">
        <v>18</v>
      </c>
      <c r="K1029" s="887" t="s">
        <v>2860</v>
      </c>
      <c r="L1029" s="423" t="s">
        <v>20</v>
      </c>
      <c r="M1029" s="887" t="s">
        <v>2861</v>
      </c>
      <c r="N1029" s="684"/>
      <c r="O1029" s="203"/>
      <c r="P1029" s="203"/>
      <c r="Q1029" s="203"/>
      <c r="R1029" s="203"/>
      <c r="S1029" s="203"/>
      <c r="T1029" s="203"/>
      <c r="U1029" s="203"/>
    </row>
    <row r="1030" s="180" customFormat="1" ht="15.4" customHeight="1" spans="1:21">
      <c r="A1030" s="826" t="s">
        <v>2855</v>
      </c>
      <c r="B1030" s="853" t="s">
        <v>2856</v>
      </c>
      <c r="C1030" s="866" t="s">
        <v>2862</v>
      </c>
      <c r="D1030" s="392">
        <v>2</v>
      </c>
      <c r="E1030" s="281"/>
      <c r="F1030" s="830">
        <v>45870</v>
      </c>
      <c r="G1030" s="889">
        <f t="shared" ref="G1030:G1043" si="70">G1029</f>
        <v>45880</v>
      </c>
      <c r="H1030" s="836">
        <f t="shared" ref="H1030:H1043" si="71">H1029</f>
        <v>45905</v>
      </c>
      <c r="I1030" s="887" t="s">
        <v>2859</v>
      </c>
      <c r="J1030" s="872" t="s">
        <v>18</v>
      </c>
      <c r="K1030" s="887" t="s">
        <v>2860</v>
      </c>
      <c r="L1030" s="423" t="s">
        <v>20</v>
      </c>
      <c r="M1030" s="887" t="s">
        <v>2863</v>
      </c>
      <c r="N1030" s="684"/>
      <c r="O1030" s="203"/>
      <c r="P1030" s="203"/>
      <c r="Q1030" s="203"/>
      <c r="R1030" s="203"/>
      <c r="S1030" s="203"/>
      <c r="T1030" s="203"/>
      <c r="U1030" s="203"/>
    </row>
    <row r="1031" s="180" customFormat="1" ht="15.4" customHeight="1" spans="1:21">
      <c r="A1031" s="826" t="s">
        <v>2855</v>
      </c>
      <c r="B1031" s="853" t="s">
        <v>2856</v>
      </c>
      <c r="C1031" s="866" t="s">
        <v>2864</v>
      </c>
      <c r="D1031" s="392">
        <v>1</v>
      </c>
      <c r="E1031" s="281"/>
      <c r="F1031" s="830">
        <v>45870</v>
      </c>
      <c r="G1031" s="889">
        <f t="shared" si="70"/>
        <v>45880</v>
      </c>
      <c r="H1031" s="836">
        <f t="shared" si="71"/>
        <v>45905</v>
      </c>
      <c r="I1031" s="887" t="s">
        <v>2859</v>
      </c>
      <c r="J1031" s="872" t="s">
        <v>18</v>
      </c>
      <c r="K1031" s="887" t="s">
        <v>2860</v>
      </c>
      <c r="L1031" s="423" t="s">
        <v>20</v>
      </c>
      <c r="M1031" s="887"/>
      <c r="N1031" s="684"/>
      <c r="O1031" s="203"/>
      <c r="P1031" s="203"/>
      <c r="Q1031" s="203"/>
      <c r="R1031" s="203"/>
      <c r="S1031" s="203"/>
      <c r="T1031" s="203"/>
      <c r="U1031" s="203"/>
    </row>
    <row r="1032" s="180" customFormat="1" ht="15.4" customHeight="1" spans="1:21">
      <c r="A1032" s="826" t="s">
        <v>2855</v>
      </c>
      <c r="B1032" s="853" t="s">
        <v>2856</v>
      </c>
      <c r="C1032" s="866" t="s">
        <v>2865</v>
      </c>
      <c r="D1032" s="392">
        <v>1</v>
      </c>
      <c r="E1032" s="281"/>
      <c r="F1032" s="830">
        <v>45870</v>
      </c>
      <c r="G1032" s="889">
        <f t="shared" si="70"/>
        <v>45880</v>
      </c>
      <c r="H1032" s="836">
        <f t="shared" si="71"/>
        <v>45905</v>
      </c>
      <c r="I1032" s="887" t="s">
        <v>2859</v>
      </c>
      <c r="J1032" s="872" t="s">
        <v>18</v>
      </c>
      <c r="K1032" s="887" t="s">
        <v>2860</v>
      </c>
      <c r="L1032" s="423" t="s">
        <v>20</v>
      </c>
      <c r="M1032" s="887"/>
      <c r="N1032" s="684"/>
      <c r="O1032" s="203"/>
      <c r="P1032" s="203"/>
      <c r="Q1032" s="203"/>
      <c r="R1032" s="203"/>
      <c r="S1032" s="203"/>
      <c r="T1032" s="203"/>
      <c r="U1032" s="203"/>
    </row>
    <row r="1033" s="180" customFormat="1" ht="15.4" customHeight="1" spans="1:21">
      <c r="A1033" s="887" t="s">
        <v>2855</v>
      </c>
      <c r="B1033" s="853" t="s">
        <v>2856</v>
      </c>
      <c r="C1033" s="886" t="s">
        <v>2866</v>
      </c>
      <c r="D1033" s="395">
        <v>3</v>
      </c>
      <c r="E1033" s="281"/>
      <c r="F1033" s="830">
        <v>45870</v>
      </c>
      <c r="G1033" s="889">
        <f t="shared" si="70"/>
        <v>45880</v>
      </c>
      <c r="H1033" s="836">
        <f t="shared" si="71"/>
        <v>45905</v>
      </c>
      <c r="I1033" s="887" t="s">
        <v>2859</v>
      </c>
      <c r="J1033" s="872" t="s">
        <v>18</v>
      </c>
      <c r="K1033" s="887" t="s">
        <v>2860</v>
      </c>
      <c r="L1033" s="423" t="s">
        <v>20</v>
      </c>
      <c r="M1033" s="887"/>
      <c r="N1033" s="684"/>
      <c r="O1033" s="203"/>
      <c r="P1033" s="203"/>
      <c r="Q1033" s="203"/>
      <c r="R1033" s="203"/>
      <c r="S1033" s="203"/>
      <c r="T1033" s="203"/>
      <c r="U1033" s="203"/>
    </row>
    <row r="1034" s="180" customFormat="1" ht="15.4" customHeight="1" spans="1:21">
      <c r="A1034" s="887" t="s">
        <v>2855</v>
      </c>
      <c r="B1034" s="853" t="s">
        <v>2856</v>
      </c>
      <c r="C1034" s="886" t="s">
        <v>2867</v>
      </c>
      <c r="D1034" s="395">
        <v>1</v>
      </c>
      <c r="E1034" s="281"/>
      <c r="F1034" s="830">
        <v>45870</v>
      </c>
      <c r="G1034" s="889">
        <f t="shared" si="70"/>
        <v>45880</v>
      </c>
      <c r="H1034" s="836">
        <f t="shared" si="71"/>
        <v>45905</v>
      </c>
      <c r="I1034" s="887" t="s">
        <v>2859</v>
      </c>
      <c r="J1034" s="872" t="s">
        <v>18</v>
      </c>
      <c r="K1034" s="887" t="s">
        <v>2860</v>
      </c>
      <c r="L1034" s="423" t="s">
        <v>20</v>
      </c>
      <c r="M1034" s="887"/>
      <c r="N1034" s="684"/>
      <c r="O1034" s="203"/>
      <c r="P1034" s="203"/>
      <c r="Q1034" s="203"/>
      <c r="R1034" s="203"/>
      <c r="S1034" s="203"/>
      <c r="T1034" s="203"/>
      <c r="U1034" s="203"/>
    </row>
    <row r="1035" s="180" customFormat="1" ht="15.4" customHeight="1" spans="1:21">
      <c r="A1035" s="887" t="s">
        <v>2855</v>
      </c>
      <c r="B1035" s="853" t="s">
        <v>2856</v>
      </c>
      <c r="C1035" s="866" t="s">
        <v>2868</v>
      </c>
      <c r="D1035" s="392">
        <v>1</v>
      </c>
      <c r="E1035" s="281"/>
      <c r="F1035" s="830">
        <v>45870</v>
      </c>
      <c r="G1035" s="889">
        <f t="shared" si="70"/>
        <v>45880</v>
      </c>
      <c r="H1035" s="836">
        <f t="shared" si="71"/>
        <v>45905</v>
      </c>
      <c r="I1035" s="887" t="s">
        <v>2859</v>
      </c>
      <c r="J1035" s="872" t="s">
        <v>18</v>
      </c>
      <c r="K1035" s="887" t="s">
        <v>2860</v>
      </c>
      <c r="L1035" s="423" t="s">
        <v>20</v>
      </c>
      <c r="M1035" s="887"/>
      <c r="N1035" s="684"/>
      <c r="O1035" s="203"/>
      <c r="P1035" s="203"/>
      <c r="Q1035" s="203"/>
      <c r="R1035" s="203"/>
      <c r="S1035" s="203"/>
      <c r="T1035" s="203"/>
      <c r="U1035" s="203"/>
    </row>
    <row r="1036" s="180" customFormat="1" ht="15.4" customHeight="1" spans="1:21">
      <c r="A1036" s="826" t="s">
        <v>2855</v>
      </c>
      <c r="B1036" s="853" t="s">
        <v>2856</v>
      </c>
      <c r="C1036" s="866" t="s">
        <v>2790</v>
      </c>
      <c r="D1036" s="392">
        <v>3</v>
      </c>
      <c r="E1036" s="281"/>
      <c r="F1036" s="830">
        <v>45870</v>
      </c>
      <c r="G1036" s="889">
        <f t="shared" si="70"/>
        <v>45880</v>
      </c>
      <c r="H1036" s="836">
        <f t="shared" si="71"/>
        <v>45905</v>
      </c>
      <c r="I1036" s="887" t="s">
        <v>2859</v>
      </c>
      <c r="J1036" s="872" t="s">
        <v>18</v>
      </c>
      <c r="K1036" s="887" t="s">
        <v>2860</v>
      </c>
      <c r="L1036" s="423" t="s">
        <v>20</v>
      </c>
      <c r="M1036" s="887"/>
      <c r="N1036" s="684"/>
      <c r="O1036" s="203"/>
      <c r="P1036" s="203"/>
      <c r="Q1036" s="203"/>
      <c r="R1036" s="203"/>
      <c r="S1036" s="203"/>
      <c r="T1036" s="203"/>
      <c r="U1036" s="203"/>
    </row>
    <row r="1037" s="180" customFormat="1" ht="15.4" customHeight="1" spans="1:21">
      <c r="A1037" s="826" t="s">
        <v>2855</v>
      </c>
      <c r="B1037" s="853" t="s">
        <v>2856</v>
      </c>
      <c r="C1037" s="866" t="s">
        <v>2869</v>
      </c>
      <c r="D1037" s="392">
        <v>1</v>
      </c>
      <c r="E1037" s="281"/>
      <c r="F1037" s="830">
        <v>45870</v>
      </c>
      <c r="G1037" s="889">
        <f t="shared" si="70"/>
        <v>45880</v>
      </c>
      <c r="H1037" s="836">
        <f t="shared" si="71"/>
        <v>45905</v>
      </c>
      <c r="I1037" s="887" t="s">
        <v>2859</v>
      </c>
      <c r="J1037" s="872" t="s">
        <v>18</v>
      </c>
      <c r="K1037" s="887" t="s">
        <v>2860</v>
      </c>
      <c r="L1037" s="423" t="s">
        <v>20</v>
      </c>
      <c r="M1037" s="887"/>
      <c r="N1037" s="684"/>
      <c r="O1037" s="203"/>
      <c r="P1037" s="203"/>
      <c r="Q1037" s="203"/>
      <c r="R1037" s="203"/>
      <c r="S1037" s="203"/>
      <c r="T1037" s="203"/>
      <c r="U1037" s="203"/>
    </row>
    <row r="1038" s="180" customFormat="1" ht="15.4" customHeight="1" spans="1:21">
      <c r="A1038" s="887" t="s">
        <v>2855</v>
      </c>
      <c r="B1038" s="853" t="s">
        <v>2856</v>
      </c>
      <c r="C1038" s="866" t="s">
        <v>2870</v>
      </c>
      <c r="D1038" s="392">
        <v>2</v>
      </c>
      <c r="E1038" s="281"/>
      <c r="F1038" s="830">
        <v>45870</v>
      </c>
      <c r="G1038" s="889">
        <f t="shared" si="70"/>
        <v>45880</v>
      </c>
      <c r="H1038" s="836">
        <f t="shared" si="71"/>
        <v>45905</v>
      </c>
      <c r="I1038" s="887" t="s">
        <v>2859</v>
      </c>
      <c r="J1038" s="872" t="s">
        <v>18</v>
      </c>
      <c r="K1038" s="887" t="s">
        <v>2860</v>
      </c>
      <c r="L1038" s="423" t="s">
        <v>20</v>
      </c>
      <c r="M1038" s="887"/>
      <c r="N1038" s="684"/>
      <c r="O1038" s="203"/>
      <c r="P1038" s="203"/>
      <c r="Q1038" s="203"/>
      <c r="R1038" s="203"/>
      <c r="S1038" s="203"/>
      <c r="T1038" s="203"/>
      <c r="U1038" s="203"/>
    </row>
    <row r="1039" s="180" customFormat="1" ht="17" customHeight="1" spans="1:21">
      <c r="A1039" s="887" t="s">
        <v>2855</v>
      </c>
      <c r="B1039" s="853" t="s">
        <v>2856</v>
      </c>
      <c r="C1039" s="886" t="s">
        <v>2792</v>
      </c>
      <c r="D1039" s="395">
        <v>11</v>
      </c>
      <c r="E1039" s="281"/>
      <c r="F1039" s="830">
        <v>45870</v>
      </c>
      <c r="G1039" s="889">
        <f t="shared" si="70"/>
        <v>45880</v>
      </c>
      <c r="H1039" s="836">
        <f t="shared" si="71"/>
        <v>45905</v>
      </c>
      <c r="I1039" s="887" t="s">
        <v>2859</v>
      </c>
      <c r="J1039" s="872" t="s">
        <v>18</v>
      </c>
      <c r="K1039" s="887" t="s">
        <v>2860</v>
      </c>
      <c r="L1039" s="423" t="s">
        <v>20</v>
      </c>
      <c r="M1039" s="887"/>
      <c r="N1039" s="684"/>
      <c r="O1039" s="203"/>
      <c r="P1039" s="325"/>
      <c r="Q1039" s="325"/>
      <c r="R1039" s="325"/>
      <c r="S1039" s="325"/>
      <c r="T1039" s="325"/>
      <c r="U1039" s="325"/>
    </row>
    <row r="1040" s="180" customFormat="1" ht="17" customHeight="1" spans="1:21">
      <c r="A1040" s="887" t="s">
        <v>2855</v>
      </c>
      <c r="B1040" s="853" t="s">
        <v>2856</v>
      </c>
      <c r="C1040" s="886" t="s">
        <v>2871</v>
      </c>
      <c r="D1040" s="395">
        <v>4</v>
      </c>
      <c r="E1040" s="281"/>
      <c r="F1040" s="830">
        <v>45870</v>
      </c>
      <c r="G1040" s="889">
        <f t="shared" si="70"/>
        <v>45880</v>
      </c>
      <c r="H1040" s="836">
        <f t="shared" si="71"/>
        <v>45905</v>
      </c>
      <c r="I1040" s="887" t="s">
        <v>2859</v>
      </c>
      <c r="J1040" s="872" t="s">
        <v>18</v>
      </c>
      <c r="K1040" s="887" t="s">
        <v>2860</v>
      </c>
      <c r="L1040" s="423" t="s">
        <v>20</v>
      </c>
      <c r="M1040" s="887"/>
      <c r="N1040" s="684"/>
      <c r="O1040" s="203"/>
      <c r="P1040" s="325"/>
      <c r="Q1040" s="325"/>
      <c r="R1040" s="325"/>
      <c r="S1040" s="325"/>
      <c r="T1040" s="325"/>
      <c r="U1040" s="325"/>
    </row>
    <row r="1041" ht="17" customHeight="1" spans="1:21">
      <c r="A1041" s="887" t="s">
        <v>2855</v>
      </c>
      <c r="B1041" s="853" t="s">
        <v>2856</v>
      </c>
      <c r="C1041" s="886" t="s">
        <v>2872</v>
      </c>
      <c r="D1041" s="395">
        <v>1</v>
      </c>
      <c r="E1041" s="281"/>
      <c r="F1041" s="830">
        <v>45870</v>
      </c>
      <c r="G1041" s="889">
        <f t="shared" si="70"/>
        <v>45880</v>
      </c>
      <c r="H1041" s="836">
        <f t="shared" si="71"/>
        <v>45905</v>
      </c>
      <c r="I1041" s="887" t="s">
        <v>2859</v>
      </c>
      <c r="J1041" s="872" t="s">
        <v>18</v>
      </c>
      <c r="K1041" s="887" t="s">
        <v>2860</v>
      </c>
      <c r="L1041" s="423" t="s">
        <v>20</v>
      </c>
      <c r="M1041" s="887"/>
      <c r="N1041" s="684"/>
      <c r="O1041" s="512"/>
      <c r="P1041" s="325"/>
      <c r="Q1041" s="325"/>
      <c r="R1041" s="325"/>
      <c r="S1041" s="325"/>
      <c r="T1041" s="325"/>
      <c r="U1041" s="325"/>
    </row>
    <row r="1042" ht="17" customHeight="1" spans="1:21">
      <c r="A1042" s="887" t="s">
        <v>2855</v>
      </c>
      <c r="B1042" s="853" t="s">
        <v>2856</v>
      </c>
      <c r="C1042" s="886" t="s">
        <v>2873</v>
      </c>
      <c r="D1042" s="395">
        <v>1</v>
      </c>
      <c r="E1042" s="281"/>
      <c r="F1042" s="830">
        <v>45870</v>
      </c>
      <c r="G1042" s="889">
        <f t="shared" si="70"/>
        <v>45880</v>
      </c>
      <c r="H1042" s="836">
        <f t="shared" si="71"/>
        <v>45905</v>
      </c>
      <c r="I1042" s="887" t="s">
        <v>2859</v>
      </c>
      <c r="J1042" s="872" t="s">
        <v>18</v>
      </c>
      <c r="K1042" s="887" t="s">
        <v>2860</v>
      </c>
      <c r="L1042" s="423" t="s">
        <v>20</v>
      </c>
      <c r="M1042" s="887"/>
      <c r="N1042" s="684"/>
      <c r="O1042" s="512"/>
      <c r="P1042" s="325"/>
      <c r="Q1042" s="325"/>
      <c r="R1042" s="325"/>
      <c r="S1042" s="325"/>
      <c r="T1042" s="325"/>
      <c r="U1042" s="325"/>
    </row>
    <row r="1043" ht="17" customHeight="1" spans="1:21">
      <c r="A1043" s="887" t="s">
        <v>2855</v>
      </c>
      <c r="B1043" s="853" t="s">
        <v>2856</v>
      </c>
      <c r="C1043" s="886" t="s">
        <v>2874</v>
      </c>
      <c r="D1043" s="395">
        <v>1</v>
      </c>
      <c r="E1043" s="281"/>
      <c r="F1043" s="830">
        <v>45870</v>
      </c>
      <c r="G1043" s="889">
        <f t="shared" si="70"/>
        <v>45880</v>
      </c>
      <c r="H1043" s="836">
        <f t="shared" si="71"/>
        <v>45905</v>
      </c>
      <c r="I1043" s="887" t="s">
        <v>2859</v>
      </c>
      <c r="J1043" s="872" t="s">
        <v>18</v>
      </c>
      <c r="K1043" s="887" t="s">
        <v>2860</v>
      </c>
      <c r="L1043" s="423" t="s">
        <v>20</v>
      </c>
      <c r="M1043" s="887"/>
      <c r="N1043" s="684"/>
      <c r="O1043" s="512"/>
      <c r="P1043" s="325"/>
      <c r="Q1043" s="325"/>
      <c r="R1043" s="325"/>
      <c r="S1043" s="325"/>
      <c r="T1043" s="325"/>
      <c r="U1043" s="325"/>
    </row>
    <row r="1044" ht="20" customHeight="1" spans="1:21">
      <c r="A1044" s="826" t="s">
        <v>2728</v>
      </c>
      <c r="B1044" s="886" t="s">
        <v>2875</v>
      </c>
      <c r="C1044" s="866" t="s">
        <v>2087</v>
      </c>
      <c r="D1044" s="392">
        <v>36</v>
      </c>
      <c r="E1044" s="866" t="s">
        <v>2876</v>
      </c>
      <c r="F1044" s="839" t="s">
        <v>2877</v>
      </c>
      <c r="G1044" s="839" t="s">
        <v>1719</v>
      </c>
      <c r="H1044" s="836" t="s">
        <v>2878</v>
      </c>
      <c r="I1044" s="886"/>
      <c r="J1044" s="872" t="s">
        <v>18</v>
      </c>
      <c r="K1044" s="872" t="s">
        <v>654</v>
      </c>
      <c r="L1044" s="426" t="s">
        <v>1559</v>
      </c>
      <c r="M1044" s="826" t="s">
        <v>2879</v>
      </c>
      <c r="N1044" s="814">
        <v>45893</v>
      </c>
      <c r="O1044" s="203"/>
      <c r="P1044" s="325"/>
      <c r="Q1044" s="325"/>
      <c r="R1044" s="325"/>
      <c r="S1044" s="325"/>
      <c r="T1044" s="325"/>
      <c r="U1044" s="325"/>
    </row>
    <row r="1045" ht="20" customHeight="1" spans="1:21">
      <c r="A1045" s="826" t="s">
        <v>2728</v>
      </c>
      <c r="B1045" s="886" t="s">
        <v>2875</v>
      </c>
      <c r="C1045" s="866" t="s">
        <v>2092</v>
      </c>
      <c r="D1045" s="392">
        <v>150</v>
      </c>
      <c r="E1045" s="281"/>
      <c r="F1045" s="839" t="s">
        <v>2877</v>
      </c>
      <c r="G1045" s="839" t="s">
        <v>1719</v>
      </c>
      <c r="H1045" s="836" t="s">
        <v>2878</v>
      </c>
      <c r="I1045" s="886"/>
      <c r="J1045" s="872" t="s">
        <v>18</v>
      </c>
      <c r="K1045" s="872" t="s">
        <v>654</v>
      </c>
      <c r="L1045" s="426" t="s">
        <v>1559</v>
      </c>
      <c r="M1045" s="826"/>
      <c r="N1045" s="814" t="s">
        <v>2880</v>
      </c>
      <c r="O1045" s="203"/>
      <c r="P1045" s="325"/>
      <c r="Q1045" s="325"/>
      <c r="R1045" s="325"/>
      <c r="S1045" s="325"/>
      <c r="T1045" s="325"/>
      <c r="U1045" s="325"/>
    </row>
    <row r="1046" ht="20" customHeight="1" spans="1:21">
      <c r="A1046" s="826" t="s">
        <v>2728</v>
      </c>
      <c r="B1046" s="886" t="s">
        <v>2875</v>
      </c>
      <c r="C1046" s="866" t="s">
        <v>2087</v>
      </c>
      <c r="D1046" s="392">
        <v>36</v>
      </c>
      <c r="E1046" s="866" t="s">
        <v>2881</v>
      </c>
      <c r="F1046" s="839" t="s">
        <v>2877</v>
      </c>
      <c r="G1046" s="839" t="s">
        <v>1719</v>
      </c>
      <c r="H1046" s="836" t="s">
        <v>2878</v>
      </c>
      <c r="I1046" s="886"/>
      <c r="J1046" s="872" t="s">
        <v>18</v>
      </c>
      <c r="K1046" s="872" t="s">
        <v>654</v>
      </c>
      <c r="L1046" s="426" t="s">
        <v>1559</v>
      </c>
      <c r="M1046" s="826" t="s">
        <v>2879</v>
      </c>
      <c r="N1046" s="814">
        <v>45893</v>
      </c>
      <c r="O1046" s="203"/>
      <c r="P1046" s="325"/>
      <c r="Q1046" s="325"/>
      <c r="R1046" s="325"/>
      <c r="S1046" s="325"/>
      <c r="T1046" s="325"/>
      <c r="U1046" s="325"/>
    </row>
    <row r="1047" ht="20" customHeight="1" spans="1:21">
      <c r="A1047" s="826" t="s">
        <v>2728</v>
      </c>
      <c r="B1047" s="886" t="s">
        <v>2875</v>
      </c>
      <c r="C1047" s="866" t="s">
        <v>2092</v>
      </c>
      <c r="D1047" s="392">
        <v>150</v>
      </c>
      <c r="E1047" s="69"/>
      <c r="F1047" s="839" t="s">
        <v>2877</v>
      </c>
      <c r="G1047" s="839" t="s">
        <v>1719</v>
      </c>
      <c r="H1047" s="836" t="s">
        <v>2878</v>
      </c>
      <c r="I1047" s="886"/>
      <c r="J1047" s="872" t="s">
        <v>18</v>
      </c>
      <c r="K1047" s="872" t="s">
        <v>654</v>
      </c>
      <c r="L1047" s="426" t="s">
        <v>1559</v>
      </c>
      <c r="M1047" s="826"/>
      <c r="N1047" s="814" t="s">
        <v>2880</v>
      </c>
      <c r="O1047" s="203"/>
      <c r="P1047" s="325"/>
      <c r="Q1047" s="325"/>
      <c r="R1047" s="325"/>
      <c r="S1047" s="325"/>
      <c r="T1047" s="325"/>
      <c r="U1047" s="325"/>
    </row>
    <row r="1048" ht="20" customHeight="1" spans="1:21">
      <c r="A1048" s="826" t="s">
        <v>2728</v>
      </c>
      <c r="B1048" s="886" t="s">
        <v>2875</v>
      </c>
      <c r="C1048" s="866" t="s">
        <v>2087</v>
      </c>
      <c r="D1048" s="392">
        <v>36</v>
      </c>
      <c r="E1048" s="866" t="s">
        <v>2882</v>
      </c>
      <c r="F1048" s="839" t="s">
        <v>2877</v>
      </c>
      <c r="G1048" s="839" t="s">
        <v>1719</v>
      </c>
      <c r="H1048" s="836" t="s">
        <v>2878</v>
      </c>
      <c r="I1048" s="886"/>
      <c r="J1048" s="872" t="s">
        <v>18</v>
      </c>
      <c r="K1048" s="872" t="s">
        <v>654</v>
      </c>
      <c r="L1048" s="426" t="s">
        <v>1559</v>
      </c>
      <c r="M1048" s="826" t="s">
        <v>2879</v>
      </c>
      <c r="N1048" s="814">
        <v>45893</v>
      </c>
      <c r="O1048" s="203"/>
      <c r="P1048" s="325"/>
      <c r="Q1048" s="325"/>
      <c r="R1048" s="325"/>
      <c r="S1048" s="325"/>
      <c r="T1048" s="325"/>
      <c r="U1048" s="325"/>
    </row>
    <row r="1049" ht="20" customHeight="1" spans="1:21">
      <c r="A1049" s="826" t="s">
        <v>2728</v>
      </c>
      <c r="B1049" s="886" t="s">
        <v>2875</v>
      </c>
      <c r="C1049" s="866" t="s">
        <v>2092</v>
      </c>
      <c r="D1049" s="392">
        <v>150</v>
      </c>
      <c r="E1049" s="281"/>
      <c r="F1049" s="839" t="s">
        <v>2877</v>
      </c>
      <c r="G1049" s="839" t="s">
        <v>1719</v>
      </c>
      <c r="H1049" s="836" t="s">
        <v>2878</v>
      </c>
      <c r="I1049" s="886"/>
      <c r="J1049" s="872" t="s">
        <v>18</v>
      </c>
      <c r="K1049" s="872" t="s">
        <v>654</v>
      </c>
      <c r="L1049" s="426" t="s">
        <v>1559</v>
      </c>
      <c r="M1049" s="826"/>
      <c r="N1049" s="814" t="s">
        <v>2880</v>
      </c>
      <c r="O1049" s="203"/>
      <c r="P1049" s="325"/>
      <c r="Q1049" s="325"/>
      <c r="R1049" s="325"/>
      <c r="S1049" s="325"/>
      <c r="T1049" s="325"/>
      <c r="U1049" s="325"/>
    </row>
    <row r="1050" ht="20" customHeight="1" spans="1:21">
      <c r="A1050" s="826" t="s">
        <v>2728</v>
      </c>
      <c r="B1050" s="886" t="s">
        <v>2875</v>
      </c>
      <c r="C1050" s="866" t="s">
        <v>2087</v>
      </c>
      <c r="D1050" s="392">
        <v>36</v>
      </c>
      <c r="E1050" s="866" t="s">
        <v>2883</v>
      </c>
      <c r="F1050" s="839" t="s">
        <v>2877</v>
      </c>
      <c r="G1050" s="839" t="s">
        <v>1730</v>
      </c>
      <c r="H1050" s="836" t="s">
        <v>1750</v>
      </c>
      <c r="I1050" s="886"/>
      <c r="J1050" s="872" t="s">
        <v>18</v>
      </c>
      <c r="K1050" s="872" t="s">
        <v>654</v>
      </c>
      <c r="L1050" s="426" t="s">
        <v>1559</v>
      </c>
      <c r="M1050" s="853" t="s">
        <v>2884</v>
      </c>
      <c r="N1050" s="814">
        <v>45893</v>
      </c>
      <c r="O1050" s="203"/>
      <c r="P1050" s="325"/>
      <c r="Q1050" s="325"/>
      <c r="R1050" s="325"/>
      <c r="S1050" s="325"/>
      <c r="T1050" s="325"/>
      <c r="U1050" s="325"/>
    </row>
    <row r="1051" ht="20" customHeight="1" spans="1:21">
      <c r="A1051" s="826" t="s">
        <v>2728</v>
      </c>
      <c r="B1051" s="886" t="s">
        <v>2875</v>
      </c>
      <c r="C1051" s="866" t="s">
        <v>2092</v>
      </c>
      <c r="D1051" s="392">
        <v>25</v>
      </c>
      <c r="E1051" s="281"/>
      <c r="F1051" s="839" t="s">
        <v>2877</v>
      </c>
      <c r="G1051" s="839" t="s">
        <v>1730</v>
      </c>
      <c r="H1051" s="836" t="s">
        <v>1750</v>
      </c>
      <c r="I1051" s="886"/>
      <c r="J1051" s="872" t="s">
        <v>18</v>
      </c>
      <c r="K1051" s="872" t="s">
        <v>654</v>
      </c>
      <c r="L1051" s="426" t="s">
        <v>1559</v>
      </c>
      <c r="M1051" s="826"/>
      <c r="N1051" s="814" t="s">
        <v>2880</v>
      </c>
      <c r="O1051" s="203"/>
      <c r="P1051" s="325"/>
      <c r="Q1051" s="325"/>
      <c r="R1051" s="325"/>
      <c r="S1051" s="325"/>
      <c r="T1051" s="325"/>
      <c r="U1051" s="325"/>
    </row>
    <row r="1052" ht="20" customHeight="1" spans="1:21">
      <c r="A1052" s="826" t="s">
        <v>2728</v>
      </c>
      <c r="B1052" s="886" t="s">
        <v>2875</v>
      </c>
      <c r="C1052" s="866" t="s">
        <v>2093</v>
      </c>
      <c r="D1052" s="392">
        <v>100</v>
      </c>
      <c r="E1052" s="281"/>
      <c r="F1052" s="839" t="s">
        <v>2877</v>
      </c>
      <c r="G1052" s="839" t="s">
        <v>1730</v>
      </c>
      <c r="H1052" s="836" t="s">
        <v>1750</v>
      </c>
      <c r="I1052" s="886"/>
      <c r="J1052" s="872" t="s">
        <v>18</v>
      </c>
      <c r="K1052" s="872" t="s">
        <v>654</v>
      </c>
      <c r="L1052" s="426" t="s">
        <v>1559</v>
      </c>
      <c r="M1052" s="826"/>
      <c r="N1052" s="814" t="s">
        <v>2880</v>
      </c>
      <c r="O1052" s="203"/>
      <c r="P1052" s="325"/>
      <c r="Q1052" s="325"/>
      <c r="R1052" s="325"/>
      <c r="S1052" s="325"/>
      <c r="T1052" s="325"/>
      <c r="U1052" s="325"/>
    </row>
    <row r="1053" ht="20" customHeight="1" spans="1:21">
      <c r="A1053" s="826" t="s">
        <v>2728</v>
      </c>
      <c r="B1053" s="886" t="s">
        <v>2875</v>
      </c>
      <c r="C1053" s="866" t="s">
        <v>2087</v>
      </c>
      <c r="D1053" s="392">
        <v>36</v>
      </c>
      <c r="E1053" s="866" t="s">
        <v>2885</v>
      </c>
      <c r="F1053" s="839" t="s">
        <v>2877</v>
      </c>
      <c r="G1053" s="839" t="s">
        <v>1730</v>
      </c>
      <c r="H1053" s="836" t="s">
        <v>1750</v>
      </c>
      <c r="I1053" s="886"/>
      <c r="J1053" s="872" t="s">
        <v>18</v>
      </c>
      <c r="K1053" s="872" t="s">
        <v>654</v>
      </c>
      <c r="L1053" s="426" t="s">
        <v>1559</v>
      </c>
      <c r="M1053" s="853" t="s">
        <v>2884</v>
      </c>
      <c r="N1053" s="814">
        <v>45893</v>
      </c>
      <c r="O1053" s="203"/>
      <c r="P1053" s="325"/>
      <c r="Q1053" s="325"/>
      <c r="R1053" s="325"/>
      <c r="S1053" s="325"/>
      <c r="T1053" s="325"/>
      <c r="U1053" s="325"/>
    </row>
    <row r="1054" ht="20" customHeight="1" spans="1:21">
      <c r="A1054" s="826" t="s">
        <v>2728</v>
      </c>
      <c r="B1054" s="886" t="s">
        <v>2875</v>
      </c>
      <c r="C1054" s="866" t="s">
        <v>2092</v>
      </c>
      <c r="D1054" s="392">
        <v>25</v>
      </c>
      <c r="E1054" s="69"/>
      <c r="F1054" s="839" t="s">
        <v>2877</v>
      </c>
      <c r="G1054" s="839" t="s">
        <v>1730</v>
      </c>
      <c r="H1054" s="836" t="s">
        <v>1750</v>
      </c>
      <c r="I1054" s="886"/>
      <c r="J1054" s="872" t="s">
        <v>18</v>
      </c>
      <c r="K1054" s="872" t="s">
        <v>654</v>
      </c>
      <c r="L1054" s="426" t="s">
        <v>1559</v>
      </c>
      <c r="M1054" s="826"/>
      <c r="N1054" s="814" t="s">
        <v>2880</v>
      </c>
      <c r="O1054" s="203"/>
      <c r="P1054" s="325"/>
      <c r="Q1054" s="325"/>
      <c r="R1054" s="325"/>
      <c r="S1054" s="325"/>
      <c r="T1054" s="325"/>
      <c r="U1054" s="325"/>
    </row>
    <row r="1055" ht="20" customHeight="1" spans="1:21">
      <c r="A1055" s="826" t="s">
        <v>2728</v>
      </c>
      <c r="B1055" s="886" t="s">
        <v>2875</v>
      </c>
      <c r="C1055" s="866" t="s">
        <v>2094</v>
      </c>
      <c r="D1055" s="392">
        <v>98</v>
      </c>
      <c r="E1055" s="69"/>
      <c r="F1055" s="839" t="s">
        <v>2877</v>
      </c>
      <c r="G1055" s="839" t="s">
        <v>1730</v>
      </c>
      <c r="H1055" s="836" t="s">
        <v>1750</v>
      </c>
      <c r="I1055" s="886"/>
      <c r="J1055" s="872" t="s">
        <v>18</v>
      </c>
      <c r="K1055" s="872" t="s">
        <v>654</v>
      </c>
      <c r="L1055" s="426" t="s">
        <v>1559</v>
      </c>
      <c r="M1055" s="868" t="s">
        <v>2886</v>
      </c>
      <c r="N1055" s="814" t="s">
        <v>2880</v>
      </c>
      <c r="O1055" s="203"/>
      <c r="P1055" s="325"/>
      <c r="Q1055" s="325"/>
      <c r="R1055" s="325"/>
      <c r="S1055" s="325"/>
      <c r="T1055" s="325"/>
      <c r="U1055" s="325"/>
    </row>
    <row r="1056" ht="20" customHeight="1" spans="1:21">
      <c r="A1056" s="826" t="s">
        <v>2728</v>
      </c>
      <c r="B1056" s="886" t="s">
        <v>2875</v>
      </c>
      <c r="C1056" s="866" t="s">
        <v>2087</v>
      </c>
      <c r="D1056" s="392">
        <v>36</v>
      </c>
      <c r="E1056" s="866" t="s">
        <v>2887</v>
      </c>
      <c r="F1056" s="839" t="s">
        <v>2877</v>
      </c>
      <c r="G1056" s="839" t="s">
        <v>1730</v>
      </c>
      <c r="H1056" s="836" t="s">
        <v>1750</v>
      </c>
      <c r="I1056" s="886"/>
      <c r="J1056" s="872" t="s">
        <v>18</v>
      </c>
      <c r="K1056" s="872" t="s">
        <v>576</v>
      </c>
      <c r="L1056" s="426" t="s">
        <v>1559</v>
      </c>
      <c r="M1056" s="853" t="s">
        <v>2884</v>
      </c>
      <c r="N1056" s="814">
        <v>45893</v>
      </c>
      <c r="O1056" s="203"/>
      <c r="P1056" s="325"/>
      <c r="Q1056" s="325"/>
      <c r="R1056" s="325"/>
      <c r="S1056" s="325"/>
      <c r="T1056" s="325"/>
      <c r="U1056" s="325"/>
    </row>
    <row r="1057" ht="20" customHeight="1" spans="1:21">
      <c r="A1057" s="826" t="s">
        <v>2728</v>
      </c>
      <c r="B1057" s="886" t="s">
        <v>2875</v>
      </c>
      <c r="C1057" s="866" t="s">
        <v>2095</v>
      </c>
      <c r="D1057" s="392">
        <v>100</v>
      </c>
      <c r="E1057" s="281"/>
      <c r="F1057" s="839" t="s">
        <v>2877</v>
      </c>
      <c r="G1057" s="839" t="s">
        <v>1730</v>
      </c>
      <c r="H1057" s="836" t="s">
        <v>1750</v>
      </c>
      <c r="I1057" s="886"/>
      <c r="J1057" s="872" t="s">
        <v>18</v>
      </c>
      <c r="K1057" s="872" t="s">
        <v>576</v>
      </c>
      <c r="L1057" s="426" t="s">
        <v>1559</v>
      </c>
      <c r="M1057" s="826"/>
      <c r="N1057" s="814" t="s">
        <v>2880</v>
      </c>
      <c r="O1057" s="203"/>
      <c r="P1057" s="325"/>
      <c r="Q1057" s="325"/>
      <c r="R1057" s="325"/>
      <c r="S1057" s="325"/>
      <c r="T1057" s="325"/>
      <c r="U1057" s="325"/>
    </row>
    <row r="1058" ht="20" customHeight="1" spans="1:21">
      <c r="A1058" s="826" t="s">
        <v>2728</v>
      </c>
      <c r="B1058" s="886" t="s">
        <v>2875</v>
      </c>
      <c r="C1058" s="866" t="s">
        <v>2087</v>
      </c>
      <c r="D1058" s="392">
        <v>36</v>
      </c>
      <c r="E1058" s="866" t="s">
        <v>2888</v>
      </c>
      <c r="F1058" s="839" t="s">
        <v>2877</v>
      </c>
      <c r="G1058" s="839" t="s">
        <v>1730</v>
      </c>
      <c r="H1058" s="836" t="s">
        <v>1750</v>
      </c>
      <c r="I1058" s="886"/>
      <c r="J1058" s="872" t="s">
        <v>18</v>
      </c>
      <c r="K1058" s="872" t="s">
        <v>2889</v>
      </c>
      <c r="L1058" s="426" t="s">
        <v>1559</v>
      </c>
      <c r="M1058" s="853" t="s">
        <v>2884</v>
      </c>
      <c r="N1058" s="814">
        <v>45893</v>
      </c>
      <c r="O1058" s="203"/>
      <c r="P1058" s="325"/>
      <c r="Q1058" s="325"/>
      <c r="R1058" s="325"/>
      <c r="S1058" s="325"/>
      <c r="T1058" s="325"/>
      <c r="U1058" s="325"/>
    </row>
    <row r="1059" ht="20" customHeight="1" spans="1:21">
      <c r="A1059" s="826" t="s">
        <v>2728</v>
      </c>
      <c r="B1059" s="886" t="s">
        <v>2875</v>
      </c>
      <c r="C1059" s="837" t="s">
        <v>2140</v>
      </c>
      <c r="D1059" s="394">
        <v>200</v>
      </c>
      <c r="E1059" s="281"/>
      <c r="F1059" s="839" t="s">
        <v>2877</v>
      </c>
      <c r="G1059" s="839" t="s">
        <v>1730</v>
      </c>
      <c r="H1059" s="836" t="s">
        <v>1750</v>
      </c>
      <c r="I1059" s="886"/>
      <c r="J1059" s="872" t="s">
        <v>18</v>
      </c>
      <c r="K1059" s="872" t="s">
        <v>2889</v>
      </c>
      <c r="L1059" s="426" t="s">
        <v>1559</v>
      </c>
      <c r="M1059" s="826"/>
      <c r="N1059" s="814">
        <v>45879</v>
      </c>
      <c r="O1059" s="203"/>
      <c r="P1059" s="325"/>
      <c r="Q1059" s="325"/>
      <c r="R1059" s="325"/>
      <c r="S1059" s="325"/>
      <c r="T1059" s="325"/>
      <c r="U1059" s="325"/>
    </row>
    <row r="1060" ht="20" customHeight="1" spans="1:21">
      <c r="A1060" s="826" t="s">
        <v>2728</v>
      </c>
      <c r="B1060" s="886" t="s">
        <v>2875</v>
      </c>
      <c r="C1060" s="866" t="s">
        <v>2087</v>
      </c>
      <c r="D1060" s="392">
        <v>36</v>
      </c>
      <c r="E1060" s="866" t="s">
        <v>2890</v>
      </c>
      <c r="F1060" s="839" t="s">
        <v>2877</v>
      </c>
      <c r="G1060" s="839" t="s">
        <v>1730</v>
      </c>
      <c r="H1060" s="836" t="s">
        <v>1750</v>
      </c>
      <c r="I1060" s="886"/>
      <c r="J1060" s="872" t="s">
        <v>18</v>
      </c>
      <c r="K1060" s="872" t="s">
        <v>2889</v>
      </c>
      <c r="L1060" s="426" t="s">
        <v>1559</v>
      </c>
      <c r="M1060" s="853" t="s">
        <v>2884</v>
      </c>
      <c r="N1060" s="814">
        <v>45893</v>
      </c>
      <c r="O1060" s="203"/>
      <c r="P1060" s="325"/>
      <c r="Q1060" s="325"/>
      <c r="R1060" s="325"/>
      <c r="S1060" s="325"/>
      <c r="T1060" s="325"/>
      <c r="U1060" s="325"/>
    </row>
    <row r="1061" ht="20" customHeight="1" spans="1:21">
      <c r="A1061" s="826" t="s">
        <v>2728</v>
      </c>
      <c r="B1061" s="886" t="s">
        <v>2875</v>
      </c>
      <c r="C1061" s="866" t="s">
        <v>2092</v>
      </c>
      <c r="D1061" s="392">
        <v>70</v>
      </c>
      <c r="E1061" s="69"/>
      <c r="F1061" s="839" t="s">
        <v>2877</v>
      </c>
      <c r="G1061" s="839" t="s">
        <v>1730</v>
      </c>
      <c r="H1061" s="836" t="s">
        <v>1750</v>
      </c>
      <c r="I1061" s="886"/>
      <c r="J1061" s="872" t="s">
        <v>18</v>
      </c>
      <c r="K1061" s="872" t="s">
        <v>2889</v>
      </c>
      <c r="L1061" s="426" t="s">
        <v>1559</v>
      </c>
      <c r="M1061" s="826"/>
      <c r="N1061" s="814" t="s">
        <v>2880</v>
      </c>
      <c r="O1061" s="203"/>
      <c r="P1061" s="325"/>
      <c r="Q1061" s="325"/>
      <c r="R1061" s="325"/>
      <c r="S1061" s="325"/>
      <c r="T1061" s="325"/>
      <c r="U1061" s="325"/>
    </row>
    <row r="1062" ht="20" customHeight="1" spans="1:21">
      <c r="A1062" s="826" t="s">
        <v>2728</v>
      </c>
      <c r="B1062" s="886" t="s">
        <v>2875</v>
      </c>
      <c r="C1062" s="837" t="s">
        <v>2114</v>
      </c>
      <c r="D1062" s="394">
        <v>100</v>
      </c>
      <c r="E1062" s="281"/>
      <c r="F1062" s="839" t="s">
        <v>2877</v>
      </c>
      <c r="G1062" s="839" t="s">
        <v>1730</v>
      </c>
      <c r="H1062" s="836" t="s">
        <v>1750</v>
      </c>
      <c r="I1062" s="886"/>
      <c r="J1062" s="872" t="s">
        <v>18</v>
      </c>
      <c r="K1062" s="872" t="s">
        <v>2889</v>
      </c>
      <c r="L1062" s="426" t="s">
        <v>1559</v>
      </c>
      <c r="M1062" s="826"/>
      <c r="N1062" s="814">
        <v>45879</v>
      </c>
      <c r="O1062" s="203"/>
      <c r="P1062" s="325"/>
      <c r="Q1062" s="325"/>
      <c r="R1062" s="325"/>
      <c r="S1062" s="325"/>
      <c r="T1062" s="325"/>
      <c r="U1062" s="325"/>
    </row>
    <row r="1063" ht="20" customHeight="1" spans="1:21">
      <c r="A1063" s="826" t="s">
        <v>2728</v>
      </c>
      <c r="B1063" s="886" t="s">
        <v>2875</v>
      </c>
      <c r="C1063" s="866" t="s">
        <v>2087</v>
      </c>
      <c r="D1063" s="392">
        <v>36</v>
      </c>
      <c r="E1063" s="866" t="s">
        <v>2891</v>
      </c>
      <c r="F1063" s="839" t="s">
        <v>2877</v>
      </c>
      <c r="G1063" s="839" t="s">
        <v>1730</v>
      </c>
      <c r="H1063" s="836" t="s">
        <v>1750</v>
      </c>
      <c r="I1063" s="886"/>
      <c r="J1063" s="872" t="s">
        <v>18</v>
      </c>
      <c r="K1063" s="872" t="s">
        <v>654</v>
      </c>
      <c r="L1063" s="426" t="s">
        <v>1559</v>
      </c>
      <c r="M1063" s="853" t="s">
        <v>2884</v>
      </c>
      <c r="N1063" s="814">
        <v>45893</v>
      </c>
      <c r="O1063" s="203"/>
      <c r="P1063" s="325"/>
      <c r="Q1063" s="325"/>
      <c r="R1063" s="325"/>
      <c r="S1063" s="325"/>
      <c r="T1063" s="325"/>
      <c r="U1063" s="325"/>
    </row>
    <row r="1064" ht="20" customHeight="1" spans="1:21">
      <c r="A1064" s="826" t="s">
        <v>2728</v>
      </c>
      <c r="B1064" s="886" t="s">
        <v>2875</v>
      </c>
      <c r="C1064" s="837" t="s">
        <v>2182</v>
      </c>
      <c r="D1064" s="394">
        <v>180</v>
      </c>
      <c r="E1064" s="281"/>
      <c r="F1064" s="839" t="s">
        <v>2877</v>
      </c>
      <c r="G1064" s="839" t="s">
        <v>1730</v>
      </c>
      <c r="H1064" s="836" t="s">
        <v>1750</v>
      </c>
      <c r="I1064" s="886"/>
      <c r="J1064" s="872" t="s">
        <v>18</v>
      </c>
      <c r="K1064" s="872" t="s">
        <v>654</v>
      </c>
      <c r="L1064" s="426" t="s">
        <v>1559</v>
      </c>
      <c r="M1064" s="826"/>
      <c r="N1064" s="814">
        <v>45879</v>
      </c>
      <c r="O1064" s="203"/>
      <c r="P1064" s="325"/>
      <c r="Q1064" s="325"/>
      <c r="R1064" s="325"/>
      <c r="S1064" s="325"/>
      <c r="T1064" s="325"/>
      <c r="U1064" s="325"/>
    </row>
    <row r="1065" ht="20" customHeight="1" spans="1:21">
      <c r="A1065" s="826" t="s">
        <v>2728</v>
      </c>
      <c r="B1065" s="886" t="s">
        <v>2875</v>
      </c>
      <c r="C1065" s="866" t="s">
        <v>2087</v>
      </c>
      <c r="D1065" s="392">
        <v>36</v>
      </c>
      <c r="E1065" s="866" t="s">
        <v>2892</v>
      </c>
      <c r="F1065" s="839" t="s">
        <v>2877</v>
      </c>
      <c r="G1065" s="839" t="s">
        <v>1730</v>
      </c>
      <c r="H1065" s="836" t="s">
        <v>1750</v>
      </c>
      <c r="I1065" s="886"/>
      <c r="J1065" s="872" t="s">
        <v>18</v>
      </c>
      <c r="K1065" s="872" t="s">
        <v>654</v>
      </c>
      <c r="L1065" s="426" t="s">
        <v>1559</v>
      </c>
      <c r="M1065" s="853" t="s">
        <v>2884</v>
      </c>
      <c r="N1065" s="814">
        <v>45893</v>
      </c>
      <c r="O1065" s="203"/>
      <c r="P1065" s="325"/>
      <c r="Q1065" s="325"/>
      <c r="R1065" s="325"/>
      <c r="S1065" s="325"/>
      <c r="T1065" s="325"/>
      <c r="U1065" s="325"/>
    </row>
    <row r="1066" ht="20" customHeight="1" spans="1:21">
      <c r="A1066" s="826" t="s">
        <v>2728</v>
      </c>
      <c r="B1066" s="886" t="s">
        <v>2875</v>
      </c>
      <c r="C1066" s="866" t="s">
        <v>2092</v>
      </c>
      <c r="D1066" s="392">
        <v>127</v>
      </c>
      <c r="E1066" s="281"/>
      <c r="F1066" s="839" t="s">
        <v>2877</v>
      </c>
      <c r="G1066" s="839" t="s">
        <v>1730</v>
      </c>
      <c r="H1066" s="836" t="s">
        <v>1750</v>
      </c>
      <c r="I1066" s="886"/>
      <c r="J1066" s="872" t="s">
        <v>18</v>
      </c>
      <c r="K1066" s="872" t="s">
        <v>654</v>
      </c>
      <c r="L1066" s="426" t="s">
        <v>1559</v>
      </c>
      <c r="M1066" s="868" t="s">
        <v>2893</v>
      </c>
      <c r="N1066" s="814" t="s">
        <v>2880</v>
      </c>
      <c r="O1066" s="203"/>
      <c r="P1066" s="325"/>
      <c r="Q1066" s="325"/>
      <c r="R1066" s="325"/>
      <c r="S1066" s="325"/>
      <c r="T1066" s="325"/>
      <c r="U1066" s="325"/>
    </row>
    <row r="1067" ht="20" customHeight="1" spans="1:21">
      <c r="A1067" s="826" t="s">
        <v>2728</v>
      </c>
      <c r="B1067" s="886" t="s">
        <v>2875</v>
      </c>
      <c r="C1067" s="837" t="s">
        <v>2182</v>
      </c>
      <c r="D1067" s="394">
        <v>20</v>
      </c>
      <c r="E1067" s="69"/>
      <c r="F1067" s="839" t="s">
        <v>2877</v>
      </c>
      <c r="G1067" s="839" t="s">
        <v>1730</v>
      </c>
      <c r="H1067" s="836" t="s">
        <v>1750</v>
      </c>
      <c r="I1067" s="886"/>
      <c r="J1067" s="872" t="s">
        <v>18</v>
      </c>
      <c r="K1067" s="872" t="s">
        <v>654</v>
      </c>
      <c r="L1067" s="426" t="s">
        <v>1559</v>
      </c>
      <c r="M1067" s="826"/>
      <c r="N1067" s="814">
        <v>45879</v>
      </c>
      <c r="O1067" s="203"/>
      <c r="P1067" s="325"/>
      <c r="Q1067" s="325"/>
      <c r="R1067" s="325"/>
      <c r="S1067" s="325"/>
      <c r="T1067" s="325"/>
      <c r="U1067" s="325"/>
    </row>
    <row r="1068" ht="20" customHeight="1" spans="1:21">
      <c r="A1068" s="826" t="s">
        <v>2728</v>
      </c>
      <c r="B1068" s="886" t="s">
        <v>2875</v>
      </c>
      <c r="C1068" s="866" t="s">
        <v>2087</v>
      </c>
      <c r="D1068" s="392">
        <v>36</v>
      </c>
      <c r="E1068" s="866" t="s">
        <v>2894</v>
      </c>
      <c r="F1068" s="839" t="s">
        <v>2877</v>
      </c>
      <c r="G1068" s="839" t="s">
        <v>1730</v>
      </c>
      <c r="H1068" s="836" t="s">
        <v>1750</v>
      </c>
      <c r="I1068" s="900"/>
      <c r="J1068" s="872" t="s">
        <v>18</v>
      </c>
      <c r="K1068" s="872" t="s">
        <v>2248</v>
      </c>
      <c r="L1068" s="426" t="s">
        <v>1559</v>
      </c>
      <c r="M1068" s="853" t="s">
        <v>2884</v>
      </c>
      <c r="N1068" s="814">
        <v>45893</v>
      </c>
      <c r="O1068" s="203"/>
      <c r="P1068" s="325"/>
      <c r="Q1068" s="325"/>
      <c r="R1068" s="325"/>
      <c r="S1068" s="325"/>
      <c r="T1068" s="325"/>
      <c r="U1068" s="325"/>
    </row>
    <row r="1069" ht="20" customHeight="1" spans="1:21">
      <c r="A1069" s="826" t="s">
        <v>2728</v>
      </c>
      <c r="B1069" s="886" t="s">
        <v>2875</v>
      </c>
      <c r="C1069" s="866" t="s">
        <v>2093</v>
      </c>
      <c r="D1069" s="392">
        <v>120</v>
      </c>
      <c r="E1069" s="281"/>
      <c r="F1069" s="839" t="s">
        <v>2877</v>
      </c>
      <c r="G1069" s="839" t="s">
        <v>1730</v>
      </c>
      <c r="H1069" s="836" t="s">
        <v>1750</v>
      </c>
      <c r="I1069" s="900"/>
      <c r="J1069" s="872" t="s">
        <v>18</v>
      </c>
      <c r="K1069" s="872" t="s">
        <v>2248</v>
      </c>
      <c r="L1069" s="426" t="s">
        <v>1559</v>
      </c>
      <c r="M1069" s="826"/>
      <c r="N1069" s="814" t="s">
        <v>2880</v>
      </c>
      <c r="O1069" s="203"/>
      <c r="P1069" s="325"/>
      <c r="Q1069" s="325"/>
      <c r="R1069" s="325"/>
      <c r="S1069" s="325"/>
      <c r="T1069" s="325"/>
      <c r="U1069" s="325"/>
    </row>
    <row r="1070" customFormat="1" spans="1:21">
      <c r="A1070" s="826" t="s">
        <v>2728</v>
      </c>
      <c r="B1070" s="826" t="s">
        <v>2729</v>
      </c>
      <c r="C1070" s="866" t="s">
        <v>2182</v>
      </c>
      <c r="D1070" s="423">
        <v>200</v>
      </c>
      <c r="E1070" s="866" t="s">
        <v>2895</v>
      </c>
      <c r="F1070" s="839" t="s">
        <v>309</v>
      </c>
      <c r="G1070" s="839" t="s">
        <v>1730</v>
      </c>
      <c r="H1070" s="836" t="s">
        <v>1750</v>
      </c>
      <c r="I1070" s="901"/>
      <c r="J1070" s="826" t="s">
        <v>18</v>
      </c>
      <c r="K1070" s="826" t="s">
        <v>147</v>
      </c>
      <c r="L1070" s="426" t="s">
        <v>1559</v>
      </c>
      <c r="M1070" s="877" t="s">
        <v>2896</v>
      </c>
      <c r="N1070" s="802" t="s">
        <v>2880</v>
      </c>
      <c r="O1070" s="512"/>
      <c r="P1070" s="512"/>
      <c r="Q1070" s="512"/>
      <c r="R1070" s="512"/>
      <c r="S1070" s="512"/>
      <c r="T1070" s="512"/>
      <c r="U1070" s="512"/>
    </row>
    <row r="1071" s="179" customFormat="1" spans="1:21">
      <c r="A1071" s="826" t="s">
        <v>2784</v>
      </c>
      <c r="B1071" s="826" t="s">
        <v>2785</v>
      </c>
      <c r="C1071" s="837" t="s">
        <v>2391</v>
      </c>
      <c r="D1071" s="423">
        <v>1</v>
      </c>
      <c r="E1071" s="281"/>
      <c r="F1071" s="839" t="s">
        <v>309</v>
      </c>
      <c r="G1071" s="839" t="s">
        <v>1730</v>
      </c>
      <c r="H1071" s="836" t="s">
        <v>1750</v>
      </c>
      <c r="I1071" s="877"/>
      <c r="J1071" s="846" t="s">
        <v>18</v>
      </c>
      <c r="K1071" s="846" t="s">
        <v>147</v>
      </c>
      <c r="L1071" s="426" t="s">
        <v>1559</v>
      </c>
      <c r="M1071" s="826" t="s">
        <v>2884</v>
      </c>
      <c r="N1071" s="802" t="s">
        <v>2880</v>
      </c>
      <c r="O1071" s="883"/>
      <c r="P1071" s="883"/>
      <c r="Q1071" s="883"/>
      <c r="R1071" s="883"/>
      <c r="S1071" s="883"/>
      <c r="T1071" s="883"/>
      <c r="U1071" s="883"/>
    </row>
    <row r="1072" spans="1:21">
      <c r="A1072" s="887" t="s">
        <v>2897</v>
      </c>
      <c r="B1072" s="853" t="s">
        <v>2898</v>
      </c>
      <c r="C1072" s="866" t="s">
        <v>2899</v>
      </c>
      <c r="D1072" s="392">
        <v>2</v>
      </c>
      <c r="E1072" s="281"/>
      <c r="F1072" s="839" t="s">
        <v>309</v>
      </c>
      <c r="G1072" s="839" t="s">
        <v>1730</v>
      </c>
      <c r="H1072" s="836" t="s">
        <v>1750</v>
      </c>
      <c r="I1072" s="902"/>
      <c r="J1072" s="826" t="s">
        <v>18</v>
      </c>
      <c r="K1072" s="826" t="s">
        <v>2900</v>
      </c>
      <c r="L1072" s="426" t="s">
        <v>1559</v>
      </c>
      <c r="M1072" s="868" t="s">
        <v>2901</v>
      </c>
      <c r="N1072" s="684" t="s">
        <v>2880</v>
      </c>
      <c r="O1072" s="512"/>
      <c r="P1072" s="512"/>
      <c r="Q1072" s="512"/>
      <c r="R1072" s="512"/>
      <c r="S1072" s="512"/>
      <c r="T1072" s="512"/>
      <c r="U1072" s="512"/>
    </row>
    <row r="1073" s="180" customFormat="1" spans="1:21">
      <c r="A1073" s="826" t="s">
        <v>910</v>
      </c>
      <c r="B1073" s="868" t="s">
        <v>2372</v>
      </c>
      <c r="C1073" s="828" t="s">
        <v>2087</v>
      </c>
      <c r="D1073" s="829">
        <v>1</v>
      </c>
      <c r="E1073" s="281"/>
      <c r="F1073" s="839" t="s">
        <v>309</v>
      </c>
      <c r="G1073" s="839" t="s">
        <v>1730</v>
      </c>
      <c r="H1073" s="836" t="s">
        <v>1750</v>
      </c>
      <c r="I1073" s="853"/>
      <c r="J1073" s="846" t="s">
        <v>18</v>
      </c>
      <c r="K1073" s="872" t="s">
        <v>147</v>
      </c>
      <c r="L1073" s="426" t="s">
        <v>1559</v>
      </c>
      <c r="M1073" s="826" t="s">
        <v>2902</v>
      </c>
      <c r="N1073" s="802" t="s">
        <v>2880</v>
      </c>
      <c r="O1073" s="512"/>
      <c r="P1073" s="512"/>
      <c r="Q1073" s="512"/>
      <c r="R1073" s="512"/>
      <c r="S1073" s="512"/>
      <c r="T1073" s="512"/>
      <c r="U1073" s="512"/>
    </row>
    <row r="1074" s="180" customFormat="1" spans="1:21">
      <c r="A1074" s="826" t="s">
        <v>2728</v>
      </c>
      <c r="B1074" s="826" t="s">
        <v>2807</v>
      </c>
      <c r="C1074" s="866" t="s">
        <v>2087</v>
      </c>
      <c r="D1074" s="392">
        <v>1</v>
      </c>
      <c r="E1074" s="69"/>
      <c r="F1074" s="839" t="s">
        <v>309</v>
      </c>
      <c r="G1074" s="839" t="s">
        <v>1730</v>
      </c>
      <c r="H1074" s="836" t="s">
        <v>1750</v>
      </c>
      <c r="I1074" s="844"/>
      <c r="J1074" s="903" t="s">
        <v>18</v>
      </c>
      <c r="K1074" s="872" t="s">
        <v>147</v>
      </c>
      <c r="L1074" s="426" t="s">
        <v>1559</v>
      </c>
      <c r="M1074" s="904" t="s">
        <v>2903</v>
      </c>
      <c r="N1074" s="802" t="s">
        <v>2880</v>
      </c>
      <c r="O1074" s="512"/>
      <c r="P1074" s="512"/>
      <c r="Q1074" s="512"/>
      <c r="R1074" s="512"/>
      <c r="S1074" s="512"/>
      <c r="T1074" s="512"/>
      <c r="U1074" s="512"/>
    </row>
    <row r="1075" s="6" customFormat="1" spans="1:21">
      <c r="A1075" s="826" t="s">
        <v>910</v>
      </c>
      <c r="B1075" s="890" t="s">
        <v>2372</v>
      </c>
      <c r="C1075" s="891" t="s">
        <v>2279</v>
      </c>
      <c r="D1075" s="892">
        <v>32</v>
      </c>
      <c r="E1075" s="281"/>
      <c r="F1075" s="839" t="s">
        <v>309</v>
      </c>
      <c r="G1075" s="839" t="s">
        <v>1730</v>
      </c>
      <c r="H1075" s="836" t="s">
        <v>1750</v>
      </c>
      <c r="I1075" s="853"/>
      <c r="J1075" s="826" t="s">
        <v>18</v>
      </c>
      <c r="K1075" s="826" t="s">
        <v>147</v>
      </c>
      <c r="L1075" s="426" t="s">
        <v>1559</v>
      </c>
      <c r="M1075" s="905" t="s">
        <v>2904</v>
      </c>
      <c r="N1075" s="802" t="s">
        <v>2880</v>
      </c>
      <c r="O1075" s="800"/>
      <c r="P1075" s="512"/>
      <c r="Q1075" s="512"/>
      <c r="R1075" s="512"/>
      <c r="S1075" s="512"/>
      <c r="T1075" s="512"/>
      <c r="U1075" s="512"/>
    </row>
    <row r="1076" s="6" customFormat="1" spans="1:21">
      <c r="A1076" s="826" t="s">
        <v>910</v>
      </c>
      <c r="B1076" s="826" t="s">
        <v>2372</v>
      </c>
      <c r="C1076" s="837" t="s">
        <v>2279</v>
      </c>
      <c r="D1076" s="893">
        <v>32</v>
      </c>
      <c r="E1076" s="69"/>
      <c r="F1076" s="839" t="s">
        <v>309</v>
      </c>
      <c r="G1076" s="839" t="s">
        <v>1730</v>
      </c>
      <c r="H1076" s="836" t="s">
        <v>1750</v>
      </c>
      <c r="I1076" s="906"/>
      <c r="J1076" s="878" t="s">
        <v>18</v>
      </c>
      <c r="K1076" s="879" t="s">
        <v>147</v>
      </c>
      <c r="L1076" s="426" t="s">
        <v>1559</v>
      </c>
      <c r="M1076" s="26"/>
      <c r="N1076" s="802" t="s">
        <v>2880</v>
      </c>
      <c r="O1076" s="800"/>
      <c r="P1076" s="512"/>
      <c r="Q1076" s="512"/>
      <c r="R1076" s="512"/>
      <c r="S1076" s="512"/>
      <c r="T1076" s="512"/>
      <c r="U1076" s="512"/>
    </row>
    <row r="1077" s="6" customFormat="1" spans="1:21">
      <c r="A1077" s="826" t="s">
        <v>910</v>
      </c>
      <c r="B1077" s="826" t="s">
        <v>2372</v>
      </c>
      <c r="C1077" s="837" t="s">
        <v>2279</v>
      </c>
      <c r="D1077" s="893">
        <v>32</v>
      </c>
      <c r="E1077" s="281"/>
      <c r="F1077" s="839" t="s">
        <v>309</v>
      </c>
      <c r="G1077" s="839" t="s">
        <v>1730</v>
      </c>
      <c r="H1077" s="836" t="s">
        <v>1750</v>
      </c>
      <c r="I1077" s="844"/>
      <c r="J1077" s="846" t="s">
        <v>18</v>
      </c>
      <c r="K1077" s="826" t="s">
        <v>147</v>
      </c>
      <c r="L1077" s="426" t="s">
        <v>1559</v>
      </c>
      <c r="M1077" s="26"/>
      <c r="N1077" s="802" t="s">
        <v>2880</v>
      </c>
      <c r="O1077" s="800"/>
      <c r="P1077" s="512"/>
      <c r="Q1077" s="512"/>
      <c r="R1077" s="512"/>
      <c r="S1077" s="512"/>
      <c r="T1077" s="512"/>
      <c r="U1077" s="512"/>
    </row>
    <row r="1078" s="6" customFormat="1" spans="1:21">
      <c r="A1078" s="826" t="s">
        <v>910</v>
      </c>
      <c r="B1078" s="826" t="s">
        <v>2372</v>
      </c>
      <c r="C1078" s="837" t="s">
        <v>2279</v>
      </c>
      <c r="D1078" s="838">
        <v>32</v>
      </c>
      <c r="E1078" s="69"/>
      <c r="F1078" s="839" t="s">
        <v>309</v>
      </c>
      <c r="G1078" s="839" t="s">
        <v>1730</v>
      </c>
      <c r="H1078" s="836" t="s">
        <v>1750</v>
      </c>
      <c r="I1078" s="844"/>
      <c r="J1078" s="846" t="s">
        <v>18</v>
      </c>
      <c r="K1078" s="826" t="s">
        <v>147</v>
      </c>
      <c r="L1078" s="426" t="s">
        <v>1559</v>
      </c>
      <c r="M1078" s="26"/>
      <c r="N1078" s="802" t="s">
        <v>2880</v>
      </c>
      <c r="O1078" s="800"/>
      <c r="P1078" s="512"/>
      <c r="Q1078" s="512"/>
      <c r="R1078" s="512"/>
      <c r="S1078" s="512"/>
      <c r="T1078" s="512"/>
      <c r="U1078" s="512"/>
    </row>
    <row r="1079" s="661" customFormat="1" spans="1:21">
      <c r="A1079" s="826" t="s">
        <v>910</v>
      </c>
      <c r="B1079" s="853" t="s">
        <v>2372</v>
      </c>
      <c r="C1079" s="837" t="s">
        <v>2279</v>
      </c>
      <c r="D1079" s="394">
        <v>32</v>
      </c>
      <c r="E1079" s="281"/>
      <c r="F1079" s="839" t="s">
        <v>309</v>
      </c>
      <c r="G1079" s="839" t="s">
        <v>1730</v>
      </c>
      <c r="H1079" s="836" t="s">
        <v>1750</v>
      </c>
      <c r="I1079" s="844"/>
      <c r="J1079" s="903" t="s">
        <v>18</v>
      </c>
      <c r="K1079" s="872" t="s">
        <v>147</v>
      </c>
      <c r="L1079" s="426" t="s">
        <v>1559</v>
      </c>
      <c r="M1079" s="33"/>
      <c r="N1079" s="802" t="s">
        <v>2880</v>
      </c>
      <c r="O1079" s="800"/>
      <c r="P1079" s="512"/>
      <c r="Q1079" s="512"/>
      <c r="R1079" s="512"/>
      <c r="S1079" s="512"/>
      <c r="T1079" s="512"/>
      <c r="U1079" s="512"/>
    </row>
    <row r="1080" ht="20" customHeight="1" spans="1:21">
      <c r="A1080" s="826" t="s">
        <v>2855</v>
      </c>
      <c r="B1080" s="886" t="s">
        <v>2905</v>
      </c>
      <c r="C1080" s="866" t="s">
        <v>2720</v>
      </c>
      <c r="D1080" s="392">
        <v>3</v>
      </c>
      <c r="E1080" s="866" t="s">
        <v>2906</v>
      </c>
      <c r="F1080" s="830" t="s">
        <v>2907</v>
      </c>
      <c r="G1080" s="830" t="s">
        <v>1757</v>
      </c>
      <c r="H1080" s="836" t="s">
        <v>2908</v>
      </c>
      <c r="I1080" s="886"/>
      <c r="J1080" s="854" t="s">
        <v>39</v>
      </c>
      <c r="K1080" s="872" t="s">
        <v>2723</v>
      </c>
      <c r="L1080" s="426" t="s">
        <v>1559</v>
      </c>
      <c r="M1080" s="826" t="s">
        <v>2909</v>
      </c>
      <c r="N1080" s="814" t="s">
        <v>2880</v>
      </c>
      <c r="O1080" s="512"/>
      <c r="P1080" s="325"/>
      <c r="Q1080" s="325"/>
      <c r="R1080" s="325"/>
      <c r="S1080" s="325"/>
      <c r="T1080" s="325"/>
      <c r="U1080" s="325"/>
    </row>
    <row r="1081" ht="20" customHeight="1" spans="1:21">
      <c r="A1081" s="826" t="s">
        <v>2728</v>
      </c>
      <c r="B1081" s="886" t="s">
        <v>2875</v>
      </c>
      <c r="C1081" s="866" t="s">
        <v>2087</v>
      </c>
      <c r="D1081" s="392">
        <v>36</v>
      </c>
      <c r="E1081" s="866" t="s">
        <v>2910</v>
      </c>
      <c r="F1081" s="839" t="s">
        <v>2877</v>
      </c>
      <c r="G1081" s="830" t="s">
        <v>2911</v>
      </c>
      <c r="H1081" s="836" t="s">
        <v>2912</v>
      </c>
      <c r="I1081" s="886"/>
      <c r="J1081" s="826" t="s">
        <v>18</v>
      </c>
      <c r="K1081" s="826" t="s">
        <v>147</v>
      </c>
      <c r="L1081" s="426" t="s">
        <v>1559</v>
      </c>
      <c r="M1081" s="907" t="s">
        <v>1315</v>
      </c>
      <c r="N1081" s="814">
        <v>45893</v>
      </c>
      <c r="O1081" s="203"/>
      <c r="P1081" s="203"/>
      <c r="Q1081" s="203"/>
      <c r="R1081" s="203"/>
      <c r="S1081" s="203"/>
      <c r="T1081" s="203"/>
      <c r="U1081" s="325"/>
    </row>
    <row r="1082" ht="20" customHeight="1" spans="1:21">
      <c r="A1082" s="826" t="s">
        <v>2728</v>
      </c>
      <c r="B1082" s="886" t="s">
        <v>2875</v>
      </c>
      <c r="C1082" s="866" t="s">
        <v>2092</v>
      </c>
      <c r="D1082" s="392">
        <v>25</v>
      </c>
      <c r="E1082" s="281"/>
      <c r="F1082" s="839" t="s">
        <v>2877</v>
      </c>
      <c r="G1082" s="830" t="s">
        <v>2911</v>
      </c>
      <c r="H1082" s="836" t="s">
        <v>2912</v>
      </c>
      <c r="I1082" s="886"/>
      <c r="J1082" s="826" t="s">
        <v>18</v>
      </c>
      <c r="K1082" s="826" t="s">
        <v>147</v>
      </c>
      <c r="L1082" s="426" t="s">
        <v>1559</v>
      </c>
      <c r="M1082" s="826"/>
      <c r="N1082" s="814" t="s">
        <v>2880</v>
      </c>
      <c r="O1082" s="203"/>
      <c r="P1082" s="203"/>
      <c r="Q1082" s="203"/>
      <c r="R1082" s="203"/>
      <c r="S1082" s="203"/>
      <c r="T1082" s="203"/>
      <c r="U1082" s="325"/>
    </row>
    <row r="1083" ht="20" customHeight="1" spans="1:21">
      <c r="A1083" s="826" t="s">
        <v>2728</v>
      </c>
      <c r="B1083" s="886" t="s">
        <v>2875</v>
      </c>
      <c r="C1083" s="866" t="s">
        <v>2093</v>
      </c>
      <c r="D1083" s="392">
        <v>30</v>
      </c>
      <c r="E1083" s="281"/>
      <c r="F1083" s="839" t="s">
        <v>2877</v>
      </c>
      <c r="G1083" s="830" t="s">
        <v>2911</v>
      </c>
      <c r="H1083" s="836" t="s">
        <v>2912</v>
      </c>
      <c r="I1083" s="886"/>
      <c r="J1083" s="826" t="s">
        <v>18</v>
      </c>
      <c r="K1083" s="826" t="s">
        <v>147</v>
      </c>
      <c r="L1083" s="426" t="s">
        <v>1559</v>
      </c>
      <c r="M1083" s="826"/>
      <c r="N1083" s="814" t="s">
        <v>2880</v>
      </c>
      <c r="O1083" s="203"/>
      <c r="P1083" s="203"/>
      <c r="Q1083" s="203"/>
      <c r="R1083" s="203"/>
      <c r="S1083" s="203"/>
      <c r="T1083" s="203"/>
      <c r="U1083" s="325"/>
    </row>
    <row r="1084" s="180" customFormat="1" ht="23" customHeight="1" spans="1:21">
      <c r="A1084" s="826" t="s">
        <v>910</v>
      </c>
      <c r="B1084" s="826" t="s">
        <v>2372</v>
      </c>
      <c r="C1084" s="828" t="s">
        <v>2090</v>
      </c>
      <c r="D1084" s="874">
        <v>7</v>
      </c>
      <c r="E1084" s="281"/>
      <c r="F1084" s="839" t="s">
        <v>2877</v>
      </c>
      <c r="G1084" s="830" t="s">
        <v>2911</v>
      </c>
      <c r="H1084" s="836" t="s">
        <v>2912</v>
      </c>
      <c r="I1084" s="866"/>
      <c r="J1084" s="826" t="s">
        <v>18</v>
      </c>
      <c r="K1084" s="872" t="s">
        <v>147</v>
      </c>
      <c r="L1084" s="426" t="s">
        <v>1559</v>
      </c>
      <c r="M1084" s="868" t="s">
        <v>2913</v>
      </c>
      <c r="N1084" s="802" t="s">
        <v>2880</v>
      </c>
      <c r="O1084" s="512"/>
      <c r="P1084" s="512"/>
      <c r="Q1084" s="512"/>
      <c r="R1084" s="512"/>
      <c r="S1084" s="512"/>
      <c r="T1084" s="512"/>
      <c r="U1084" s="512"/>
    </row>
    <row r="1085" s="180" customFormat="1" ht="20" customHeight="1" spans="1:21">
      <c r="A1085" s="826" t="s">
        <v>910</v>
      </c>
      <c r="B1085" s="826" t="s">
        <v>2372</v>
      </c>
      <c r="C1085" s="828" t="s">
        <v>2093</v>
      </c>
      <c r="D1085" s="874">
        <v>15</v>
      </c>
      <c r="E1085" s="69"/>
      <c r="F1085" s="839" t="s">
        <v>2877</v>
      </c>
      <c r="G1085" s="830" t="s">
        <v>2911</v>
      </c>
      <c r="H1085" s="836" t="s">
        <v>2912</v>
      </c>
      <c r="I1085" s="866"/>
      <c r="J1085" s="826" t="s">
        <v>18</v>
      </c>
      <c r="K1085" s="872" t="s">
        <v>147</v>
      </c>
      <c r="L1085" s="426" t="s">
        <v>1559</v>
      </c>
      <c r="M1085" s="868" t="s">
        <v>2914</v>
      </c>
      <c r="N1085" s="802" t="s">
        <v>2880</v>
      </c>
      <c r="O1085" s="203"/>
      <c r="P1085" s="203"/>
      <c r="Q1085" s="203"/>
      <c r="R1085" s="203"/>
      <c r="S1085" s="203"/>
      <c r="T1085" s="203"/>
      <c r="U1085" s="203"/>
    </row>
    <row r="1086" s="180" customFormat="1" ht="23" customHeight="1" spans="1:21">
      <c r="A1086" s="872" t="s">
        <v>910</v>
      </c>
      <c r="B1086" s="872" t="s">
        <v>2372</v>
      </c>
      <c r="C1086" s="873" t="s">
        <v>2095</v>
      </c>
      <c r="D1086" s="829">
        <v>9</v>
      </c>
      <c r="E1086" s="281"/>
      <c r="F1086" s="839" t="s">
        <v>2877</v>
      </c>
      <c r="G1086" s="830" t="s">
        <v>2911</v>
      </c>
      <c r="H1086" s="836" t="s">
        <v>2912</v>
      </c>
      <c r="I1086" s="827"/>
      <c r="J1086" s="826" t="s">
        <v>18</v>
      </c>
      <c r="K1086" s="881" t="s">
        <v>147</v>
      </c>
      <c r="L1086" s="426" t="s">
        <v>1559</v>
      </c>
      <c r="M1086" s="868" t="s">
        <v>2915</v>
      </c>
      <c r="N1086" s="802" t="s">
        <v>2880</v>
      </c>
      <c r="O1086" s="512"/>
      <c r="P1086" s="512"/>
      <c r="Q1086" s="512"/>
      <c r="R1086" s="512"/>
      <c r="S1086" s="512"/>
      <c r="T1086" s="512"/>
      <c r="U1086" s="512"/>
    </row>
    <row r="1087" s="180" customFormat="1" ht="20" customHeight="1" spans="1:21">
      <c r="A1087" s="872" t="s">
        <v>910</v>
      </c>
      <c r="B1087" s="826" t="s">
        <v>2372</v>
      </c>
      <c r="C1087" s="828" t="s">
        <v>2095</v>
      </c>
      <c r="D1087" s="829">
        <v>30</v>
      </c>
      <c r="E1087" s="69"/>
      <c r="F1087" s="839" t="s">
        <v>2877</v>
      </c>
      <c r="G1087" s="830" t="s">
        <v>2911</v>
      </c>
      <c r="H1087" s="836" t="s">
        <v>2912</v>
      </c>
      <c r="I1087" s="827"/>
      <c r="J1087" s="826" t="s">
        <v>18</v>
      </c>
      <c r="K1087" s="826" t="s">
        <v>147</v>
      </c>
      <c r="L1087" s="426" t="s">
        <v>1559</v>
      </c>
      <c r="M1087" s="826" t="s">
        <v>2916</v>
      </c>
      <c r="N1087" s="802" t="s">
        <v>2880</v>
      </c>
      <c r="O1087" s="512"/>
      <c r="P1087" s="512"/>
      <c r="Q1087" s="512"/>
      <c r="R1087" s="512"/>
      <c r="S1087" s="512"/>
      <c r="T1087" s="512"/>
      <c r="U1087" s="512"/>
    </row>
    <row r="1088" s="180" customFormat="1" ht="20" customHeight="1" spans="1:21">
      <c r="A1088" s="894" t="s">
        <v>910</v>
      </c>
      <c r="B1088" s="894" t="s">
        <v>2372</v>
      </c>
      <c r="C1088" s="895" t="s">
        <v>2090</v>
      </c>
      <c r="D1088" s="896">
        <v>3</v>
      </c>
      <c r="E1088" s="897" t="s">
        <v>2917</v>
      </c>
      <c r="F1088" s="898" t="s">
        <v>309</v>
      </c>
      <c r="G1088" s="898" t="s">
        <v>2918</v>
      </c>
      <c r="H1088" s="899"/>
      <c r="I1088" s="908"/>
      <c r="J1088" s="909" t="s">
        <v>18</v>
      </c>
      <c r="K1088" s="910" t="s">
        <v>147</v>
      </c>
      <c r="L1088" s="911"/>
      <c r="M1088" s="912" t="s">
        <v>2919</v>
      </c>
      <c r="N1088" s="802"/>
      <c r="O1088" s="203"/>
      <c r="P1088" s="203"/>
      <c r="Q1088" s="203"/>
      <c r="R1088" s="203"/>
      <c r="S1088" s="203"/>
      <c r="T1088" s="203"/>
      <c r="U1088" s="203"/>
    </row>
    <row r="1089" s="180" customFormat="1" ht="20" customHeight="1" spans="1:21">
      <c r="A1089" s="894" t="s">
        <v>2728</v>
      </c>
      <c r="B1089" s="913" t="s">
        <v>2875</v>
      </c>
      <c r="C1089" s="914" t="s">
        <v>2092</v>
      </c>
      <c r="D1089" s="439">
        <v>3</v>
      </c>
      <c r="E1089" s="281"/>
      <c r="F1089" s="915" t="s">
        <v>309</v>
      </c>
      <c r="G1089" s="898" t="s">
        <v>2918</v>
      </c>
      <c r="H1089" s="899"/>
      <c r="I1089" s="908"/>
      <c r="J1089" s="909" t="s">
        <v>18</v>
      </c>
      <c r="K1089" s="910" t="s">
        <v>147</v>
      </c>
      <c r="L1089" s="911"/>
      <c r="M1089" s="912" t="s">
        <v>2919</v>
      </c>
      <c r="N1089" s="802"/>
      <c r="O1089" s="203"/>
      <c r="P1089" s="203"/>
      <c r="Q1089" s="203"/>
      <c r="R1089" s="203"/>
      <c r="S1089" s="203"/>
      <c r="T1089" s="203"/>
      <c r="U1089" s="203"/>
    </row>
    <row r="1090" s="180" customFormat="1" ht="20" customHeight="1" spans="1:21">
      <c r="A1090" s="894" t="s">
        <v>2920</v>
      </c>
      <c r="B1090" s="913" t="s">
        <v>2875</v>
      </c>
      <c r="C1090" s="914" t="s">
        <v>2094</v>
      </c>
      <c r="D1090" s="439">
        <v>2</v>
      </c>
      <c r="E1090" s="281"/>
      <c r="F1090" s="915" t="s">
        <v>309</v>
      </c>
      <c r="G1090" s="898" t="s">
        <v>2918</v>
      </c>
      <c r="H1090" s="899"/>
      <c r="I1090" s="908"/>
      <c r="J1090" s="909" t="s">
        <v>18</v>
      </c>
      <c r="K1090" s="910" t="s">
        <v>147</v>
      </c>
      <c r="L1090" s="911"/>
      <c r="M1090" s="912" t="s">
        <v>2919</v>
      </c>
      <c r="N1090" s="802"/>
      <c r="O1090" s="203"/>
      <c r="P1090" s="203"/>
      <c r="Q1090" s="203"/>
      <c r="R1090" s="203"/>
      <c r="S1090" s="203"/>
      <c r="T1090" s="203"/>
      <c r="U1090" s="203"/>
    </row>
    <row r="1091" s="180" customFormat="1" ht="20" customHeight="1" spans="1:21">
      <c r="A1091" s="916" t="s">
        <v>910</v>
      </c>
      <c r="B1091" s="916" t="s">
        <v>2372</v>
      </c>
      <c r="C1091" s="917" t="s">
        <v>2095</v>
      </c>
      <c r="D1091" s="918">
        <v>3</v>
      </c>
      <c r="E1091" s="281"/>
      <c r="F1091" s="898" t="s">
        <v>309</v>
      </c>
      <c r="G1091" s="898" t="s">
        <v>2918</v>
      </c>
      <c r="H1091" s="899"/>
      <c r="I1091" s="908"/>
      <c r="J1091" s="909" t="s">
        <v>18</v>
      </c>
      <c r="K1091" s="910" t="s">
        <v>147</v>
      </c>
      <c r="L1091" s="911"/>
      <c r="M1091" s="912" t="s">
        <v>2919</v>
      </c>
      <c r="N1091" s="802"/>
      <c r="O1091" s="203"/>
      <c r="P1091" s="203"/>
      <c r="Q1091" s="203"/>
      <c r="R1091" s="203"/>
      <c r="S1091" s="203"/>
      <c r="T1091" s="203"/>
      <c r="U1091" s="203"/>
    </row>
    <row r="1092" spans="1:21">
      <c r="A1092" s="919" t="s">
        <v>2920</v>
      </c>
      <c r="B1092" s="920" t="s">
        <v>2921</v>
      </c>
      <c r="C1092" s="921" t="s">
        <v>2087</v>
      </c>
      <c r="D1092" s="439">
        <v>36</v>
      </c>
      <c r="E1092" s="922" t="s">
        <v>2922</v>
      </c>
      <c r="F1092" s="923" t="s">
        <v>1796</v>
      </c>
      <c r="G1092" s="923" t="s">
        <v>1796</v>
      </c>
      <c r="H1092" s="924"/>
      <c r="I1092" s="919"/>
      <c r="J1092" s="919" t="s">
        <v>18</v>
      </c>
      <c r="K1092" s="916" t="s">
        <v>654</v>
      </c>
      <c r="L1092" s="947"/>
      <c r="M1092" s="919" t="s">
        <v>2923</v>
      </c>
      <c r="N1092" s="814">
        <v>45902</v>
      </c>
      <c r="O1092" s="512"/>
      <c r="P1092" s="512"/>
      <c r="Q1092" s="512"/>
      <c r="R1092" s="512"/>
      <c r="S1092" s="512"/>
      <c r="T1092" s="512"/>
      <c r="U1092" s="512"/>
    </row>
    <row r="1093" spans="1:21">
      <c r="A1093" s="919" t="s">
        <v>2920</v>
      </c>
      <c r="B1093" s="920" t="s">
        <v>2921</v>
      </c>
      <c r="C1093" s="914" t="s">
        <v>2092</v>
      </c>
      <c r="D1093" s="439">
        <v>150</v>
      </c>
      <c r="E1093" s="281"/>
      <c r="F1093" s="923" t="s">
        <v>1796</v>
      </c>
      <c r="G1093" s="923" t="s">
        <v>1796</v>
      </c>
      <c r="H1093" s="924"/>
      <c r="I1093" s="919"/>
      <c r="J1093" s="919" t="s">
        <v>18</v>
      </c>
      <c r="K1093" s="916" t="s">
        <v>654</v>
      </c>
      <c r="L1093" s="947"/>
      <c r="M1093" s="919"/>
      <c r="N1093" s="814">
        <v>45899</v>
      </c>
      <c r="O1093" s="512"/>
      <c r="P1093" s="512"/>
      <c r="Q1093" s="512"/>
      <c r="R1093" s="512"/>
      <c r="S1093" s="512"/>
      <c r="T1093" s="512"/>
      <c r="U1093" s="512"/>
    </row>
    <row r="1094" spans="1:21">
      <c r="A1094" s="919" t="s">
        <v>2920</v>
      </c>
      <c r="B1094" s="920" t="s">
        <v>2921</v>
      </c>
      <c r="C1094" s="921" t="s">
        <v>2087</v>
      </c>
      <c r="D1094" s="439">
        <v>36</v>
      </c>
      <c r="E1094" s="922" t="s">
        <v>2924</v>
      </c>
      <c r="F1094" s="923" t="s">
        <v>1796</v>
      </c>
      <c r="G1094" s="923" t="s">
        <v>1796</v>
      </c>
      <c r="H1094" s="924"/>
      <c r="I1094" s="919"/>
      <c r="J1094" s="919" t="s">
        <v>18</v>
      </c>
      <c r="K1094" s="916" t="s">
        <v>654</v>
      </c>
      <c r="L1094" s="947"/>
      <c r="M1094" s="919" t="s">
        <v>2923</v>
      </c>
      <c r="N1094" s="814">
        <v>45902</v>
      </c>
      <c r="O1094" s="512"/>
      <c r="P1094" s="512"/>
      <c r="Q1094" s="512"/>
      <c r="R1094" s="512"/>
      <c r="S1094" s="512"/>
      <c r="T1094" s="512"/>
      <c r="U1094" s="512"/>
    </row>
    <row r="1095" spans="1:21">
      <c r="A1095" s="919" t="s">
        <v>2920</v>
      </c>
      <c r="B1095" s="920" t="s">
        <v>2921</v>
      </c>
      <c r="C1095" s="914" t="s">
        <v>2092</v>
      </c>
      <c r="D1095" s="439">
        <v>150</v>
      </c>
      <c r="E1095" s="69"/>
      <c r="F1095" s="923" t="s">
        <v>1796</v>
      </c>
      <c r="G1095" s="923" t="s">
        <v>1796</v>
      </c>
      <c r="H1095" s="924"/>
      <c r="I1095" s="919"/>
      <c r="J1095" s="919" t="s">
        <v>18</v>
      </c>
      <c r="K1095" s="916" t="s">
        <v>654</v>
      </c>
      <c r="L1095" s="947"/>
      <c r="M1095" s="919"/>
      <c r="N1095" s="814">
        <v>45899</v>
      </c>
      <c r="O1095" s="512"/>
      <c r="P1095" s="512"/>
      <c r="Q1095" s="512"/>
      <c r="R1095" s="512"/>
      <c r="S1095" s="512"/>
      <c r="T1095" s="512"/>
      <c r="U1095" s="512"/>
    </row>
    <row r="1096" spans="1:21">
      <c r="A1096" s="919" t="s">
        <v>2920</v>
      </c>
      <c r="B1096" s="920" t="s">
        <v>2921</v>
      </c>
      <c r="C1096" s="921" t="s">
        <v>2087</v>
      </c>
      <c r="D1096" s="439">
        <v>36</v>
      </c>
      <c r="E1096" s="922" t="s">
        <v>2925</v>
      </c>
      <c r="F1096" s="923" t="s">
        <v>1796</v>
      </c>
      <c r="G1096" s="923" t="s">
        <v>1796</v>
      </c>
      <c r="H1096" s="924"/>
      <c r="I1096" s="919"/>
      <c r="J1096" s="919" t="s">
        <v>18</v>
      </c>
      <c r="K1096" s="916" t="s">
        <v>654</v>
      </c>
      <c r="L1096" s="947"/>
      <c r="M1096" s="919" t="s">
        <v>2923</v>
      </c>
      <c r="N1096" s="814">
        <v>45902</v>
      </c>
      <c r="O1096" s="512"/>
      <c r="P1096" s="512"/>
      <c r="Q1096" s="512"/>
      <c r="R1096" s="512"/>
      <c r="S1096" s="512"/>
      <c r="T1096" s="512"/>
      <c r="U1096" s="512"/>
    </row>
    <row r="1097" spans="1:21">
      <c r="A1097" s="919" t="s">
        <v>2920</v>
      </c>
      <c r="B1097" s="920" t="s">
        <v>2921</v>
      </c>
      <c r="C1097" s="914" t="s">
        <v>2092</v>
      </c>
      <c r="D1097" s="439">
        <v>100</v>
      </c>
      <c r="E1097" s="281"/>
      <c r="F1097" s="923" t="s">
        <v>1796</v>
      </c>
      <c r="G1097" s="923" t="s">
        <v>1796</v>
      </c>
      <c r="H1097" s="924"/>
      <c r="I1097" s="919"/>
      <c r="J1097" s="919" t="s">
        <v>18</v>
      </c>
      <c r="K1097" s="916" t="s">
        <v>654</v>
      </c>
      <c r="L1097" s="947"/>
      <c r="M1097" s="919"/>
      <c r="N1097" s="814">
        <v>45899</v>
      </c>
      <c r="O1097" s="512"/>
      <c r="P1097" s="512"/>
      <c r="Q1097" s="512"/>
      <c r="R1097" s="512"/>
      <c r="S1097" s="512"/>
      <c r="T1097" s="512"/>
      <c r="U1097" s="512"/>
    </row>
    <row r="1098" spans="1:21">
      <c r="A1098" s="919" t="s">
        <v>2920</v>
      </c>
      <c r="B1098" s="920" t="s">
        <v>2921</v>
      </c>
      <c r="C1098" s="914" t="s">
        <v>2093</v>
      </c>
      <c r="D1098" s="439">
        <v>35</v>
      </c>
      <c r="E1098" s="69"/>
      <c r="F1098" s="923" t="s">
        <v>1796</v>
      </c>
      <c r="G1098" s="923" t="s">
        <v>1796</v>
      </c>
      <c r="H1098" s="924"/>
      <c r="I1098" s="919"/>
      <c r="J1098" s="919" t="s">
        <v>18</v>
      </c>
      <c r="K1098" s="916" t="s">
        <v>654</v>
      </c>
      <c r="L1098" s="948"/>
      <c r="M1098" s="949"/>
      <c r="N1098" s="814">
        <v>45899</v>
      </c>
      <c r="O1098" s="512"/>
      <c r="P1098" s="512"/>
      <c r="Q1098" s="512"/>
      <c r="R1098" s="512"/>
      <c r="S1098" s="512"/>
      <c r="T1098" s="512"/>
      <c r="U1098" s="512"/>
    </row>
    <row r="1099" spans="1:21">
      <c r="A1099" s="919" t="s">
        <v>2920</v>
      </c>
      <c r="B1099" s="920" t="s">
        <v>2921</v>
      </c>
      <c r="C1099" s="921" t="s">
        <v>2087</v>
      </c>
      <c r="D1099" s="439">
        <v>36</v>
      </c>
      <c r="E1099" s="922" t="s">
        <v>2926</v>
      </c>
      <c r="F1099" s="923" t="s">
        <v>1796</v>
      </c>
      <c r="G1099" s="923" t="s">
        <v>1796</v>
      </c>
      <c r="H1099" s="924"/>
      <c r="I1099" s="919"/>
      <c r="J1099" s="919" t="s">
        <v>18</v>
      </c>
      <c r="K1099" s="950" t="s">
        <v>147</v>
      </c>
      <c r="L1099" s="951"/>
      <c r="M1099" s="919" t="s">
        <v>2923</v>
      </c>
      <c r="N1099" s="814">
        <v>45902</v>
      </c>
      <c r="O1099" s="512"/>
      <c r="P1099" s="512"/>
      <c r="Q1099" s="512"/>
      <c r="R1099" s="512"/>
      <c r="S1099" s="512"/>
      <c r="T1099" s="512"/>
      <c r="U1099" s="512"/>
    </row>
    <row r="1100" spans="1:21">
      <c r="A1100" s="919" t="s">
        <v>2920</v>
      </c>
      <c r="B1100" s="920" t="s">
        <v>2921</v>
      </c>
      <c r="C1100" s="914" t="s">
        <v>2093</v>
      </c>
      <c r="D1100" s="439">
        <v>65</v>
      </c>
      <c r="E1100" s="281"/>
      <c r="F1100" s="923" t="s">
        <v>1796</v>
      </c>
      <c r="G1100" s="923" t="s">
        <v>1796</v>
      </c>
      <c r="H1100" s="924"/>
      <c r="I1100" s="919"/>
      <c r="J1100" s="919" t="s">
        <v>18</v>
      </c>
      <c r="K1100" s="950" t="s">
        <v>147</v>
      </c>
      <c r="L1100" s="951"/>
      <c r="M1100" s="933"/>
      <c r="N1100" s="814">
        <v>45899</v>
      </c>
      <c r="O1100" s="512"/>
      <c r="P1100" s="512"/>
      <c r="Q1100" s="512"/>
      <c r="R1100" s="512"/>
      <c r="S1100" s="512"/>
      <c r="T1100" s="512"/>
      <c r="U1100" s="512"/>
    </row>
    <row r="1101" spans="1:21">
      <c r="A1101" s="919" t="s">
        <v>2920</v>
      </c>
      <c r="B1101" s="920" t="s">
        <v>2921</v>
      </c>
      <c r="C1101" s="914" t="s">
        <v>2094</v>
      </c>
      <c r="D1101" s="439">
        <v>50</v>
      </c>
      <c r="E1101" s="69"/>
      <c r="F1101" s="923" t="s">
        <v>1796</v>
      </c>
      <c r="G1101" s="923" t="s">
        <v>1796</v>
      </c>
      <c r="H1101" s="924"/>
      <c r="I1101" s="919"/>
      <c r="J1101" s="919" t="s">
        <v>18</v>
      </c>
      <c r="K1101" s="949" t="s">
        <v>147</v>
      </c>
      <c r="L1101" s="952"/>
      <c r="M1101" s="953"/>
      <c r="N1101" s="814">
        <v>45899</v>
      </c>
      <c r="O1101" s="512"/>
      <c r="P1101" s="512"/>
      <c r="Q1101" s="512"/>
      <c r="R1101" s="512"/>
      <c r="S1101" s="512"/>
      <c r="T1101" s="512"/>
      <c r="U1101" s="512"/>
    </row>
    <row r="1102" spans="1:21">
      <c r="A1102" s="919" t="s">
        <v>2920</v>
      </c>
      <c r="B1102" s="920" t="s">
        <v>2921</v>
      </c>
      <c r="C1102" s="921" t="s">
        <v>2087</v>
      </c>
      <c r="D1102" s="439">
        <v>36</v>
      </c>
      <c r="E1102" s="922" t="s">
        <v>2927</v>
      </c>
      <c r="F1102" s="923" t="s">
        <v>1796</v>
      </c>
      <c r="G1102" s="923" t="s">
        <v>1796</v>
      </c>
      <c r="H1102" s="924"/>
      <c r="I1102" s="919"/>
      <c r="J1102" s="919" t="s">
        <v>18</v>
      </c>
      <c r="K1102" s="949" t="s">
        <v>147</v>
      </c>
      <c r="L1102" s="947"/>
      <c r="M1102" s="919" t="s">
        <v>2923</v>
      </c>
      <c r="N1102" s="814">
        <v>45902</v>
      </c>
      <c r="O1102" s="512"/>
      <c r="P1102" s="512"/>
      <c r="Q1102" s="512"/>
      <c r="R1102" s="512"/>
      <c r="S1102" s="512"/>
      <c r="T1102" s="512"/>
      <c r="U1102" s="512"/>
    </row>
    <row r="1103" spans="1:21">
      <c r="A1103" s="919" t="s">
        <v>2920</v>
      </c>
      <c r="B1103" s="920" t="s">
        <v>2921</v>
      </c>
      <c r="C1103" s="914" t="s">
        <v>2095</v>
      </c>
      <c r="D1103" s="439">
        <v>50</v>
      </c>
      <c r="E1103" s="281"/>
      <c r="F1103" s="923" t="s">
        <v>1796</v>
      </c>
      <c r="G1103" s="923" t="s">
        <v>1796</v>
      </c>
      <c r="H1103" s="924"/>
      <c r="I1103" s="919"/>
      <c r="J1103" s="919" t="s">
        <v>18</v>
      </c>
      <c r="K1103" s="949" t="s">
        <v>147</v>
      </c>
      <c r="L1103" s="947"/>
      <c r="M1103" s="919"/>
      <c r="N1103" s="814">
        <v>45899</v>
      </c>
      <c r="O1103" s="512"/>
      <c r="P1103" s="512"/>
      <c r="Q1103" s="512"/>
      <c r="R1103" s="512"/>
      <c r="S1103" s="512"/>
      <c r="T1103" s="512"/>
      <c r="U1103" s="512"/>
    </row>
    <row r="1104" spans="1:21">
      <c r="A1104" s="919" t="s">
        <v>2920</v>
      </c>
      <c r="B1104" s="920" t="s">
        <v>2921</v>
      </c>
      <c r="C1104" s="925" t="s">
        <v>2140</v>
      </c>
      <c r="D1104" s="450">
        <v>100</v>
      </c>
      <c r="E1104" s="69"/>
      <c r="F1104" s="923" t="s">
        <v>1796</v>
      </c>
      <c r="G1104" s="926" t="s">
        <v>1796</v>
      </c>
      <c r="H1104" s="924"/>
      <c r="I1104" s="919"/>
      <c r="J1104" s="919" t="s">
        <v>18</v>
      </c>
      <c r="K1104" s="949" t="s">
        <v>147</v>
      </c>
      <c r="L1104" s="947"/>
      <c r="M1104" s="919"/>
      <c r="N1104" s="814">
        <v>45899</v>
      </c>
      <c r="O1104" s="512"/>
      <c r="P1104" s="512"/>
      <c r="Q1104" s="512"/>
      <c r="R1104" s="512"/>
      <c r="S1104" s="512"/>
      <c r="T1104" s="512"/>
      <c r="U1104" s="512"/>
    </row>
    <row r="1105" ht="18.4" customHeight="1" spans="1:21">
      <c r="A1105" s="927" t="s">
        <v>2920</v>
      </c>
      <c r="B1105" s="819" t="s">
        <v>2928</v>
      </c>
      <c r="C1105" s="928" t="s">
        <v>2087</v>
      </c>
      <c r="D1105" s="439">
        <v>36</v>
      </c>
      <c r="E1105" s="922" t="s">
        <v>2929</v>
      </c>
      <c r="F1105" s="923" t="s">
        <v>1796</v>
      </c>
      <c r="G1105" s="929" t="s">
        <v>1796</v>
      </c>
      <c r="H1105" s="930"/>
      <c r="I1105" s="894"/>
      <c r="J1105" s="919" t="s">
        <v>18</v>
      </c>
      <c r="K1105" s="949" t="s">
        <v>147</v>
      </c>
      <c r="L1105" s="947"/>
      <c r="M1105" s="919" t="s">
        <v>2930</v>
      </c>
      <c r="N1105" s="814">
        <v>45907</v>
      </c>
      <c r="O1105" s="512"/>
      <c r="P1105" s="512"/>
      <c r="Q1105" s="512"/>
      <c r="R1105" s="512"/>
      <c r="S1105" s="512"/>
      <c r="T1105" s="512"/>
      <c r="U1105" s="512"/>
    </row>
    <row r="1106" ht="18.4" customHeight="1" spans="1:21">
      <c r="A1106" s="927" t="s">
        <v>2920</v>
      </c>
      <c r="B1106" s="819" t="s">
        <v>2928</v>
      </c>
      <c r="C1106" s="925" t="s">
        <v>2114</v>
      </c>
      <c r="D1106" s="450">
        <v>200</v>
      </c>
      <c r="E1106" s="397"/>
      <c r="F1106" s="923" t="s">
        <v>1796</v>
      </c>
      <c r="G1106" s="929" t="s">
        <v>1796</v>
      </c>
      <c r="H1106" s="930"/>
      <c r="I1106" s="954"/>
      <c r="J1106" s="919" t="s">
        <v>18</v>
      </c>
      <c r="K1106" s="949" t="s">
        <v>147</v>
      </c>
      <c r="L1106" s="947"/>
      <c r="M1106" s="919"/>
      <c r="N1106" s="814">
        <v>45899</v>
      </c>
      <c r="O1106" s="512"/>
      <c r="P1106" s="512"/>
      <c r="Q1106" s="512"/>
      <c r="R1106" s="512"/>
      <c r="S1106" s="512"/>
      <c r="T1106" s="512"/>
      <c r="U1106" s="512"/>
    </row>
    <row r="1107" ht="18.4" customHeight="1" spans="1:21">
      <c r="A1107" s="919" t="s">
        <v>2920</v>
      </c>
      <c r="B1107" s="819" t="s">
        <v>2928</v>
      </c>
      <c r="C1107" s="921" t="s">
        <v>2087</v>
      </c>
      <c r="D1107" s="439">
        <v>36</v>
      </c>
      <c r="E1107" s="922" t="s">
        <v>2931</v>
      </c>
      <c r="F1107" s="923" t="s">
        <v>1796</v>
      </c>
      <c r="G1107" s="929" t="s">
        <v>1796</v>
      </c>
      <c r="H1107" s="930"/>
      <c r="I1107" s="954"/>
      <c r="J1107" s="919" t="s">
        <v>18</v>
      </c>
      <c r="K1107" s="949" t="s">
        <v>147</v>
      </c>
      <c r="L1107" s="947"/>
      <c r="M1107" s="919" t="s">
        <v>2930</v>
      </c>
      <c r="N1107" s="814">
        <v>45907</v>
      </c>
      <c r="O1107" s="512"/>
      <c r="P1107" s="512"/>
      <c r="Q1107" s="512"/>
      <c r="R1107" s="512"/>
      <c r="S1107" s="512"/>
      <c r="T1107" s="512"/>
      <c r="U1107" s="512"/>
    </row>
    <row r="1108" ht="20" customHeight="1" spans="1:21">
      <c r="A1108" s="919" t="s">
        <v>2920</v>
      </c>
      <c r="B1108" s="931" t="s">
        <v>2928</v>
      </c>
      <c r="C1108" s="914" t="s">
        <v>2092</v>
      </c>
      <c r="D1108" s="439">
        <v>150</v>
      </c>
      <c r="E1108" s="397"/>
      <c r="F1108" s="923" t="s">
        <v>1796</v>
      </c>
      <c r="G1108" s="929" t="s">
        <v>1796</v>
      </c>
      <c r="H1108" s="930"/>
      <c r="I1108" s="954"/>
      <c r="J1108" s="919" t="s">
        <v>18</v>
      </c>
      <c r="K1108" s="916" t="s">
        <v>147</v>
      </c>
      <c r="L1108" s="955"/>
      <c r="M1108" s="919"/>
      <c r="N1108" s="814">
        <v>45907</v>
      </c>
      <c r="P1108" s="325"/>
      <c r="Q1108" s="325"/>
      <c r="R1108" s="325"/>
      <c r="S1108" s="325"/>
      <c r="T1108" s="325"/>
      <c r="U1108" s="325"/>
    </row>
    <row r="1109" ht="20" customHeight="1" spans="1:21">
      <c r="A1109" s="919" t="s">
        <v>2920</v>
      </c>
      <c r="B1109" s="819" t="s">
        <v>2928</v>
      </c>
      <c r="C1109" s="921" t="s">
        <v>2087</v>
      </c>
      <c r="D1109" s="439">
        <v>36</v>
      </c>
      <c r="E1109" s="922" t="s">
        <v>2932</v>
      </c>
      <c r="F1109" s="923" t="s">
        <v>1796</v>
      </c>
      <c r="G1109" s="929" t="s">
        <v>1796</v>
      </c>
      <c r="H1109" s="930"/>
      <c r="I1109" s="954"/>
      <c r="J1109" s="919" t="s">
        <v>18</v>
      </c>
      <c r="K1109" s="949" t="s">
        <v>147</v>
      </c>
      <c r="L1109" s="955"/>
      <c r="M1109" s="919" t="s">
        <v>2930</v>
      </c>
      <c r="N1109" s="814">
        <v>45907</v>
      </c>
      <c r="P1109" s="325"/>
      <c r="Q1109" s="325"/>
      <c r="R1109" s="325"/>
      <c r="S1109" s="325"/>
      <c r="T1109" s="325"/>
      <c r="U1109" s="325"/>
    </row>
    <row r="1110" ht="20" customHeight="1" spans="1:21">
      <c r="A1110" s="919" t="s">
        <v>2920</v>
      </c>
      <c r="B1110" s="931" t="s">
        <v>2928</v>
      </c>
      <c r="C1110" s="914" t="s">
        <v>2094</v>
      </c>
      <c r="D1110" s="439">
        <v>50</v>
      </c>
      <c r="E1110" s="397"/>
      <c r="F1110" s="923" t="s">
        <v>1796</v>
      </c>
      <c r="G1110" s="929" t="s">
        <v>1796</v>
      </c>
      <c r="H1110" s="930"/>
      <c r="I1110" s="954"/>
      <c r="J1110" s="919" t="s">
        <v>18</v>
      </c>
      <c r="K1110" s="916" t="s">
        <v>147</v>
      </c>
      <c r="L1110" s="955"/>
      <c r="M1110" s="919"/>
      <c r="N1110" s="814">
        <v>45907</v>
      </c>
      <c r="P1110" s="325"/>
      <c r="Q1110" s="325"/>
      <c r="R1110" s="325"/>
      <c r="S1110" s="325"/>
      <c r="T1110" s="325"/>
      <c r="U1110" s="325"/>
    </row>
    <row r="1111" ht="20" customHeight="1" spans="1:21">
      <c r="A1111" s="919" t="s">
        <v>2920</v>
      </c>
      <c r="B1111" s="931" t="s">
        <v>2928</v>
      </c>
      <c r="C1111" s="932" t="s">
        <v>2095</v>
      </c>
      <c r="D1111" s="443">
        <v>50</v>
      </c>
      <c r="E1111" s="397"/>
      <c r="F1111" s="923" t="s">
        <v>1796</v>
      </c>
      <c r="G1111" s="929" t="s">
        <v>1796</v>
      </c>
      <c r="H1111" s="930"/>
      <c r="I1111" s="954"/>
      <c r="J1111" s="919" t="s">
        <v>18</v>
      </c>
      <c r="K1111" s="949" t="s">
        <v>147</v>
      </c>
      <c r="L1111" s="955"/>
      <c r="M1111" s="919"/>
      <c r="N1111" s="814">
        <v>45907</v>
      </c>
      <c r="P1111" s="325"/>
      <c r="Q1111" s="325"/>
      <c r="R1111" s="325"/>
      <c r="S1111" s="325"/>
      <c r="T1111" s="325"/>
      <c r="U1111" s="325"/>
    </row>
    <row r="1112" ht="20" customHeight="1" spans="1:21">
      <c r="A1112" s="919" t="s">
        <v>2920</v>
      </c>
      <c r="B1112" s="819" t="s">
        <v>2928</v>
      </c>
      <c r="C1112" s="921" t="s">
        <v>2087</v>
      </c>
      <c r="D1112" s="439">
        <v>36</v>
      </c>
      <c r="E1112" s="922" t="s">
        <v>2933</v>
      </c>
      <c r="F1112" s="923" t="s">
        <v>1796</v>
      </c>
      <c r="G1112" s="929" t="s">
        <v>1796</v>
      </c>
      <c r="H1112" s="930"/>
      <c r="I1112" s="954"/>
      <c r="J1112" s="919" t="s">
        <v>18</v>
      </c>
      <c r="K1112" s="916" t="s">
        <v>147</v>
      </c>
      <c r="L1112" s="955"/>
      <c r="M1112" s="919" t="s">
        <v>2930</v>
      </c>
      <c r="N1112" s="814">
        <v>45907</v>
      </c>
      <c r="P1112" s="325"/>
      <c r="Q1112" s="325"/>
      <c r="R1112" s="325"/>
      <c r="S1112" s="325"/>
      <c r="T1112" s="325"/>
      <c r="U1112" s="325"/>
    </row>
    <row r="1113" ht="20" customHeight="1" spans="1:21">
      <c r="A1113" s="919" t="s">
        <v>2920</v>
      </c>
      <c r="B1113" s="931" t="s">
        <v>2928</v>
      </c>
      <c r="C1113" s="914" t="s">
        <v>2095</v>
      </c>
      <c r="D1113" s="439">
        <v>50</v>
      </c>
      <c r="E1113" s="397"/>
      <c r="F1113" s="923" t="s">
        <v>1796</v>
      </c>
      <c r="G1113" s="929" t="s">
        <v>1796</v>
      </c>
      <c r="H1113" s="930"/>
      <c r="I1113" s="954"/>
      <c r="J1113" s="919" t="s">
        <v>18</v>
      </c>
      <c r="K1113" s="916" t="s">
        <v>147</v>
      </c>
      <c r="L1113" s="955"/>
      <c r="M1113" s="919"/>
      <c r="N1113" s="814">
        <v>45907</v>
      </c>
      <c r="P1113" s="325"/>
      <c r="Q1113" s="325"/>
      <c r="R1113" s="325"/>
      <c r="S1113" s="325"/>
      <c r="T1113" s="325"/>
      <c r="U1113" s="325"/>
    </row>
    <row r="1114" ht="20" customHeight="1" spans="1:21">
      <c r="A1114" s="919" t="s">
        <v>2920</v>
      </c>
      <c r="B1114" s="920" t="s">
        <v>2928</v>
      </c>
      <c r="C1114" s="925" t="s">
        <v>2140</v>
      </c>
      <c r="D1114" s="450">
        <v>100</v>
      </c>
      <c r="E1114" s="397"/>
      <c r="F1114" s="923" t="s">
        <v>1796</v>
      </c>
      <c r="G1114" s="929" t="s">
        <v>1796</v>
      </c>
      <c r="H1114" s="930"/>
      <c r="I1114" s="954"/>
      <c r="J1114" s="919" t="s">
        <v>18</v>
      </c>
      <c r="K1114" s="916" t="s">
        <v>147</v>
      </c>
      <c r="L1114" s="955"/>
      <c r="M1114" s="919"/>
      <c r="N1114" s="814">
        <v>45899</v>
      </c>
      <c r="P1114" s="325"/>
      <c r="Q1114" s="325"/>
      <c r="R1114" s="325"/>
      <c r="S1114" s="325"/>
      <c r="T1114" s="325"/>
      <c r="U1114" s="325"/>
    </row>
    <row r="1115" ht="20" customHeight="1" spans="1:21">
      <c r="A1115" s="894" t="s">
        <v>2728</v>
      </c>
      <c r="B1115" s="933" t="s">
        <v>2875</v>
      </c>
      <c r="C1115" s="921" t="s">
        <v>2087</v>
      </c>
      <c r="D1115" s="439">
        <v>36</v>
      </c>
      <c r="E1115" s="817" t="s">
        <v>2934</v>
      </c>
      <c r="F1115" s="915" t="s">
        <v>2877</v>
      </c>
      <c r="G1115" s="929" t="s">
        <v>2935</v>
      </c>
      <c r="H1115" s="899"/>
      <c r="I1115" s="933"/>
      <c r="J1115" s="894" t="s">
        <v>18</v>
      </c>
      <c r="K1115" s="894" t="s">
        <v>576</v>
      </c>
      <c r="L1115" s="956"/>
      <c r="M1115" s="894" t="s">
        <v>2936</v>
      </c>
      <c r="N1115" s="814">
        <v>45893</v>
      </c>
      <c r="O1115" s="203"/>
      <c r="P1115" s="325"/>
      <c r="Q1115" s="325"/>
      <c r="R1115" s="325"/>
      <c r="S1115" s="325"/>
      <c r="T1115" s="325"/>
      <c r="U1115" s="325"/>
    </row>
    <row r="1116" ht="20" customHeight="1" spans="1:21">
      <c r="A1116" s="894" t="s">
        <v>1907</v>
      </c>
      <c r="B1116" s="913" t="s">
        <v>2937</v>
      </c>
      <c r="C1116" s="914" t="s">
        <v>2092</v>
      </c>
      <c r="D1116" s="439">
        <v>150</v>
      </c>
      <c r="E1116" s="69"/>
      <c r="F1116" s="915" t="s">
        <v>309</v>
      </c>
      <c r="G1116" s="929" t="s">
        <v>2935</v>
      </c>
      <c r="H1116" s="899"/>
      <c r="I1116" s="933"/>
      <c r="J1116" s="894" t="s">
        <v>18</v>
      </c>
      <c r="K1116" s="949" t="s">
        <v>147</v>
      </c>
      <c r="L1116" s="956"/>
      <c r="M1116" s="894" t="s">
        <v>2938</v>
      </c>
      <c r="N1116" s="957" t="s">
        <v>2939</v>
      </c>
      <c r="O1116" s="203"/>
      <c r="P1116" s="325"/>
      <c r="Q1116" s="325"/>
      <c r="R1116" s="325"/>
      <c r="S1116" s="325"/>
      <c r="T1116" s="325"/>
      <c r="U1116" s="325"/>
    </row>
    <row r="1117" ht="20" customHeight="1" spans="1:21">
      <c r="A1117" s="894" t="s">
        <v>2728</v>
      </c>
      <c r="B1117" s="913" t="s">
        <v>2875</v>
      </c>
      <c r="C1117" s="921" t="s">
        <v>2087</v>
      </c>
      <c r="D1117" s="439">
        <v>36</v>
      </c>
      <c r="E1117" s="817" t="s">
        <v>2940</v>
      </c>
      <c r="F1117" s="915" t="s">
        <v>2877</v>
      </c>
      <c r="G1117" s="929" t="s">
        <v>2935</v>
      </c>
      <c r="H1117" s="899"/>
      <c r="I1117" s="933"/>
      <c r="J1117" s="894" t="s">
        <v>18</v>
      </c>
      <c r="K1117" s="894" t="s">
        <v>654</v>
      </c>
      <c r="L1117" s="956"/>
      <c r="M1117" s="894" t="s">
        <v>2938</v>
      </c>
      <c r="N1117" s="814">
        <v>45893</v>
      </c>
      <c r="O1117" s="203"/>
      <c r="P1117" s="325"/>
      <c r="Q1117" s="325"/>
      <c r="R1117" s="325"/>
      <c r="S1117" s="325"/>
      <c r="T1117" s="325"/>
      <c r="U1117" s="325"/>
    </row>
    <row r="1118" ht="20" customHeight="1" spans="1:21">
      <c r="A1118" s="894" t="s">
        <v>1907</v>
      </c>
      <c r="B1118" s="913" t="s">
        <v>2937</v>
      </c>
      <c r="C1118" s="914" t="s">
        <v>2092</v>
      </c>
      <c r="D1118" s="439">
        <v>150</v>
      </c>
      <c r="E1118" s="281"/>
      <c r="F1118" s="915" t="s">
        <v>309</v>
      </c>
      <c r="G1118" s="929" t="s">
        <v>2935</v>
      </c>
      <c r="H1118" s="899"/>
      <c r="I1118" s="933"/>
      <c r="J1118" s="894" t="s">
        <v>18</v>
      </c>
      <c r="K1118" s="949" t="s">
        <v>147</v>
      </c>
      <c r="L1118" s="956"/>
      <c r="M1118" s="894"/>
      <c r="N1118" s="957" t="s">
        <v>2939</v>
      </c>
      <c r="O1118" s="203"/>
      <c r="P1118" s="325"/>
      <c r="Q1118" s="325"/>
      <c r="R1118" s="325"/>
      <c r="S1118" s="325"/>
      <c r="T1118" s="325"/>
      <c r="U1118" s="325"/>
    </row>
    <row r="1119" ht="20" customHeight="1" spans="1:21">
      <c r="A1119" s="894" t="s">
        <v>2728</v>
      </c>
      <c r="B1119" s="913" t="s">
        <v>2875</v>
      </c>
      <c r="C1119" s="921" t="s">
        <v>2087</v>
      </c>
      <c r="D1119" s="439">
        <v>36</v>
      </c>
      <c r="E1119" s="934" t="s">
        <v>2941</v>
      </c>
      <c r="F1119" s="915" t="s">
        <v>2877</v>
      </c>
      <c r="G1119" s="929" t="s">
        <v>2935</v>
      </c>
      <c r="H1119" s="899"/>
      <c r="I1119" s="933"/>
      <c r="J1119" s="894" t="s">
        <v>18</v>
      </c>
      <c r="K1119" s="894" t="s">
        <v>654</v>
      </c>
      <c r="L1119" s="956"/>
      <c r="M1119" s="894" t="s">
        <v>2938</v>
      </c>
      <c r="N1119" s="814">
        <v>45893</v>
      </c>
      <c r="O1119" s="203"/>
      <c r="P1119" s="325"/>
      <c r="Q1119" s="325"/>
      <c r="R1119" s="325"/>
      <c r="S1119" s="325"/>
      <c r="T1119" s="325"/>
      <c r="U1119" s="325"/>
    </row>
    <row r="1120" ht="20" customHeight="1" spans="1:21">
      <c r="A1120" s="894" t="s">
        <v>1907</v>
      </c>
      <c r="B1120" s="913" t="s">
        <v>2937</v>
      </c>
      <c r="C1120" s="914" t="s">
        <v>2092</v>
      </c>
      <c r="D1120" s="439">
        <v>60</v>
      </c>
      <c r="E1120" s="69"/>
      <c r="F1120" s="915" t="s">
        <v>309</v>
      </c>
      <c r="G1120" s="929" t="s">
        <v>2935</v>
      </c>
      <c r="H1120" s="899"/>
      <c r="I1120" s="933"/>
      <c r="J1120" s="894" t="s">
        <v>18</v>
      </c>
      <c r="K1120" s="949" t="s">
        <v>147</v>
      </c>
      <c r="L1120" s="956"/>
      <c r="M1120" s="894"/>
      <c r="N1120" s="957" t="s">
        <v>2939</v>
      </c>
      <c r="O1120" s="203"/>
      <c r="P1120" s="325"/>
      <c r="Q1120" s="325"/>
      <c r="R1120" s="325"/>
      <c r="S1120" s="325"/>
      <c r="T1120" s="325"/>
      <c r="U1120" s="325"/>
    </row>
    <row r="1121" ht="20" customHeight="1" spans="1:21">
      <c r="A1121" s="894" t="s">
        <v>2728</v>
      </c>
      <c r="B1121" s="913" t="s">
        <v>2875</v>
      </c>
      <c r="C1121" s="935" t="s">
        <v>2093</v>
      </c>
      <c r="D1121" s="439">
        <v>70</v>
      </c>
      <c r="E1121" s="69"/>
      <c r="F1121" s="915" t="s">
        <v>2877</v>
      </c>
      <c r="G1121" s="929" t="s">
        <v>2935</v>
      </c>
      <c r="H1121" s="899"/>
      <c r="I1121" s="933"/>
      <c r="J1121" s="894" t="s">
        <v>18</v>
      </c>
      <c r="K1121" s="894" t="s">
        <v>147</v>
      </c>
      <c r="L1121" s="955"/>
      <c r="M1121" s="913"/>
      <c r="N1121" s="843" t="s">
        <v>2880</v>
      </c>
      <c r="O1121" s="203"/>
      <c r="P1121" s="325"/>
      <c r="Q1121" s="325"/>
      <c r="R1121" s="325"/>
      <c r="S1121" s="325"/>
      <c r="T1121" s="325"/>
      <c r="U1121" s="325"/>
    </row>
    <row r="1122" ht="18.4" customHeight="1" spans="1:21">
      <c r="A1122" s="927" t="s">
        <v>2920</v>
      </c>
      <c r="B1122" s="819" t="s">
        <v>2928</v>
      </c>
      <c r="C1122" s="928" t="s">
        <v>2087</v>
      </c>
      <c r="D1122" s="439">
        <v>36</v>
      </c>
      <c r="E1122" s="922" t="s">
        <v>2942</v>
      </c>
      <c r="F1122" s="923" t="s">
        <v>1847</v>
      </c>
      <c r="G1122" s="929" t="s">
        <v>2935</v>
      </c>
      <c r="H1122" s="930"/>
      <c r="I1122" s="954"/>
      <c r="J1122" s="919" t="s">
        <v>18</v>
      </c>
      <c r="K1122" s="894" t="s">
        <v>147</v>
      </c>
      <c r="L1122" s="947"/>
      <c r="M1122" s="919" t="s">
        <v>2930</v>
      </c>
      <c r="N1122" s="814">
        <v>45907</v>
      </c>
      <c r="O1122" s="512"/>
      <c r="P1122" s="512"/>
      <c r="Q1122" s="512"/>
      <c r="R1122" s="512"/>
      <c r="S1122" s="512"/>
      <c r="T1122" s="512"/>
      <c r="U1122" s="512"/>
    </row>
    <row r="1123" ht="18.4" customHeight="1" spans="1:21">
      <c r="A1123" s="927" t="s">
        <v>2920</v>
      </c>
      <c r="B1123" s="819" t="s">
        <v>2928</v>
      </c>
      <c r="C1123" s="819" t="s">
        <v>2092</v>
      </c>
      <c r="D1123" s="439">
        <v>50</v>
      </c>
      <c r="E1123" s="281"/>
      <c r="F1123" s="923" t="s">
        <v>1847</v>
      </c>
      <c r="G1123" s="929" t="s">
        <v>2935</v>
      </c>
      <c r="H1123" s="930"/>
      <c r="I1123" s="954"/>
      <c r="J1123" s="919" t="s">
        <v>18</v>
      </c>
      <c r="K1123" s="894" t="s">
        <v>147</v>
      </c>
      <c r="L1123" s="947"/>
      <c r="M1123" s="919"/>
      <c r="N1123" s="814">
        <v>45907</v>
      </c>
      <c r="O1123" s="512"/>
      <c r="P1123" s="512"/>
      <c r="Q1123" s="512"/>
      <c r="R1123" s="512"/>
      <c r="S1123" s="512"/>
      <c r="T1123" s="512"/>
      <c r="U1123" s="512"/>
    </row>
    <row r="1124" ht="20" customHeight="1" spans="1:21">
      <c r="A1124" s="936" t="s">
        <v>1907</v>
      </c>
      <c r="B1124" s="913" t="s">
        <v>2937</v>
      </c>
      <c r="C1124" s="819" t="s">
        <v>2092</v>
      </c>
      <c r="D1124" s="439">
        <v>100</v>
      </c>
      <c r="E1124" s="281"/>
      <c r="F1124" s="923" t="s">
        <v>309</v>
      </c>
      <c r="G1124" s="929" t="s">
        <v>2935</v>
      </c>
      <c r="H1124" s="899"/>
      <c r="I1124" s="933"/>
      <c r="J1124" s="916" t="s">
        <v>18</v>
      </c>
      <c r="K1124" s="894" t="s">
        <v>147</v>
      </c>
      <c r="L1124" s="956"/>
      <c r="M1124" s="894"/>
      <c r="N1124" s="957" t="s">
        <v>2939</v>
      </c>
      <c r="O1124" s="203"/>
      <c r="P1124" s="325"/>
      <c r="Q1124" s="325"/>
      <c r="R1124" s="325"/>
      <c r="S1124" s="325"/>
      <c r="T1124" s="325"/>
      <c r="U1124" s="325"/>
    </row>
    <row r="1125" ht="22" customHeight="1" spans="1:21">
      <c r="A1125" s="894" t="s">
        <v>2920</v>
      </c>
      <c r="B1125" s="819" t="s">
        <v>2943</v>
      </c>
      <c r="C1125" s="921" t="s">
        <v>2087</v>
      </c>
      <c r="D1125" s="439">
        <v>36</v>
      </c>
      <c r="E1125" s="817" t="s">
        <v>2944</v>
      </c>
      <c r="F1125" s="923" t="s">
        <v>1796</v>
      </c>
      <c r="G1125" s="929" t="s">
        <v>2935</v>
      </c>
      <c r="H1125" s="937"/>
      <c r="I1125" s="894"/>
      <c r="J1125" s="894" t="s">
        <v>18</v>
      </c>
      <c r="K1125" s="949" t="s">
        <v>147</v>
      </c>
      <c r="L1125" s="955"/>
      <c r="M1125" s="913" t="s">
        <v>2945</v>
      </c>
      <c r="N1125" s="958" t="s">
        <v>2946</v>
      </c>
      <c r="O1125" s="512"/>
      <c r="P1125" s="203"/>
      <c r="Q1125" s="203"/>
      <c r="R1125" s="203"/>
      <c r="S1125" s="203"/>
      <c r="T1125" s="203"/>
      <c r="U1125" s="203"/>
    </row>
    <row r="1126" ht="20" customHeight="1" spans="1:21">
      <c r="A1126" s="894" t="s">
        <v>1907</v>
      </c>
      <c r="B1126" s="913" t="s">
        <v>2937</v>
      </c>
      <c r="C1126" s="914" t="s">
        <v>2092</v>
      </c>
      <c r="D1126" s="439">
        <v>150</v>
      </c>
      <c r="E1126" s="281"/>
      <c r="F1126" s="923" t="s">
        <v>309</v>
      </c>
      <c r="G1126" s="929" t="s">
        <v>2935</v>
      </c>
      <c r="H1126" s="938"/>
      <c r="I1126" s="959"/>
      <c r="J1126" s="916" t="s">
        <v>18</v>
      </c>
      <c r="K1126" s="949" t="s">
        <v>147</v>
      </c>
      <c r="L1126" s="911"/>
      <c r="M1126" s="894"/>
      <c r="N1126" s="957" t="s">
        <v>2939</v>
      </c>
      <c r="O1126" s="203"/>
      <c r="P1126" s="325"/>
      <c r="Q1126" s="325"/>
      <c r="R1126" s="325"/>
      <c r="S1126" s="325"/>
      <c r="T1126" s="325"/>
      <c r="U1126" s="325"/>
    </row>
    <row r="1127" ht="22" customHeight="1" spans="1:21">
      <c r="A1127" s="894" t="s">
        <v>2920</v>
      </c>
      <c r="B1127" s="920" t="s">
        <v>2943</v>
      </c>
      <c r="C1127" s="921" t="s">
        <v>2087</v>
      </c>
      <c r="D1127" s="439">
        <v>36</v>
      </c>
      <c r="E1127" s="817" t="s">
        <v>2947</v>
      </c>
      <c r="F1127" s="923" t="s">
        <v>1796</v>
      </c>
      <c r="G1127" s="929" t="s">
        <v>2935</v>
      </c>
      <c r="H1127" s="937"/>
      <c r="I1127" s="913"/>
      <c r="J1127" s="894" t="s">
        <v>18</v>
      </c>
      <c r="K1127" s="919" t="s">
        <v>147</v>
      </c>
      <c r="L1127" s="955"/>
      <c r="M1127" s="913" t="s">
        <v>2945</v>
      </c>
      <c r="N1127" s="958" t="s">
        <v>2946</v>
      </c>
      <c r="O1127" s="512"/>
      <c r="P1127" s="325"/>
      <c r="Q1127" s="325"/>
      <c r="R1127" s="325"/>
      <c r="S1127" s="325"/>
      <c r="T1127" s="325"/>
      <c r="U1127" s="325"/>
    </row>
    <row r="1128" ht="20" customHeight="1" spans="1:21">
      <c r="A1128" s="894" t="s">
        <v>1907</v>
      </c>
      <c r="B1128" s="913" t="s">
        <v>2937</v>
      </c>
      <c r="C1128" s="914" t="s">
        <v>2092</v>
      </c>
      <c r="D1128" s="439">
        <v>150</v>
      </c>
      <c r="E1128" s="281"/>
      <c r="F1128" s="923" t="s">
        <v>309</v>
      </c>
      <c r="G1128" s="929" t="s">
        <v>2935</v>
      </c>
      <c r="H1128" s="899"/>
      <c r="I1128" s="933"/>
      <c r="J1128" s="894" t="s">
        <v>18</v>
      </c>
      <c r="K1128" s="919" t="s">
        <v>147</v>
      </c>
      <c r="L1128" s="956"/>
      <c r="M1128" s="894"/>
      <c r="N1128" s="957" t="s">
        <v>2939</v>
      </c>
      <c r="O1128" s="203"/>
      <c r="P1128" s="325"/>
      <c r="Q1128" s="325"/>
      <c r="R1128" s="325"/>
      <c r="S1128" s="325"/>
      <c r="T1128" s="325"/>
      <c r="U1128" s="325"/>
    </row>
    <row r="1129" ht="19" customHeight="1" spans="1:21">
      <c r="A1129" s="894" t="s">
        <v>2920</v>
      </c>
      <c r="B1129" s="920" t="s">
        <v>2943</v>
      </c>
      <c r="C1129" s="921" t="s">
        <v>2087</v>
      </c>
      <c r="D1129" s="439">
        <v>36</v>
      </c>
      <c r="E1129" s="914" t="s">
        <v>2948</v>
      </c>
      <c r="F1129" s="923" t="s">
        <v>1796</v>
      </c>
      <c r="G1129" s="929" t="s">
        <v>2935</v>
      </c>
      <c r="H1129" s="937"/>
      <c r="I1129" s="913"/>
      <c r="J1129" s="894" t="s">
        <v>18</v>
      </c>
      <c r="K1129" s="919" t="s">
        <v>147</v>
      </c>
      <c r="L1129" s="955"/>
      <c r="M1129" s="913" t="s">
        <v>2945</v>
      </c>
      <c r="N1129" s="958" t="s">
        <v>2946</v>
      </c>
      <c r="O1129" s="512"/>
      <c r="P1129" s="325"/>
      <c r="Q1129" s="325"/>
      <c r="R1129" s="325"/>
      <c r="S1129" s="325"/>
      <c r="T1129" s="325"/>
      <c r="U1129" s="325"/>
    </row>
    <row r="1130" ht="20" customHeight="1" spans="1:21">
      <c r="A1130" s="894" t="s">
        <v>1907</v>
      </c>
      <c r="B1130" s="913" t="s">
        <v>2937</v>
      </c>
      <c r="C1130" s="914" t="s">
        <v>2092</v>
      </c>
      <c r="D1130" s="439">
        <v>150</v>
      </c>
      <c r="E1130" s="281"/>
      <c r="F1130" s="923" t="s">
        <v>309</v>
      </c>
      <c r="G1130" s="929" t="s">
        <v>2935</v>
      </c>
      <c r="H1130" s="899"/>
      <c r="I1130" s="933"/>
      <c r="J1130" s="894" t="s">
        <v>18</v>
      </c>
      <c r="K1130" s="919" t="s">
        <v>147</v>
      </c>
      <c r="L1130" s="956"/>
      <c r="M1130" s="894"/>
      <c r="N1130" s="957" t="s">
        <v>2939</v>
      </c>
      <c r="O1130" s="203"/>
      <c r="P1130" s="325"/>
      <c r="Q1130" s="325"/>
      <c r="R1130" s="325"/>
      <c r="S1130" s="325"/>
      <c r="T1130" s="325"/>
      <c r="U1130" s="325"/>
    </row>
    <row r="1131" ht="19" customHeight="1" spans="1:21">
      <c r="A1131" s="894" t="s">
        <v>2920</v>
      </c>
      <c r="B1131" s="920" t="s">
        <v>2943</v>
      </c>
      <c r="C1131" s="921" t="s">
        <v>2087</v>
      </c>
      <c r="D1131" s="439">
        <v>36</v>
      </c>
      <c r="E1131" s="914" t="s">
        <v>2949</v>
      </c>
      <c r="F1131" s="923" t="s">
        <v>1796</v>
      </c>
      <c r="G1131" s="929" t="s">
        <v>2935</v>
      </c>
      <c r="H1131" s="937"/>
      <c r="I1131" s="913"/>
      <c r="J1131" s="894" t="s">
        <v>18</v>
      </c>
      <c r="K1131" s="919" t="s">
        <v>147</v>
      </c>
      <c r="L1131" s="955"/>
      <c r="M1131" s="913" t="s">
        <v>2945</v>
      </c>
      <c r="N1131" s="958" t="s">
        <v>2946</v>
      </c>
      <c r="O1131" s="512"/>
      <c r="P1131" s="325"/>
      <c r="Q1131" s="325"/>
      <c r="R1131" s="325"/>
      <c r="S1131" s="325"/>
      <c r="T1131" s="325"/>
      <c r="U1131" s="325"/>
    </row>
    <row r="1132" ht="22" customHeight="1" spans="1:15">
      <c r="A1132" s="894" t="s">
        <v>1907</v>
      </c>
      <c r="B1132" s="913" t="s">
        <v>2937</v>
      </c>
      <c r="C1132" s="914" t="s">
        <v>2092</v>
      </c>
      <c r="D1132" s="439">
        <v>150</v>
      </c>
      <c r="E1132" s="281"/>
      <c r="F1132" s="923" t="s">
        <v>309</v>
      </c>
      <c r="G1132" s="929" t="s">
        <v>2935</v>
      </c>
      <c r="H1132" s="899"/>
      <c r="I1132" s="933"/>
      <c r="J1132" s="894" t="s">
        <v>18</v>
      </c>
      <c r="K1132" s="919" t="s">
        <v>147</v>
      </c>
      <c r="L1132" s="956"/>
      <c r="M1132" s="894"/>
      <c r="N1132" s="957" t="s">
        <v>2939</v>
      </c>
      <c r="O1132" s="203"/>
    </row>
    <row r="1133" ht="19" customHeight="1" spans="1:21">
      <c r="A1133" s="894" t="s">
        <v>2920</v>
      </c>
      <c r="B1133" s="920" t="s">
        <v>2943</v>
      </c>
      <c r="C1133" s="921" t="s">
        <v>2087</v>
      </c>
      <c r="D1133" s="439">
        <v>36</v>
      </c>
      <c r="E1133" s="914" t="s">
        <v>2950</v>
      </c>
      <c r="F1133" s="923" t="s">
        <v>1796</v>
      </c>
      <c r="G1133" s="929" t="s">
        <v>2935</v>
      </c>
      <c r="H1133" s="937"/>
      <c r="I1133" s="913"/>
      <c r="J1133" s="894" t="s">
        <v>18</v>
      </c>
      <c r="K1133" s="919" t="s">
        <v>147</v>
      </c>
      <c r="L1133" s="955"/>
      <c r="M1133" s="913" t="s">
        <v>2945</v>
      </c>
      <c r="N1133" s="958" t="s">
        <v>2946</v>
      </c>
      <c r="O1133" s="512"/>
      <c r="P1133" s="325"/>
      <c r="Q1133" s="325"/>
      <c r="R1133" s="325"/>
      <c r="S1133" s="325"/>
      <c r="T1133" s="325"/>
      <c r="U1133" s="325"/>
    </row>
    <row r="1134" ht="22" customHeight="1" spans="1:15">
      <c r="A1134" s="916" t="s">
        <v>1907</v>
      </c>
      <c r="B1134" s="913" t="s">
        <v>2937</v>
      </c>
      <c r="C1134" s="932" t="s">
        <v>2092</v>
      </c>
      <c r="D1134" s="443">
        <v>150</v>
      </c>
      <c r="E1134" s="281"/>
      <c r="F1134" s="923" t="s">
        <v>309</v>
      </c>
      <c r="G1134" s="929" t="s">
        <v>2935</v>
      </c>
      <c r="H1134" s="938"/>
      <c r="I1134" s="959"/>
      <c r="J1134" s="916" t="s">
        <v>18</v>
      </c>
      <c r="K1134" s="949" t="s">
        <v>147</v>
      </c>
      <c r="L1134" s="911"/>
      <c r="M1134" s="894"/>
      <c r="N1134" s="957" t="s">
        <v>2939</v>
      </c>
      <c r="O1134" s="203"/>
    </row>
    <row r="1135" ht="17" customHeight="1" spans="1:21">
      <c r="A1135" s="894" t="s">
        <v>2920</v>
      </c>
      <c r="B1135" s="920" t="s">
        <v>2943</v>
      </c>
      <c r="C1135" s="921" t="s">
        <v>2087</v>
      </c>
      <c r="D1135" s="439">
        <v>36</v>
      </c>
      <c r="E1135" s="914" t="s">
        <v>2951</v>
      </c>
      <c r="F1135" s="923" t="s">
        <v>1796</v>
      </c>
      <c r="G1135" s="929" t="s">
        <v>2935</v>
      </c>
      <c r="H1135" s="937"/>
      <c r="I1135" s="913"/>
      <c r="J1135" s="894" t="s">
        <v>18</v>
      </c>
      <c r="K1135" s="919" t="s">
        <v>147</v>
      </c>
      <c r="L1135" s="955"/>
      <c r="M1135" s="913" t="s">
        <v>2945</v>
      </c>
      <c r="N1135" s="958" t="s">
        <v>2946</v>
      </c>
      <c r="O1135" s="512"/>
      <c r="P1135" s="325"/>
      <c r="Q1135" s="325"/>
      <c r="R1135" s="325"/>
      <c r="S1135" s="325"/>
      <c r="T1135" s="325"/>
      <c r="U1135" s="325"/>
    </row>
    <row r="1136" ht="22" customHeight="1" spans="1:15">
      <c r="A1136" s="894" t="s">
        <v>1907</v>
      </c>
      <c r="B1136" s="913" t="s">
        <v>2937</v>
      </c>
      <c r="C1136" s="914" t="s">
        <v>2092</v>
      </c>
      <c r="D1136" s="439">
        <v>150</v>
      </c>
      <c r="E1136" s="281"/>
      <c r="F1136" s="923" t="s">
        <v>309</v>
      </c>
      <c r="G1136" s="929" t="s">
        <v>2935</v>
      </c>
      <c r="H1136" s="899"/>
      <c r="I1136" s="933"/>
      <c r="J1136" s="894" t="s">
        <v>18</v>
      </c>
      <c r="K1136" s="919" t="s">
        <v>147</v>
      </c>
      <c r="L1136" s="956"/>
      <c r="M1136" s="894"/>
      <c r="N1136" s="957" t="s">
        <v>2939</v>
      </c>
      <c r="O1136" s="203"/>
    </row>
    <row r="1137" ht="17" customHeight="1" spans="1:21">
      <c r="A1137" s="894" t="s">
        <v>2920</v>
      </c>
      <c r="B1137" s="920" t="s">
        <v>2943</v>
      </c>
      <c r="C1137" s="921" t="s">
        <v>2087</v>
      </c>
      <c r="D1137" s="439">
        <v>36</v>
      </c>
      <c r="E1137" s="914" t="s">
        <v>2952</v>
      </c>
      <c r="F1137" s="923" t="s">
        <v>1796</v>
      </c>
      <c r="G1137" s="929" t="s">
        <v>2935</v>
      </c>
      <c r="H1137" s="937"/>
      <c r="I1137" s="913"/>
      <c r="J1137" s="894" t="s">
        <v>18</v>
      </c>
      <c r="K1137" s="919" t="s">
        <v>147</v>
      </c>
      <c r="L1137" s="955"/>
      <c r="M1137" s="913" t="s">
        <v>2945</v>
      </c>
      <c r="N1137" s="958" t="s">
        <v>2946</v>
      </c>
      <c r="O1137" s="512"/>
      <c r="P1137" s="325"/>
      <c r="Q1137" s="325"/>
      <c r="R1137" s="325"/>
      <c r="S1137" s="325"/>
      <c r="T1137" s="325"/>
      <c r="U1137" s="325"/>
    </row>
    <row r="1138" ht="23" customHeight="1" spans="1:15">
      <c r="A1138" s="894" t="s">
        <v>1907</v>
      </c>
      <c r="B1138" s="913" t="s">
        <v>2937</v>
      </c>
      <c r="C1138" s="914" t="s">
        <v>2092</v>
      </c>
      <c r="D1138" s="439">
        <v>150</v>
      </c>
      <c r="E1138" s="281"/>
      <c r="F1138" s="923" t="s">
        <v>309</v>
      </c>
      <c r="G1138" s="929" t="s">
        <v>2935</v>
      </c>
      <c r="H1138" s="899"/>
      <c r="I1138" s="933"/>
      <c r="J1138" s="894" t="s">
        <v>18</v>
      </c>
      <c r="K1138" s="919" t="s">
        <v>147</v>
      </c>
      <c r="L1138" s="956"/>
      <c r="M1138" s="894"/>
      <c r="N1138" s="957" t="s">
        <v>2939</v>
      </c>
      <c r="O1138" s="203"/>
    </row>
    <row r="1139" ht="17" customHeight="1" spans="1:21">
      <c r="A1139" s="919" t="s">
        <v>2920</v>
      </c>
      <c r="B1139" s="920" t="s">
        <v>2943</v>
      </c>
      <c r="C1139" s="939" t="s">
        <v>2087</v>
      </c>
      <c r="D1139" s="896">
        <v>36</v>
      </c>
      <c r="E1139" s="817" t="s">
        <v>2953</v>
      </c>
      <c r="F1139" s="923" t="s">
        <v>1796</v>
      </c>
      <c r="G1139" s="929" t="s">
        <v>2935</v>
      </c>
      <c r="H1139" s="937"/>
      <c r="I1139" s="913"/>
      <c r="J1139" s="894" t="s">
        <v>18</v>
      </c>
      <c r="K1139" s="919" t="s">
        <v>147</v>
      </c>
      <c r="L1139" s="955"/>
      <c r="M1139" s="819" t="s">
        <v>2954</v>
      </c>
      <c r="N1139" s="958" t="s">
        <v>2946</v>
      </c>
      <c r="O1139" s="512"/>
      <c r="P1139" s="325"/>
      <c r="Q1139" s="325"/>
      <c r="R1139" s="325"/>
      <c r="S1139" s="325"/>
      <c r="T1139" s="325"/>
      <c r="U1139" s="325"/>
    </row>
    <row r="1140" ht="22" customHeight="1" spans="1:15">
      <c r="A1140" s="894" t="s">
        <v>1907</v>
      </c>
      <c r="B1140" s="913" t="s">
        <v>2937</v>
      </c>
      <c r="C1140" s="914" t="s">
        <v>2092</v>
      </c>
      <c r="D1140" s="439">
        <v>150</v>
      </c>
      <c r="E1140" s="281"/>
      <c r="F1140" s="923" t="s">
        <v>309</v>
      </c>
      <c r="G1140" s="929" t="s">
        <v>2935</v>
      </c>
      <c r="H1140" s="899"/>
      <c r="I1140" s="933"/>
      <c r="J1140" s="894" t="s">
        <v>18</v>
      </c>
      <c r="K1140" s="919" t="s">
        <v>147</v>
      </c>
      <c r="L1140" s="956"/>
      <c r="M1140" s="894"/>
      <c r="N1140" s="957" t="s">
        <v>2939</v>
      </c>
      <c r="O1140" s="203"/>
    </row>
    <row r="1141" ht="17" customHeight="1" spans="1:21">
      <c r="A1141" s="919" t="s">
        <v>2920</v>
      </c>
      <c r="B1141" s="920" t="s">
        <v>2943</v>
      </c>
      <c r="C1141" s="939" t="s">
        <v>2087</v>
      </c>
      <c r="D1141" s="896">
        <v>36</v>
      </c>
      <c r="E1141" s="817" t="s">
        <v>2955</v>
      </c>
      <c r="F1141" s="923" t="s">
        <v>1796</v>
      </c>
      <c r="G1141" s="929" t="s">
        <v>2935</v>
      </c>
      <c r="H1141" s="937"/>
      <c r="I1141" s="913"/>
      <c r="J1141" s="894" t="s">
        <v>18</v>
      </c>
      <c r="K1141" s="919" t="s">
        <v>147</v>
      </c>
      <c r="L1141" s="955"/>
      <c r="M1141" s="819" t="s">
        <v>2954</v>
      </c>
      <c r="N1141" s="958" t="s">
        <v>2946</v>
      </c>
      <c r="O1141" s="512"/>
      <c r="P1141" s="325"/>
      <c r="Q1141" s="325"/>
      <c r="R1141" s="325"/>
      <c r="S1141" s="325"/>
      <c r="T1141" s="325"/>
      <c r="U1141" s="325"/>
    </row>
    <row r="1142" ht="22" customHeight="1" spans="1:15">
      <c r="A1142" s="894" t="s">
        <v>1907</v>
      </c>
      <c r="B1142" s="913" t="s">
        <v>2937</v>
      </c>
      <c r="C1142" s="914" t="s">
        <v>2092</v>
      </c>
      <c r="D1142" s="439">
        <v>150</v>
      </c>
      <c r="E1142" s="281"/>
      <c r="F1142" s="923" t="s">
        <v>309</v>
      </c>
      <c r="G1142" s="929" t="s">
        <v>2935</v>
      </c>
      <c r="H1142" s="899"/>
      <c r="I1142" s="933"/>
      <c r="J1142" s="894" t="s">
        <v>18</v>
      </c>
      <c r="K1142" s="919" t="s">
        <v>147</v>
      </c>
      <c r="L1142" s="956"/>
      <c r="M1142" s="894"/>
      <c r="N1142" s="957" t="s">
        <v>2939</v>
      </c>
      <c r="O1142" s="203"/>
    </row>
    <row r="1143" ht="17" customHeight="1" spans="1:21">
      <c r="A1143" s="919" t="s">
        <v>2920</v>
      </c>
      <c r="B1143" s="920" t="s">
        <v>2943</v>
      </c>
      <c r="C1143" s="939" t="s">
        <v>2087</v>
      </c>
      <c r="D1143" s="896">
        <v>36</v>
      </c>
      <c r="E1143" s="817" t="s">
        <v>2956</v>
      </c>
      <c r="F1143" s="923" t="s">
        <v>1796</v>
      </c>
      <c r="G1143" s="929" t="s">
        <v>2935</v>
      </c>
      <c r="H1143" s="937"/>
      <c r="I1143" s="913"/>
      <c r="J1143" s="894" t="s">
        <v>18</v>
      </c>
      <c r="K1143" s="919" t="s">
        <v>147</v>
      </c>
      <c r="L1143" s="955"/>
      <c r="M1143" s="819" t="s">
        <v>2954</v>
      </c>
      <c r="N1143" s="958" t="s">
        <v>2946</v>
      </c>
      <c r="O1143" s="512"/>
      <c r="P1143" s="325"/>
      <c r="Q1143" s="325"/>
      <c r="R1143" s="325"/>
      <c r="S1143" s="325"/>
      <c r="T1143" s="325"/>
      <c r="U1143" s="325"/>
    </row>
    <row r="1144" ht="22" customHeight="1" spans="1:15">
      <c r="A1144" s="894" t="s">
        <v>1907</v>
      </c>
      <c r="B1144" s="913" t="s">
        <v>2937</v>
      </c>
      <c r="C1144" s="914" t="s">
        <v>2092</v>
      </c>
      <c r="D1144" s="439">
        <v>150</v>
      </c>
      <c r="E1144" s="281"/>
      <c r="F1144" s="923" t="s">
        <v>309</v>
      </c>
      <c r="G1144" s="929" t="s">
        <v>2935</v>
      </c>
      <c r="H1144" s="899"/>
      <c r="I1144" s="933"/>
      <c r="J1144" s="894" t="s">
        <v>18</v>
      </c>
      <c r="K1144" s="919" t="s">
        <v>147</v>
      </c>
      <c r="L1144" s="956"/>
      <c r="M1144" s="894"/>
      <c r="N1144" s="957" t="s">
        <v>2939</v>
      </c>
      <c r="O1144" s="203"/>
    </row>
    <row r="1145" ht="17" customHeight="1" spans="1:21">
      <c r="A1145" s="919" t="s">
        <v>2920</v>
      </c>
      <c r="B1145" s="920" t="s">
        <v>2943</v>
      </c>
      <c r="C1145" s="939" t="s">
        <v>2087</v>
      </c>
      <c r="D1145" s="896">
        <v>36</v>
      </c>
      <c r="E1145" s="817" t="s">
        <v>2957</v>
      </c>
      <c r="F1145" s="923" t="s">
        <v>1796</v>
      </c>
      <c r="G1145" s="929" t="s">
        <v>2935</v>
      </c>
      <c r="H1145" s="937"/>
      <c r="I1145" s="913"/>
      <c r="J1145" s="894" t="s">
        <v>18</v>
      </c>
      <c r="K1145" s="919" t="s">
        <v>147</v>
      </c>
      <c r="L1145" s="955"/>
      <c r="M1145" s="819" t="s">
        <v>2954</v>
      </c>
      <c r="N1145" s="958" t="s">
        <v>2946</v>
      </c>
      <c r="O1145" s="512"/>
      <c r="P1145" s="325"/>
      <c r="Q1145" s="325"/>
      <c r="R1145" s="325"/>
      <c r="S1145" s="325"/>
      <c r="T1145" s="325"/>
      <c r="U1145" s="325"/>
    </row>
    <row r="1146" ht="22" customHeight="1" spans="1:15">
      <c r="A1146" s="894" t="s">
        <v>1907</v>
      </c>
      <c r="B1146" s="913" t="s">
        <v>2937</v>
      </c>
      <c r="C1146" s="914" t="s">
        <v>2092</v>
      </c>
      <c r="D1146" s="439">
        <v>150</v>
      </c>
      <c r="E1146" s="281"/>
      <c r="F1146" s="923" t="s">
        <v>309</v>
      </c>
      <c r="G1146" s="929" t="s">
        <v>2935</v>
      </c>
      <c r="H1146" s="899"/>
      <c r="I1146" s="933"/>
      <c r="J1146" s="894" t="s">
        <v>18</v>
      </c>
      <c r="K1146" s="919" t="s">
        <v>147</v>
      </c>
      <c r="L1146" s="956"/>
      <c r="M1146" s="894"/>
      <c r="N1146" s="957" t="s">
        <v>2939</v>
      </c>
      <c r="O1146" s="203"/>
    </row>
    <row r="1147" ht="17" customHeight="1" spans="1:21">
      <c r="A1147" s="919" t="s">
        <v>2920</v>
      </c>
      <c r="B1147" s="920" t="s">
        <v>2943</v>
      </c>
      <c r="C1147" s="939" t="s">
        <v>2087</v>
      </c>
      <c r="D1147" s="896">
        <v>36</v>
      </c>
      <c r="E1147" s="817" t="s">
        <v>2958</v>
      </c>
      <c r="F1147" s="923" t="s">
        <v>1796</v>
      </c>
      <c r="G1147" s="929" t="s">
        <v>2935</v>
      </c>
      <c r="H1147" s="937"/>
      <c r="I1147" s="913"/>
      <c r="J1147" s="894" t="s">
        <v>18</v>
      </c>
      <c r="K1147" s="919" t="s">
        <v>147</v>
      </c>
      <c r="L1147" s="955"/>
      <c r="M1147" s="819" t="s">
        <v>2954</v>
      </c>
      <c r="N1147" s="958" t="s">
        <v>2946</v>
      </c>
      <c r="O1147" s="512"/>
      <c r="P1147" s="325"/>
      <c r="Q1147" s="325"/>
      <c r="R1147" s="325"/>
      <c r="S1147" s="325"/>
      <c r="T1147" s="325"/>
      <c r="U1147" s="325"/>
    </row>
    <row r="1148" ht="20" customHeight="1" spans="1:21">
      <c r="A1148" s="894" t="s">
        <v>1907</v>
      </c>
      <c r="B1148" s="913" t="s">
        <v>2937</v>
      </c>
      <c r="C1148" s="914" t="s">
        <v>2092</v>
      </c>
      <c r="D1148" s="439">
        <v>150</v>
      </c>
      <c r="E1148" s="281"/>
      <c r="F1148" s="923" t="s">
        <v>309</v>
      </c>
      <c r="G1148" s="929" t="s">
        <v>2935</v>
      </c>
      <c r="H1148" s="899"/>
      <c r="I1148" s="933"/>
      <c r="J1148" s="894" t="s">
        <v>18</v>
      </c>
      <c r="K1148" s="919" t="s">
        <v>147</v>
      </c>
      <c r="L1148" s="955"/>
      <c r="M1148" s="894"/>
      <c r="N1148" s="957" t="s">
        <v>2939</v>
      </c>
      <c r="O1148" s="203"/>
      <c r="P1148" s="325"/>
      <c r="Q1148" s="325"/>
      <c r="R1148" s="325"/>
      <c r="S1148" s="325"/>
      <c r="T1148" s="325"/>
      <c r="U1148" s="325"/>
    </row>
    <row r="1149" ht="19" customHeight="1" spans="1:21">
      <c r="A1149" s="940" t="s">
        <v>1721</v>
      </c>
      <c r="B1149" s="940" t="s">
        <v>2959</v>
      </c>
      <c r="C1149" s="941" t="s">
        <v>2960</v>
      </c>
      <c r="D1149" s="191">
        <v>2</v>
      </c>
      <c r="E1149" s="942" t="s">
        <v>2961</v>
      </c>
      <c r="F1149" s="943" t="s">
        <v>1847</v>
      </c>
      <c r="G1149" s="944" t="s">
        <v>1904</v>
      </c>
      <c r="H1149" s="945"/>
      <c r="I1149" s="940"/>
      <c r="J1149" s="894" t="s">
        <v>18</v>
      </c>
      <c r="K1149" s="919" t="s">
        <v>147</v>
      </c>
      <c r="L1149" s="960"/>
      <c r="M1149" s="913" t="s">
        <v>2962</v>
      </c>
      <c r="N1149" s="802">
        <v>45910</v>
      </c>
      <c r="O1149" s="512"/>
      <c r="P1149" s="325"/>
      <c r="Q1149" s="325"/>
      <c r="R1149" s="325"/>
      <c r="S1149" s="325"/>
      <c r="T1149" s="325"/>
      <c r="U1149" s="325"/>
    </row>
    <row r="1150" ht="19" customHeight="1" spans="1:21">
      <c r="A1150" s="913" t="s">
        <v>1721</v>
      </c>
      <c r="B1150" s="913" t="s">
        <v>2959</v>
      </c>
      <c r="C1150" s="946" t="s">
        <v>2963</v>
      </c>
      <c r="D1150" s="439">
        <v>2</v>
      </c>
      <c r="E1150" s="69"/>
      <c r="F1150" s="943" t="s">
        <v>1847</v>
      </c>
      <c r="G1150" s="943" t="s">
        <v>1904</v>
      </c>
      <c r="H1150" s="937"/>
      <c r="I1150" s="913"/>
      <c r="J1150" s="919" t="s">
        <v>18</v>
      </c>
      <c r="K1150" s="919" t="s">
        <v>147</v>
      </c>
      <c r="L1150" s="955"/>
      <c r="M1150" s="913" t="s">
        <v>2964</v>
      </c>
      <c r="N1150" s="802">
        <v>45910</v>
      </c>
      <c r="O1150" s="512"/>
      <c r="P1150" s="325"/>
      <c r="Q1150" s="325"/>
      <c r="R1150" s="325"/>
      <c r="S1150" s="325"/>
      <c r="T1150" s="325"/>
      <c r="U1150" s="325"/>
    </row>
    <row r="1151" ht="17" customHeight="1" spans="1:21">
      <c r="A1151" s="913" t="s">
        <v>1721</v>
      </c>
      <c r="B1151" s="913" t="s">
        <v>2959</v>
      </c>
      <c r="C1151" s="913" t="s">
        <v>2870</v>
      </c>
      <c r="D1151" s="182">
        <v>2</v>
      </c>
      <c r="E1151" s="69"/>
      <c r="F1151" s="943" t="s">
        <v>1847</v>
      </c>
      <c r="G1151" s="943" t="s">
        <v>1904</v>
      </c>
      <c r="H1151" s="937"/>
      <c r="I1151" s="913"/>
      <c r="J1151" s="919" t="s">
        <v>18</v>
      </c>
      <c r="K1151" s="913" t="s">
        <v>147</v>
      </c>
      <c r="L1151" s="955"/>
      <c r="M1151" s="913"/>
      <c r="N1151" s="802">
        <v>45910</v>
      </c>
      <c r="O1151" s="512"/>
      <c r="P1151" s="325"/>
      <c r="Q1151" s="325"/>
      <c r="R1151" s="325"/>
      <c r="S1151" s="325"/>
      <c r="T1151" s="325"/>
      <c r="U1151" s="325"/>
    </row>
    <row r="1152" ht="17" customHeight="1" spans="1:21">
      <c r="A1152" s="913" t="s">
        <v>1721</v>
      </c>
      <c r="B1152" s="913" t="s">
        <v>2959</v>
      </c>
      <c r="C1152" s="913" t="s">
        <v>2965</v>
      </c>
      <c r="D1152" s="182">
        <v>2</v>
      </c>
      <c r="E1152" s="69"/>
      <c r="F1152" s="943" t="s">
        <v>1847</v>
      </c>
      <c r="G1152" s="943" t="s">
        <v>1904</v>
      </c>
      <c r="H1152" s="937"/>
      <c r="I1152" s="913"/>
      <c r="J1152" s="919" t="s">
        <v>18</v>
      </c>
      <c r="K1152" s="913" t="s">
        <v>147</v>
      </c>
      <c r="L1152" s="955"/>
      <c r="M1152" s="913"/>
      <c r="N1152" s="802">
        <v>45910</v>
      </c>
      <c r="O1152" s="512"/>
      <c r="P1152" s="325"/>
      <c r="Q1152" s="325"/>
      <c r="R1152" s="325"/>
      <c r="S1152" s="325"/>
      <c r="T1152" s="325"/>
      <c r="U1152" s="325"/>
    </row>
    <row r="1153" ht="17" customHeight="1" spans="1:21">
      <c r="A1153" s="961" t="s">
        <v>1721</v>
      </c>
      <c r="B1153" s="961" t="s">
        <v>2959</v>
      </c>
      <c r="C1153" s="961" t="s">
        <v>2873</v>
      </c>
      <c r="D1153" s="445">
        <v>1</v>
      </c>
      <c r="E1153" s="71"/>
      <c r="F1153" s="962" t="s">
        <v>1847</v>
      </c>
      <c r="G1153" s="962" t="s">
        <v>1904</v>
      </c>
      <c r="H1153" s="963"/>
      <c r="I1153" s="961"/>
      <c r="J1153" s="949" t="s">
        <v>18</v>
      </c>
      <c r="K1153" s="961" t="s">
        <v>147</v>
      </c>
      <c r="L1153" s="438"/>
      <c r="M1153" s="961"/>
      <c r="N1153" s="802">
        <v>45910</v>
      </c>
      <c r="O1153" s="512"/>
      <c r="P1153" s="325"/>
      <c r="Q1153" s="325"/>
      <c r="R1153" s="325"/>
      <c r="S1153" s="325"/>
      <c r="T1153" s="325"/>
      <c r="U1153" s="325"/>
    </row>
    <row r="1154" ht="19" customHeight="1" spans="1:21">
      <c r="A1154" s="819" t="s">
        <v>2966</v>
      </c>
      <c r="B1154" s="913" t="s">
        <v>2967</v>
      </c>
      <c r="C1154" s="946" t="s">
        <v>2960</v>
      </c>
      <c r="D1154" s="439">
        <v>2</v>
      </c>
      <c r="E1154" s="942" t="s">
        <v>2968</v>
      </c>
      <c r="F1154" s="937" t="s">
        <v>309</v>
      </c>
      <c r="G1154" s="937" t="s">
        <v>1904</v>
      </c>
      <c r="H1154" s="937"/>
      <c r="I1154" s="913"/>
      <c r="J1154" s="913" t="s">
        <v>39</v>
      </c>
      <c r="K1154" s="913" t="s">
        <v>2723</v>
      </c>
      <c r="L1154" s="182"/>
      <c r="M1154" s="913" t="s">
        <v>2969</v>
      </c>
      <c r="N1154" s="802">
        <v>45910</v>
      </c>
      <c r="O1154" s="512"/>
      <c r="P1154" s="325"/>
      <c r="Q1154" s="325"/>
      <c r="R1154" s="325"/>
      <c r="S1154" s="325"/>
      <c r="T1154" s="325"/>
      <c r="U1154" s="325"/>
    </row>
    <row r="1155" ht="19" customHeight="1" spans="1:21">
      <c r="A1155" s="819" t="s">
        <v>2907</v>
      </c>
      <c r="B1155" s="913" t="s">
        <v>2970</v>
      </c>
      <c r="C1155" s="946" t="s">
        <v>2971</v>
      </c>
      <c r="D1155" s="439">
        <v>1</v>
      </c>
      <c r="E1155" s="942" t="s">
        <v>2972</v>
      </c>
      <c r="F1155" s="937"/>
      <c r="G1155" s="937" t="s">
        <v>1920</v>
      </c>
      <c r="H1155" s="937"/>
      <c r="I1155" s="913"/>
      <c r="J1155" s="913" t="s">
        <v>39</v>
      </c>
      <c r="K1155" s="913" t="s">
        <v>2723</v>
      </c>
      <c r="L1155" s="182"/>
      <c r="M1155" s="913" t="s">
        <v>2973</v>
      </c>
      <c r="N1155" s="802">
        <v>45930</v>
      </c>
      <c r="O1155" s="512"/>
      <c r="P1155" s="325"/>
      <c r="Q1155" s="325"/>
      <c r="R1155" s="325"/>
      <c r="S1155" s="325"/>
      <c r="T1155" s="325"/>
      <c r="U1155" s="325"/>
    </row>
    <row r="1156" ht="19" customHeight="1" spans="1:21">
      <c r="A1156" s="819" t="s">
        <v>2907</v>
      </c>
      <c r="B1156" s="913" t="s">
        <v>2974</v>
      </c>
      <c r="C1156" s="946" t="s">
        <v>2975</v>
      </c>
      <c r="D1156" s="439">
        <v>6</v>
      </c>
      <c r="E1156" s="964" t="s">
        <v>2976</v>
      </c>
      <c r="F1156" s="937"/>
      <c r="G1156" s="937" t="s">
        <v>1920</v>
      </c>
      <c r="H1156" s="937"/>
      <c r="I1156" s="913"/>
      <c r="J1156" s="949" t="s">
        <v>18</v>
      </c>
      <c r="K1156" s="961" t="s">
        <v>147</v>
      </c>
      <c r="L1156" s="182"/>
      <c r="M1156" s="913" t="s">
        <v>2977</v>
      </c>
      <c r="N1156" s="802">
        <v>45945</v>
      </c>
      <c r="O1156" s="512"/>
      <c r="P1156" s="325"/>
      <c r="Q1156" s="325"/>
      <c r="R1156" s="325"/>
      <c r="S1156" s="325"/>
      <c r="T1156" s="325"/>
      <c r="U1156" s="325"/>
    </row>
    <row r="1157" ht="19" customHeight="1" spans="1:21">
      <c r="A1157" s="819" t="s">
        <v>2907</v>
      </c>
      <c r="B1157" s="913" t="s">
        <v>2974</v>
      </c>
      <c r="C1157" s="946" t="s">
        <v>2978</v>
      </c>
      <c r="D1157" s="439">
        <v>10</v>
      </c>
      <c r="E1157" s="190"/>
      <c r="F1157" s="937"/>
      <c r="G1157" s="937" t="s">
        <v>1920</v>
      </c>
      <c r="H1157" s="937"/>
      <c r="I1157" s="913"/>
      <c r="J1157" s="949" t="s">
        <v>18</v>
      </c>
      <c r="K1157" s="961" t="s">
        <v>147</v>
      </c>
      <c r="L1157" s="182"/>
      <c r="M1157" s="913"/>
      <c r="N1157" s="802">
        <v>45945</v>
      </c>
      <c r="O1157" s="512"/>
      <c r="P1157" s="325"/>
      <c r="Q1157" s="325"/>
      <c r="R1157" s="325"/>
      <c r="S1157" s="325"/>
      <c r="T1157" s="325"/>
      <c r="U1157" s="325"/>
    </row>
    <row r="1158" ht="19" customHeight="1" spans="1:21">
      <c r="A1158" s="819" t="s">
        <v>2907</v>
      </c>
      <c r="B1158" s="913" t="s">
        <v>2974</v>
      </c>
      <c r="C1158" s="946" t="s">
        <v>2979</v>
      </c>
      <c r="D1158" s="439">
        <v>4</v>
      </c>
      <c r="E1158" s="190"/>
      <c r="F1158" s="937"/>
      <c r="G1158" s="937" t="s">
        <v>1920</v>
      </c>
      <c r="H1158" s="937"/>
      <c r="I1158" s="913"/>
      <c r="J1158" s="949" t="s">
        <v>18</v>
      </c>
      <c r="K1158" s="961" t="s">
        <v>147</v>
      </c>
      <c r="L1158" s="182"/>
      <c r="M1158" s="913"/>
      <c r="N1158" s="802">
        <v>45945</v>
      </c>
      <c r="O1158" s="512"/>
      <c r="P1158" s="325"/>
      <c r="Q1158" s="325"/>
      <c r="R1158" s="325"/>
      <c r="S1158" s="325"/>
      <c r="T1158" s="325"/>
      <c r="U1158" s="325"/>
    </row>
    <row r="1159" ht="19" customHeight="1" spans="1:21">
      <c r="A1159" s="819" t="s">
        <v>2907</v>
      </c>
      <c r="B1159" s="913" t="s">
        <v>2974</v>
      </c>
      <c r="C1159" s="946" t="s">
        <v>2980</v>
      </c>
      <c r="D1159" s="439">
        <v>7</v>
      </c>
      <c r="E1159" s="190"/>
      <c r="F1159" s="937"/>
      <c r="G1159" s="937" t="s">
        <v>1920</v>
      </c>
      <c r="H1159" s="937"/>
      <c r="I1159" s="913"/>
      <c r="J1159" s="949" t="s">
        <v>18</v>
      </c>
      <c r="K1159" s="961" t="s">
        <v>147</v>
      </c>
      <c r="L1159" s="182"/>
      <c r="M1159" s="913"/>
      <c r="N1159" s="802">
        <v>45945</v>
      </c>
      <c r="O1159" s="512"/>
      <c r="P1159" s="325"/>
      <c r="Q1159" s="325"/>
      <c r="R1159" s="325"/>
      <c r="S1159" s="325"/>
      <c r="T1159" s="325"/>
      <c r="U1159" s="325"/>
    </row>
    <row r="1160" ht="19" customHeight="1" spans="1:21">
      <c r="A1160" s="819" t="s">
        <v>2907</v>
      </c>
      <c r="B1160" s="913" t="s">
        <v>2974</v>
      </c>
      <c r="C1160" s="946" t="s">
        <v>2981</v>
      </c>
      <c r="D1160" s="439">
        <v>2</v>
      </c>
      <c r="E1160" s="190"/>
      <c r="F1160" s="937"/>
      <c r="G1160" s="937" t="s">
        <v>1920</v>
      </c>
      <c r="H1160" s="937"/>
      <c r="I1160" s="913"/>
      <c r="J1160" s="949" t="s">
        <v>18</v>
      </c>
      <c r="K1160" s="961" t="s">
        <v>147</v>
      </c>
      <c r="L1160" s="182"/>
      <c r="M1160" s="913"/>
      <c r="N1160" s="802">
        <v>45945</v>
      </c>
      <c r="O1160" s="512"/>
      <c r="P1160" s="325"/>
      <c r="Q1160" s="325"/>
      <c r="R1160" s="325"/>
      <c r="S1160" s="325"/>
      <c r="T1160" s="325"/>
      <c r="U1160" s="325"/>
    </row>
    <row r="1161" ht="19" customHeight="1" spans="1:21">
      <c r="A1161" s="819" t="s">
        <v>2907</v>
      </c>
      <c r="B1161" s="913" t="s">
        <v>2974</v>
      </c>
      <c r="C1161" s="946" t="s">
        <v>2982</v>
      </c>
      <c r="D1161" s="439">
        <v>3</v>
      </c>
      <c r="E1161" s="190"/>
      <c r="F1161" s="937"/>
      <c r="G1161" s="937" t="s">
        <v>1920</v>
      </c>
      <c r="H1161" s="937"/>
      <c r="I1161" s="913"/>
      <c r="J1161" s="949" t="s">
        <v>18</v>
      </c>
      <c r="K1161" s="961" t="s">
        <v>147</v>
      </c>
      <c r="L1161" s="182"/>
      <c r="M1161" s="913"/>
      <c r="N1161" s="802">
        <v>45945</v>
      </c>
      <c r="O1161" s="512"/>
      <c r="P1161" s="325"/>
      <c r="Q1161" s="325"/>
      <c r="R1161" s="325"/>
      <c r="S1161" s="325"/>
      <c r="T1161" s="325"/>
      <c r="U1161" s="325"/>
    </row>
    <row r="1162" ht="19" customHeight="1" spans="1:21">
      <c r="A1162" s="819" t="s">
        <v>2907</v>
      </c>
      <c r="B1162" s="913" t="s">
        <v>2974</v>
      </c>
      <c r="C1162" s="946" t="s">
        <v>2983</v>
      </c>
      <c r="D1162" s="439">
        <v>2</v>
      </c>
      <c r="E1162" s="190"/>
      <c r="F1162" s="937"/>
      <c r="G1162" s="937" t="s">
        <v>1920</v>
      </c>
      <c r="H1162" s="937"/>
      <c r="I1162" s="913"/>
      <c r="J1162" s="949" t="s">
        <v>18</v>
      </c>
      <c r="K1162" s="961" t="s">
        <v>147</v>
      </c>
      <c r="L1162" s="182"/>
      <c r="M1162" s="913"/>
      <c r="N1162" s="802">
        <v>45945</v>
      </c>
      <c r="O1162" s="512"/>
      <c r="P1162" s="325"/>
      <c r="Q1162" s="325"/>
      <c r="R1162" s="325"/>
      <c r="S1162" s="325"/>
      <c r="T1162" s="325"/>
      <c r="U1162" s="325"/>
    </row>
    <row r="1163" ht="19" customHeight="1" spans="1:21">
      <c r="A1163" s="819" t="s">
        <v>2907</v>
      </c>
      <c r="B1163" s="913" t="s">
        <v>2974</v>
      </c>
      <c r="C1163" s="946" t="s">
        <v>2984</v>
      </c>
      <c r="D1163" s="439">
        <v>2</v>
      </c>
      <c r="E1163" s="190"/>
      <c r="F1163" s="937"/>
      <c r="G1163" s="937" t="s">
        <v>1920</v>
      </c>
      <c r="H1163" s="937"/>
      <c r="I1163" s="913"/>
      <c r="J1163" s="949" t="s">
        <v>18</v>
      </c>
      <c r="K1163" s="961" t="s">
        <v>147</v>
      </c>
      <c r="L1163" s="182"/>
      <c r="M1163" s="913"/>
      <c r="N1163" s="802">
        <v>45945</v>
      </c>
      <c r="O1163" s="512"/>
      <c r="P1163" s="325"/>
      <c r="Q1163" s="325"/>
      <c r="R1163" s="325"/>
      <c r="S1163" s="325"/>
      <c r="T1163" s="325"/>
      <c r="U1163" s="325"/>
    </row>
    <row r="1164" ht="19" customHeight="1" spans="1:21">
      <c r="A1164" s="819" t="s">
        <v>2907</v>
      </c>
      <c r="B1164" s="913" t="s">
        <v>2974</v>
      </c>
      <c r="C1164" s="946" t="s">
        <v>2985</v>
      </c>
      <c r="D1164" s="439">
        <v>2</v>
      </c>
      <c r="E1164" s="190"/>
      <c r="F1164" s="937"/>
      <c r="G1164" s="937" t="s">
        <v>1920</v>
      </c>
      <c r="H1164" s="937"/>
      <c r="I1164" s="913"/>
      <c r="J1164" s="949" t="s">
        <v>18</v>
      </c>
      <c r="K1164" s="961" t="s">
        <v>147</v>
      </c>
      <c r="L1164" s="182"/>
      <c r="M1164" s="913"/>
      <c r="N1164" s="802">
        <v>45945</v>
      </c>
      <c r="O1164" s="512"/>
      <c r="P1164" s="325"/>
      <c r="Q1164" s="325"/>
      <c r="R1164" s="325"/>
      <c r="S1164" s="325"/>
      <c r="T1164" s="325"/>
      <c r="U1164" s="325"/>
    </row>
    <row r="1165" ht="19" customHeight="1" spans="1:21">
      <c r="A1165" s="819" t="s">
        <v>2907</v>
      </c>
      <c r="B1165" s="913" t="s">
        <v>2974</v>
      </c>
      <c r="C1165" s="946" t="s">
        <v>2986</v>
      </c>
      <c r="D1165" s="439">
        <v>2</v>
      </c>
      <c r="E1165" s="190"/>
      <c r="F1165" s="937"/>
      <c r="G1165" s="937" t="s">
        <v>1920</v>
      </c>
      <c r="H1165" s="937"/>
      <c r="I1165" s="913"/>
      <c r="J1165" s="949" t="s">
        <v>18</v>
      </c>
      <c r="K1165" s="961" t="s">
        <v>147</v>
      </c>
      <c r="L1165" s="182"/>
      <c r="M1165" s="913"/>
      <c r="N1165" s="802">
        <v>45945</v>
      </c>
      <c r="O1165" s="512"/>
      <c r="P1165" s="325"/>
      <c r="Q1165" s="325"/>
      <c r="R1165" s="325"/>
      <c r="S1165" s="325"/>
      <c r="T1165" s="325"/>
      <c r="U1165" s="325"/>
    </row>
    <row r="1166" ht="19" customHeight="1" spans="1:21">
      <c r="A1166" s="819" t="s">
        <v>2907</v>
      </c>
      <c r="B1166" s="913" t="s">
        <v>2974</v>
      </c>
      <c r="C1166" s="946" t="s">
        <v>2987</v>
      </c>
      <c r="D1166" s="439">
        <v>2</v>
      </c>
      <c r="E1166" s="190"/>
      <c r="F1166" s="937"/>
      <c r="G1166" s="937" t="s">
        <v>1920</v>
      </c>
      <c r="H1166" s="937"/>
      <c r="I1166" s="913"/>
      <c r="J1166" s="949" t="s">
        <v>18</v>
      </c>
      <c r="K1166" s="961" t="s">
        <v>147</v>
      </c>
      <c r="L1166" s="182"/>
      <c r="M1166" s="913"/>
      <c r="N1166" s="802">
        <v>45945</v>
      </c>
      <c r="O1166" s="512"/>
      <c r="P1166" s="325"/>
      <c r="Q1166" s="325"/>
      <c r="R1166" s="325"/>
      <c r="S1166" s="325"/>
      <c r="T1166" s="325"/>
      <c r="U1166" s="325"/>
    </row>
    <row r="1167" ht="19" customHeight="1" spans="1:21">
      <c r="A1167" s="819" t="s">
        <v>2907</v>
      </c>
      <c r="B1167" s="913" t="s">
        <v>2974</v>
      </c>
      <c r="C1167" s="946" t="s">
        <v>2988</v>
      </c>
      <c r="D1167" s="439">
        <v>4</v>
      </c>
      <c r="E1167" s="190"/>
      <c r="F1167" s="937"/>
      <c r="G1167" s="937" t="s">
        <v>1920</v>
      </c>
      <c r="H1167" s="937"/>
      <c r="I1167" s="913"/>
      <c r="J1167" s="949" t="s">
        <v>18</v>
      </c>
      <c r="K1167" s="961" t="s">
        <v>147</v>
      </c>
      <c r="L1167" s="182"/>
      <c r="M1167" s="913"/>
      <c r="N1167" s="802">
        <v>45945</v>
      </c>
      <c r="O1167" s="512"/>
      <c r="P1167" s="325"/>
      <c r="Q1167" s="325"/>
      <c r="R1167" s="325"/>
      <c r="S1167" s="325"/>
      <c r="T1167" s="325"/>
      <c r="U1167" s="325"/>
    </row>
    <row r="1168" ht="19" customHeight="1" spans="1:21">
      <c r="A1168" s="819" t="s">
        <v>2907</v>
      </c>
      <c r="B1168" s="913" t="s">
        <v>2974</v>
      </c>
      <c r="C1168" s="946" t="s">
        <v>2989</v>
      </c>
      <c r="D1168" s="439">
        <v>2</v>
      </c>
      <c r="E1168" s="190"/>
      <c r="F1168" s="937"/>
      <c r="G1168" s="937" t="s">
        <v>1920</v>
      </c>
      <c r="H1168" s="937"/>
      <c r="I1168" s="913"/>
      <c r="J1168" s="949" t="s">
        <v>18</v>
      </c>
      <c r="K1168" s="961" t="s">
        <v>147</v>
      </c>
      <c r="L1168" s="182"/>
      <c r="M1168" s="913"/>
      <c r="N1168" s="802">
        <v>45945</v>
      </c>
      <c r="O1168" s="512"/>
      <c r="P1168" s="325"/>
      <c r="Q1168" s="325"/>
      <c r="R1168" s="325"/>
      <c r="S1168" s="325"/>
      <c r="T1168" s="325"/>
      <c r="U1168" s="325"/>
    </row>
    <row r="1169" ht="19" customHeight="1" spans="1:21">
      <c r="A1169" s="819" t="s">
        <v>2907</v>
      </c>
      <c r="B1169" s="913" t="s">
        <v>2974</v>
      </c>
      <c r="C1169" s="946" t="s">
        <v>2990</v>
      </c>
      <c r="D1169" s="439">
        <v>5</v>
      </c>
      <c r="E1169" s="190"/>
      <c r="F1169" s="937"/>
      <c r="G1169" s="937" t="s">
        <v>1920</v>
      </c>
      <c r="H1169" s="937"/>
      <c r="I1169" s="913"/>
      <c r="J1169" s="949" t="s">
        <v>18</v>
      </c>
      <c r="K1169" s="961" t="s">
        <v>147</v>
      </c>
      <c r="L1169" s="182"/>
      <c r="M1169" s="913"/>
      <c r="N1169" s="802">
        <v>45945</v>
      </c>
      <c r="O1169" s="512"/>
      <c r="P1169" s="325"/>
      <c r="Q1169" s="325"/>
      <c r="R1169" s="325"/>
      <c r="S1169" s="325"/>
      <c r="T1169" s="325"/>
      <c r="U1169" s="325"/>
    </row>
    <row r="1170" ht="19" customHeight="1" spans="1:21">
      <c r="A1170" s="819" t="s">
        <v>2907</v>
      </c>
      <c r="B1170" s="913" t="s">
        <v>2974</v>
      </c>
      <c r="C1170" s="946" t="s">
        <v>2991</v>
      </c>
      <c r="D1170" s="439">
        <v>3</v>
      </c>
      <c r="E1170" s="190"/>
      <c r="F1170" s="937"/>
      <c r="G1170" s="937" t="s">
        <v>1920</v>
      </c>
      <c r="H1170" s="937"/>
      <c r="I1170" s="913"/>
      <c r="J1170" s="949" t="s">
        <v>18</v>
      </c>
      <c r="K1170" s="961" t="s">
        <v>147</v>
      </c>
      <c r="L1170" s="182"/>
      <c r="M1170" s="913"/>
      <c r="N1170" s="802">
        <v>45945</v>
      </c>
      <c r="O1170" s="512"/>
      <c r="P1170" s="325"/>
      <c r="Q1170" s="325"/>
      <c r="R1170" s="325"/>
      <c r="S1170" s="325"/>
      <c r="T1170" s="325"/>
      <c r="U1170" s="325"/>
    </row>
    <row r="1171" ht="19" customHeight="1" spans="1:21">
      <c r="A1171" s="819" t="s">
        <v>2907</v>
      </c>
      <c r="B1171" s="913" t="s">
        <v>2974</v>
      </c>
      <c r="C1171" s="946" t="s">
        <v>2992</v>
      </c>
      <c r="D1171" s="439">
        <v>3</v>
      </c>
      <c r="E1171" s="190"/>
      <c r="F1171" s="937"/>
      <c r="G1171" s="937" t="s">
        <v>1920</v>
      </c>
      <c r="H1171" s="937"/>
      <c r="I1171" s="913"/>
      <c r="J1171" s="949" t="s">
        <v>18</v>
      </c>
      <c r="K1171" s="961" t="s">
        <v>147</v>
      </c>
      <c r="L1171" s="182"/>
      <c r="M1171" s="913"/>
      <c r="N1171" s="802">
        <v>45945</v>
      </c>
      <c r="O1171" s="512"/>
      <c r="P1171" s="325"/>
      <c r="Q1171" s="325"/>
      <c r="R1171" s="325"/>
      <c r="S1171" s="325"/>
      <c r="T1171" s="325"/>
      <c r="U1171" s="325"/>
    </row>
    <row r="1172" ht="19" customHeight="1" spans="1:21">
      <c r="A1172" s="819" t="s">
        <v>2907</v>
      </c>
      <c r="B1172" s="913" t="s">
        <v>2974</v>
      </c>
      <c r="C1172" s="946" t="s">
        <v>2993</v>
      </c>
      <c r="D1172" s="439">
        <v>3</v>
      </c>
      <c r="E1172" s="190"/>
      <c r="F1172" s="937"/>
      <c r="G1172" s="937" t="s">
        <v>1920</v>
      </c>
      <c r="H1172" s="937"/>
      <c r="I1172" s="913"/>
      <c r="J1172" s="949" t="s">
        <v>18</v>
      </c>
      <c r="K1172" s="961" t="s">
        <v>147</v>
      </c>
      <c r="L1172" s="182"/>
      <c r="M1172" s="913"/>
      <c r="N1172" s="802">
        <v>45945</v>
      </c>
      <c r="O1172" s="512"/>
      <c r="P1172" s="325"/>
      <c r="Q1172" s="325"/>
      <c r="R1172" s="325"/>
      <c r="S1172" s="325"/>
      <c r="T1172" s="325"/>
      <c r="U1172" s="325"/>
    </row>
    <row r="1173" ht="19" customHeight="1" spans="1:21">
      <c r="A1173" s="819" t="s">
        <v>2907</v>
      </c>
      <c r="B1173" s="913" t="s">
        <v>2974</v>
      </c>
      <c r="C1173" s="946" t="s">
        <v>2994</v>
      </c>
      <c r="D1173" s="439">
        <v>3</v>
      </c>
      <c r="E1173" s="190"/>
      <c r="F1173" s="937"/>
      <c r="G1173" s="937" t="s">
        <v>1920</v>
      </c>
      <c r="H1173" s="937"/>
      <c r="I1173" s="913"/>
      <c r="J1173" s="949" t="s">
        <v>18</v>
      </c>
      <c r="K1173" s="961" t="s">
        <v>147</v>
      </c>
      <c r="L1173" s="182"/>
      <c r="M1173" s="913"/>
      <c r="N1173" s="802">
        <v>45945</v>
      </c>
      <c r="O1173" s="512"/>
      <c r="P1173" s="325"/>
      <c r="Q1173" s="325"/>
      <c r="R1173" s="325"/>
      <c r="S1173" s="325"/>
      <c r="T1173" s="325"/>
      <c r="U1173" s="325"/>
    </row>
    <row r="1174" ht="19" customHeight="1" spans="1:21">
      <c r="A1174" s="819" t="s">
        <v>2907</v>
      </c>
      <c r="B1174" s="913" t="s">
        <v>2974</v>
      </c>
      <c r="C1174" s="946" t="s">
        <v>2869</v>
      </c>
      <c r="D1174" s="439">
        <v>3</v>
      </c>
      <c r="E1174" s="190"/>
      <c r="F1174" s="937"/>
      <c r="G1174" s="937" t="s">
        <v>1920</v>
      </c>
      <c r="H1174" s="937"/>
      <c r="I1174" s="913"/>
      <c r="J1174" s="949" t="s">
        <v>18</v>
      </c>
      <c r="K1174" s="961" t="s">
        <v>147</v>
      </c>
      <c r="L1174" s="182"/>
      <c r="M1174" s="913"/>
      <c r="N1174" s="802">
        <v>45945</v>
      </c>
      <c r="O1174" s="512"/>
      <c r="P1174" s="325"/>
      <c r="Q1174" s="325"/>
      <c r="R1174" s="325"/>
      <c r="S1174" s="325"/>
      <c r="T1174" s="325"/>
      <c r="U1174" s="325"/>
    </row>
    <row r="1175" ht="19" customHeight="1" spans="1:21">
      <c r="A1175" s="819" t="s">
        <v>2907</v>
      </c>
      <c r="B1175" s="913" t="s">
        <v>2974</v>
      </c>
      <c r="C1175" s="946" t="s">
        <v>2995</v>
      </c>
      <c r="D1175" s="439">
        <v>3</v>
      </c>
      <c r="E1175" s="190"/>
      <c r="F1175" s="937"/>
      <c r="G1175" s="937" t="s">
        <v>1920</v>
      </c>
      <c r="H1175" s="937"/>
      <c r="I1175" s="913"/>
      <c r="J1175" s="949" t="s">
        <v>18</v>
      </c>
      <c r="K1175" s="961" t="s">
        <v>147</v>
      </c>
      <c r="L1175" s="182"/>
      <c r="M1175" s="913"/>
      <c r="N1175" s="802">
        <v>45945</v>
      </c>
      <c r="O1175" s="512"/>
      <c r="P1175" s="325"/>
      <c r="Q1175" s="325"/>
      <c r="R1175" s="325"/>
      <c r="S1175" s="325"/>
      <c r="T1175" s="325"/>
      <c r="U1175" s="325"/>
    </row>
    <row r="1176" ht="19" customHeight="1" spans="1:21">
      <c r="A1176" s="819" t="s">
        <v>2907</v>
      </c>
      <c r="B1176" s="913" t="s">
        <v>2974</v>
      </c>
      <c r="C1176" s="946" t="s">
        <v>2996</v>
      </c>
      <c r="D1176" s="439">
        <v>3</v>
      </c>
      <c r="E1176" s="190"/>
      <c r="F1176" s="937"/>
      <c r="G1176" s="937" t="s">
        <v>1920</v>
      </c>
      <c r="H1176" s="937"/>
      <c r="I1176" s="913"/>
      <c r="J1176" s="949" t="s">
        <v>18</v>
      </c>
      <c r="K1176" s="961" t="s">
        <v>147</v>
      </c>
      <c r="L1176" s="182"/>
      <c r="M1176" s="913"/>
      <c r="N1176" s="802">
        <v>45945</v>
      </c>
      <c r="O1176" s="512"/>
      <c r="P1176" s="325"/>
      <c r="Q1176" s="325"/>
      <c r="R1176" s="325"/>
      <c r="S1176" s="325"/>
      <c r="T1176" s="325"/>
      <c r="U1176" s="325"/>
    </row>
    <row r="1177" ht="19" customHeight="1" spans="1:21">
      <c r="A1177" s="965" t="s">
        <v>2907</v>
      </c>
      <c r="B1177" s="913" t="s">
        <v>2974</v>
      </c>
      <c r="C1177" s="966" t="s">
        <v>2997</v>
      </c>
      <c r="D1177" s="443">
        <v>3</v>
      </c>
      <c r="E1177" s="190"/>
      <c r="F1177" s="963"/>
      <c r="G1177" s="937" t="s">
        <v>1920</v>
      </c>
      <c r="H1177" s="963"/>
      <c r="I1177" s="961"/>
      <c r="J1177" s="949" t="s">
        <v>18</v>
      </c>
      <c r="K1177" s="961" t="s">
        <v>147</v>
      </c>
      <c r="L1177" s="445"/>
      <c r="M1177" s="961"/>
      <c r="N1177" s="802">
        <v>45945</v>
      </c>
      <c r="O1177" s="512"/>
      <c r="P1177" s="325"/>
      <c r="Q1177" s="325"/>
      <c r="R1177" s="325"/>
      <c r="S1177" s="325"/>
      <c r="T1177" s="325"/>
      <c r="U1177" s="325"/>
    </row>
    <row r="1178" ht="19" customHeight="1" spans="1:21">
      <c r="A1178" s="819" t="s">
        <v>2907</v>
      </c>
      <c r="B1178" s="913"/>
      <c r="C1178" s="946" t="s">
        <v>2998</v>
      </c>
      <c r="D1178" s="439">
        <v>1</v>
      </c>
      <c r="E1178" s="942" t="s">
        <v>2999</v>
      </c>
      <c r="F1178" s="937"/>
      <c r="G1178" s="937" t="s">
        <v>1920</v>
      </c>
      <c r="H1178" s="937"/>
      <c r="I1178" s="913"/>
      <c r="J1178" s="913" t="s">
        <v>39</v>
      </c>
      <c r="K1178" s="913" t="s">
        <v>2723</v>
      </c>
      <c r="L1178" s="182"/>
      <c r="M1178" s="913" t="s">
        <v>3000</v>
      </c>
      <c r="N1178" s="968"/>
      <c r="O1178" s="512"/>
      <c r="P1178" s="325"/>
      <c r="Q1178" s="325"/>
      <c r="R1178" s="325"/>
      <c r="S1178" s="325"/>
      <c r="T1178" s="325"/>
      <c r="U1178" s="325"/>
    </row>
    <row r="1179" ht="19" customHeight="1" spans="1:21">
      <c r="A1179" s="800"/>
      <c r="B1179" s="512"/>
      <c r="C1179" s="967"/>
      <c r="D1179" s="968"/>
      <c r="E1179" s="508"/>
      <c r="F1179" s="969"/>
      <c r="G1179" s="969"/>
      <c r="H1179" s="969"/>
      <c r="I1179" s="512"/>
      <c r="J1179" s="512"/>
      <c r="K1179" s="512"/>
      <c r="L1179" s="484"/>
      <c r="M1179" s="512"/>
      <c r="N1179" s="968"/>
      <c r="O1179" s="512"/>
      <c r="P1179" s="325"/>
      <c r="Q1179" s="325"/>
      <c r="R1179" s="325"/>
      <c r="S1179" s="325"/>
      <c r="T1179" s="325"/>
      <c r="U1179" s="325"/>
    </row>
    <row r="1180" ht="19" customHeight="1" spans="1:21">
      <c r="A1180" s="800"/>
      <c r="B1180" s="512"/>
      <c r="C1180" s="967"/>
      <c r="D1180" s="968"/>
      <c r="E1180" s="508"/>
      <c r="F1180" s="969"/>
      <c r="G1180" s="969"/>
      <c r="H1180" s="969"/>
      <c r="I1180" s="512"/>
      <c r="J1180" s="512"/>
      <c r="K1180" s="512"/>
      <c r="L1180" s="484"/>
      <c r="M1180" s="512"/>
      <c r="N1180" s="968"/>
      <c r="O1180" s="512"/>
      <c r="P1180" s="325"/>
      <c r="Q1180" s="325"/>
      <c r="R1180" s="325"/>
      <c r="S1180" s="325"/>
      <c r="T1180" s="325"/>
      <c r="U1180" s="325"/>
    </row>
    <row r="1181" ht="19" customHeight="1" spans="1:21">
      <c r="A1181" s="800"/>
      <c r="B1181" s="512"/>
      <c r="C1181" s="967"/>
      <c r="D1181" s="968"/>
      <c r="E1181" s="508"/>
      <c r="F1181" s="969"/>
      <c r="G1181" s="969"/>
      <c r="H1181" s="969"/>
      <c r="I1181" s="512"/>
      <c r="J1181" s="512"/>
      <c r="K1181" s="512"/>
      <c r="L1181" s="484"/>
      <c r="M1181" s="512"/>
      <c r="N1181" s="968"/>
      <c r="O1181" s="512"/>
      <c r="P1181" s="325"/>
      <c r="Q1181" s="325"/>
      <c r="R1181" s="325"/>
      <c r="S1181" s="325"/>
      <c r="T1181" s="325"/>
      <c r="U1181" s="325"/>
    </row>
    <row r="1182" ht="19" customHeight="1" spans="1:21">
      <c r="A1182" s="800"/>
      <c r="B1182" s="512"/>
      <c r="C1182" s="967"/>
      <c r="D1182" s="968"/>
      <c r="E1182" s="508"/>
      <c r="F1182" s="969"/>
      <c r="G1182" s="969"/>
      <c r="H1182" s="969"/>
      <c r="I1182" s="512"/>
      <c r="J1182" s="512"/>
      <c r="K1182" s="512"/>
      <c r="L1182" s="484"/>
      <c r="M1182" s="512"/>
      <c r="N1182" s="968"/>
      <c r="O1182" s="512"/>
      <c r="P1182" s="325"/>
      <c r="Q1182" s="325"/>
      <c r="R1182" s="325"/>
      <c r="S1182" s="325"/>
      <c r="T1182" s="325"/>
      <c r="U1182" s="325"/>
    </row>
    <row r="1183" ht="19" customHeight="1" spans="1:21">
      <c r="A1183" s="800"/>
      <c r="B1183" s="512"/>
      <c r="C1183" s="967"/>
      <c r="D1183" s="968"/>
      <c r="E1183" s="508"/>
      <c r="F1183" s="969"/>
      <c r="G1183" s="969"/>
      <c r="H1183" s="969"/>
      <c r="I1183" s="512"/>
      <c r="J1183" s="512"/>
      <c r="K1183" s="512"/>
      <c r="L1183" s="484"/>
      <c r="M1183" s="512"/>
      <c r="N1183" s="968"/>
      <c r="O1183" s="512"/>
      <c r="P1183" s="325"/>
      <c r="Q1183" s="325"/>
      <c r="R1183" s="325"/>
      <c r="S1183" s="325"/>
      <c r="T1183" s="325"/>
      <c r="U1183" s="325"/>
    </row>
    <row r="1184" ht="19" customHeight="1" spans="1:21">
      <c r="A1184" s="800"/>
      <c r="B1184" s="512"/>
      <c r="C1184" s="967"/>
      <c r="D1184" s="968"/>
      <c r="E1184" s="508"/>
      <c r="F1184" s="969"/>
      <c r="G1184" s="969"/>
      <c r="H1184" s="969"/>
      <c r="I1184" s="512"/>
      <c r="J1184" s="512"/>
      <c r="K1184" s="512"/>
      <c r="L1184" s="484"/>
      <c r="M1184" s="512"/>
      <c r="N1184" s="968"/>
      <c r="O1184" s="512"/>
      <c r="P1184" s="325"/>
      <c r="Q1184" s="325"/>
      <c r="R1184" s="325"/>
      <c r="S1184" s="325"/>
      <c r="T1184" s="325"/>
      <c r="U1184" s="325"/>
    </row>
  </sheetData>
  <mergeCells count="267">
    <mergeCell ref="E2:E6"/>
    <mergeCell ref="E7:E14"/>
    <mergeCell ref="E15:E18"/>
    <mergeCell ref="E19:E22"/>
    <mergeCell ref="E23:E26"/>
    <mergeCell ref="E27:E31"/>
    <mergeCell ref="E32:E36"/>
    <mergeCell ref="E37:E41"/>
    <mergeCell ref="E42:E46"/>
    <mergeCell ref="E47:E51"/>
    <mergeCell ref="E52:E53"/>
    <mergeCell ref="E54:E55"/>
    <mergeCell ref="E58:E59"/>
    <mergeCell ref="E60:E61"/>
    <mergeCell ref="E62:E63"/>
    <mergeCell ref="E64:E65"/>
    <mergeCell ref="E66:E72"/>
    <mergeCell ref="E73:E78"/>
    <mergeCell ref="E79:E84"/>
    <mergeCell ref="E85:E90"/>
    <mergeCell ref="E91:E96"/>
    <mergeCell ref="E97:E102"/>
    <mergeCell ref="E103:E107"/>
    <mergeCell ref="E108:E109"/>
    <mergeCell ref="E110:E111"/>
    <mergeCell ref="E112:E114"/>
    <mergeCell ref="E115:E116"/>
    <mergeCell ref="E117:E118"/>
    <mergeCell ref="E119:E120"/>
    <mergeCell ref="E121:E122"/>
    <mergeCell ref="E123:E124"/>
    <mergeCell ref="E125:E126"/>
    <mergeCell ref="E127:E131"/>
    <mergeCell ref="E132:E133"/>
    <mergeCell ref="E134:E135"/>
    <mergeCell ref="E136:E137"/>
    <mergeCell ref="E138:E139"/>
    <mergeCell ref="E140:E141"/>
    <mergeCell ref="E142:E143"/>
    <mergeCell ref="E144:E145"/>
    <mergeCell ref="E147:E152"/>
    <mergeCell ref="E153:E158"/>
    <mergeCell ref="E159:E164"/>
    <mergeCell ref="E165:E170"/>
    <mergeCell ref="E171:E176"/>
    <mergeCell ref="E177:E178"/>
    <mergeCell ref="E179:E184"/>
    <mergeCell ref="E185:E190"/>
    <mergeCell ref="E191:E196"/>
    <mergeCell ref="E197:E202"/>
    <mergeCell ref="E203:E208"/>
    <mergeCell ref="E210:E215"/>
    <mergeCell ref="E216:E218"/>
    <mergeCell ref="E219:E223"/>
    <mergeCell ref="E224:E229"/>
    <mergeCell ref="E230:E235"/>
    <mergeCell ref="E236:E241"/>
    <mergeCell ref="E242:E247"/>
    <mergeCell ref="E248:E253"/>
    <mergeCell ref="E254:E259"/>
    <mergeCell ref="E260:E265"/>
    <mergeCell ref="E266:E272"/>
    <mergeCell ref="E273:E278"/>
    <mergeCell ref="E279:E282"/>
    <mergeCell ref="E283:E286"/>
    <mergeCell ref="E287:E290"/>
    <mergeCell ref="E291:E294"/>
    <mergeCell ref="E295:E298"/>
    <mergeCell ref="E299:E302"/>
    <mergeCell ref="E303:E306"/>
    <mergeCell ref="E307:E310"/>
    <mergeCell ref="E311:E314"/>
    <mergeCell ref="E315:E320"/>
    <mergeCell ref="E321:E325"/>
    <mergeCell ref="E326:E330"/>
    <mergeCell ref="E331:E336"/>
    <mergeCell ref="E337:E340"/>
    <mergeCell ref="E341:E344"/>
    <mergeCell ref="E345:E348"/>
    <mergeCell ref="E349:E352"/>
    <mergeCell ref="E353:E355"/>
    <mergeCell ref="E356:E357"/>
    <mergeCell ref="E358:E359"/>
    <mergeCell ref="E360:E362"/>
    <mergeCell ref="E363:E367"/>
    <mergeCell ref="E368:E371"/>
    <mergeCell ref="E372:E374"/>
    <mergeCell ref="E375:E376"/>
    <mergeCell ref="E382:E390"/>
    <mergeCell ref="E391:E397"/>
    <mergeCell ref="E398:E403"/>
    <mergeCell ref="E404:E409"/>
    <mergeCell ref="E410:E415"/>
    <mergeCell ref="E416:E421"/>
    <mergeCell ref="E422:E427"/>
    <mergeCell ref="E428:E433"/>
    <mergeCell ref="E434:E439"/>
    <mergeCell ref="E441:E443"/>
    <mergeCell ref="E444:E446"/>
    <mergeCell ref="E447:E454"/>
    <mergeCell ref="E455:E461"/>
    <mergeCell ref="E462:E464"/>
    <mergeCell ref="E465:E467"/>
    <mergeCell ref="E468:E473"/>
    <mergeCell ref="E474:E481"/>
    <mergeCell ref="E482:E488"/>
    <mergeCell ref="E489:E491"/>
    <mergeCell ref="E492:E494"/>
    <mergeCell ref="E495:E499"/>
    <mergeCell ref="E500:E502"/>
    <mergeCell ref="E503:E505"/>
    <mergeCell ref="E506:E509"/>
    <mergeCell ref="E510:E512"/>
    <mergeCell ref="E513:E518"/>
    <mergeCell ref="E519:E524"/>
    <mergeCell ref="E525:E526"/>
    <mergeCell ref="E527:E532"/>
    <mergeCell ref="E533:E538"/>
    <mergeCell ref="E539:E544"/>
    <mergeCell ref="E545:E546"/>
    <mergeCell ref="E547:E552"/>
    <mergeCell ref="E553:E556"/>
    <mergeCell ref="E557:E559"/>
    <mergeCell ref="E560:E565"/>
    <mergeCell ref="E566:E569"/>
    <mergeCell ref="E570:E576"/>
    <mergeCell ref="E577:E593"/>
    <mergeCell ref="E594:E598"/>
    <mergeCell ref="E599:E601"/>
    <mergeCell ref="E602:E607"/>
    <mergeCell ref="E608:E614"/>
    <mergeCell ref="E615:E617"/>
    <mergeCell ref="E618:E620"/>
    <mergeCell ref="E621:E626"/>
    <mergeCell ref="E627:E629"/>
    <mergeCell ref="E630:E632"/>
    <mergeCell ref="E633:E635"/>
    <mergeCell ref="E636:E638"/>
    <mergeCell ref="E639:E641"/>
    <mergeCell ref="E642:E644"/>
    <mergeCell ref="E645:E646"/>
    <mergeCell ref="E647:E658"/>
    <mergeCell ref="E659:E661"/>
    <mergeCell ref="E662:E664"/>
    <mergeCell ref="E665:E667"/>
    <mergeCell ref="E668:E673"/>
    <mergeCell ref="E674:E676"/>
    <mergeCell ref="E677:E679"/>
    <mergeCell ref="E680:E682"/>
    <mergeCell ref="E683:E685"/>
    <mergeCell ref="E687:E693"/>
    <mergeCell ref="E694:E700"/>
    <mergeCell ref="E701:E708"/>
    <mergeCell ref="E709:E715"/>
    <mergeCell ref="E716:E722"/>
    <mergeCell ref="E723:E730"/>
    <mergeCell ref="E731:E736"/>
    <mergeCell ref="E737:E743"/>
    <mergeCell ref="E744:E753"/>
    <mergeCell ref="E754:E758"/>
    <mergeCell ref="E759:E764"/>
    <mergeCell ref="E765:E770"/>
    <mergeCell ref="E771:E775"/>
    <mergeCell ref="E776:E781"/>
    <mergeCell ref="E782:E788"/>
    <mergeCell ref="E789:E795"/>
    <mergeCell ref="E796:E802"/>
    <mergeCell ref="E803:E809"/>
    <mergeCell ref="E810:E816"/>
    <mergeCell ref="E817:E831"/>
    <mergeCell ref="E832:E836"/>
    <mergeCell ref="E837:E841"/>
    <mergeCell ref="E842:E847"/>
    <mergeCell ref="E848:E852"/>
    <mergeCell ref="E853:E857"/>
    <mergeCell ref="E858:E862"/>
    <mergeCell ref="E863:E867"/>
    <mergeCell ref="E868:E870"/>
    <mergeCell ref="E871:E872"/>
    <mergeCell ref="E873:E874"/>
    <mergeCell ref="E875:E876"/>
    <mergeCell ref="E877:E878"/>
    <mergeCell ref="E879:E880"/>
    <mergeCell ref="E881:E889"/>
    <mergeCell ref="E890:E901"/>
    <mergeCell ref="E902:E912"/>
    <mergeCell ref="E913:E915"/>
    <mergeCell ref="E916:E918"/>
    <mergeCell ref="E919:E920"/>
    <mergeCell ref="E921:E922"/>
    <mergeCell ref="E923:E924"/>
    <mergeCell ref="E925:E927"/>
    <mergeCell ref="E928:E929"/>
    <mergeCell ref="E930:E931"/>
    <mergeCell ref="E932:E944"/>
    <mergeCell ref="E945:E955"/>
    <mergeCell ref="E956:E968"/>
    <mergeCell ref="E969:E981"/>
    <mergeCell ref="E982:E983"/>
    <mergeCell ref="E984:E985"/>
    <mergeCell ref="E986:E987"/>
    <mergeCell ref="E988:E989"/>
    <mergeCell ref="E990:E991"/>
    <mergeCell ref="E992:E993"/>
    <mergeCell ref="E994:E996"/>
    <mergeCell ref="E997:E1004"/>
    <mergeCell ref="E1005:E1007"/>
    <mergeCell ref="E1008:E1010"/>
    <mergeCell ref="E1011:E1012"/>
    <mergeCell ref="E1013:E1014"/>
    <mergeCell ref="E1015:E1016"/>
    <mergeCell ref="E1017:E1019"/>
    <mergeCell ref="E1020:E1021"/>
    <mergeCell ref="E1022:E1024"/>
    <mergeCell ref="E1025:E1026"/>
    <mergeCell ref="E1027:E1028"/>
    <mergeCell ref="E1029:E1043"/>
    <mergeCell ref="E1044:E1045"/>
    <mergeCell ref="E1046:E1047"/>
    <mergeCell ref="E1048:E1049"/>
    <mergeCell ref="E1050:E1052"/>
    <mergeCell ref="E1053:E1055"/>
    <mergeCell ref="E1056:E1057"/>
    <mergeCell ref="E1058:E1059"/>
    <mergeCell ref="E1060:E1062"/>
    <mergeCell ref="E1063:E1064"/>
    <mergeCell ref="E1065:E1067"/>
    <mergeCell ref="E1068:E1069"/>
    <mergeCell ref="E1070:E1079"/>
    <mergeCell ref="E1081:E1087"/>
    <mergeCell ref="E1088:E1091"/>
    <mergeCell ref="E1092:E1093"/>
    <mergeCell ref="E1094:E1095"/>
    <mergeCell ref="E1096:E1098"/>
    <mergeCell ref="E1099:E1101"/>
    <mergeCell ref="E1102:E1104"/>
    <mergeCell ref="E1105:E1106"/>
    <mergeCell ref="E1107:E1108"/>
    <mergeCell ref="E1109:E1111"/>
    <mergeCell ref="E1112:E1114"/>
    <mergeCell ref="E1115:E1116"/>
    <mergeCell ref="E1117:E1118"/>
    <mergeCell ref="E1119:E1121"/>
    <mergeCell ref="E1122:E1124"/>
    <mergeCell ref="E1125:E1126"/>
    <mergeCell ref="E1127:E1128"/>
    <mergeCell ref="E1129:E1130"/>
    <mergeCell ref="E1131:E1132"/>
    <mergeCell ref="E1133:E1134"/>
    <mergeCell ref="E1135:E1136"/>
    <mergeCell ref="E1137:E1138"/>
    <mergeCell ref="E1139:E1140"/>
    <mergeCell ref="E1141:E1142"/>
    <mergeCell ref="E1143:E1144"/>
    <mergeCell ref="E1145:E1146"/>
    <mergeCell ref="E1147:E1148"/>
    <mergeCell ref="E1149:E1153"/>
    <mergeCell ref="E1156:E1177"/>
    <mergeCell ref="M892:M894"/>
    <mergeCell ref="M904:M907"/>
    <mergeCell ref="M937:M939"/>
    <mergeCell ref="M949:M951"/>
    <mergeCell ref="M957:M958"/>
    <mergeCell ref="M967:M968"/>
    <mergeCell ref="M973:M975"/>
    <mergeCell ref="M1075:M1079"/>
    <mergeCell ref="O647:O658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A1001"/>
  <sheetViews>
    <sheetView zoomScale="60" zoomScaleNormal="60" workbookViewId="0">
      <pane xSplit="4" ySplit="1" topLeftCell="E828" activePane="bottomRight" state="frozen"/>
      <selection/>
      <selection pane="topRight"/>
      <selection pane="bottomLeft"/>
      <selection pane="bottomRight" activeCell="Y875" sqref="Y875"/>
    </sheetView>
  </sheetViews>
  <sheetFormatPr defaultColWidth="14.425" defaultRowHeight="15" customHeight="1"/>
  <cols>
    <col min="1" max="1" width="10.7083333333333" style="481" customWidth="1"/>
    <col min="2" max="2" width="9.93333333333333" style="481" customWidth="1"/>
    <col min="3" max="3" width="21.9833333333333" style="481" customWidth="1"/>
    <col min="4" max="4" width="14.475" style="481" customWidth="1"/>
    <col min="5" max="5" width="17.2916666666667" style="481" hidden="1" customWidth="1"/>
    <col min="6" max="6" width="16.8" style="481" customWidth="1"/>
    <col min="7" max="7" width="13.6083333333333" style="481" customWidth="1"/>
    <col min="8" max="8" width="26.2416666666667" style="481" customWidth="1"/>
    <col min="9" max="9" width="18.7583333333333" style="481" customWidth="1"/>
    <col min="10" max="10" width="12.75" style="481" customWidth="1"/>
    <col min="11" max="11" width="14.1333333333333" style="481" customWidth="1"/>
    <col min="12" max="12" width="49.4333333333333" style="482" customWidth="1"/>
    <col min="13" max="13" width="21.95" style="481" customWidth="1"/>
    <col min="14" max="15" width="9.225" style="481" hidden="1" customWidth="1"/>
    <col min="16" max="16" width="16.8916666666667" style="481" hidden="1" customWidth="1"/>
    <col min="17" max="18" width="16.0666666666667" style="481" customWidth="1"/>
    <col min="19" max="19" width="12.2583333333333" style="481" hidden="1" customWidth="1"/>
    <col min="20" max="20" width="16.0666666666667" style="481" customWidth="1"/>
    <col min="21" max="21" width="15.8166666666667" style="481" customWidth="1"/>
    <col min="22" max="22" width="16.725" style="481" customWidth="1"/>
    <col min="23" max="23" width="11.425" style="483" customWidth="1"/>
    <col min="24" max="24" width="46.2416666666667" style="414" customWidth="1"/>
    <col min="25" max="25" width="19.6916666666667" style="482" customWidth="1"/>
    <col min="26" max="26" width="13" style="414" customWidth="1"/>
    <col min="27" max="27" width="125.291666666667" style="414" customWidth="1"/>
  </cols>
  <sheetData>
    <row r="1" s="178" customFormat="1" spans="1:27">
      <c r="A1" s="484" t="s">
        <v>3001</v>
      </c>
      <c r="B1" s="485" t="s">
        <v>3002</v>
      </c>
      <c r="C1" s="484" t="s">
        <v>3003</v>
      </c>
      <c r="D1" s="485" t="s">
        <v>3004</v>
      </c>
      <c r="E1" s="486" t="s">
        <v>3005</v>
      </c>
      <c r="F1" s="486" t="s">
        <v>3006</v>
      </c>
      <c r="G1" s="485" t="s">
        <v>3007</v>
      </c>
      <c r="H1" s="485" t="s">
        <v>3008</v>
      </c>
      <c r="I1" s="485" t="s">
        <v>2037</v>
      </c>
      <c r="J1" s="497" t="s">
        <v>7</v>
      </c>
      <c r="K1" s="485" t="s">
        <v>9</v>
      </c>
      <c r="L1" s="498" t="s">
        <v>3009</v>
      </c>
      <c r="M1" s="484" t="s">
        <v>3010</v>
      </c>
      <c r="N1" s="484" t="s">
        <v>3011</v>
      </c>
      <c r="O1" s="484" t="s">
        <v>3012</v>
      </c>
      <c r="P1" s="499" t="s">
        <v>3013</v>
      </c>
      <c r="Q1" s="484" t="s">
        <v>3014</v>
      </c>
      <c r="R1" s="484" t="s">
        <v>3015</v>
      </c>
      <c r="S1" s="484" t="s">
        <v>3016</v>
      </c>
      <c r="T1" s="484" t="s">
        <v>3017</v>
      </c>
      <c r="U1" s="484" t="s">
        <v>3018</v>
      </c>
      <c r="V1" s="497" t="s">
        <v>3019</v>
      </c>
      <c r="W1" s="507" t="s">
        <v>3020</v>
      </c>
      <c r="X1" s="508" t="s">
        <v>12</v>
      </c>
      <c r="Y1" s="511"/>
      <c r="Z1" s="512"/>
      <c r="AA1" s="512"/>
    </row>
    <row r="2" s="178" customFormat="1" ht="14.25" customHeight="1" spans="1:27">
      <c r="A2" s="487" t="s">
        <v>3021</v>
      </c>
      <c r="B2" s="487"/>
      <c r="C2" s="487" t="s">
        <v>3022</v>
      </c>
      <c r="D2" s="487" t="s">
        <v>3023</v>
      </c>
      <c r="E2" s="488"/>
      <c r="F2" s="489"/>
      <c r="G2" s="487" t="s">
        <v>3024</v>
      </c>
      <c r="H2" s="487" t="s">
        <v>3025</v>
      </c>
      <c r="I2" s="188">
        <v>45285</v>
      </c>
      <c r="J2" s="188">
        <v>45306</v>
      </c>
      <c r="K2" s="487" t="s">
        <v>39</v>
      </c>
      <c r="L2" s="500" t="s">
        <v>3026</v>
      </c>
      <c r="M2" s="490" t="s">
        <v>3027</v>
      </c>
      <c r="N2" s="484"/>
      <c r="O2" s="484"/>
      <c r="P2" s="499"/>
      <c r="Q2" s="501">
        <v>45299</v>
      </c>
      <c r="R2" s="501"/>
      <c r="S2" s="188"/>
      <c r="T2" s="188"/>
      <c r="U2" s="188">
        <v>45313</v>
      </c>
      <c r="V2" s="487" t="s">
        <v>20</v>
      </c>
      <c r="W2" s="188">
        <f t="shared" ref="W2:W11" si="0">J2+14</f>
        <v>45320</v>
      </c>
      <c r="X2" s="509" t="s">
        <v>3028</v>
      </c>
      <c r="Y2" s="513"/>
      <c r="Z2" s="514"/>
      <c r="AA2" s="514"/>
    </row>
    <row r="3" s="178" customFormat="1" ht="14.25" customHeight="1" spans="1:27">
      <c r="A3" s="487" t="s">
        <v>3029</v>
      </c>
      <c r="B3" s="487"/>
      <c r="C3" s="487" t="s">
        <v>3030</v>
      </c>
      <c r="D3" s="487" t="s">
        <v>3031</v>
      </c>
      <c r="E3" s="488"/>
      <c r="F3" s="489"/>
      <c r="G3" s="487" t="s">
        <v>3032</v>
      </c>
      <c r="H3" s="487" t="s">
        <v>3033</v>
      </c>
      <c r="I3" s="188">
        <v>45290</v>
      </c>
      <c r="J3" s="188">
        <v>45307</v>
      </c>
      <c r="K3" s="487" t="s">
        <v>161</v>
      </c>
      <c r="L3" s="500" t="s">
        <v>3034</v>
      </c>
      <c r="M3" s="490" t="s">
        <v>309</v>
      </c>
      <c r="N3" s="484"/>
      <c r="O3" s="484"/>
      <c r="P3" s="499"/>
      <c r="Q3" s="501">
        <v>45297</v>
      </c>
      <c r="R3" s="501"/>
      <c r="S3" s="188"/>
      <c r="T3" s="188"/>
      <c r="U3" s="188">
        <v>45313</v>
      </c>
      <c r="V3" s="487" t="s">
        <v>20</v>
      </c>
      <c r="W3" s="188">
        <f t="shared" si="0"/>
        <v>45321</v>
      </c>
      <c r="X3" s="509"/>
      <c r="Y3" s="513"/>
      <c r="Z3" s="514"/>
      <c r="AA3" s="514"/>
    </row>
    <row r="4" s="178" customFormat="1" ht="14.25" customHeight="1" spans="1:27">
      <c r="A4" s="490" t="s">
        <v>3035</v>
      </c>
      <c r="B4" s="490"/>
      <c r="C4" s="490" t="s">
        <v>3036</v>
      </c>
      <c r="D4" s="490" t="s">
        <v>3037</v>
      </c>
      <c r="E4" s="491"/>
      <c r="F4" s="492"/>
      <c r="G4" s="490" t="s">
        <v>3024</v>
      </c>
      <c r="H4" s="490" t="s">
        <v>3025</v>
      </c>
      <c r="I4" s="501">
        <v>45285</v>
      </c>
      <c r="J4" s="501">
        <v>45310</v>
      </c>
      <c r="K4" s="490" t="s">
        <v>3038</v>
      </c>
      <c r="L4" s="500" t="s">
        <v>3039</v>
      </c>
      <c r="M4" s="490" t="s">
        <v>309</v>
      </c>
      <c r="N4" s="484"/>
      <c r="O4" s="484"/>
      <c r="P4" s="499"/>
      <c r="Q4" s="501">
        <v>45289</v>
      </c>
      <c r="R4" s="501"/>
      <c r="S4" s="501"/>
      <c r="T4" s="501"/>
      <c r="U4" s="501">
        <v>45320</v>
      </c>
      <c r="V4" s="490" t="s">
        <v>20</v>
      </c>
      <c r="W4" s="501">
        <f t="shared" si="0"/>
        <v>45324</v>
      </c>
      <c r="X4" s="500"/>
      <c r="Y4" s="508"/>
      <c r="Z4" s="512"/>
      <c r="AA4" s="512"/>
    </row>
    <row r="5" s="178" customFormat="1" ht="14.25" customHeight="1" spans="1:27">
      <c r="A5" s="487" t="s">
        <v>3029</v>
      </c>
      <c r="B5" s="487"/>
      <c r="C5" s="487" t="s">
        <v>3040</v>
      </c>
      <c r="D5" s="487" t="s">
        <v>3041</v>
      </c>
      <c r="E5" s="488" t="s">
        <v>3042</v>
      </c>
      <c r="F5" s="489"/>
      <c r="G5" s="487" t="s">
        <v>3024</v>
      </c>
      <c r="H5" s="487" t="s">
        <v>3043</v>
      </c>
      <c r="I5" s="188">
        <v>45292</v>
      </c>
      <c r="J5" s="188">
        <v>45310</v>
      </c>
      <c r="K5" s="487" t="s">
        <v>18</v>
      </c>
      <c r="L5" s="500" t="s">
        <v>3039</v>
      </c>
      <c r="M5" s="490" t="s">
        <v>309</v>
      </c>
      <c r="N5" s="484"/>
      <c r="O5" s="484"/>
      <c r="P5" s="499"/>
      <c r="Q5" s="501">
        <v>45297</v>
      </c>
      <c r="R5" s="501"/>
      <c r="S5" s="188"/>
      <c r="T5" s="188"/>
      <c r="U5" s="188">
        <v>45320</v>
      </c>
      <c r="V5" s="487" t="s">
        <v>20</v>
      </c>
      <c r="W5" s="188">
        <f t="shared" si="0"/>
        <v>45324</v>
      </c>
      <c r="X5" s="509"/>
      <c r="Y5" s="513"/>
      <c r="Z5" s="514"/>
      <c r="AA5" s="514"/>
    </row>
    <row r="6" s="178" customFormat="1" ht="14.25" customHeight="1" spans="1:27">
      <c r="A6" s="487" t="s">
        <v>3029</v>
      </c>
      <c r="B6" s="487"/>
      <c r="C6" s="487" t="s">
        <v>3044</v>
      </c>
      <c r="D6" s="487" t="s">
        <v>3045</v>
      </c>
      <c r="E6" s="488"/>
      <c r="F6" s="489"/>
      <c r="G6" s="487" t="s">
        <v>3024</v>
      </c>
      <c r="H6" s="487" t="s">
        <v>3043</v>
      </c>
      <c r="I6" s="188">
        <v>45292</v>
      </c>
      <c r="J6" s="188">
        <v>45310</v>
      </c>
      <c r="K6" s="487" t="s">
        <v>18</v>
      </c>
      <c r="L6" s="500" t="s">
        <v>3039</v>
      </c>
      <c r="M6" s="490" t="s">
        <v>309</v>
      </c>
      <c r="N6" s="484"/>
      <c r="O6" s="484"/>
      <c r="P6" s="499"/>
      <c r="Q6" s="501">
        <v>45297</v>
      </c>
      <c r="R6" s="501"/>
      <c r="S6" s="188"/>
      <c r="T6" s="188"/>
      <c r="U6" s="188">
        <v>45320</v>
      </c>
      <c r="V6" s="487" t="s">
        <v>20</v>
      </c>
      <c r="W6" s="188">
        <f t="shared" si="0"/>
        <v>45324</v>
      </c>
      <c r="X6" s="509"/>
      <c r="Y6" s="513"/>
      <c r="Z6" s="514"/>
      <c r="AA6" s="514"/>
    </row>
    <row r="7" s="178" customFormat="1" ht="14.25" customHeight="1" spans="1:27">
      <c r="A7" s="487" t="s">
        <v>3046</v>
      </c>
      <c r="B7" s="487"/>
      <c r="C7" s="487" t="s">
        <v>3047</v>
      </c>
      <c r="D7" s="487" t="s">
        <v>3048</v>
      </c>
      <c r="E7" s="488"/>
      <c r="F7" s="489"/>
      <c r="G7" s="487" t="s">
        <v>3024</v>
      </c>
      <c r="H7" s="487" t="s">
        <v>3049</v>
      </c>
      <c r="I7" s="188">
        <v>45285</v>
      </c>
      <c r="J7" s="188">
        <v>45310</v>
      </c>
      <c r="K7" s="487" t="s">
        <v>18</v>
      </c>
      <c r="L7" s="500" t="s">
        <v>3039</v>
      </c>
      <c r="M7" s="490" t="s">
        <v>309</v>
      </c>
      <c r="N7" s="484"/>
      <c r="O7" s="484"/>
      <c r="P7" s="499"/>
      <c r="Q7" s="501">
        <v>45299</v>
      </c>
      <c r="R7" s="501"/>
      <c r="S7" s="188"/>
      <c r="T7" s="188"/>
      <c r="U7" s="188">
        <v>45320</v>
      </c>
      <c r="V7" s="487" t="s">
        <v>20</v>
      </c>
      <c r="W7" s="188">
        <f t="shared" si="0"/>
        <v>45324</v>
      </c>
      <c r="X7" s="509"/>
      <c r="Y7" s="513"/>
      <c r="Z7" s="514"/>
      <c r="AA7" s="514"/>
    </row>
    <row r="8" s="178" customFormat="1" ht="14.25" customHeight="1" spans="1:27">
      <c r="A8" s="487" t="s">
        <v>3050</v>
      </c>
      <c r="B8" s="487"/>
      <c r="C8" s="487" t="s">
        <v>3051</v>
      </c>
      <c r="D8" s="487" t="s">
        <v>3052</v>
      </c>
      <c r="E8" s="488"/>
      <c r="F8" s="489"/>
      <c r="G8" s="487" t="s">
        <v>3024</v>
      </c>
      <c r="H8" s="487" t="s">
        <v>3043</v>
      </c>
      <c r="I8" s="188">
        <v>45297</v>
      </c>
      <c r="J8" s="188">
        <v>45310</v>
      </c>
      <c r="K8" s="487" t="s">
        <v>18</v>
      </c>
      <c r="L8" s="500" t="s">
        <v>3039</v>
      </c>
      <c r="M8" s="490" t="s">
        <v>309</v>
      </c>
      <c r="N8" s="484"/>
      <c r="O8" s="484"/>
      <c r="P8" s="499"/>
      <c r="Q8" s="501">
        <v>45303</v>
      </c>
      <c r="R8" s="501"/>
      <c r="S8" s="188"/>
      <c r="T8" s="188"/>
      <c r="U8" s="188">
        <v>45321</v>
      </c>
      <c r="V8" s="487" t="s">
        <v>20</v>
      </c>
      <c r="W8" s="188">
        <f t="shared" si="0"/>
        <v>45324</v>
      </c>
      <c r="X8" s="509"/>
      <c r="Y8" s="513"/>
      <c r="Z8" s="514"/>
      <c r="AA8" s="514"/>
    </row>
    <row r="9" s="178" customFormat="1" ht="14.25" customHeight="1" spans="1:27">
      <c r="A9" s="487" t="s">
        <v>3029</v>
      </c>
      <c r="B9" s="487"/>
      <c r="C9" s="487" t="s">
        <v>3053</v>
      </c>
      <c r="D9" s="487" t="s">
        <v>3054</v>
      </c>
      <c r="E9" s="488"/>
      <c r="F9" s="489"/>
      <c r="G9" s="487" t="s">
        <v>3024</v>
      </c>
      <c r="H9" s="487" t="s">
        <v>3043</v>
      </c>
      <c r="I9" s="188">
        <v>45291</v>
      </c>
      <c r="J9" s="188">
        <v>45310</v>
      </c>
      <c r="K9" s="487" t="s">
        <v>18</v>
      </c>
      <c r="L9" s="500" t="s">
        <v>3039</v>
      </c>
      <c r="M9" s="490" t="s">
        <v>309</v>
      </c>
      <c r="N9" s="484"/>
      <c r="O9" s="484"/>
      <c r="P9" s="499"/>
      <c r="Q9" s="501">
        <v>45303</v>
      </c>
      <c r="R9" s="501"/>
      <c r="S9" s="188"/>
      <c r="T9" s="188"/>
      <c r="U9" s="188">
        <v>45320</v>
      </c>
      <c r="V9" s="487" t="s">
        <v>20</v>
      </c>
      <c r="W9" s="188">
        <f t="shared" si="0"/>
        <v>45324</v>
      </c>
      <c r="X9" s="509"/>
      <c r="Y9" s="513"/>
      <c r="Z9" s="514"/>
      <c r="AA9" s="514"/>
    </row>
    <row r="10" s="178" customFormat="1" ht="14.25" customHeight="1" spans="1:27">
      <c r="A10" s="487" t="s">
        <v>3029</v>
      </c>
      <c r="B10" s="487"/>
      <c r="C10" s="487" t="s">
        <v>3055</v>
      </c>
      <c r="D10" s="487" t="s">
        <v>3056</v>
      </c>
      <c r="E10" s="488"/>
      <c r="F10" s="489"/>
      <c r="G10" s="487" t="s">
        <v>3032</v>
      </c>
      <c r="H10" s="487" t="s">
        <v>3033</v>
      </c>
      <c r="I10" s="188">
        <v>45290</v>
      </c>
      <c r="J10" s="188">
        <v>45312</v>
      </c>
      <c r="K10" s="487" t="s">
        <v>18</v>
      </c>
      <c r="L10" s="500" t="s">
        <v>3039</v>
      </c>
      <c r="M10" s="490" t="s">
        <v>309</v>
      </c>
      <c r="N10" s="484"/>
      <c r="O10" s="484"/>
      <c r="P10" s="499"/>
      <c r="Q10" s="501">
        <v>45296</v>
      </c>
      <c r="R10" s="501"/>
      <c r="S10" s="188"/>
      <c r="T10" s="188"/>
      <c r="U10" s="188">
        <v>45316</v>
      </c>
      <c r="V10" s="487" t="s">
        <v>20</v>
      </c>
      <c r="W10" s="188">
        <f t="shared" si="0"/>
        <v>45326</v>
      </c>
      <c r="X10" s="509"/>
      <c r="Y10" s="513"/>
      <c r="Z10" s="514"/>
      <c r="AA10" s="514"/>
    </row>
    <row r="11" s="178" customFormat="1" ht="14.25" customHeight="1" spans="1:27">
      <c r="A11" s="487" t="s">
        <v>3057</v>
      </c>
      <c r="B11" s="487"/>
      <c r="C11" s="487" t="s">
        <v>3058</v>
      </c>
      <c r="D11" s="487" t="s">
        <v>3059</v>
      </c>
      <c r="E11" s="488"/>
      <c r="F11" s="489"/>
      <c r="G11" s="487" t="s">
        <v>3024</v>
      </c>
      <c r="H11" s="487" t="s">
        <v>3060</v>
      </c>
      <c r="I11" s="188">
        <v>45285</v>
      </c>
      <c r="J11" s="188">
        <v>45320</v>
      </c>
      <c r="K11" s="487" t="s">
        <v>161</v>
      </c>
      <c r="L11" s="500" t="s">
        <v>3061</v>
      </c>
      <c r="M11" s="490" t="s">
        <v>3062</v>
      </c>
      <c r="N11" s="484"/>
      <c r="O11" s="484"/>
      <c r="P11" s="499"/>
      <c r="Q11" s="501">
        <v>45295</v>
      </c>
      <c r="R11" s="501"/>
      <c r="S11" s="188"/>
      <c r="T11" s="188"/>
      <c r="U11" s="188">
        <v>45327</v>
      </c>
      <c r="V11" s="487" t="s">
        <v>20</v>
      </c>
      <c r="W11" s="188">
        <f t="shared" si="0"/>
        <v>45334</v>
      </c>
      <c r="X11" s="509" t="s">
        <v>3063</v>
      </c>
      <c r="Y11" s="513"/>
      <c r="Z11" s="514"/>
      <c r="AA11" s="514"/>
    </row>
    <row r="12" s="178" customFormat="1" ht="14.25" customHeight="1" spans="1:27">
      <c r="A12" s="487" t="s">
        <v>3064</v>
      </c>
      <c r="B12" s="487"/>
      <c r="C12" s="487" t="s">
        <v>3065</v>
      </c>
      <c r="D12" s="487" t="s">
        <v>3066</v>
      </c>
      <c r="E12" s="488"/>
      <c r="F12" s="489"/>
      <c r="G12" s="487" t="s">
        <v>3067</v>
      </c>
      <c r="H12" s="487" t="s">
        <v>3068</v>
      </c>
      <c r="I12" s="188">
        <v>45280</v>
      </c>
      <c r="J12" s="188">
        <v>45335</v>
      </c>
      <c r="K12" s="487" t="s">
        <v>207</v>
      </c>
      <c r="L12" s="500" t="s">
        <v>3069</v>
      </c>
      <c r="M12" s="490" t="s">
        <v>3070</v>
      </c>
      <c r="N12" s="484"/>
      <c r="O12" s="484"/>
      <c r="P12" s="499"/>
      <c r="Q12" s="501">
        <v>45289</v>
      </c>
      <c r="R12" s="501"/>
      <c r="S12" s="188"/>
      <c r="T12" s="188"/>
      <c r="U12" s="188">
        <v>45337</v>
      </c>
      <c r="V12" s="487" t="s">
        <v>20</v>
      </c>
      <c r="W12" s="188">
        <f>J12+17</f>
        <v>45352</v>
      </c>
      <c r="X12" s="510" t="s">
        <v>3071</v>
      </c>
      <c r="Y12" s="513"/>
      <c r="Z12" s="514"/>
      <c r="AA12" s="514"/>
    </row>
    <row r="13" s="178" customFormat="1" ht="14.25" customHeight="1" spans="1:27">
      <c r="A13" s="487" t="s">
        <v>3072</v>
      </c>
      <c r="B13" s="487"/>
      <c r="C13" s="487" t="s">
        <v>3073</v>
      </c>
      <c r="D13" s="487" t="s">
        <v>3074</v>
      </c>
      <c r="E13" s="488"/>
      <c r="F13" s="489"/>
      <c r="G13" s="487" t="s">
        <v>3075</v>
      </c>
      <c r="H13" s="487" t="s">
        <v>3076</v>
      </c>
      <c r="I13" s="188">
        <v>45322</v>
      </c>
      <c r="J13" s="188">
        <v>45337</v>
      </c>
      <c r="K13" s="487" t="s">
        <v>18</v>
      </c>
      <c r="L13" s="500" t="s">
        <v>3039</v>
      </c>
      <c r="M13" s="490" t="s">
        <v>309</v>
      </c>
      <c r="N13" s="484"/>
      <c r="O13" s="484"/>
      <c r="P13" s="499"/>
      <c r="Q13" s="501">
        <v>45325</v>
      </c>
      <c r="R13" s="501"/>
      <c r="S13" s="188"/>
      <c r="T13" s="188"/>
      <c r="U13" s="188">
        <v>45343</v>
      </c>
      <c r="V13" s="487" t="s">
        <v>20</v>
      </c>
      <c r="W13" s="188">
        <f>J13+14</f>
        <v>45351</v>
      </c>
      <c r="X13" s="509"/>
      <c r="Y13" s="513"/>
      <c r="Z13" s="514"/>
      <c r="AA13" s="514"/>
    </row>
    <row r="14" s="178" customFormat="1" ht="14.25" customHeight="1" spans="1:27">
      <c r="A14" s="487" t="s">
        <v>3050</v>
      </c>
      <c r="B14" s="487"/>
      <c r="C14" s="487" t="s">
        <v>3077</v>
      </c>
      <c r="D14" s="487" t="s">
        <v>3078</v>
      </c>
      <c r="E14" s="488"/>
      <c r="F14" s="489"/>
      <c r="G14" s="487" t="s">
        <v>3079</v>
      </c>
      <c r="H14" s="487" t="s">
        <v>3080</v>
      </c>
      <c r="I14" s="188">
        <v>45329</v>
      </c>
      <c r="J14" s="188">
        <v>45353</v>
      </c>
      <c r="K14" s="487" t="s">
        <v>207</v>
      </c>
      <c r="L14" s="500" t="s">
        <v>3069</v>
      </c>
      <c r="M14" s="490" t="s">
        <v>3081</v>
      </c>
      <c r="N14" s="484"/>
      <c r="O14" s="484"/>
      <c r="P14" s="499"/>
      <c r="Q14" s="501">
        <v>45344</v>
      </c>
      <c r="R14" s="501"/>
      <c r="S14" s="188"/>
      <c r="T14" s="188"/>
      <c r="U14" s="188">
        <v>45358</v>
      </c>
      <c r="V14" s="188" t="s">
        <v>20</v>
      </c>
      <c r="W14" s="188">
        <f>J14+14</f>
        <v>45367</v>
      </c>
      <c r="X14" s="509"/>
      <c r="Y14" s="513"/>
      <c r="Z14" s="514"/>
      <c r="AA14" s="514"/>
    </row>
    <row r="15" s="178" customFormat="1" ht="14.25" customHeight="1" spans="1:27">
      <c r="A15" s="487" t="s">
        <v>3082</v>
      </c>
      <c r="B15" s="487"/>
      <c r="C15" s="487" t="s">
        <v>3083</v>
      </c>
      <c r="D15" s="487" t="s">
        <v>3084</v>
      </c>
      <c r="E15" s="488"/>
      <c r="F15" s="489"/>
      <c r="G15" s="487" t="s">
        <v>3067</v>
      </c>
      <c r="H15" s="493" t="s">
        <v>3085</v>
      </c>
      <c r="I15" s="188">
        <v>45282</v>
      </c>
      <c r="J15" s="188">
        <v>45355</v>
      </c>
      <c r="K15" s="487" t="s">
        <v>215</v>
      </c>
      <c r="L15" s="500" t="s">
        <v>3086</v>
      </c>
      <c r="M15" s="490" t="s">
        <v>3087</v>
      </c>
      <c r="N15" s="484"/>
      <c r="O15" s="484"/>
      <c r="P15" s="499"/>
      <c r="Q15" s="501">
        <v>45287</v>
      </c>
      <c r="R15" s="501"/>
      <c r="S15" s="188"/>
      <c r="T15" s="188"/>
      <c r="U15" s="188">
        <v>45359</v>
      </c>
      <c r="V15" s="487" t="s">
        <v>20</v>
      </c>
      <c r="W15" s="188">
        <f>J15+14</f>
        <v>45369</v>
      </c>
      <c r="X15" s="509"/>
      <c r="Y15" s="513"/>
      <c r="Z15" s="514"/>
      <c r="AA15" s="514"/>
    </row>
    <row r="16" s="178" customFormat="1" ht="14.25" customHeight="1" spans="1:27">
      <c r="A16" s="487" t="s">
        <v>3088</v>
      </c>
      <c r="B16" s="487"/>
      <c r="C16" s="487" t="s">
        <v>3089</v>
      </c>
      <c r="D16" s="487" t="s">
        <v>3090</v>
      </c>
      <c r="E16" s="488"/>
      <c r="F16" s="489"/>
      <c r="G16" s="487" t="s">
        <v>3067</v>
      </c>
      <c r="H16" s="493" t="s">
        <v>3068</v>
      </c>
      <c r="I16" s="188">
        <v>45282</v>
      </c>
      <c r="J16" s="188">
        <v>45355</v>
      </c>
      <c r="K16" s="487" t="s">
        <v>215</v>
      </c>
      <c r="L16" s="500" t="s">
        <v>3086</v>
      </c>
      <c r="M16" s="490" t="s">
        <v>3091</v>
      </c>
      <c r="N16" s="484"/>
      <c r="O16" s="484"/>
      <c r="P16" s="499"/>
      <c r="Q16" s="501">
        <v>45287</v>
      </c>
      <c r="R16" s="501"/>
      <c r="S16" s="188"/>
      <c r="T16" s="188"/>
      <c r="U16" s="188">
        <v>45358</v>
      </c>
      <c r="V16" s="487" t="s">
        <v>20</v>
      </c>
      <c r="W16" s="188">
        <f>J16+14</f>
        <v>45369</v>
      </c>
      <c r="X16" s="509"/>
      <c r="Y16" s="513"/>
      <c r="Z16" s="514"/>
      <c r="AA16" s="514"/>
    </row>
    <row r="17" s="178" customFormat="1" ht="14.25" customHeight="1" spans="1:27">
      <c r="A17" s="487" t="s">
        <v>3092</v>
      </c>
      <c r="B17" s="487"/>
      <c r="C17" s="487" t="s">
        <v>3093</v>
      </c>
      <c r="D17" s="487" t="s">
        <v>3094</v>
      </c>
      <c r="E17" s="488"/>
      <c r="F17" s="489"/>
      <c r="G17" s="487" t="s">
        <v>3032</v>
      </c>
      <c r="H17" s="487" t="s">
        <v>3095</v>
      </c>
      <c r="I17" s="188">
        <v>45350</v>
      </c>
      <c r="J17" s="188">
        <v>45365</v>
      </c>
      <c r="K17" s="487" t="s">
        <v>39</v>
      </c>
      <c r="L17" s="500" t="s">
        <v>3096</v>
      </c>
      <c r="M17" s="490" t="s">
        <v>3097</v>
      </c>
      <c r="N17" s="484"/>
      <c r="O17" s="484"/>
      <c r="P17" s="499"/>
      <c r="Q17" s="501">
        <v>45356</v>
      </c>
      <c r="R17" s="501"/>
      <c r="S17" s="188"/>
      <c r="T17" s="188"/>
      <c r="U17" s="188">
        <v>45371</v>
      </c>
      <c r="V17" s="188" t="s">
        <v>20</v>
      </c>
      <c r="W17" s="188">
        <f t="shared" ref="W17:W48" si="1">J17+21</f>
        <v>45386</v>
      </c>
      <c r="X17" s="509"/>
      <c r="Y17" s="513"/>
      <c r="Z17" s="514"/>
      <c r="AA17" s="514"/>
    </row>
    <row r="18" s="178" customFormat="1" ht="14.25" customHeight="1" spans="1:27">
      <c r="A18" s="487" t="s">
        <v>3098</v>
      </c>
      <c r="B18" s="487"/>
      <c r="C18" s="487" t="s">
        <v>3099</v>
      </c>
      <c r="D18" s="487" t="s">
        <v>3100</v>
      </c>
      <c r="E18" s="488"/>
      <c r="F18" s="494"/>
      <c r="G18" s="487" t="s">
        <v>3032</v>
      </c>
      <c r="H18" s="487" t="s">
        <v>3095</v>
      </c>
      <c r="I18" s="188">
        <v>45350</v>
      </c>
      <c r="J18" s="188">
        <v>45372</v>
      </c>
      <c r="K18" s="487" t="s">
        <v>3038</v>
      </c>
      <c r="L18" s="500" t="s">
        <v>3039</v>
      </c>
      <c r="M18" s="490" t="s">
        <v>3101</v>
      </c>
      <c r="N18" s="484"/>
      <c r="O18" s="484"/>
      <c r="P18" s="499"/>
      <c r="Q18" s="501">
        <v>45352</v>
      </c>
      <c r="R18" s="501"/>
      <c r="S18" s="188"/>
      <c r="T18" s="188"/>
      <c r="U18" s="188">
        <v>45376</v>
      </c>
      <c r="V18" s="188" t="s">
        <v>20</v>
      </c>
      <c r="W18" s="188">
        <f t="shared" si="1"/>
        <v>45393</v>
      </c>
      <c r="X18" s="509"/>
      <c r="Y18" s="513"/>
      <c r="Z18" s="514"/>
      <c r="AA18" s="514"/>
    </row>
    <row r="19" s="178" customFormat="1" ht="14.25" customHeight="1" spans="1:27">
      <c r="A19" s="487" t="s">
        <v>3102</v>
      </c>
      <c r="B19" s="487"/>
      <c r="C19" s="487" t="s">
        <v>3103</v>
      </c>
      <c r="D19" s="487" t="s">
        <v>3104</v>
      </c>
      <c r="E19" s="488"/>
      <c r="F19" s="489"/>
      <c r="G19" s="487" t="s">
        <v>3032</v>
      </c>
      <c r="H19" s="487" t="s">
        <v>3095</v>
      </c>
      <c r="I19" s="188">
        <v>45350</v>
      </c>
      <c r="J19" s="188">
        <v>45372</v>
      </c>
      <c r="K19" s="487" t="s">
        <v>3038</v>
      </c>
      <c r="L19" s="500" t="s">
        <v>3105</v>
      </c>
      <c r="M19" s="490" t="s">
        <v>3106</v>
      </c>
      <c r="N19" s="484"/>
      <c r="O19" s="484"/>
      <c r="P19" s="499"/>
      <c r="Q19" s="501">
        <v>45352</v>
      </c>
      <c r="R19" s="501"/>
      <c r="S19" s="188"/>
      <c r="T19" s="188"/>
      <c r="U19" s="188">
        <v>45374</v>
      </c>
      <c r="V19" s="188" t="s">
        <v>20</v>
      </c>
      <c r="W19" s="188">
        <f t="shared" si="1"/>
        <v>45393</v>
      </c>
      <c r="X19" s="509"/>
      <c r="Y19" s="513"/>
      <c r="Z19" s="514"/>
      <c r="AA19" s="514"/>
    </row>
    <row r="20" s="178" customFormat="1" ht="14.25" customHeight="1" spans="1:27">
      <c r="A20" s="487" t="s">
        <v>3092</v>
      </c>
      <c r="B20" s="487"/>
      <c r="C20" s="487" t="s">
        <v>3107</v>
      </c>
      <c r="D20" s="487" t="s">
        <v>3108</v>
      </c>
      <c r="E20" s="488"/>
      <c r="F20" s="489"/>
      <c r="G20" s="487" t="s">
        <v>3032</v>
      </c>
      <c r="H20" s="487" t="s">
        <v>3095</v>
      </c>
      <c r="I20" s="188">
        <v>45350</v>
      </c>
      <c r="J20" s="188">
        <v>45372</v>
      </c>
      <c r="K20" s="487" t="s">
        <v>3038</v>
      </c>
      <c r="L20" s="500" t="s">
        <v>3039</v>
      </c>
      <c r="M20" s="490" t="s">
        <v>3109</v>
      </c>
      <c r="N20" s="484"/>
      <c r="O20" s="484"/>
      <c r="P20" s="499"/>
      <c r="Q20" s="501">
        <v>45358</v>
      </c>
      <c r="R20" s="501"/>
      <c r="S20" s="188"/>
      <c r="T20" s="188"/>
      <c r="U20" s="188">
        <v>45376</v>
      </c>
      <c r="V20" s="188" t="s">
        <v>20</v>
      </c>
      <c r="W20" s="188">
        <f t="shared" si="1"/>
        <v>45393</v>
      </c>
      <c r="X20" s="509"/>
      <c r="Y20" s="513"/>
      <c r="Z20" s="514"/>
      <c r="AA20" s="514"/>
    </row>
    <row r="21" s="178" customFormat="1" ht="14.25" customHeight="1" spans="1:27">
      <c r="A21" s="487" t="s">
        <v>3110</v>
      </c>
      <c r="B21" s="487"/>
      <c r="C21" s="487" t="s">
        <v>3111</v>
      </c>
      <c r="D21" s="487" t="s">
        <v>3112</v>
      </c>
      <c r="E21" s="488"/>
      <c r="F21" s="489"/>
      <c r="G21" s="487" t="s">
        <v>3067</v>
      </c>
      <c r="H21" s="487" t="s">
        <v>3113</v>
      </c>
      <c r="I21" s="502">
        <v>45356</v>
      </c>
      <c r="J21" s="502">
        <v>45372</v>
      </c>
      <c r="K21" s="493" t="s">
        <v>18</v>
      </c>
      <c r="L21" s="503" t="s">
        <v>3039</v>
      </c>
      <c r="M21" s="490" t="s">
        <v>309</v>
      </c>
      <c r="N21" s="484"/>
      <c r="O21" s="484"/>
      <c r="P21" s="499"/>
      <c r="Q21" s="501">
        <v>45367</v>
      </c>
      <c r="R21" s="501"/>
      <c r="S21" s="188"/>
      <c r="T21" s="188"/>
      <c r="U21" s="188">
        <v>45374</v>
      </c>
      <c r="V21" s="188" t="s">
        <v>20</v>
      </c>
      <c r="W21" s="188">
        <f t="shared" si="1"/>
        <v>45393</v>
      </c>
      <c r="X21" s="509"/>
      <c r="Y21" s="513"/>
      <c r="Z21" s="514"/>
      <c r="AA21" s="514"/>
    </row>
    <row r="22" s="178" customFormat="1" ht="14.25" customHeight="1" spans="1:27">
      <c r="A22" s="487" t="s">
        <v>3110</v>
      </c>
      <c r="B22" s="487"/>
      <c r="C22" s="487" t="s">
        <v>3111</v>
      </c>
      <c r="D22" s="487" t="s">
        <v>3114</v>
      </c>
      <c r="E22" s="488"/>
      <c r="F22" s="489"/>
      <c r="G22" s="487" t="s">
        <v>3067</v>
      </c>
      <c r="H22" s="487" t="s">
        <v>3113</v>
      </c>
      <c r="I22" s="502">
        <v>45356</v>
      </c>
      <c r="J22" s="502">
        <v>45372</v>
      </c>
      <c r="K22" s="493" t="s">
        <v>18</v>
      </c>
      <c r="L22" s="503" t="s">
        <v>3039</v>
      </c>
      <c r="M22" s="490" t="s">
        <v>309</v>
      </c>
      <c r="N22" s="484"/>
      <c r="O22" s="484"/>
      <c r="P22" s="499"/>
      <c r="Q22" s="501">
        <v>45367</v>
      </c>
      <c r="R22" s="501"/>
      <c r="S22" s="188"/>
      <c r="T22" s="188"/>
      <c r="U22" s="188">
        <v>45375</v>
      </c>
      <c r="V22" s="188" t="s">
        <v>20</v>
      </c>
      <c r="W22" s="188">
        <f t="shared" si="1"/>
        <v>45393</v>
      </c>
      <c r="X22" s="509"/>
      <c r="Y22" s="513"/>
      <c r="Z22" s="514"/>
      <c r="AA22" s="514"/>
    </row>
    <row r="23" s="178" customFormat="1" ht="14.25" customHeight="1" spans="1:27">
      <c r="A23" s="487" t="s">
        <v>3110</v>
      </c>
      <c r="B23" s="487"/>
      <c r="C23" s="487" t="s">
        <v>3111</v>
      </c>
      <c r="D23" s="487" t="s">
        <v>3115</v>
      </c>
      <c r="E23" s="488"/>
      <c r="F23" s="489"/>
      <c r="G23" s="487" t="s">
        <v>3067</v>
      </c>
      <c r="H23" s="487" t="s">
        <v>3113</v>
      </c>
      <c r="I23" s="502">
        <v>45356</v>
      </c>
      <c r="J23" s="502">
        <v>45372</v>
      </c>
      <c r="K23" s="493" t="s">
        <v>18</v>
      </c>
      <c r="L23" s="503" t="s">
        <v>3039</v>
      </c>
      <c r="M23" s="490" t="s">
        <v>3116</v>
      </c>
      <c r="N23" s="484"/>
      <c r="O23" s="484"/>
      <c r="P23" s="499"/>
      <c r="Q23" s="501">
        <v>45367</v>
      </c>
      <c r="R23" s="501"/>
      <c r="S23" s="188"/>
      <c r="T23" s="188"/>
      <c r="U23" s="188">
        <v>45374</v>
      </c>
      <c r="V23" s="188" t="s">
        <v>20</v>
      </c>
      <c r="W23" s="188">
        <f t="shared" si="1"/>
        <v>45393</v>
      </c>
      <c r="X23" s="509"/>
      <c r="Y23" s="513"/>
      <c r="Z23" s="514"/>
      <c r="AA23" s="514"/>
    </row>
    <row r="24" s="178" customFormat="1" ht="14.25" customHeight="1" spans="1:27">
      <c r="A24" s="487" t="s">
        <v>3110</v>
      </c>
      <c r="B24" s="487"/>
      <c r="C24" s="487" t="s">
        <v>3111</v>
      </c>
      <c r="D24" s="487" t="s">
        <v>3117</v>
      </c>
      <c r="E24" s="488"/>
      <c r="F24" s="489"/>
      <c r="G24" s="487" t="s">
        <v>3067</v>
      </c>
      <c r="H24" s="487" t="s">
        <v>3113</v>
      </c>
      <c r="I24" s="502">
        <v>45356</v>
      </c>
      <c r="J24" s="502">
        <v>45372</v>
      </c>
      <c r="K24" s="493" t="s">
        <v>18</v>
      </c>
      <c r="L24" s="503" t="s">
        <v>3039</v>
      </c>
      <c r="M24" s="490" t="s">
        <v>309</v>
      </c>
      <c r="N24" s="484"/>
      <c r="O24" s="484"/>
      <c r="P24" s="499"/>
      <c r="Q24" s="501">
        <v>45367</v>
      </c>
      <c r="R24" s="501"/>
      <c r="S24" s="188"/>
      <c r="T24" s="188"/>
      <c r="U24" s="188">
        <v>45376</v>
      </c>
      <c r="V24" s="188" t="s">
        <v>20</v>
      </c>
      <c r="W24" s="188">
        <f t="shared" si="1"/>
        <v>45393</v>
      </c>
      <c r="X24" s="509"/>
      <c r="Y24" s="513"/>
      <c r="Z24" s="514"/>
      <c r="AA24" s="514"/>
    </row>
    <row r="25" s="178" customFormat="1" ht="14.25" customHeight="1" spans="1:27">
      <c r="A25" s="487" t="s">
        <v>3102</v>
      </c>
      <c r="B25" s="487"/>
      <c r="C25" s="487" t="s">
        <v>3118</v>
      </c>
      <c r="D25" s="487" t="s">
        <v>3119</v>
      </c>
      <c r="E25" s="488"/>
      <c r="F25" s="489"/>
      <c r="G25" s="487" t="s">
        <v>3032</v>
      </c>
      <c r="H25" s="487" t="s">
        <v>3095</v>
      </c>
      <c r="I25" s="188">
        <v>45350</v>
      </c>
      <c r="J25" s="188">
        <v>45372</v>
      </c>
      <c r="K25" s="487" t="s">
        <v>3038</v>
      </c>
      <c r="L25" s="500" t="s">
        <v>3105</v>
      </c>
      <c r="M25" s="490" t="s">
        <v>3116</v>
      </c>
      <c r="N25" s="484"/>
      <c r="O25" s="484"/>
      <c r="P25" s="499"/>
      <c r="Q25" s="501">
        <v>45352</v>
      </c>
      <c r="R25" s="501"/>
      <c r="S25" s="188"/>
      <c r="T25" s="188"/>
      <c r="U25" s="188">
        <v>45376</v>
      </c>
      <c r="V25" s="487" t="s">
        <v>20</v>
      </c>
      <c r="W25" s="188">
        <f t="shared" si="1"/>
        <v>45393</v>
      </c>
      <c r="X25" s="509"/>
      <c r="Y25" s="513"/>
      <c r="Z25" s="514"/>
      <c r="AA25" s="514"/>
    </row>
    <row r="26" s="178" customFormat="1" ht="14.25" customHeight="1" spans="1:27">
      <c r="A26" s="487" t="s">
        <v>3120</v>
      </c>
      <c r="B26" s="487"/>
      <c r="C26" s="487" t="s">
        <v>3121</v>
      </c>
      <c r="D26" s="487" t="s">
        <v>3122</v>
      </c>
      <c r="E26" s="488"/>
      <c r="F26" s="489"/>
      <c r="G26" s="487" t="s">
        <v>3032</v>
      </c>
      <c r="H26" s="487" t="s">
        <v>3123</v>
      </c>
      <c r="I26" s="502">
        <v>45357</v>
      </c>
      <c r="J26" s="502">
        <v>45376</v>
      </c>
      <c r="K26" s="493" t="s">
        <v>3038</v>
      </c>
      <c r="L26" s="503" t="s">
        <v>3039</v>
      </c>
      <c r="M26" s="490" t="s">
        <v>309</v>
      </c>
      <c r="N26" s="484"/>
      <c r="O26" s="484"/>
      <c r="P26" s="499"/>
      <c r="Q26" s="501">
        <v>45363</v>
      </c>
      <c r="R26" s="501"/>
      <c r="S26" s="188"/>
      <c r="T26" s="188"/>
      <c r="U26" s="188">
        <v>45383</v>
      </c>
      <c r="V26" s="188" t="s">
        <v>20</v>
      </c>
      <c r="W26" s="188">
        <f t="shared" si="1"/>
        <v>45397</v>
      </c>
      <c r="X26" s="509"/>
      <c r="Y26" s="513"/>
      <c r="Z26" s="514"/>
      <c r="AA26" s="514"/>
    </row>
    <row r="27" s="178" customFormat="1" ht="14.25" customHeight="1" spans="1:27">
      <c r="A27" s="487" t="s">
        <v>3120</v>
      </c>
      <c r="B27" s="487"/>
      <c r="C27" s="487" t="s">
        <v>3124</v>
      </c>
      <c r="D27" s="487" t="s">
        <v>3125</v>
      </c>
      <c r="E27" s="488"/>
      <c r="F27" s="489"/>
      <c r="G27" s="487" t="s">
        <v>3032</v>
      </c>
      <c r="H27" s="487" t="s">
        <v>3123</v>
      </c>
      <c r="I27" s="502">
        <v>45357</v>
      </c>
      <c r="J27" s="502">
        <v>45376</v>
      </c>
      <c r="K27" s="493" t="s">
        <v>18</v>
      </c>
      <c r="L27" s="503" t="s">
        <v>3039</v>
      </c>
      <c r="M27" s="490" t="s">
        <v>309</v>
      </c>
      <c r="N27" s="484"/>
      <c r="O27" s="484"/>
      <c r="P27" s="499"/>
      <c r="Q27" s="501">
        <v>45362</v>
      </c>
      <c r="R27" s="501"/>
      <c r="S27" s="188"/>
      <c r="T27" s="188"/>
      <c r="U27" s="188">
        <v>45381</v>
      </c>
      <c r="V27" s="188" t="s">
        <v>20</v>
      </c>
      <c r="W27" s="188">
        <f t="shared" si="1"/>
        <v>45397</v>
      </c>
      <c r="X27" s="509"/>
      <c r="Y27" s="513"/>
      <c r="Z27" s="514"/>
      <c r="AA27" s="514"/>
    </row>
    <row r="28" s="178" customFormat="1" ht="14.25" customHeight="1" spans="1:27">
      <c r="A28" s="487" t="s">
        <v>3110</v>
      </c>
      <c r="B28" s="487"/>
      <c r="C28" s="487" t="s">
        <v>3126</v>
      </c>
      <c r="D28" s="487" t="s">
        <v>3127</v>
      </c>
      <c r="E28" s="488"/>
      <c r="F28" s="489"/>
      <c r="G28" s="487" t="s">
        <v>3079</v>
      </c>
      <c r="H28" s="487" t="s">
        <v>3128</v>
      </c>
      <c r="I28" s="502">
        <v>45356</v>
      </c>
      <c r="J28" s="502">
        <v>45377</v>
      </c>
      <c r="K28" s="493" t="s">
        <v>39</v>
      </c>
      <c r="L28" s="500" t="s">
        <v>3096</v>
      </c>
      <c r="M28" s="490" t="s">
        <v>309</v>
      </c>
      <c r="N28" s="484"/>
      <c r="O28" s="484"/>
      <c r="P28" s="499"/>
      <c r="Q28" s="501">
        <v>45362</v>
      </c>
      <c r="R28" s="501"/>
      <c r="S28" s="188"/>
      <c r="T28" s="188"/>
      <c r="U28" s="188">
        <v>45379</v>
      </c>
      <c r="V28" s="487" t="s">
        <v>20</v>
      </c>
      <c r="W28" s="188">
        <f t="shared" si="1"/>
        <v>45398</v>
      </c>
      <c r="X28" s="509"/>
      <c r="Y28" s="513"/>
      <c r="Z28" s="514"/>
      <c r="AA28" s="514"/>
    </row>
    <row r="29" s="178" customFormat="1" ht="14.25" customHeight="1" spans="1:27">
      <c r="A29" s="487" t="s">
        <v>3110</v>
      </c>
      <c r="B29" s="487"/>
      <c r="C29" s="487" t="s">
        <v>3126</v>
      </c>
      <c r="D29" s="487" t="s">
        <v>3129</v>
      </c>
      <c r="E29" s="488"/>
      <c r="F29" s="489"/>
      <c r="G29" s="487" t="s">
        <v>3079</v>
      </c>
      <c r="H29" s="487" t="s">
        <v>3128</v>
      </c>
      <c r="I29" s="502">
        <v>45356</v>
      </c>
      <c r="J29" s="502">
        <v>45377</v>
      </c>
      <c r="K29" s="493" t="s">
        <v>39</v>
      </c>
      <c r="L29" s="500" t="s">
        <v>3096</v>
      </c>
      <c r="M29" s="490" t="s">
        <v>309</v>
      </c>
      <c r="N29" s="484"/>
      <c r="O29" s="484"/>
      <c r="P29" s="499"/>
      <c r="Q29" s="501">
        <v>45362</v>
      </c>
      <c r="R29" s="501"/>
      <c r="S29" s="188"/>
      <c r="T29" s="188"/>
      <c r="U29" s="188">
        <v>45379</v>
      </c>
      <c r="V29" s="487" t="s">
        <v>20</v>
      </c>
      <c r="W29" s="188">
        <f t="shared" si="1"/>
        <v>45398</v>
      </c>
      <c r="X29" s="509"/>
      <c r="Y29" s="513"/>
      <c r="Z29" s="514"/>
      <c r="AA29" s="514"/>
    </row>
    <row r="30" s="178" customFormat="1" ht="14.25" customHeight="1" spans="1:27">
      <c r="A30" s="487" t="s">
        <v>3110</v>
      </c>
      <c r="B30" s="487"/>
      <c r="C30" s="487" t="s">
        <v>3126</v>
      </c>
      <c r="D30" s="487" t="s">
        <v>3130</v>
      </c>
      <c r="E30" s="488"/>
      <c r="F30" s="489"/>
      <c r="G30" s="487" t="s">
        <v>3079</v>
      </c>
      <c r="H30" s="487" t="s">
        <v>3128</v>
      </c>
      <c r="I30" s="502">
        <v>45356</v>
      </c>
      <c r="J30" s="502">
        <v>45377</v>
      </c>
      <c r="K30" s="493" t="s">
        <v>39</v>
      </c>
      <c r="L30" s="500" t="s">
        <v>3096</v>
      </c>
      <c r="M30" s="490" t="s">
        <v>309</v>
      </c>
      <c r="N30" s="484"/>
      <c r="O30" s="484"/>
      <c r="P30" s="499"/>
      <c r="Q30" s="501">
        <v>45362</v>
      </c>
      <c r="R30" s="501"/>
      <c r="S30" s="188"/>
      <c r="T30" s="188"/>
      <c r="U30" s="188">
        <v>45379</v>
      </c>
      <c r="V30" s="487" t="s">
        <v>20</v>
      </c>
      <c r="W30" s="188">
        <f t="shared" si="1"/>
        <v>45398</v>
      </c>
      <c r="X30" s="509"/>
      <c r="Y30" s="513"/>
      <c r="Z30" s="514"/>
      <c r="AA30" s="514"/>
    </row>
    <row r="31" s="178" customFormat="1" ht="14.25" customHeight="1" spans="1:27">
      <c r="A31" s="487" t="s">
        <v>3110</v>
      </c>
      <c r="B31" s="487"/>
      <c r="C31" s="487" t="s">
        <v>3131</v>
      </c>
      <c r="D31" s="487" t="s">
        <v>3132</v>
      </c>
      <c r="E31" s="488"/>
      <c r="F31" s="489"/>
      <c r="G31" s="487" t="s">
        <v>3067</v>
      </c>
      <c r="H31" s="487" t="s">
        <v>3133</v>
      </c>
      <c r="I31" s="502">
        <v>45363</v>
      </c>
      <c r="J31" s="502">
        <v>45381</v>
      </c>
      <c r="K31" s="493" t="s">
        <v>18</v>
      </c>
      <c r="L31" s="503" t="s">
        <v>3039</v>
      </c>
      <c r="M31" s="490" t="s">
        <v>309</v>
      </c>
      <c r="N31" s="484"/>
      <c r="O31" s="484"/>
      <c r="P31" s="499"/>
      <c r="Q31" s="501">
        <v>45371</v>
      </c>
      <c r="R31" s="501"/>
      <c r="S31" s="188"/>
      <c r="T31" s="188"/>
      <c r="U31" s="188">
        <v>45383</v>
      </c>
      <c r="V31" s="487" t="s">
        <v>20</v>
      </c>
      <c r="W31" s="188">
        <f t="shared" si="1"/>
        <v>45402</v>
      </c>
      <c r="X31" s="509"/>
      <c r="Y31" s="513"/>
      <c r="Z31" s="514"/>
      <c r="AA31" s="514"/>
    </row>
    <row r="32" s="178" customFormat="1" ht="14.25" customHeight="1" spans="1:27">
      <c r="A32" s="487" t="s">
        <v>3134</v>
      </c>
      <c r="B32" s="487"/>
      <c r="C32" s="487" t="s">
        <v>3135</v>
      </c>
      <c r="D32" s="487" t="s">
        <v>3136</v>
      </c>
      <c r="E32" s="488"/>
      <c r="F32" s="489"/>
      <c r="G32" s="487" t="s">
        <v>3137</v>
      </c>
      <c r="H32" s="487" t="s">
        <v>3138</v>
      </c>
      <c r="I32" s="188">
        <v>45367</v>
      </c>
      <c r="J32" s="502">
        <v>45383</v>
      </c>
      <c r="K32" s="493" t="s">
        <v>18</v>
      </c>
      <c r="L32" s="503" t="s">
        <v>3039</v>
      </c>
      <c r="M32" s="490" t="s">
        <v>309</v>
      </c>
      <c r="N32" s="484"/>
      <c r="O32" s="484"/>
      <c r="P32" s="499"/>
      <c r="Q32" s="501">
        <v>45371</v>
      </c>
      <c r="R32" s="501"/>
      <c r="S32" s="188"/>
      <c r="T32" s="188"/>
      <c r="U32" s="188">
        <v>45385</v>
      </c>
      <c r="V32" s="487" t="s">
        <v>20</v>
      </c>
      <c r="W32" s="188">
        <f t="shared" si="1"/>
        <v>45404</v>
      </c>
      <c r="X32" s="509"/>
      <c r="Y32" s="513"/>
      <c r="Z32" s="514"/>
      <c r="AA32" s="514"/>
    </row>
    <row r="33" s="178" customFormat="1" ht="14.25" customHeight="1" spans="1:27">
      <c r="A33" s="487" t="s">
        <v>3134</v>
      </c>
      <c r="B33" s="487"/>
      <c r="C33" s="487" t="s">
        <v>3135</v>
      </c>
      <c r="D33" s="487" t="s">
        <v>3139</v>
      </c>
      <c r="E33" s="488"/>
      <c r="F33" s="489"/>
      <c r="G33" s="487" t="s">
        <v>3137</v>
      </c>
      <c r="H33" s="487" t="s">
        <v>3138</v>
      </c>
      <c r="I33" s="188">
        <v>45367</v>
      </c>
      <c r="J33" s="502">
        <v>45383</v>
      </c>
      <c r="K33" s="493" t="s">
        <v>18</v>
      </c>
      <c r="L33" s="503" t="s">
        <v>3039</v>
      </c>
      <c r="M33" s="490" t="s">
        <v>309</v>
      </c>
      <c r="N33" s="484"/>
      <c r="O33" s="484"/>
      <c r="P33" s="499"/>
      <c r="Q33" s="501">
        <v>45371</v>
      </c>
      <c r="R33" s="501"/>
      <c r="S33" s="188"/>
      <c r="T33" s="188"/>
      <c r="U33" s="188">
        <v>45384</v>
      </c>
      <c r="V33" s="487" t="s">
        <v>20</v>
      </c>
      <c r="W33" s="188">
        <f t="shared" si="1"/>
        <v>45404</v>
      </c>
      <c r="X33" s="509"/>
      <c r="Y33" s="513"/>
      <c r="Z33" s="514"/>
      <c r="AA33" s="514"/>
    </row>
    <row r="34" s="178" customFormat="1" ht="14.25" customHeight="1" spans="1:27">
      <c r="A34" s="487" t="s">
        <v>3134</v>
      </c>
      <c r="B34" s="487"/>
      <c r="C34" s="487" t="s">
        <v>3135</v>
      </c>
      <c r="D34" s="487" t="s">
        <v>3140</v>
      </c>
      <c r="E34" s="488"/>
      <c r="F34" s="489"/>
      <c r="G34" s="487" t="s">
        <v>3137</v>
      </c>
      <c r="H34" s="487" t="s">
        <v>3138</v>
      </c>
      <c r="I34" s="188">
        <v>45367</v>
      </c>
      <c r="J34" s="502">
        <v>45383</v>
      </c>
      <c r="K34" s="493" t="s">
        <v>18</v>
      </c>
      <c r="L34" s="503" t="s">
        <v>3039</v>
      </c>
      <c r="M34" s="490" t="s">
        <v>309</v>
      </c>
      <c r="N34" s="484"/>
      <c r="O34" s="484"/>
      <c r="P34" s="499"/>
      <c r="Q34" s="501">
        <v>45371</v>
      </c>
      <c r="R34" s="501"/>
      <c r="S34" s="188"/>
      <c r="T34" s="188"/>
      <c r="U34" s="188">
        <v>45385</v>
      </c>
      <c r="V34" s="487" t="s">
        <v>20</v>
      </c>
      <c r="W34" s="188">
        <f t="shared" si="1"/>
        <v>45404</v>
      </c>
      <c r="X34" s="509"/>
      <c r="Y34" s="513"/>
      <c r="Z34" s="514"/>
      <c r="AA34" s="514"/>
    </row>
    <row r="35" s="178" customFormat="1" ht="14.25" customHeight="1" spans="1:27">
      <c r="A35" s="487" t="s">
        <v>3134</v>
      </c>
      <c r="B35" s="487"/>
      <c r="C35" s="487" t="s">
        <v>3135</v>
      </c>
      <c r="D35" s="487" t="s">
        <v>3141</v>
      </c>
      <c r="E35" s="488"/>
      <c r="F35" s="489"/>
      <c r="G35" s="487" t="s">
        <v>3137</v>
      </c>
      <c r="H35" s="487" t="s">
        <v>3138</v>
      </c>
      <c r="I35" s="188">
        <v>45367</v>
      </c>
      <c r="J35" s="502">
        <v>45383</v>
      </c>
      <c r="K35" s="493" t="s">
        <v>18</v>
      </c>
      <c r="L35" s="503" t="s">
        <v>3039</v>
      </c>
      <c r="M35" s="490" t="s">
        <v>309</v>
      </c>
      <c r="N35" s="484"/>
      <c r="O35" s="484"/>
      <c r="P35" s="499"/>
      <c r="Q35" s="501">
        <v>45371</v>
      </c>
      <c r="R35" s="501"/>
      <c r="S35" s="188"/>
      <c r="T35" s="188"/>
      <c r="U35" s="188">
        <v>45385</v>
      </c>
      <c r="V35" s="487" t="s">
        <v>20</v>
      </c>
      <c r="W35" s="188">
        <f t="shared" si="1"/>
        <v>45404</v>
      </c>
      <c r="X35" s="509"/>
      <c r="Y35" s="513"/>
      <c r="Z35" s="514"/>
      <c r="AA35" s="514"/>
    </row>
    <row r="36" s="178" customFormat="1" ht="14.25" customHeight="1" spans="1:27">
      <c r="A36" s="487" t="s">
        <v>3134</v>
      </c>
      <c r="B36" s="487"/>
      <c r="C36" s="487" t="s">
        <v>3135</v>
      </c>
      <c r="D36" s="487" t="s">
        <v>3142</v>
      </c>
      <c r="E36" s="488"/>
      <c r="F36" s="489"/>
      <c r="G36" s="487" t="s">
        <v>3137</v>
      </c>
      <c r="H36" s="487" t="s">
        <v>3138</v>
      </c>
      <c r="I36" s="188">
        <v>45367</v>
      </c>
      <c r="J36" s="502">
        <v>45383</v>
      </c>
      <c r="K36" s="493" t="s">
        <v>18</v>
      </c>
      <c r="L36" s="503" t="s">
        <v>3039</v>
      </c>
      <c r="M36" s="490" t="s">
        <v>309</v>
      </c>
      <c r="N36" s="484"/>
      <c r="O36" s="484"/>
      <c r="P36" s="499"/>
      <c r="Q36" s="501">
        <v>45371</v>
      </c>
      <c r="R36" s="501"/>
      <c r="S36" s="188"/>
      <c r="T36" s="188"/>
      <c r="U36" s="188">
        <v>45388</v>
      </c>
      <c r="V36" s="487" t="s">
        <v>20</v>
      </c>
      <c r="W36" s="188">
        <f t="shared" si="1"/>
        <v>45404</v>
      </c>
      <c r="X36" s="509"/>
      <c r="Y36" s="513"/>
      <c r="Z36" s="514"/>
      <c r="AA36" s="514"/>
    </row>
    <row r="37" s="178" customFormat="1" ht="14.25" customHeight="1" spans="1:27">
      <c r="A37" s="487" t="s">
        <v>3143</v>
      </c>
      <c r="B37" s="487"/>
      <c r="C37" s="487" t="s">
        <v>3144</v>
      </c>
      <c r="D37" s="487" t="s">
        <v>3145</v>
      </c>
      <c r="E37" s="488"/>
      <c r="F37" s="489"/>
      <c r="G37" s="492" t="s">
        <v>3146</v>
      </c>
      <c r="H37" s="487" t="s">
        <v>3147</v>
      </c>
      <c r="I37" s="502">
        <v>45352</v>
      </c>
      <c r="J37" s="502">
        <v>45384</v>
      </c>
      <c r="K37" s="493" t="s">
        <v>39</v>
      </c>
      <c r="L37" s="503" t="s">
        <v>3096</v>
      </c>
      <c r="M37" s="490" t="s">
        <v>309</v>
      </c>
      <c r="N37" s="484"/>
      <c r="O37" s="484"/>
      <c r="P37" s="499"/>
      <c r="Q37" s="501">
        <v>45369</v>
      </c>
      <c r="R37" s="501"/>
      <c r="S37" s="188"/>
      <c r="T37" s="188"/>
      <c r="U37" s="188">
        <v>45385</v>
      </c>
      <c r="V37" s="487" t="s">
        <v>20</v>
      </c>
      <c r="W37" s="188">
        <f t="shared" si="1"/>
        <v>45405</v>
      </c>
      <c r="X37" s="509"/>
      <c r="Y37" s="513"/>
      <c r="Z37" s="514"/>
      <c r="AA37" s="514"/>
    </row>
    <row r="38" s="178" customFormat="1" ht="14.25" customHeight="1" spans="1:27">
      <c r="A38" s="487" t="s">
        <v>3143</v>
      </c>
      <c r="B38" s="487"/>
      <c r="C38" s="487" t="s">
        <v>3144</v>
      </c>
      <c r="D38" s="487" t="s">
        <v>3148</v>
      </c>
      <c r="E38" s="488"/>
      <c r="F38" s="489"/>
      <c r="G38" s="492" t="s">
        <v>3146</v>
      </c>
      <c r="H38" s="487" t="s">
        <v>3147</v>
      </c>
      <c r="I38" s="502">
        <v>45361</v>
      </c>
      <c r="J38" s="502">
        <v>45384</v>
      </c>
      <c r="K38" s="493" t="s">
        <v>39</v>
      </c>
      <c r="L38" s="503" t="s">
        <v>3096</v>
      </c>
      <c r="M38" s="490" t="s">
        <v>309</v>
      </c>
      <c r="N38" s="484"/>
      <c r="O38" s="484"/>
      <c r="P38" s="499"/>
      <c r="Q38" s="501">
        <v>45369</v>
      </c>
      <c r="R38" s="501"/>
      <c r="S38" s="188"/>
      <c r="T38" s="188"/>
      <c r="U38" s="188">
        <v>45384</v>
      </c>
      <c r="V38" s="487" t="s">
        <v>20</v>
      </c>
      <c r="W38" s="188">
        <f t="shared" si="1"/>
        <v>45405</v>
      </c>
      <c r="X38" s="509"/>
      <c r="Y38" s="513"/>
      <c r="Z38" s="514"/>
      <c r="AA38" s="514"/>
    </row>
    <row r="39" s="178" customFormat="1" ht="14.25" customHeight="1" spans="1:27">
      <c r="A39" s="490" t="s">
        <v>3110</v>
      </c>
      <c r="B39" s="490"/>
      <c r="C39" s="490" t="s">
        <v>3149</v>
      </c>
      <c r="D39" s="490" t="s">
        <v>3150</v>
      </c>
      <c r="E39" s="491"/>
      <c r="F39" s="492"/>
      <c r="G39" s="490" t="s">
        <v>3067</v>
      </c>
      <c r="H39" s="490" t="s">
        <v>3133</v>
      </c>
      <c r="I39" s="501">
        <v>45363</v>
      </c>
      <c r="J39" s="504">
        <v>45387</v>
      </c>
      <c r="K39" s="505" t="s">
        <v>18</v>
      </c>
      <c r="L39" s="503" t="s">
        <v>3039</v>
      </c>
      <c r="M39" s="490" t="s">
        <v>309</v>
      </c>
      <c r="N39" s="484"/>
      <c r="O39" s="484"/>
      <c r="P39" s="499"/>
      <c r="Q39" s="501">
        <v>45371</v>
      </c>
      <c r="R39" s="501"/>
      <c r="S39" s="501"/>
      <c r="T39" s="501"/>
      <c r="U39" s="501">
        <v>45388</v>
      </c>
      <c r="V39" s="490" t="s">
        <v>20</v>
      </c>
      <c r="W39" s="501">
        <f t="shared" si="1"/>
        <v>45408</v>
      </c>
      <c r="X39" s="500"/>
      <c r="Y39" s="508"/>
      <c r="Z39" s="512"/>
      <c r="AA39" s="512"/>
    </row>
    <row r="40" s="178" customFormat="1" ht="14.25" customHeight="1" spans="1:27">
      <c r="A40" s="487" t="s">
        <v>3143</v>
      </c>
      <c r="B40" s="487"/>
      <c r="C40" s="487" t="s">
        <v>3151</v>
      </c>
      <c r="D40" s="487" t="s">
        <v>3152</v>
      </c>
      <c r="E40" s="488"/>
      <c r="F40" s="489"/>
      <c r="G40" s="487" t="s">
        <v>3067</v>
      </c>
      <c r="H40" s="487" t="s">
        <v>3153</v>
      </c>
      <c r="I40" s="502">
        <v>45356</v>
      </c>
      <c r="J40" s="502">
        <v>45387</v>
      </c>
      <c r="K40" s="493" t="s">
        <v>39</v>
      </c>
      <c r="L40" s="503" t="s">
        <v>3096</v>
      </c>
      <c r="M40" s="490" t="s">
        <v>309</v>
      </c>
      <c r="N40" s="484"/>
      <c r="O40" s="484"/>
      <c r="P40" s="499"/>
      <c r="Q40" s="501">
        <v>45362</v>
      </c>
      <c r="R40" s="501"/>
      <c r="S40" s="188"/>
      <c r="T40" s="188"/>
      <c r="U40" s="502">
        <v>45391</v>
      </c>
      <c r="V40" s="487" t="s">
        <v>20</v>
      </c>
      <c r="W40" s="188">
        <f t="shared" si="1"/>
        <v>45408</v>
      </c>
      <c r="X40" s="509"/>
      <c r="Y40" s="513"/>
      <c r="Z40" s="514"/>
      <c r="AA40" s="514"/>
    </row>
    <row r="41" s="178" customFormat="1" ht="14.25" customHeight="1" spans="1:27">
      <c r="A41" s="487" t="s">
        <v>3110</v>
      </c>
      <c r="B41" s="487"/>
      <c r="C41" s="487" t="s">
        <v>3154</v>
      </c>
      <c r="D41" s="487" t="s">
        <v>3155</v>
      </c>
      <c r="E41" s="488"/>
      <c r="F41" s="489"/>
      <c r="G41" s="487" t="s">
        <v>3067</v>
      </c>
      <c r="H41" s="487" t="s">
        <v>3133</v>
      </c>
      <c r="I41" s="188">
        <v>45363</v>
      </c>
      <c r="J41" s="502">
        <v>45387</v>
      </c>
      <c r="K41" s="493" t="s">
        <v>39</v>
      </c>
      <c r="L41" s="500" t="s">
        <v>3096</v>
      </c>
      <c r="M41" s="490" t="s">
        <v>309</v>
      </c>
      <c r="N41" s="484"/>
      <c r="O41" s="484"/>
      <c r="P41" s="499"/>
      <c r="Q41" s="501">
        <v>45366</v>
      </c>
      <c r="R41" s="501"/>
      <c r="S41" s="188"/>
      <c r="T41" s="188"/>
      <c r="U41" s="502">
        <v>45391</v>
      </c>
      <c r="V41" s="487" t="s">
        <v>20</v>
      </c>
      <c r="W41" s="188">
        <f t="shared" si="1"/>
        <v>45408</v>
      </c>
      <c r="X41" s="509"/>
      <c r="Y41" s="513"/>
      <c r="Z41" s="514"/>
      <c r="AA41" s="514"/>
    </row>
    <row r="42" s="178" customFormat="1" ht="14.25" customHeight="1" spans="1:27">
      <c r="A42" s="487" t="s">
        <v>3110</v>
      </c>
      <c r="B42" s="487"/>
      <c r="C42" s="487" t="s">
        <v>3156</v>
      </c>
      <c r="D42" s="487" t="s">
        <v>3157</v>
      </c>
      <c r="E42" s="488"/>
      <c r="F42" s="489"/>
      <c r="G42" s="487" t="s">
        <v>3032</v>
      </c>
      <c r="H42" s="487" t="s">
        <v>3158</v>
      </c>
      <c r="I42" s="188">
        <v>45375</v>
      </c>
      <c r="J42" s="188">
        <v>45391</v>
      </c>
      <c r="K42" s="493" t="s">
        <v>18</v>
      </c>
      <c r="L42" s="503" t="s">
        <v>3039</v>
      </c>
      <c r="M42" s="490" t="s">
        <v>309</v>
      </c>
      <c r="N42" s="484"/>
      <c r="O42" s="484"/>
      <c r="P42" s="499"/>
      <c r="Q42" s="501">
        <v>45379</v>
      </c>
      <c r="R42" s="501"/>
      <c r="S42" s="188"/>
      <c r="T42" s="188"/>
      <c r="U42" s="188">
        <v>45394</v>
      </c>
      <c r="V42" s="487" t="s">
        <v>20</v>
      </c>
      <c r="W42" s="188">
        <f t="shared" si="1"/>
        <v>45412</v>
      </c>
      <c r="X42" s="509"/>
      <c r="Y42" s="513"/>
      <c r="Z42" s="514"/>
      <c r="AA42" s="514"/>
    </row>
    <row r="43" s="178" customFormat="1" ht="14.25" customHeight="1" spans="1:27">
      <c r="A43" s="487" t="s">
        <v>3159</v>
      </c>
      <c r="B43" s="487"/>
      <c r="C43" s="487" t="s">
        <v>3160</v>
      </c>
      <c r="D43" s="487" t="s">
        <v>3161</v>
      </c>
      <c r="E43" s="488"/>
      <c r="F43" s="489"/>
      <c r="G43" s="487" t="s">
        <v>3137</v>
      </c>
      <c r="H43" s="487" t="s">
        <v>3162</v>
      </c>
      <c r="I43" s="188">
        <v>45374</v>
      </c>
      <c r="J43" s="188">
        <v>45393</v>
      </c>
      <c r="K43" s="493" t="s">
        <v>18</v>
      </c>
      <c r="L43" s="503" t="s">
        <v>3039</v>
      </c>
      <c r="M43" s="490" t="s">
        <v>3163</v>
      </c>
      <c r="N43" s="484"/>
      <c r="O43" s="484"/>
      <c r="P43" s="499"/>
      <c r="Q43" s="501">
        <v>45376</v>
      </c>
      <c r="R43" s="501"/>
      <c r="S43" s="188"/>
      <c r="T43" s="188"/>
      <c r="U43" s="188">
        <v>45396</v>
      </c>
      <c r="V43" s="487" t="s">
        <v>20</v>
      </c>
      <c r="W43" s="188">
        <f t="shared" si="1"/>
        <v>45414</v>
      </c>
      <c r="X43" s="509"/>
      <c r="Y43" s="513"/>
      <c r="Z43" s="514"/>
      <c r="AA43" s="514"/>
    </row>
    <row r="44" s="178" customFormat="1" ht="14.25" customHeight="1" spans="1:27">
      <c r="A44" s="487" t="s">
        <v>3050</v>
      </c>
      <c r="B44" s="487"/>
      <c r="C44" s="487" t="s">
        <v>3164</v>
      </c>
      <c r="D44" s="487" t="s">
        <v>3165</v>
      </c>
      <c r="E44" s="488"/>
      <c r="F44" s="489"/>
      <c r="G44" s="487" t="s">
        <v>3137</v>
      </c>
      <c r="H44" s="487" t="s">
        <v>3162</v>
      </c>
      <c r="I44" s="188">
        <v>45374</v>
      </c>
      <c r="J44" s="188">
        <v>45393</v>
      </c>
      <c r="K44" s="493" t="s">
        <v>18</v>
      </c>
      <c r="L44" s="503" t="s">
        <v>3039</v>
      </c>
      <c r="M44" s="490" t="s">
        <v>309</v>
      </c>
      <c r="N44" s="484"/>
      <c r="O44" s="484"/>
      <c r="P44" s="499"/>
      <c r="Q44" s="501">
        <v>45379</v>
      </c>
      <c r="R44" s="501"/>
      <c r="S44" s="188"/>
      <c r="T44" s="188"/>
      <c r="U44" s="188">
        <v>45395</v>
      </c>
      <c r="V44" s="487" t="s">
        <v>20</v>
      </c>
      <c r="W44" s="188">
        <f t="shared" si="1"/>
        <v>45414</v>
      </c>
      <c r="X44" s="509"/>
      <c r="Y44" s="513"/>
      <c r="Z44" s="514"/>
      <c r="AA44" s="514"/>
    </row>
    <row r="45" s="178" customFormat="1" ht="14.25" customHeight="1" spans="1:27">
      <c r="A45" s="487" t="s">
        <v>3134</v>
      </c>
      <c r="B45" s="487"/>
      <c r="C45" s="487" t="s">
        <v>3166</v>
      </c>
      <c r="D45" s="487" t="s">
        <v>3167</v>
      </c>
      <c r="E45" s="488"/>
      <c r="F45" s="489"/>
      <c r="G45" s="487" t="s">
        <v>3032</v>
      </c>
      <c r="H45" s="495" t="s">
        <v>3168</v>
      </c>
      <c r="I45" s="188">
        <v>45382</v>
      </c>
      <c r="J45" s="188">
        <v>45401</v>
      </c>
      <c r="K45" s="493" t="s">
        <v>18</v>
      </c>
      <c r="L45" s="503" t="s">
        <v>3039</v>
      </c>
      <c r="M45" s="490" t="s">
        <v>309</v>
      </c>
      <c r="N45" s="484"/>
      <c r="O45" s="484"/>
      <c r="P45" s="499"/>
      <c r="Q45" s="501">
        <v>45386</v>
      </c>
      <c r="R45" s="501"/>
      <c r="S45" s="188"/>
      <c r="T45" s="188"/>
      <c r="U45" s="188">
        <v>45403</v>
      </c>
      <c r="V45" s="487" t="s">
        <v>20</v>
      </c>
      <c r="W45" s="188">
        <f t="shared" si="1"/>
        <v>45422</v>
      </c>
      <c r="X45" s="509"/>
      <c r="Y45" s="513"/>
      <c r="Z45" s="514"/>
      <c r="AA45" s="514"/>
    </row>
    <row r="46" s="178" customFormat="1" ht="14.25" customHeight="1" spans="1:27">
      <c r="A46" s="487" t="s">
        <v>3169</v>
      </c>
      <c r="B46" s="487"/>
      <c r="C46" s="487" t="s">
        <v>3170</v>
      </c>
      <c r="D46" s="487" t="s">
        <v>3171</v>
      </c>
      <c r="E46" s="488"/>
      <c r="F46" s="489"/>
      <c r="G46" s="487" t="s">
        <v>3032</v>
      </c>
      <c r="H46" s="487" t="s">
        <v>3168</v>
      </c>
      <c r="I46" s="188">
        <v>45382</v>
      </c>
      <c r="J46" s="188">
        <v>45401</v>
      </c>
      <c r="K46" s="493" t="s">
        <v>18</v>
      </c>
      <c r="L46" s="503" t="s">
        <v>3039</v>
      </c>
      <c r="M46" s="490" t="s">
        <v>3172</v>
      </c>
      <c r="N46" s="484"/>
      <c r="O46" s="484"/>
      <c r="P46" s="499"/>
      <c r="Q46" s="501">
        <v>45386</v>
      </c>
      <c r="R46" s="501"/>
      <c r="S46" s="188"/>
      <c r="T46" s="188"/>
      <c r="U46" s="188">
        <v>45403</v>
      </c>
      <c r="V46" s="487" t="s">
        <v>20</v>
      </c>
      <c r="W46" s="188">
        <f t="shared" si="1"/>
        <v>45422</v>
      </c>
      <c r="X46" s="509"/>
      <c r="Y46" s="513"/>
      <c r="Z46" s="514"/>
      <c r="AA46" s="514"/>
    </row>
    <row r="47" s="178" customFormat="1" ht="14.25" customHeight="1" spans="1:27">
      <c r="A47" s="487" t="s">
        <v>3169</v>
      </c>
      <c r="B47" s="487"/>
      <c r="C47" s="487" t="s">
        <v>3173</v>
      </c>
      <c r="D47" s="487" t="s">
        <v>3174</v>
      </c>
      <c r="E47" s="488"/>
      <c r="F47" s="489"/>
      <c r="G47" s="487" t="s">
        <v>3032</v>
      </c>
      <c r="H47" s="487" t="s">
        <v>3168</v>
      </c>
      <c r="I47" s="188">
        <v>45382</v>
      </c>
      <c r="J47" s="188">
        <v>45401</v>
      </c>
      <c r="K47" s="493" t="s">
        <v>18</v>
      </c>
      <c r="L47" s="503" t="s">
        <v>3039</v>
      </c>
      <c r="M47" s="490" t="s">
        <v>3175</v>
      </c>
      <c r="N47" s="484"/>
      <c r="O47" s="484"/>
      <c r="P47" s="499"/>
      <c r="Q47" s="501">
        <v>45386</v>
      </c>
      <c r="R47" s="501"/>
      <c r="S47" s="188"/>
      <c r="T47" s="188"/>
      <c r="U47" s="188">
        <v>45403</v>
      </c>
      <c r="V47" s="487" t="s">
        <v>20</v>
      </c>
      <c r="W47" s="188">
        <f t="shared" si="1"/>
        <v>45422</v>
      </c>
      <c r="X47" s="509"/>
      <c r="Y47" s="513"/>
      <c r="Z47" s="514"/>
      <c r="AA47" s="514"/>
    </row>
    <row r="48" s="178" customFormat="1" ht="14.25" customHeight="1" spans="1:27">
      <c r="A48" s="487" t="s">
        <v>3134</v>
      </c>
      <c r="B48" s="487"/>
      <c r="C48" s="487" t="s">
        <v>3176</v>
      </c>
      <c r="D48" s="487" t="s">
        <v>3177</v>
      </c>
      <c r="E48" s="488"/>
      <c r="F48" s="489"/>
      <c r="G48" s="487" t="s">
        <v>3032</v>
      </c>
      <c r="H48" s="487" t="s">
        <v>3168</v>
      </c>
      <c r="I48" s="188">
        <v>45382</v>
      </c>
      <c r="J48" s="188">
        <v>45402</v>
      </c>
      <c r="K48" s="493" t="s">
        <v>18</v>
      </c>
      <c r="L48" s="503" t="s">
        <v>3039</v>
      </c>
      <c r="M48" s="490" t="s">
        <v>309</v>
      </c>
      <c r="N48" s="484"/>
      <c r="O48" s="484"/>
      <c r="P48" s="499"/>
      <c r="Q48" s="501">
        <v>45387</v>
      </c>
      <c r="R48" s="501"/>
      <c r="S48" s="188"/>
      <c r="T48" s="188"/>
      <c r="U48" s="188">
        <v>45403</v>
      </c>
      <c r="V48" s="487" t="s">
        <v>20</v>
      </c>
      <c r="W48" s="188">
        <f t="shared" si="1"/>
        <v>45423</v>
      </c>
      <c r="X48" s="509"/>
      <c r="Y48" s="513"/>
      <c r="Z48" s="514"/>
      <c r="AA48" s="514"/>
    </row>
    <row r="49" s="178" customFormat="1" ht="14.25" customHeight="1" spans="1:27">
      <c r="A49" s="487" t="s">
        <v>3134</v>
      </c>
      <c r="B49" s="487"/>
      <c r="C49" s="487" t="s">
        <v>3178</v>
      </c>
      <c r="D49" s="487" t="s">
        <v>3179</v>
      </c>
      <c r="E49" s="488"/>
      <c r="F49" s="489"/>
      <c r="G49" s="487" t="s">
        <v>3024</v>
      </c>
      <c r="H49" s="496" t="s">
        <v>3180</v>
      </c>
      <c r="I49" s="188">
        <v>45390</v>
      </c>
      <c r="J49" s="502">
        <v>45406</v>
      </c>
      <c r="K49" s="493" t="s">
        <v>18</v>
      </c>
      <c r="L49" s="503" t="s">
        <v>3039</v>
      </c>
      <c r="M49" s="490" t="s">
        <v>309</v>
      </c>
      <c r="N49" s="484"/>
      <c r="O49" s="484"/>
      <c r="P49" s="499"/>
      <c r="Q49" s="501">
        <v>45400</v>
      </c>
      <c r="R49" s="501"/>
      <c r="S49" s="188"/>
      <c r="T49" s="188"/>
      <c r="U49" s="188">
        <v>45411</v>
      </c>
      <c r="V49" s="487" t="s">
        <v>20</v>
      </c>
      <c r="W49" s="188">
        <f>J49+14</f>
        <v>45420</v>
      </c>
      <c r="X49" s="509"/>
      <c r="Y49" s="513"/>
      <c r="Z49" s="514"/>
      <c r="AA49" s="514"/>
    </row>
    <row r="50" s="178" customFormat="1" ht="14.25" customHeight="1" spans="1:27">
      <c r="A50" s="487" t="s">
        <v>3181</v>
      </c>
      <c r="B50" s="487"/>
      <c r="C50" s="487" t="s">
        <v>3182</v>
      </c>
      <c r="D50" s="487" t="s">
        <v>3183</v>
      </c>
      <c r="E50" s="488"/>
      <c r="F50" s="489"/>
      <c r="G50" s="487" t="s">
        <v>3032</v>
      </c>
      <c r="H50" s="188" t="s">
        <v>3184</v>
      </c>
      <c r="I50" s="188">
        <v>45389</v>
      </c>
      <c r="J50" s="502">
        <v>45407</v>
      </c>
      <c r="K50" s="493" t="s">
        <v>18</v>
      </c>
      <c r="L50" s="503" t="s">
        <v>3039</v>
      </c>
      <c r="M50" s="490" t="s">
        <v>309</v>
      </c>
      <c r="N50" s="484"/>
      <c r="O50" s="484"/>
      <c r="P50" s="499"/>
      <c r="Q50" s="501">
        <v>45393</v>
      </c>
      <c r="R50" s="501"/>
      <c r="S50" s="188"/>
      <c r="T50" s="188"/>
      <c r="U50" s="188">
        <v>45412</v>
      </c>
      <c r="V50" s="487" t="s">
        <v>20</v>
      </c>
      <c r="W50" s="188">
        <f>J50+21</f>
        <v>45428</v>
      </c>
      <c r="X50" s="509"/>
      <c r="Y50" s="513"/>
      <c r="Z50" s="514"/>
      <c r="AA50" s="514"/>
    </row>
    <row r="51" s="178" customFormat="1" ht="14.25" customHeight="1" spans="1:27">
      <c r="A51" s="487" t="s">
        <v>3169</v>
      </c>
      <c r="B51" s="487"/>
      <c r="C51" s="487" t="s">
        <v>3185</v>
      </c>
      <c r="D51" s="487" t="s">
        <v>3186</v>
      </c>
      <c r="E51" s="488"/>
      <c r="F51" s="489"/>
      <c r="G51" s="487" t="s">
        <v>3032</v>
      </c>
      <c r="H51" s="188" t="s">
        <v>3184</v>
      </c>
      <c r="I51" s="188">
        <v>45389</v>
      </c>
      <c r="J51" s="502">
        <v>45407</v>
      </c>
      <c r="K51" s="493" t="s">
        <v>18</v>
      </c>
      <c r="L51" s="500"/>
      <c r="M51" s="490" t="s">
        <v>3187</v>
      </c>
      <c r="N51" s="484"/>
      <c r="O51" s="484"/>
      <c r="P51" s="499"/>
      <c r="Q51" s="501">
        <v>45391</v>
      </c>
      <c r="R51" s="501"/>
      <c r="S51" s="188"/>
      <c r="T51" s="188"/>
      <c r="U51" s="188">
        <v>45412</v>
      </c>
      <c r="V51" s="487" t="s">
        <v>20</v>
      </c>
      <c r="W51" s="188">
        <f>J51+21</f>
        <v>45428</v>
      </c>
      <c r="X51" s="509"/>
      <c r="Y51" s="513"/>
      <c r="Z51" s="514"/>
      <c r="AA51" s="514"/>
    </row>
    <row r="52" s="178" customFormat="1" ht="14.25" customHeight="1" spans="1:27">
      <c r="A52" s="487" t="s">
        <v>3188</v>
      </c>
      <c r="B52" s="487"/>
      <c r="C52" s="487" t="s">
        <v>3189</v>
      </c>
      <c r="D52" s="487" t="s">
        <v>3190</v>
      </c>
      <c r="E52" s="488"/>
      <c r="F52" s="489"/>
      <c r="G52" s="487" t="s">
        <v>3075</v>
      </c>
      <c r="H52" s="188" t="s">
        <v>3184</v>
      </c>
      <c r="I52" s="188">
        <v>45389</v>
      </c>
      <c r="J52" s="502">
        <v>45407</v>
      </c>
      <c r="K52" s="493" t="s">
        <v>18</v>
      </c>
      <c r="L52" s="500" t="s">
        <v>3096</v>
      </c>
      <c r="M52" s="490" t="s">
        <v>3191</v>
      </c>
      <c r="N52" s="484"/>
      <c r="O52" s="484"/>
      <c r="P52" s="499"/>
      <c r="Q52" s="501">
        <v>45391</v>
      </c>
      <c r="R52" s="501"/>
      <c r="S52" s="188"/>
      <c r="T52" s="188"/>
      <c r="U52" s="188">
        <v>45412</v>
      </c>
      <c r="V52" s="487" t="s">
        <v>20</v>
      </c>
      <c r="W52" s="188">
        <f>J52+14</f>
        <v>45421</v>
      </c>
      <c r="X52" s="509"/>
      <c r="Y52" s="513"/>
      <c r="Z52" s="514"/>
      <c r="AA52" s="514"/>
    </row>
    <row r="53" s="178" customFormat="1" ht="14.25" customHeight="1" spans="1:27">
      <c r="A53" s="487" t="s">
        <v>309</v>
      </c>
      <c r="B53" s="487"/>
      <c r="C53" s="487" t="s">
        <v>3192</v>
      </c>
      <c r="D53" s="487" t="s">
        <v>3193</v>
      </c>
      <c r="E53" s="488"/>
      <c r="F53" s="489"/>
      <c r="G53" s="487" t="s">
        <v>3194</v>
      </c>
      <c r="H53" s="487" t="s">
        <v>3184</v>
      </c>
      <c r="I53" s="188">
        <v>45389</v>
      </c>
      <c r="J53" s="188">
        <v>45407</v>
      </c>
      <c r="K53" s="487" t="s">
        <v>161</v>
      </c>
      <c r="L53" s="500" t="s">
        <v>309</v>
      </c>
      <c r="M53" s="490" t="s">
        <v>3195</v>
      </c>
      <c r="N53" s="484"/>
      <c r="O53" s="484"/>
      <c r="P53" s="499"/>
      <c r="Q53" s="501">
        <v>45397</v>
      </c>
      <c r="R53" s="501"/>
      <c r="S53" s="188"/>
      <c r="T53" s="188"/>
      <c r="U53" s="188">
        <v>45413</v>
      </c>
      <c r="V53" s="487" t="s">
        <v>20</v>
      </c>
      <c r="W53" s="188">
        <f>J53+14</f>
        <v>45421</v>
      </c>
      <c r="X53" s="509"/>
      <c r="Y53" s="513"/>
      <c r="Z53" s="514"/>
      <c r="AA53" s="514"/>
    </row>
    <row r="54" s="178" customFormat="1" ht="14.25" customHeight="1" spans="1:27">
      <c r="A54" s="487" t="s">
        <v>3196</v>
      </c>
      <c r="B54" s="487"/>
      <c r="C54" s="487" t="s">
        <v>3197</v>
      </c>
      <c r="D54" s="487" t="s">
        <v>3198</v>
      </c>
      <c r="E54" s="488"/>
      <c r="F54" s="489"/>
      <c r="G54" s="487" t="s">
        <v>3079</v>
      </c>
      <c r="H54" s="188" t="s">
        <v>3199</v>
      </c>
      <c r="I54" s="188">
        <v>45385</v>
      </c>
      <c r="J54" s="502">
        <v>45411</v>
      </c>
      <c r="K54" s="493" t="s">
        <v>207</v>
      </c>
      <c r="L54" s="500" t="s">
        <v>3069</v>
      </c>
      <c r="M54" s="490" t="s">
        <v>3200</v>
      </c>
      <c r="N54" s="484"/>
      <c r="O54" s="484"/>
      <c r="P54" s="499"/>
      <c r="Q54" s="501">
        <v>45393</v>
      </c>
      <c r="R54" s="501"/>
      <c r="S54" s="188"/>
      <c r="T54" s="188"/>
      <c r="U54" s="188">
        <v>45418</v>
      </c>
      <c r="V54" s="487" t="s">
        <v>20</v>
      </c>
      <c r="W54" s="188">
        <f>J54+14</f>
        <v>45425</v>
      </c>
      <c r="X54" s="509"/>
      <c r="Y54" s="513"/>
      <c r="Z54" s="514"/>
      <c r="AA54" s="514"/>
    </row>
    <row r="55" s="178" customFormat="1" ht="14.25" customHeight="1" spans="1:27">
      <c r="A55" s="487" t="s">
        <v>3169</v>
      </c>
      <c r="B55" s="487"/>
      <c r="C55" s="487" t="s">
        <v>3201</v>
      </c>
      <c r="D55" s="487" t="s">
        <v>3202</v>
      </c>
      <c r="E55" s="488"/>
      <c r="F55" s="489"/>
      <c r="G55" s="487" t="s">
        <v>3032</v>
      </c>
      <c r="H55" s="188" t="s">
        <v>3203</v>
      </c>
      <c r="I55" s="188">
        <v>45396</v>
      </c>
      <c r="J55" s="502">
        <v>45411</v>
      </c>
      <c r="K55" s="493" t="s">
        <v>18</v>
      </c>
      <c r="L55" s="500" t="s">
        <v>3096</v>
      </c>
      <c r="M55" s="490" t="s">
        <v>309</v>
      </c>
      <c r="N55" s="484"/>
      <c r="O55" s="484"/>
      <c r="P55" s="499"/>
      <c r="Q55" s="501">
        <v>45397</v>
      </c>
      <c r="R55" s="501"/>
      <c r="S55" s="188"/>
      <c r="T55" s="188"/>
      <c r="U55" s="188">
        <v>45415</v>
      </c>
      <c r="V55" s="487" t="s">
        <v>20</v>
      </c>
      <c r="W55" s="188">
        <f>J55+21</f>
        <v>45432</v>
      </c>
      <c r="X55" s="509"/>
      <c r="Y55" s="513"/>
      <c r="Z55" s="514"/>
      <c r="AA55" s="514"/>
    </row>
    <row r="56" s="178" customFormat="1" ht="14.25" customHeight="1" spans="1:27">
      <c r="A56" s="487" t="s">
        <v>3169</v>
      </c>
      <c r="B56" s="487"/>
      <c r="C56" s="487" t="s">
        <v>3204</v>
      </c>
      <c r="D56" s="487" t="s">
        <v>3205</v>
      </c>
      <c r="E56" s="488"/>
      <c r="F56" s="489"/>
      <c r="G56" s="487" t="s">
        <v>3032</v>
      </c>
      <c r="H56" s="188" t="s">
        <v>3203</v>
      </c>
      <c r="I56" s="188">
        <v>45396</v>
      </c>
      <c r="J56" s="502">
        <v>45411</v>
      </c>
      <c r="K56" s="493" t="s">
        <v>18</v>
      </c>
      <c r="L56" s="500" t="s">
        <v>3096</v>
      </c>
      <c r="M56" s="490" t="s">
        <v>309</v>
      </c>
      <c r="N56" s="484"/>
      <c r="O56" s="484"/>
      <c r="P56" s="499"/>
      <c r="Q56" s="501">
        <v>45397</v>
      </c>
      <c r="R56" s="501"/>
      <c r="S56" s="188"/>
      <c r="T56" s="188"/>
      <c r="U56" s="188">
        <v>45415</v>
      </c>
      <c r="V56" s="487" t="s">
        <v>20</v>
      </c>
      <c r="W56" s="188">
        <f>J56+21</f>
        <v>45432</v>
      </c>
      <c r="X56" s="509"/>
      <c r="Y56" s="513"/>
      <c r="Z56" s="514"/>
      <c r="AA56" s="514"/>
    </row>
    <row r="57" s="178" customFormat="1" ht="14.25" customHeight="1" spans="1:27">
      <c r="A57" s="487" t="s">
        <v>3169</v>
      </c>
      <c r="B57" s="487"/>
      <c r="C57" s="487" t="s">
        <v>3206</v>
      </c>
      <c r="D57" s="487" t="s">
        <v>3207</v>
      </c>
      <c r="E57" s="488"/>
      <c r="F57" s="489"/>
      <c r="G57" s="487" t="s">
        <v>3032</v>
      </c>
      <c r="H57" s="188" t="s">
        <v>3203</v>
      </c>
      <c r="I57" s="188">
        <v>45396</v>
      </c>
      <c r="J57" s="502">
        <v>45411</v>
      </c>
      <c r="K57" s="493" t="s">
        <v>18</v>
      </c>
      <c r="L57" s="500" t="s">
        <v>3096</v>
      </c>
      <c r="M57" s="490" t="s">
        <v>309</v>
      </c>
      <c r="N57" s="484"/>
      <c r="O57" s="484"/>
      <c r="P57" s="499"/>
      <c r="Q57" s="501">
        <v>45397</v>
      </c>
      <c r="R57" s="501"/>
      <c r="S57" s="188"/>
      <c r="T57" s="188"/>
      <c r="U57" s="188">
        <v>45415</v>
      </c>
      <c r="V57" s="487" t="s">
        <v>20</v>
      </c>
      <c r="W57" s="188">
        <f>J57+21</f>
        <v>45432</v>
      </c>
      <c r="X57" s="509"/>
      <c r="Y57" s="513"/>
      <c r="Z57" s="514"/>
      <c r="AA57" s="514"/>
    </row>
    <row r="58" s="178" customFormat="1" ht="14.25" customHeight="1" spans="1:27">
      <c r="A58" s="487" t="s">
        <v>3169</v>
      </c>
      <c r="B58" s="487"/>
      <c r="C58" s="487" t="s">
        <v>3208</v>
      </c>
      <c r="D58" s="487" t="s">
        <v>3209</v>
      </c>
      <c r="E58" s="488"/>
      <c r="F58" s="489"/>
      <c r="G58" s="487" t="s">
        <v>3032</v>
      </c>
      <c r="H58" s="188" t="s">
        <v>3203</v>
      </c>
      <c r="I58" s="188">
        <v>45396</v>
      </c>
      <c r="J58" s="502">
        <v>45411</v>
      </c>
      <c r="K58" s="493" t="s">
        <v>18</v>
      </c>
      <c r="L58" s="500" t="s">
        <v>3096</v>
      </c>
      <c r="M58" s="490" t="s">
        <v>309</v>
      </c>
      <c r="N58" s="484"/>
      <c r="O58" s="484"/>
      <c r="P58" s="499"/>
      <c r="Q58" s="501">
        <v>45397</v>
      </c>
      <c r="R58" s="501"/>
      <c r="S58" s="188"/>
      <c r="T58" s="188"/>
      <c r="U58" s="188">
        <v>45415</v>
      </c>
      <c r="V58" s="487" t="s">
        <v>20</v>
      </c>
      <c r="W58" s="188">
        <f>J58+21</f>
        <v>45432</v>
      </c>
      <c r="X58" s="509"/>
      <c r="Y58" s="513"/>
      <c r="Z58" s="514"/>
      <c r="AA58" s="514"/>
    </row>
    <row r="59" s="178" customFormat="1" ht="14.25" customHeight="1" spans="1:27">
      <c r="A59" s="487" t="s">
        <v>3169</v>
      </c>
      <c r="B59" s="487"/>
      <c r="C59" s="487" t="s">
        <v>3210</v>
      </c>
      <c r="D59" s="487" t="s">
        <v>3211</v>
      </c>
      <c r="E59" s="488"/>
      <c r="F59" s="489"/>
      <c r="G59" s="487" t="s">
        <v>3024</v>
      </c>
      <c r="H59" s="188" t="s">
        <v>3212</v>
      </c>
      <c r="I59" s="188">
        <v>45396</v>
      </c>
      <c r="J59" s="502">
        <v>45412</v>
      </c>
      <c r="K59" s="493" t="s">
        <v>18</v>
      </c>
      <c r="L59" s="500" t="s">
        <v>3096</v>
      </c>
      <c r="M59" s="490" t="s">
        <v>309</v>
      </c>
      <c r="N59" s="484"/>
      <c r="O59" s="506">
        <v>13652.12</v>
      </c>
      <c r="P59" s="499"/>
      <c r="Q59" s="501">
        <v>45397</v>
      </c>
      <c r="R59" s="501"/>
      <c r="S59" s="188"/>
      <c r="T59" s="188"/>
      <c r="U59" s="188">
        <v>45418</v>
      </c>
      <c r="V59" s="487" t="s">
        <v>20</v>
      </c>
      <c r="W59" s="188">
        <f>J59+14</f>
        <v>45426</v>
      </c>
      <c r="X59" s="509"/>
      <c r="Y59" s="513"/>
      <c r="Z59" s="514"/>
      <c r="AA59" s="514"/>
    </row>
    <row r="60" s="178" customFormat="1" ht="14.25" customHeight="1" spans="1:27">
      <c r="A60" s="487" t="s">
        <v>3169</v>
      </c>
      <c r="B60" s="487"/>
      <c r="C60" s="487" t="s">
        <v>3213</v>
      </c>
      <c r="D60" s="487" t="s">
        <v>3214</v>
      </c>
      <c r="E60" s="488"/>
      <c r="F60" s="489"/>
      <c r="G60" s="487" t="s">
        <v>3024</v>
      </c>
      <c r="H60" s="188" t="s">
        <v>3212</v>
      </c>
      <c r="I60" s="188">
        <v>45396</v>
      </c>
      <c r="J60" s="502">
        <v>45412</v>
      </c>
      <c r="K60" s="493" t="s">
        <v>18</v>
      </c>
      <c r="L60" s="500" t="s">
        <v>3096</v>
      </c>
      <c r="M60" s="490" t="s">
        <v>309</v>
      </c>
      <c r="N60" s="484"/>
      <c r="O60" s="484"/>
      <c r="P60" s="499"/>
      <c r="Q60" s="501">
        <v>45397</v>
      </c>
      <c r="R60" s="501"/>
      <c r="S60" s="188"/>
      <c r="T60" s="188"/>
      <c r="U60" s="188">
        <v>45418</v>
      </c>
      <c r="V60" s="487" t="s">
        <v>20</v>
      </c>
      <c r="W60" s="188">
        <f>J60+14</f>
        <v>45426</v>
      </c>
      <c r="X60" s="509"/>
      <c r="Y60" s="513"/>
      <c r="Z60" s="514"/>
      <c r="AA60" s="514"/>
    </row>
    <row r="61" s="178" customFormat="1" ht="14.25" customHeight="1" spans="1:27">
      <c r="A61" s="487" t="s">
        <v>3169</v>
      </c>
      <c r="B61" s="487"/>
      <c r="C61" s="487" t="s">
        <v>3215</v>
      </c>
      <c r="D61" s="487" t="s">
        <v>3216</v>
      </c>
      <c r="E61" s="488"/>
      <c r="F61" s="489"/>
      <c r="G61" s="487" t="s">
        <v>3067</v>
      </c>
      <c r="H61" s="188" t="s">
        <v>3217</v>
      </c>
      <c r="I61" s="188">
        <v>45392</v>
      </c>
      <c r="J61" s="502">
        <v>45416</v>
      </c>
      <c r="K61" s="493" t="s">
        <v>18</v>
      </c>
      <c r="L61" s="500" t="s">
        <v>3096</v>
      </c>
      <c r="M61" s="490" t="s">
        <v>309</v>
      </c>
      <c r="N61" s="484"/>
      <c r="O61" s="484"/>
      <c r="P61" s="499"/>
      <c r="Q61" s="501">
        <v>45397</v>
      </c>
      <c r="R61" s="501"/>
      <c r="S61" s="188"/>
      <c r="T61" s="188"/>
      <c r="U61" s="188">
        <v>45419</v>
      </c>
      <c r="V61" s="487" t="s">
        <v>20</v>
      </c>
      <c r="W61" s="188">
        <f>J61+21</f>
        <v>45437</v>
      </c>
      <c r="X61" s="509"/>
      <c r="Y61" s="513"/>
      <c r="Z61" s="514"/>
      <c r="AA61" s="514"/>
    </row>
    <row r="62" s="178" customFormat="1" ht="14.25" customHeight="1" spans="1:27">
      <c r="A62" s="487" t="s">
        <v>3169</v>
      </c>
      <c r="B62" s="487"/>
      <c r="C62" s="487" t="s">
        <v>3215</v>
      </c>
      <c r="D62" s="487" t="s">
        <v>3218</v>
      </c>
      <c r="E62" s="488"/>
      <c r="F62" s="489"/>
      <c r="G62" s="487" t="s">
        <v>3067</v>
      </c>
      <c r="H62" s="188" t="s">
        <v>3217</v>
      </c>
      <c r="I62" s="188">
        <v>45392</v>
      </c>
      <c r="J62" s="502">
        <v>45416</v>
      </c>
      <c r="K62" s="493" t="s">
        <v>18</v>
      </c>
      <c r="L62" s="500" t="s">
        <v>3096</v>
      </c>
      <c r="M62" s="490" t="s">
        <v>309</v>
      </c>
      <c r="N62" s="484"/>
      <c r="O62" s="484"/>
      <c r="P62" s="499"/>
      <c r="Q62" s="501">
        <v>45397</v>
      </c>
      <c r="R62" s="501"/>
      <c r="S62" s="188"/>
      <c r="T62" s="188"/>
      <c r="U62" s="188">
        <v>45419</v>
      </c>
      <c r="V62" s="487" t="s">
        <v>20</v>
      </c>
      <c r="W62" s="188">
        <f>J62+21</f>
        <v>45437</v>
      </c>
      <c r="X62" s="509"/>
      <c r="Y62" s="513"/>
      <c r="Z62" s="514"/>
      <c r="AA62" s="514"/>
    </row>
    <row r="63" s="178" customFormat="1" ht="14.25" customHeight="1" spans="1:27">
      <c r="A63" s="487" t="s">
        <v>3134</v>
      </c>
      <c r="B63" s="487"/>
      <c r="C63" s="487" t="s">
        <v>3219</v>
      </c>
      <c r="D63" s="487" t="s">
        <v>3220</v>
      </c>
      <c r="E63" s="488"/>
      <c r="F63" s="489"/>
      <c r="G63" s="487" t="s">
        <v>3032</v>
      </c>
      <c r="H63" s="188" t="s">
        <v>3184</v>
      </c>
      <c r="I63" s="188">
        <v>45389</v>
      </c>
      <c r="J63" s="502">
        <v>45418</v>
      </c>
      <c r="K63" s="493" t="s">
        <v>39</v>
      </c>
      <c r="L63" s="500" t="s">
        <v>3096</v>
      </c>
      <c r="M63" s="490" t="s">
        <v>309</v>
      </c>
      <c r="N63" s="484"/>
      <c r="O63" s="484"/>
      <c r="P63" s="499"/>
      <c r="Q63" s="501">
        <v>45400</v>
      </c>
      <c r="R63" s="501"/>
      <c r="S63" s="188"/>
      <c r="T63" s="188"/>
      <c r="U63" s="188">
        <v>45426</v>
      </c>
      <c r="V63" s="487" t="s">
        <v>20</v>
      </c>
      <c r="W63" s="188">
        <f>J63+21</f>
        <v>45439</v>
      </c>
      <c r="X63" s="509"/>
      <c r="Y63" s="513"/>
      <c r="Z63" s="514"/>
      <c r="AA63" s="514"/>
    </row>
    <row r="64" s="178" customFormat="1" ht="14.25" customHeight="1" spans="1:27">
      <c r="A64" s="487" t="s">
        <v>3134</v>
      </c>
      <c r="B64" s="487"/>
      <c r="C64" s="487" t="s">
        <v>3221</v>
      </c>
      <c r="D64" s="487" t="s">
        <v>3222</v>
      </c>
      <c r="E64" s="488"/>
      <c r="F64" s="489"/>
      <c r="G64" s="487" t="s">
        <v>3032</v>
      </c>
      <c r="H64" s="188" t="s">
        <v>3184</v>
      </c>
      <c r="I64" s="188">
        <v>45389</v>
      </c>
      <c r="J64" s="502">
        <v>45418</v>
      </c>
      <c r="K64" s="493" t="s">
        <v>39</v>
      </c>
      <c r="L64" s="500" t="s">
        <v>3096</v>
      </c>
      <c r="M64" s="490" t="s">
        <v>309</v>
      </c>
      <c r="N64" s="484"/>
      <c r="O64" s="484"/>
      <c r="P64" s="499"/>
      <c r="Q64" s="501">
        <v>45393</v>
      </c>
      <c r="R64" s="501"/>
      <c r="S64" s="188"/>
      <c r="T64" s="188"/>
      <c r="U64" s="188">
        <v>45426</v>
      </c>
      <c r="V64" s="487" t="s">
        <v>20</v>
      </c>
      <c r="W64" s="188">
        <f>J64+21</f>
        <v>45439</v>
      </c>
      <c r="X64" s="509"/>
      <c r="Y64" s="513"/>
      <c r="Z64" s="514"/>
      <c r="AA64" s="514"/>
    </row>
    <row r="65" s="178" customFormat="1" ht="14.25" customHeight="1" spans="1:27">
      <c r="A65" s="487" t="s">
        <v>3134</v>
      </c>
      <c r="B65" s="487"/>
      <c r="C65" s="487" t="s">
        <v>3223</v>
      </c>
      <c r="D65" s="487" t="s">
        <v>3224</v>
      </c>
      <c r="E65" s="488"/>
      <c r="F65" s="489"/>
      <c r="G65" s="487" t="s">
        <v>3024</v>
      </c>
      <c r="H65" s="188" t="s">
        <v>3225</v>
      </c>
      <c r="I65" s="188">
        <v>45408</v>
      </c>
      <c r="J65" s="188">
        <v>45419</v>
      </c>
      <c r="K65" s="493" t="s">
        <v>39</v>
      </c>
      <c r="L65" s="500" t="s">
        <v>3096</v>
      </c>
      <c r="M65" s="490" t="s">
        <v>309</v>
      </c>
      <c r="N65" s="484"/>
      <c r="O65" s="484"/>
      <c r="P65" s="499"/>
      <c r="Q65" s="501">
        <v>45415</v>
      </c>
      <c r="R65" s="501"/>
      <c r="S65" s="188"/>
      <c r="T65" s="188"/>
      <c r="U65" s="188">
        <v>45427</v>
      </c>
      <c r="V65" s="487" t="s">
        <v>20</v>
      </c>
      <c r="W65" s="188">
        <f>J65+14</f>
        <v>45433</v>
      </c>
      <c r="X65" s="509"/>
      <c r="Y65" s="513"/>
      <c r="Z65" s="514"/>
      <c r="AA65" s="514"/>
    </row>
    <row r="66" s="178" customFormat="1" ht="14.25" customHeight="1" spans="1:27">
      <c r="A66" s="487" t="s">
        <v>3134</v>
      </c>
      <c r="B66" s="487"/>
      <c r="C66" s="487" t="s">
        <v>3226</v>
      </c>
      <c r="D66" s="487" t="s">
        <v>3227</v>
      </c>
      <c r="E66" s="488"/>
      <c r="F66" s="489"/>
      <c r="G66" s="487" t="s">
        <v>3024</v>
      </c>
      <c r="H66" s="188" t="s">
        <v>3225</v>
      </c>
      <c r="I66" s="188">
        <v>45408</v>
      </c>
      <c r="J66" s="188">
        <v>45419</v>
      </c>
      <c r="K66" s="493" t="s">
        <v>39</v>
      </c>
      <c r="L66" s="500" t="s">
        <v>3096</v>
      </c>
      <c r="M66" s="490" t="s">
        <v>309</v>
      </c>
      <c r="N66" s="484"/>
      <c r="O66" s="484"/>
      <c r="P66" s="499"/>
      <c r="Q66" s="501">
        <v>45412</v>
      </c>
      <c r="R66" s="501"/>
      <c r="S66" s="188"/>
      <c r="T66" s="188"/>
      <c r="U66" s="188">
        <v>45427</v>
      </c>
      <c r="V66" s="487" t="s">
        <v>20</v>
      </c>
      <c r="W66" s="188">
        <f>J66+14</f>
        <v>45433</v>
      </c>
      <c r="X66" s="509"/>
      <c r="Y66" s="513"/>
      <c r="Z66" s="514"/>
      <c r="AA66" s="514"/>
    </row>
    <row r="67" s="178" customFormat="1" ht="14.25" customHeight="1" spans="1:27">
      <c r="A67" s="487" t="s">
        <v>3228</v>
      </c>
      <c r="B67" s="487"/>
      <c r="C67" s="487" t="s">
        <v>3229</v>
      </c>
      <c r="D67" s="487" t="s">
        <v>3230</v>
      </c>
      <c r="E67" s="488"/>
      <c r="F67" s="489"/>
      <c r="G67" s="487" t="s">
        <v>3067</v>
      </c>
      <c r="H67" s="188" t="s">
        <v>3231</v>
      </c>
      <c r="I67" s="188">
        <v>45398</v>
      </c>
      <c r="J67" s="502">
        <v>45425</v>
      </c>
      <c r="K67" s="493" t="s">
        <v>207</v>
      </c>
      <c r="L67" s="500" t="s">
        <v>3069</v>
      </c>
      <c r="M67" s="490" t="s">
        <v>3232</v>
      </c>
      <c r="N67" s="484"/>
      <c r="O67" s="484"/>
      <c r="P67" s="499"/>
      <c r="Q67" s="501">
        <v>45410</v>
      </c>
      <c r="R67" s="501"/>
      <c r="S67" s="188"/>
      <c r="T67" s="188"/>
      <c r="U67" s="188">
        <v>45433</v>
      </c>
      <c r="V67" s="487" t="s">
        <v>20</v>
      </c>
      <c r="W67" s="188">
        <f>J67+14</f>
        <v>45439</v>
      </c>
      <c r="X67" s="509"/>
      <c r="Y67" s="513"/>
      <c r="Z67" s="514"/>
      <c r="AA67" s="514"/>
    </row>
    <row r="68" s="178" customFormat="1" ht="14.25" customHeight="1" spans="1:27">
      <c r="A68" s="487" t="s">
        <v>3134</v>
      </c>
      <c r="B68" s="487"/>
      <c r="C68" s="487" t="s">
        <v>3233</v>
      </c>
      <c r="D68" s="487" t="s">
        <v>3234</v>
      </c>
      <c r="E68" s="488"/>
      <c r="F68" s="489"/>
      <c r="G68" s="487" t="s">
        <v>3032</v>
      </c>
      <c r="H68" s="188" t="s">
        <v>3235</v>
      </c>
      <c r="I68" s="188">
        <v>45403</v>
      </c>
      <c r="J68" s="502">
        <v>45428</v>
      </c>
      <c r="K68" s="493" t="s">
        <v>39</v>
      </c>
      <c r="L68" s="500" t="s">
        <v>3096</v>
      </c>
      <c r="M68" s="490" t="s">
        <v>309</v>
      </c>
      <c r="N68" s="484"/>
      <c r="O68" s="484"/>
      <c r="P68" s="499"/>
      <c r="Q68" s="501">
        <v>45410</v>
      </c>
      <c r="R68" s="501"/>
      <c r="S68" s="188"/>
      <c r="T68" s="188"/>
      <c r="U68" s="188">
        <v>45433</v>
      </c>
      <c r="V68" s="487" t="s">
        <v>20</v>
      </c>
      <c r="W68" s="188">
        <f>J68+21</f>
        <v>45449</v>
      </c>
      <c r="X68" s="509"/>
      <c r="Y68" s="513"/>
      <c r="Z68" s="514"/>
      <c r="AA68" s="514"/>
    </row>
    <row r="69" s="178" customFormat="1" ht="14.25" customHeight="1" spans="1:27">
      <c r="A69" s="487" t="s">
        <v>3134</v>
      </c>
      <c r="B69" s="487"/>
      <c r="C69" s="487" t="s">
        <v>3236</v>
      </c>
      <c r="D69" s="487" t="s">
        <v>3237</v>
      </c>
      <c r="E69" s="488"/>
      <c r="F69" s="489"/>
      <c r="G69" s="487" t="s">
        <v>3238</v>
      </c>
      <c r="H69" s="188" t="s">
        <v>3235</v>
      </c>
      <c r="I69" s="188">
        <v>45403</v>
      </c>
      <c r="J69" s="502">
        <v>45428</v>
      </c>
      <c r="K69" s="493" t="s">
        <v>39</v>
      </c>
      <c r="L69" s="500" t="s">
        <v>3096</v>
      </c>
      <c r="M69" s="490" t="s">
        <v>309</v>
      </c>
      <c r="N69" s="484"/>
      <c r="O69" s="484"/>
      <c r="P69" s="499"/>
      <c r="Q69" s="501">
        <v>45411</v>
      </c>
      <c r="R69" s="501"/>
      <c r="S69" s="188"/>
      <c r="T69" s="188"/>
      <c r="U69" s="188">
        <v>45434</v>
      </c>
      <c r="V69" s="487" t="s">
        <v>20</v>
      </c>
      <c r="W69" s="188">
        <f>J69+14</f>
        <v>45442</v>
      </c>
      <c r="X69" s="509"/>
      <c r="Y69" s="513"/>
      <c r="Z69" s="514"/>
      <c r="AA69" s="514"/>
    </row>
    <row r="70" s="178" customFormat="1" ht="14.25" customHeight="1" spans="1:27">
      <c r="A70" s="487" t="s">
        <v>3134</v>
      </c>
      <c r="B70" s="487"/>
      <c r="C70" s="487" t="s">
        <v>3239</v>
      </c>
      <c r="D70" s="487" t="s">
        <v>3240</v>
      </c>
      <c r="E70" s="488"/>
      <c r="F70" s="489"/>
      <c r="G70" s="487" t="s">
        <v>3238</v>
      </c>
      <c r="H70" s="188" t="s">
        <v>3235</v>
      </c>
      <c r="I70" s="188">
        <v>45403</v>
      </c>
      <c r="J70" s="502">
        <v>45428</v>
      </c>
      <c r="K70" s="493" t="s">
        <v>39</v>
      </c>
      <c r="L70" s="500" t="s">
        <v>3096</v>
      </c>
      <c r="M70" s="490" t="s">
        <v>309</v>
      </c>
      <c r="N70" s="484"/>
      <c r="O70" s="484"/>
      <c r="P70" s="499"/>
      <c r="Q70" s="501">
        <v>45410</v>
      </c>
      <c r="R70" s="501"/>
      <c r="S70" s="188"/>
      <c r="T70" s="188"/>
      <c r="U70" s="188">
        <v>45433</v>
      </c>
      <c r="V70" s="487" t="s">
        <v>20</v>
      </c>
      <c r="W70" s="188">
        <f>J70+14</f>
        <v>45442</v>
      </c>
      <c r="X70" s="509"/>
      <c r="Y70" s="513"/>
      <c r="Z70" s="514"/>
      <c r="AA70" s="514"/>
    </row>
    <row r="71" s="178" customFormat="1" ht="14.25" customHeight="1" spans="1:27">
      <c r="A71" s="487" t="s">
        <v>3196</v>
      </c>
      <c r="B71" s="487"/>
      <c r="C71" s="487" t="s">
        <v>3241</v>
      </c>
      <c r="D71" s="487" t="s">
        <v>3242</v>
      </c>
      <c r="E71" s="488"/>
      <c r="F71" s="489"/>
      <c r="G71" s="487" t="s">
        <v>3079</v>
      </c>
      <c r="H71" s="188" t="s">
        <v>3199</v>
      </c>
      <c r="I71" s="188">
        <v>45385</v>
      </c>
      <c r="J71" s="502">
        <v>45429</v>
      </c>
      <c r="K71" s="493" t="s">
        <v>215</v>
      </c>
      <c r="L71" s="500" t="s">
        <v>3086</v>
      </c>
      <c r="M71" s="490" t="s">
        <v>3243</v>
      </c>
      <c r="N71" s="484"/>
      <c r="O71" s="484"/>
      <c r="P71" s="499"/>
      <c r="Q71" s="501">
        <v>45393</v>
      </c>
      <c r="R71" s="501"/>
      <c r="S71" s="188"/>
      <c r="T71" s="188"/>
      <c r="U71" s="188">
        <v>45433</v>
      </c>
      <c r="V71" s="487" t="s">
        <v>20</v>
      </c>
      <c r="W71" s="188">
        <f>J71+14</f>
        <v>45443</v>
      </c>
      <c r="X71" s="509"/>
      <c r="Y71" s="513"/>
      <c r="Z71" s="514"/>
      <c r="AA71" s="514"/>
    </row>
    <row r="72" s="178" customFormat="1" ht="14.25" customHeight="1" spans="1:27">
      <c r="A72" s="487" t="s">
        <v>3098</v>
      </c>
      <c r="B72" s="487"/>
      <c r="C72" s="487" t="s">
        <v>3244</v>
      </c>
      <c r="D72" s="487" t="s">
        <v>3245</v>
      </c>
      <c r="E72" s="488"/>
      <c r="F72" s="489"/>
      <c r="G72" s="487" t="s">
        <v>3032</v>
      </c>
      <c r="H72" s="188" t="s">
        <v>3246</v>
      </c>
      <c r="I72" s="188">
        <v>45409</v>
      </c>
      <c r="J72" s="502">
        <v>45429</v>
      </c>
      <c r="K72" s="493" t="s">
        <v>39</v>
      </c>
      <c r="L72" s="500" t="s">
        <v>3096</v>
      </c>
      <c r="M72" s="490" t="s">
        <v>309</v>
      </c>
      <c r="N72" s="484"/>
      <c r="O72" s="484"/>
      <c r="P72" s="499"/>
      <c r="Q72" s="501">
        <v>45413</v>
      </c>
      <c r="R72" s="501"/>
      <c r="S72" s="188"/>
      <c r="T72" s="188"/>
      <c r="U72" s="188">
        <v>45434</v>
      </c>
      <c r="V72" s="487" t="s">
        <v>20</v>
      </c>
      <c r="W72" s="188">
        <f>J72+14</f>
        <v>45443</v>
      </c>
      <c r="X72" s="509"/>
      <c r="Y72" s="513"/>
      <c r="Z72" s="514"/>
      <c r="AA72" s="514"/>
    </row>
    <row r="73" s="178" customFormat="1" ht="14.25" customHeight="1" spans="1:27">
      <c r="A73" s="487" t="s">
        <v>3247</v>
      </c>
      <c r="B73" s="487"/>
      <c r="C73" s="487" t="s">
        <v>3248</v>
      </c>
      <c r="D73" s="487" t="s">
        <v>3249</v>
      </c>
      <c r="E73" s="488"/>
      <c r="F73" s="489"/>
      <c r="G73" s="487" t="s">
        <v>3032</v>
      </c>
      <c r="H73" s="188" t="s">
        <v>3250</v>
      </c>
      <c r="I73" s="188">
        <v>45420</v>
      </c>
      <c r="J73" s="188">
        <v>45437</v>
      </c>
      <c r="K73" s="493" t="s">
        <v>3038</v>
      </c>
      <c r="L73" s="500" t="s">
        <v>3039</v>
      </c>
      <c r="M73" s="490" t="s">
        <v>309</v>
      </c>
      <c r="N73" s="484"/>
      <c r="O73" s="484"/>
      <c r="P73" s="499"/>
      <c r="Q73" s="501">
        <v>45423</v>
      </c>
      <c r="R73" s="501"/>
      <c r="S73" s="188"/>
      <c r="T73" s="188"/>
      <c r="U73" s="188">
        <v>45441</v>
      </c>
      <c r="V73" s="487" t="s">
        <v>20</v>
      </c>
      <c r="W73" s="188">
        <f>J73+21</f>
        <v>45458</v>
      </c>
      <c r="X73" s="509"/>
      <c r="Y73" s="513"/>
      <c r="Z73" s="514"/>
      <c r="AA73" s="514"/>
    </row>
    <row r="74" s="178" customFormat="1" ht="14.25" customHeight="1" spans="1:27">
      <c r="A74" s="487" t="s">
        <v>3251</v>
      </c>
      <c r="B74" s="487"/>
      <c r="C74" s="487" t="s">
        <v>3252</v>
      </c>
      <c r="D74" s="487" t="s">
        <v>3253</v>
      </c>
      <c r="E74" s="488"/>
      <c r="F74" s="489"/>
      <c r="G74" s="487" t="s">
        <v>3067</v>
      </c>
      <c r="H74" s="188" t="s">
        <v>3254</v>
      </c>
      <c r="I74" s="188">
        <v>45420</v>
      </c>
      <c r="J74" s="188">
        <v>45438</v>
      </c>
      <c r="K74" s="493" t="s">
        <v>3038</v>
      </c>
      <c r="L74" s="500" t="s">
        <v>3039</v>
      </c>
      <c r="M74" s="490" t="s">
        <v>309</v>
      </c>
      <c r="N74" s="484"/>
      <c r="O74" s="484"/>
      <c r="P74" s="499"/>
      <c r="Q74" s="501">
        <v>45428</v>
      </c>
      <c r="R74" s="501"/>
      <c r="S74" s="188"/>
      <c r="T74" s="188"/>
      <c r="U74" s="188">
        <v>45442</v>
      </c>
      <c r="V74" s="487" t="s">
        <v>20</v>
      </c>
      <c r="W74" s="188">
        <f>J74+21</f>
        <v>45459</v>
      </c>
      <c r="X74" s="509"/>
      <c r="Y74" s="513"/>
      <c r="Z74" s="514"/>
      <c r="AA74" s="514"/>
    </row>
    <row r="75" s="178" customFormat="1" ht="14.25" customHeight="1" spans="1:27">
      <c r="A75" s="487" t="s">
        <v>3134</v>
      </c>
      <c r="B75" s="487"/>
      <c r="C75" s="487" t="s">
        <v>3255</v>
      </c>
      <c r="D75" s="487" t="s">
        <v>3256</v>
      </c>
      <c r="E75" s="488"/>
      <c r="F75" s="489"/>
      <c r="G75" s="487" t="s">
        <v>3079</v>
      </c>
      <c r="H75" s="188" t="s">
        <v>3257</v>
      </c>
      <c r="I75" s="188">
        <v>45416</v>
      </c>
      <c r="J75" s="188">
        <v>45438</v>
      </c>
      <c r="K75" s="493" t="s">
        <v>39</v>
      </c>
      <c r="L75" s="500" t="s">
        <v>3096</v>
      </c>
      <c r="M75" s="490" t="s">
        <v>309</v>
      </c>
      <c r="N75" s="484"/>
      <c r="O75" s="484"/>
      <c r="P75" s="499"/>
      <c r="Q75" s="501">
        <v>45421</v>
      </c>
      <c r="R75" s="501"/>
      <c r="S75" s="188"/>
      <c r="T75" s="188"/>
      <c r="U75" s="188">
        <v>45442</v>
      </c>
      <c r="V75" s="487" t="s">
        <v>20</v>
      </c>
      <c r="W75" s="188">
        <f>J75+21</f>
        <v>45459</v>
      </c>
      <c r="X75" s="509"/>
      <c r="Y75" s="513"/>
      <c r="Z75" s="514"/>
      <c r="AA75" s="514"/>
    </row>
    <row r="76" s="178" customFormat="1" ht="14.25" customHeight="1" spans="1:27">
      <c r="A76" s="487" t="s">
        <v>3110</v>
      </c>
      <c r="B76" s="487"/>
      <c r="C76" s="487" t="s">
        <v>3258</v>
      </c>
      <c r="D76" s="487" t="s">
        <v>3259</v>
      </c>
      <c r="E76" s="488"/>
      <c r="F76" s="489"/>
      <c r="G76" s="487" t="s">
        <v>3032</v>
      </c>
      <c r="H76" s="188" t="s">
        <v>3250</v>
      </c>
      <c r="I76" s="188">
        <v>45420</v>
      </c>
      <c r="J76" s="188">
        <v>45442</v>
      </c>
      <c r="K76" s="493" t="s">
        <v>39</v>
      </c>
      <c r="L76" s="500" t="s">
        <v>3096</v>
      </c>
      <c r="M76" s="490" t="s">
        <v>309</v>
      </c>
      <c r="N76" s="484"/>
      <c r="O76" s="484"/>
      <c r="P76" s="499"/>
      <c r="Q76" s="501">
        <v>45423</v>
      </c>
      <c r="R76" s="501"/>
      <c r="S76" s="188"/>
      <c r="T76" s="188"/>
      <c r="U76" s="188">
        <v>45448</v>
      </c>
      <c r="V76" s="487" t="s">
        <v>20</v>
      </c>
      <c r="W76" s="188">
        <f>J76+21</f>
        <v>45463</v>
      </c>
      <c r="X76" s="509"/>
      <c r="Y76" s="513"/>
      <c r="Z76" s="514"/>
      <c r="AA76" s="514"/>
    </row>
    <row r="77" s="178" customFormat="1" ht="14.25" customHeight="1" spans="1:27">
      <c r="A77" s="487" t="s">
        <v>3260</v>
      </c>
      <c r="B77" s="487"/>
      <c r="C77" s="487" t="s">
        <v>3261</v>
      </c>
      <c r="D77" s="487" t="s">
        <v>3262</v>
      </c>
      <c r="E77" s="488"/>
      <c r="F77" s="489"/>
      <c r="G77" s="487" t="s">
        <v>3032</v>
      </c>
      <c r="H77" s="188" t="s">
        <v>3250</v>
      </c>
      <c r="I77" s="188">
        <v>45420</v>
      </c>
      <c r="J77" s="188">
        <v>45442</v>
      </c>
      <c r="K77" s="493" t="s">
        <v>39</v>
      </c>
      <c r="L77" s="500"/>
      <c r="M77" s="490" t="s">
        <v>3263</v>
      </c>
      <c r="N77" s="484"/>
      <c r="O77" s="484"/>
      <c r="P77" s="499"/>
      <c r="Q77" s="501">
        <v>45423</v>
      </c>
      <c r="R77" s="501"/>
      <c r="S77" s="188"/>
      <c r="T77" s="188"/>
      <c r="U77" s="188">
        <v>45450</v>
      </c>
      <c r="V77" s="487" t="s">
        <v>20</v>
      </c>
      <c r="W77" s="188">
        <f>J77+21</f>
        <v>45463</v>
      </c>
      <c r="X77" s="509"/>
      <c r="Y77" s="513"/>
      <c r="Z77" s="514"/>
      <c r="AA77" s="514"/>
    </row>
    <row r="78" s="178" customFormat="1" ht="14.25" customHeight="1" spans="1:27">
      <c r="A78" s="487" t="s">
        <v>3098</v>
      </c>
      <c r="B78" s="487"/>
      <c r="C78" s="487" t="s">
        <v>3264</v>
      </c>
      <c r="D78" s="487" t="s">
        <v>3265</v>
      </c>
      <c r="E78" s="488"/>
      <c r="F78" s="489"/>
      <c r="G78" s="487" t="s">
        <v>3032</v>
      </c>
      <c r="H78" s="188" t="s">
        <v>3266</v>
      </c>
      <c r="I78" s="188">
        <v>45428</v>
      </c>
      <c r="J78" s="188">
        <v>45442</v>
      </c>
      <c r="K78" s="493" t="s">
        <v>3038</v>
      </c>
      <c r="L78" s="500" t="s">
        <v>3039</v>
      </c>
      <c r="M78" s="490" t="s">
        <v>309</v>
      </c>
      <c r="N78" s="484"/>
      <c r="O78" s="484"/>
      <c r="P78" s="499"/>
      <c r="Q78" s="501">
        <v>45432</v>
      </c>
      <c r="R78" s="501"/>
      <c r="S78" s="188"/>
      <c r="T78" s="188"/>
      <c r="U78" s="188">
        <v>45449</v>
      </c>
      <c r="V78" s="487" t="s">
        <v>20</v>
      </c>
      <c r="W78" s="188">
        <f>J78+14</f>
        <v>45456</v>
      </c>
      <c r="X78" s="509"/>
      <c r="Y78" s="513"/>
      <c r="Z78" s="514"/>
      <c r="AA78" s="514"/>
    </row>
    <row r="79" s="178" customFormat="1" ht="14.25" customHeight="1" spans="1:27">
      <c r="A79" s="487" t="s">
        <v>3134</v>
      </c>
      <c r="B79" s="487"/>
      <c r="C79" s="487" t="s">
        <v>3267</v>
      </c>
      <c r="D79" s="487" t="s">
        <v>3268</v>
      </c>
      <c r="E79" s="488"/>
      <c r="F79" s="489"/>
      <c r="G79" s="487" t="s">
        <v>3032</v>
      </c>
      <c r="H79" s="188" t="s">
        <v>3269</v>
      </c>
      <c r="I79" s="188">
        <v>45428</v>
      </c>
      <c r="J79" s="188">
        <v>45445</v>
      </c>
      <c r="K79" s="493" t="s">
        <v>3038</v>
      </c>
      <c r="L79" s="500" t="s">
        <v>3039</v>
      </c>
      <c r="M79" s="490" t="s">
        <v>309</v>
      </c>
      <c r="N79" s="484"/>
      <c r="O79" s="484"/>
      <c r="P79" s="499"/>
      <c r="Q79" s="501">
        <v>45431</v>
      </c>
      <c r="R79" s="501"/>
      <c r="S79" s="188"/>
      <c r="T79" s="188"/>
      <c r="U79" s="188">
        <v>45448</v>
      </c>
      <c r="V79" s="487" t="s">
        <v>20</v>
      </c>
      <c r="W79" s="188">
        <f>J79+21</f>
        <v>45466</v>
      </c>
      <c r="X79" s="509"/>
      <c r="Y79" s="513"/>
      <c r="Z79" s="514"/>
      <c r="AA79" s="514"/>
    </row>
    <row r="80" s="178" customFormat="1" ht="14.25" customHeight="1" spans="1:27">
      <c r="A80" s="487" t="s">
        <v>3134</v>
      </c>
      <c r="B80" s="487"/>
      <c r="C80" s="487" t="s">
        <v>3270</v>
      </c>
      <c r="D80" s="487" t="s">
        <v>3271</v>
      </c>
      <c r="E80" s="488"/>
      <c r="F80" s="489"/>
      <c r="G80" s="487" t="s">
        <v>3032</v>
      </c>
      <c r="H80" s="188" t="s">
        <v>3269</v>
      </c>
      <c r="I80" s="188">
        <v>45428</v>
      </c>
      <c r="J80" s="188">
        <v>45445</v>
      </c>
      <c r="K80" s="493" t="s">
        <v>3038</v>
      </c>
      <c r="L80" s="500" t="s">
        <v>3039</v>
      </c>
      <c r="M80" s="490" t="s">
        <v>309</v>
      </c>
      <c r="N80" s="484"/>
      <c r="O80" s="484"/>
      <c r="P80" s="499"/>
      <c r="Q80" s="501">
        <v>45431</v>
      </c>
      <c r="R80" s="501"/>
      <c r="S80" s="188"/>
      <c r="T80" s="188"/>
      <c r="U80" s="188">
        <v>45448</v>
      </c>
      <c r="V80" s="487" t="s">
        <v>20</v>
      </c>
      <c r="W80" s="188">
        <f>J80+21</f>
        <v>45466</v>
      </c>
      <c r="X80" s="509"/>
      <c r="Y80" s="513"/>
      <c r="Z80" s="514"/>
      <c r="AA80" s="514"/>
    </row>
    <row r="81" s="178" customFormat="1" ht="14.25" customHeight="1" spans="1:27">
      <c r="A81" s="487" t="s">
        <v>3247</v>
      </c>
      <c r="B81" s="487"/>
      <c r="C81" s="487" t="s">
        <v>3272</v>
      </c>
      <c r="D81" s="487" t="s">
        <v>3273</v>
      </c>
      <c r="E81" s="488"/>
      <c r="F81" s="489"/>
      <c r="G81" s="487" t="s">
        <v>3032</v>
      </c>
      <c r="H81" s="188" t="s">
        <v>3269</v>
      </c>
      <c r="I81" s="188">
        <v>45428</v>
      </c>
      <c r="J81" s="188">
        <v>45445</v>
      </c>
      <c r="K81" s="493" t="s">
        <v>3038</v>
      </c>
      <c r="L81" s="500" t="s">
        <v>3274</v>
      </c>
      <c r="M81" s="490" t="s">
        <v>309</v>
      </c>
      <c r="N81" s="484"/>
      <c r="O81" s="484"/>
      <c r="P81" s="499"/>
      <c r="Q81" s="501">
        <v>45431</v>
      </c>
      <c r="R81" s="501"/>
      <c r="S81" s="188"/>
      <c r="T81" s="188"/>
      <c r="U81" s="188">
        <v>45448</v>
      </c>
      <c r="V81" s="487" t="s">
        <v>20</v>
      </c>
      <c r="W81" s="188">
        <f>J81+21</f>
        <v>45466</v>
      </c>
      <c r="X81" s="509"/>
      <c r="Y81" s="513"/>
      <c r="Z81" s="514"/>
      <c r="AA81" s="514"/>
    </row>
    <row r="82" s="178" customFormat="1" ht="14.25" customHeight="1" spans="1:27">
      <c r="A82" s="487" t="s">
        <v>3134</v>
      </c>
      <c r="B82" s="487"/>
      <c r="C82" s="487" t="s">
        <v>3275</v>
      </c>
      <c r="D82" s="487" t="s">
        <v>3276</v>
      </c>
      <c r="E82" s="488"/>
      <c r="F82" s="489"/>
      <c r="G82" s="487" t="s">
        <v>3032</v>
      </c>
      <c r="H82" s="188" t="s">
        <v>3269</v>
      </c>
      <c r="I82" s="188">
        <v>45428</v>
      </c>
      <c r="J82" s="188">
        <v>45445</v>
      </c>
      <c r="K82" s="493" t="s">
        <v>3038</v>
      </c>
      <c r="L82" s="500" t="s">
        <v>3039</v>
      </c>
      <c r="M82" s="490" t="s">
        <v>309</v>
      </c>
      <c r="N82" s="484"/>
      <c r="O82" s="484"/>
      <c r="P82" s="499"/>
      <c r="Q82" s="501">
        <v>45431</v>
      </c>
      <c r="R82" s="501"/>
      <c r="S82" s="188"/>
      <c r="T82" s="188"/>
      <c r="U82" s="188">
        <v>45448</v>
      </c>
      <c r="V82" s="487" t="s">
        <v>20</v>
      </c>
      <c r="W82" s="188">
        <f>J82+21</f>
        <v>45466</v>
      </c>
      <c r="X82" s="509"/>
      <c r="Y82" s="513"/>
      <c r="Z82" s="514"/>
      <c r="AA82" s="514"/>
    </row>
    <row r="83" s="178" customFormat="1" ht="14.25" customHeight="1" spans="1:27">
      <c r="A83" s="487" t="s">
        <v>3277</v>
      </c>
      <c r="B83" s="487"/>
      <c r="C83" s="487" t="s">
        <v>3278</v>
      </c>
      <c r="D83" s="487" t="s">
        <v>3279</v>
      </c>
      <c r="E83" s="488"/>
      <c r="F83" s="489"/>
      <c r="G83" s="487" t="s">
        <v>3032</v>
      </c>
      <c r="H83" s="188" t="s">
        <v>3269</v>
      </c>
      <c r="I83" s="188">
        <v>45428</v>
      </c>
      <c r="J83" s="188">
        <v>45445</v>
      </c>
      <c r="K83" s="493" t="s">
        <v>3038</v>
      </c>
      <c r="L83" s="500" t="s">
        <v>3039</v>
      </c>
      <c r="M83" s="490" t="s">
        <v>309</v>
      </c>
      <c r="N83" s="484"/>
      <c r="O83" s="484"/>
      <c r="P83" s="499"/>
      <c r="Q83" s="501">
        <v>45431</v>
      </c>
      <c r="R83" s="501"/>
      <c r="S83" s="188"/>
      <c r="T83" s="188"/>
      <c r="U83" s="188">
        <v>45448</v>
      </c>
      <c r="V83" s="487" t="s">
        <v>20</v>
      </c>
      <c r="W83" s="188">
        <f>J83+21</f>
        <v>45466</v>
      </c>
      <c r="X83" s="509"/>
      <c r="Y83" s="513"/>
      <c r="Z83" s="514"/>
      <c r="AA83" s="514"/>
    </row>
    <row r="84" s="178" customFormat="1" ht="14.25" customHeight="1" spans="1:27">
      <c r="A84" s="487" t="s">
        <v>3280</v>
      </c>
      <c r="B84" s="487"/>
      <c r="C84" s="487" t="s">
        <v>3281</v>
      </c>
      <c r="D84" s="487" t="s">
        <v>3282</v>
      </c>
      <c r="E84" s="488"/>
      <c r="F84" s="489"/>
      <c r="G84" s="487" t="s">
        <v>3067</v>
      </c>
      <c r="H84" s="188" t="s">
        <v>3283</v>
      </c>
      <c r="I84" s="188">
        <v>45428</v>
      </c>
      <c r="J84" s="188">
        <v>45453</v>
      </c>
      <c r="K84" s="493" t="s">
        <v>207</v>
      </c>
      <c r="L84" s="500" t="s">
        <v>3069</v>
      </c>
      <c r="M84" s="490" t="s">
        <v>3284</v>
      </c>
      <c r="N84" s="484"/>
      <c r="O84" s="484"/>
      <c r="P84" s="499"/>
      <c r="Q84" s="501">
        <v>45433</v>
      </c>
      <c r="R84" s="501"/>
      <c r="S84" s="188"/>
      <c r="T84" s="188"/>
      <c r="U84" s="188">
        <v>45456</v>
      </c>
      <c r="V84" s="487" t="s">
        <v>20</v>
      </c>
      <c r="W84" s="188">
        <f t="shared" ref="W84:W89" si="2">J84+14</f>
        <v>45467</v>
      </c>
      <c r="X84" s="509"/>
      <c r="Y84" s="513"/>
      <c r="Z84" s="514"/>
      <c r="AA84" s="514"/>
    </row>
    <row r="85" s="178" customFormat="1" ht="14.25" customHeight="1" spans="1:27">
      <c r="A85" s="487" t="s">
        <v>3285</v>
      </c>
      <c r="B85" s="487"/>
      <c r="C85" s="487" t="s">
        <v>3286</v>
      </c>
      <c r="D85" s="487" t="s">
        <v>3287</v>
      </c>
      <c r="E85" s="488"/>
      <c r="F85" s="489"/>
      <c r="G85" s="487" t="s">
        <v>3024</v>
      </c>
      <c r="H85" s="188" t="s">
        <v>3288</v>
      </c>
      <c r="I85" s="188">
        <v>45437</v>
      </c>
      <c r="J85" s="188">
        <v>45454</v>
      </c>
      <c r="K85" s="493" t="s">
        <v>3038</v>
      </c>
      <c r="L85" s="500" t="s">
        <v>3039</v>
      </c>
      <c r="M85" s="490" t="s">
        <v>309</v>
      </c>
      <c r="N85" s="484"/>
      <c r="O85" s="484"/>
      <c r="P85" s="499"/>
      <c r="Q85" s="501">
        <v>45446</v>
      </c>
      <c r="R85" s="501"/>
      <c r="S85" s="188"/>
      <c r="T85" s="188"/>
      <c r="U85" s="188">
        <v>45460</v>
      </c>
      <c r="V85" s="487" t="s">
        <v>20</v>
      </c>
      <c r="W85" s="188">
        <f t="shared" si="2"/>
        <v>45468</v>
      </c>
      <c r="X85" s="509"/>
      <c r="Y85" s="513"/>
      <c r="Z85" s="514"/>
      <c r="AA85" s="514"/>
    </row>
    <row r="86" s="178" customFormat="1" ht="14.25" customHeight="1" spans="1:27">
      <c r="A86" s="487" t="s">
        <v>3247</v>
      </c>
      <c r="B86" s="487"/>
      <c r="C86" s="487" t="s">
        <v>3289</v>
      </c>
      <c r="D86" s="487" t="s">
        <v>3290</v>
      </c>
      <c r="E86" s="488"/>
      <c r="F86" s="489"/>
      <c r="G86" s="487" t="s">
        <v>3024</v>
      </c>
      <c r="H86" s="188" t="s">
        <v>3291</v>
      </c>
      <c r="I86" s="188">
        <v>45443</v>
      </c>
      <c r="J86" s="188">
        <v>45455</v>
      </c>
      <c r="K86" s="493" t="s">
        <v>39</v>
      </c>
      <c r="L86" s="500" t="s">
        <v>3096</v>
      </c>
      <c r="M86" s="490" t="s">
        <v>309</v>
      </c>
      <c r="N86" s="484"/>
      <c r="O86" s="484"/>
      <c r="P86" s="499"/>
      <c r="Q86" s="501">
        <v>45447</v>
      </c>
      <c r="R86" s="501"/>
      <c r="S86" s="188"/>
      <c r="T86" s="188"/>
      <c r="U86" s="188">
        <v>45460</v>
      </c>
      <c r="V86" s="487" t="s">
        <v>20</v>
      </c>
      <c r="W86" s="188">
        <f t="shared" si="2"/>
        <v>45469</v>
      </c>
      <c r="X86" s="509"/>
      <c r="Y86" s="513"/>
      <c r="Z86" s="514"/>
      <c r="AA86" s="514"/>
    </row>
    <row r="87" s="178" customFormat="1" ht="14.25" customHeight="1" spans="1:27">
      <c r="A87" s="487" t="s">
        <v>3292</v>
      </c>
      <c r="B87" s="487"/>
      <c r="C87" s="487" t="s">
        <v>3293</v>
      </c>
      <c r="D87" s="487" t="s">
        <v>3294</v>
      </c>
      <c r="E87" s="488"/>
      <c r="F87" s="489"/>
      <c r="G87" s="487" t="s">
        <v>3295</v>
      </c>
      <c r="H87" s="188" t="s">
        <v>3296</v>
      </c>
      <c r="I87" s="188">
        <v>45438</v>
      </c>
      <c r="J87" s="188">
        <v>45455</v>
      </c>
      <c r="K87" s="493" t="s">
        <v>3038</v>
      </c>
      <c r="L87" s="500" t="s">
        <v>3297</v>
      </c>
      <c r="M87" s="490" t="s">
        <v>309</v>
      </c>
      <c r="N87" s="484"/>
      <c r="O87" s="484"/>
      <c r="P87" s="499"/>
      <c r="Q87" s="501">
        <v>45443</v>
      </c>
      <c r="R87" s="501"/>
      <c r="S87" s="188"/>
      <c r="T87" s="188"/>
      <c r="U87" s="188">
        <v>45461</v>
      </c>
      <c r="V87" s="487" t="s">
        <v>20</v>
      </c>
      <c r="W87" s="188">
        <f t="shared" si="2"/>
        <v>45469</v>
      </c>
      <c r="X87" s="509"/>
      <c r="Y87" s="513"/>
      <c r="Z87" s="514"/>
      <c r="AA87" s="514"/>
    </row>
    <row r="88" s="178" customFormat="1" ht="14.25" customHeight="1" spans="1:27">
      <c r="A88" s="487" t="s">
        <v>3247</v>
      </c>
      <c r="B88" s="487"/>
      <c r="C88" s="487" t="s">
        <v>3298</v>
      </c>
      <c r="D88" s="487" t="s">
        <v>3299</v>
      </c>
      <c r="E88" s="488"/>
      <c r="F88" s="489"/>
      <c r="G88" s="487" t="s">
        <v>3295</v>
      </c>
      <c r="H88" s="188" t="s">
        <v>3296</v>
      </c>
      <c r="I88" s="188">
        <v>45438</v>
      </c>
      <c r="J88" s="188">
        <v>45455</v>
      </c>
      <c r="K88" s="493" t="s">
        <v>3038</v>
      </c>
      <c r="L88" s="500" t="s">
        <v>3039</v>
      </c>
      <c r="M88" s="490" t="s">
        <v>309</v>
      </c>
      <c r="N88" s="484"/>
      <c r="O88" s="484"/>
      <c r="P88" s="499"/>
      <c r="Q88" s="501">
        <v>45446</v>
      </c>
      <c r="R88" s="501"/>
      <c r="S88" s="188"/>
      <c r="T88" s="188"/>
      <c r="U88" s="188">
        <v>45460</v>
      </c>
      <c r="V88" s="487" t="s">
        <v>20</v>
      </c>
      <c r="W88" s="188">
        <f t="shared" si="2"/>
        <v>45469</v>
      </c>
      <c r="X88" s="509"/>
      <c r="Y88" s="513"/>
      <c r="Z88" s="514"/>
      <c r="AA88" s="514"/>
    </row>
    <row r="89" s="178" customFormat="1" ht="14.25" customHeight="1" spans="1:27">
      <c r="A89" s="487" t="s">
        <v>3247</v>
      </c>
      <c r="B89" s="487"/>
      <c r="C89" s="487" t="s">
        <v>3300</v>
      </c>
      <c r="D89" s="487" t="s">
        <v>3301</v>
      </c>
      <c r="E89" s="488"/>
      <c r="F89" s="489"/>
      <c r="G89" s="487" t="s">
        <v>3295</v>
      </c>
      <c r="H89" s="188" t="s">
        <v>3296</v>
      </c>
      <c r="I89" s="188">
        <v>45438</v>
      </c>
      <c r="J89" s="188">
        <v>45455</v>
      </c>
      <c r="K89" s="493" t="s">
        <v>3038</v>
      </c>
      <c r="L89" s="500" t="s">
        <v>3039</v>
      </c>
      <c r="M89" s="490" t="s">
        <v>309</v>
      </c>
      <c r="N89" s="484"/>
      <c r="O89" s="484"/>
      <c r="P89" s="499"/>
      <c r="Q89" s="501">
        <v>45447</v>
      </c>
      <c r="R89" s="501"/>
      <c r="S89" s="188"/>
      <c r="T89" s="188"/>
      <c r="U89" s="188">
        <v>45460</v>
      </c>
      <c r="V89" s="487" t="s">
        <v>20</v>
      </c>
      <c r="W89" s="188">
        <f t="shared" si="2"/>
        <v>45469</v>
      </c>
      <c r="X89" s="509"/>
      <c r="Y89" s="513"/>
      <c r="Z89" s="514"/>
      <c r="AA89" s="514"/>
    </row>
    <row r="90" s="178" customFormat="1" ht="14.25" customHeight="1" spans="1:27">
      <c r="A90" s="487" t="s">
        <v>3302</v>
      </c>
      <c r="B90" s="487"/>
      <c r="C90" s="487" t="s">
        <v>3303</v>
      </c>
      <c r="D90" s="487" t="s">
        <v>3304</v>
      </c>
      <c r="E90" s="488"/>
      <c r="F90" s="489"/>
      <c r="G90" s="487" t="s">
        <v>3067</v>
      </c>
      <c r="H90" s="188" t="s">
        <v>3305</v>
      </c>
      <c r="I90" s="188">
        <v>45427</v>
      </c>
      <c r="J90" s="188">
        <v>45456</v>
      </c>
      <c r="K90" s="493" t="s">
        <v>3038</v>
      </c>
      <c r="L90" s="500"/>
      <c r="M90" s="490" t="s">
        <v>3306</v>
      </c>
      <c r="N90" s="484"/>
      <c r="O90" s="484"/>
      <c r="P90" s="499"/>
      <c r="Q90" s="501">
        <v>45437</v>
      </c>
      <c r="R90" s="501"/>
      <c r="S90" s="188"/>
      <c r="T90" s="188"/>
      <c r="U90" s="188">
        <v>45460</v>
      </c>
      <c r="V90" s="487" t="s">
        <v>20</v>
      </c>
      <c r="W90" s="188">
        <f>J90+21</f>
        <v>45477</v>
      </c>
      <c r="X90" s="509"/>
      <c r="Y90" s="513"/>
      <c r="Z90" s="514"/>
      <c r="AA90" s="514"/>
    </row>
    <row r="91" s="178" customFormat="1" ht="14.25" customHeight="1" spans="1:27">
      <c r="A91" s="487" t="s">
        <v>3285</v>
      </c>
      <c r="B91" s="487"/>
      <c r="C91" s="487" t="s">
        <v>3307</v>
      </c>
      <c r="D91" s="487" t="s">
        <v>3308</v>
      </c>
      <c r="E91" s="488"/>
      <c r="F91" s="489"/>
      <c r="G91" s="487" t="s">
        <v>3032</v>
      </c>
      <c r="H91" s="188" t="s">
        <v>3309</v>
      </c>
      <c r="I91" s="188">
        <v>45442</v>
      </c>
      <c r="J91" s="188">
        <v>45457</v>
      </c>
      <c r="K91" s="493" t="s">
        <v>3038</v>
      </c>
      <c r="L91" s="500" t="s">
        <v>3039</v>
      </c>
      <c r="M91" s="490" t="s">
        <v>309</v>
      </c>
      <c r="N91" s="484"/>
      <c r="O91" s="484"/>
      <c r="P91" s="499"/>
      <c r="Q91" s="501">
        <v>45447</v>
      </c>
      <c r="R91" s="501"/>
      <c r="S91" s="188"/>
      <c r="T91" s="188"/>
      <c r="U91" s="188">
        <v>45464</v>
      </c>
      <c r="V91" s="487" t="s">
        <v>20</v>
      </c>
      <c r="W91" s="188">
        <f>J91+14</f>
        <v>45471</v>
      </c>
      <c r="X91" s="509"/>
      <c r="Y91" s="513"/>
      <c r="Z91" s="514"/>
      <c r="AA91" s="514"/>
    </row>
    <row r="92" s="178" customFormat="1" ht="14.25" customHeight="1" spans="1:27">
      <c r="A92" s="487" t="s">
        <v>3285</v>
      </c>
      <c r="B92" s="487"/>
      <c r="C92" s="487" t="s">
        <v>3310</v>
      </c>
      <c r="D92" s="487" t="s">
        <v>3311</v>
      </c>
      <c r="E92" s="488"/>
      <c r="F92" s="489"/>
      <c r="G92" s="487" t="s">
        <v>3024</v>
      </c>
      <c r="H92" s="188" t="s">
        <v>3291</v>
      </c>
      <c r="I92" s="188">
        <v>45443</v>
      </c>
      <c r="J92" s="188">
        <v>45458</v>
      </c>
      <c r="K92" s="493" t="s">
        <v>3038</v>
      </c>
      <c r="L92" s="500" t="s">
        <v>3039</v>
      </c>
      <c r="M92" s="490" t="s">
        <v>309</v>
      </c>
      <c r="N92" s="484"/>
      <c r="O92" s="484"/>
      <c r="P92" s="499"/>
      <c r="Q92" s="501">
        <v>45446</v>
      </c>
      <c r="R92" s="501"/>
      <c r="S92" s="188"/>
      <c r="T92" s="188"/>
      <c r="U92" s="188">
        <v>45462</v>
      </c>
      <c r="V92" s="487" t="s">
        <v>20</v>
      </c>
      <c r="W92" s="188">
        <f>J92+14</f>
        <v>45472</v>
      </c>
      <c r="X92" s="509"/>
      <c r="Y92" s="513"/>
      <c r="Z92" s="514"/>
      <c r="AA92" s="514"/>
    </row>
    <row r="93" s="178" customFormat="1" ht="14.25" customHeight="1" spans="1:27">
      <c r="A93" s="487" t="s">
        <v>3247</v>
      </c>
      <c r="B93" s="487"/>
      <c r="C93" s="487" t="s">
        <v>3312</v>
      </c>
      <c r="D93" s="487" t="s">
        <v>3313</v>
      </c>
      <c r="E93" s="488"/>
      <c r="F93" s="489"/>
      <c r="G93" s="487" t="s">
        <v>3024</v>
      </c>
      <c r="H93" s="188" t="s">
        <v>3291</v>
      </c>
      <c r="I93" s="188">
        <v>45443</v>
      </c>
      <c r="J93" s="188">
        <v>45458</v>
      </c>
      <c r="K93" s="493" t="s">
        <v>3038</v>
      </c>
      <c r="L93" s="500" t="s">
        <v>3039</v>
      </c>
      <c r="M93" s="490" t="s">
        <v>309</v>
      </c>
      <c r="N93" s="484"/>
      <c r="O93" s="484"/>
      <c r="P93" s="499"/>
      <c r="Q93" s="501">
        <v>45447</v>
      </c>
      <c r="R93" s="501"/>
      <c r="S93" s="188"/>
      <c r="T93" s="188"/>
      <c r="U93" s="188">
        <v>45462</v>
      </c>
      <c r="V93" s="487" t="s">
        <v>20</v>
      </c>
      <c r="W93" s="188">
        <f>J93+14</f>
        <v>45472</v>
      </c>
      <c r="X93" s="509"/>
      <c r="Y93" s="513"/>
      <c r="Z93" s="514"/>
      <c r="AA93" s="514"/>
    </row>
    <row r="94" s="178" customFormat="1" ht="14.25" customHeight="1" spans="1:27">
      <c r="A94" s="487" t="s">
        <v>3134</v>
      </c>
      <c r="B94" s="487"/>
      <c r="C94" s="487" t="s">
        <v>3314</v>
      </c>
      <c r="D94" s="487" t="s">
        <v>3315</v>
      </c>
      <c r="E94" s="488"/>
      <c r="F94" s="489"/>
      <c r="G94" s="487" t="s">
        <v>3067</v>
      </c>
      <c r="H94" s="188" t="s">
        <v>3316</v>
      </c>
      <c r="I94" s="188">
        <v>45405</v>
      </c>
      <c r="J94" s="188">
        <v>45460</v>
      </c>
      <c r="K94" s="493" t="s">
        <v>215</v>
      </c>
      <c r="L94" s="500" t="s">
        <v>3086</v>
      </c>
      <c r="M94" s="490" t="s">
        <v>309</v>
      </c>
      <c r="N94" s="484"/>
      <c r="O94" s="484"/>
      <c r="P94" s="499"/>
      <c r="Q94" s="501">
        <v>45410</v>
      </c>
      <c r="R94" s="501"/>
      <c r="S94" s="188"/>
      <c r="T94" s="188"/>
      <c r="U94" s="188">
        <v>45467</v>
      </c>
      <c r="V94" s="487" t="s">
        <v>20</v>
      </c>
      <c r="W94" s="188">
        <f>J94+14</f>
        <v>45474</v>
      </c>
      <c r="X94" s="509"/>
      <c r="Y94" s="513"/>
      <c r="Z94" s="514"/>
      <c r="AA94" s="514"/>
    </row>
    <row r="95" s="178" customFormat="1" ht="14.25" customHeight="1" spans="1:27">
      <c r="A95" s="487" t="s">
        <v>3247</v>
      </c>
      <c r="B95" s="487"/>
      <c r="C95" s="487" t="s">
        <v>3317</v>
      </c>
      <c r="D95" s="487" t="s">
        <v>3318</v>
      </c>
      <c r="E95" s="488"/>
      <c r="F95" s="489"/>
      <c r="G95" s="487" t="s">
        <v>3067</v>
      </c>
      <c r="H95" s="487" t="s">
        <v>3319</v>
      </c>
      <c r="I95" s="188">
        <v>45439</v>
      </c>
      <c r="J95" s="188">
        <v>45463</v>
      </c>
      <c r="K95" s="493" t="s">
        <v>3038</v>
      </c>
      <c r="L95" s="500" t="s">
        <v>3039</v>
      </c>
      <c r="M95" s="490" t="s">
        <v>309</v>
      </c>
      <c r="N95" s="484"/>
      <c r="O95" s="484"/>
      <c r="P95" s="499"/>
      <c r="Q95" s="501">
        <v>45447</v>
      </c>
      <c r="R95" s="501"/>
      <c r="S95" s="188"/>
      <c r="T95" s="188"/>
      <c r="U95" s="188">
        <v>45467</v>
      </c>
      <c r="V95" s="487" t="s">
        <v>20</v>
      </c>
      <c r="W95" s="188">
        <f t="shared" ref="W95:W102" si="3">J95+21</f>
        <v>45484</v>
      </c>
      <c r="X95" s="509"/>
      <c r="Y95" s="513"/>
      <c r="Z95" s="514"/>
      <c r="AA95" s="514"/>
    </row>
    <row r="96" s="178" customFormat="1" ht="14.25" customHeight="1" spans="1:27">
      <c r="A96" s="487" t="s">
        <v>3320</v>
      </c>
      <c r="B96" s="487"/>
      <c r="C96" s="487" t="s">
        <v>3321</v>
      </c>
      <c r="D96" s="487" t="s">
        <v>3322</v>
      </c>
      <c r="E96" s="488"/>
      <c r="F96" s="489"/>
      <c r="G96" s="487" t="s">
        <v>3079</v>
      </c>
      <c r="H96" s="188" t="s">
        <v>3323</v>
      </c>
      <c r="I96" s="516">
        <v>45447</v>
      </c>
      <c r="J96" s="188">
        <v>45463</v>
      </c>
      <c r="K96" s="493" t="s">
        <v>3038</v>
      </c>
      <c r="L96" s="500" t="s">
        <v>3324</v>
      </c>
      <c r="M96" s="490"/>
      <c r="N96" s="484"/>
      <c r="O96" s="484"/>
      <c r="P96" s="499"/>
      <c r="Q96" s="501">
        <v>45449</v>
      </c>
      <c r="R96" s="501"/>
      <c r="S96" s="188"/>
      <c r="T96" s="188"/>
      <c r="U96" s="188">
        <v>45467</v>
      </c>
      <c r="V96" s="487" t="s">
        <v>20</v>
      </c>
      <c r="W96" s="188">
        <f t="shared" si="3"/>
        <v>45484</v>
      </c>
      <c r="X96" s="509"/>
      <c r="Y96" s="513"/>
      <c r="Z96" s="514"/>
      <c r="AA96" s="514"/>
    </row>
    <row r="97" s="178" customFormat="1" ht="14.25" customHeight="1" spans="1:27">
      <c r="A97" s="487" t="s">
        <v>3320</v>
      </c>
      <c r="B97" s="487"/>
      <c r="C97" s="487" t="s">
        <v>3321</v>
      </c>
      <c r="D97" s="487" t="s">
        <v>3325</v>
      </c>
      <c r="E97" s="488"/>
      <c r="F97" s="489"/>
      <c r="G97" s="487" t="s">
        <v>3079</v>
      </c>
      <c r="H97" s="188" t="s">
        <v>3323</v>
      </c>
      <c r="I97" s="516">
        <v>45447</v>
      </c>
      <c r="J97" s="188">
        <v>45463</v>
      </c>
      <c r="K97" s="493" t="s">
        <v>3038</v>
      </c>
      <c r="L97" s="500" t="s">
        <v>3324</v>
      </c>
      <c r="M97" s="517"/>
      <c r="N97" s="518"/>
      <c r="O97" s="518"/>
      <c r="P97" s="519"/>
      <c r="Q97" s="501">
        <v>45449</v>
      </c>
      <c r="R97" s="501"/>
      <c r="S97" s="188"/>
      <c r="T97" s="188"/>
      <c r="U97" s="188">
        <v>45467</v>
      </c>
      <c r="V97" s="487" t="s">
        <v>20</v>
      </c>
      <c r="W97" s="188">
        <f t="shared" si="3"/>
        <v>45484</v>
      </c>
      <c r="X97" s="509"/>
      <c r="Y97" s="513"/>
      <c r="Z97" s="514"/>
      <c r="AA97" s="514"/>
    </row>
    <row r="98" s="178" customFormat="1" ht="14.25" customHeight="1" spans="1:27">
      <c r="A98" s="487" t="s">
        <v>3247</v>
      </c>
      <c r="B98" s="487"/>
      <c r="C98" s="487" t="s">
        <v>3326</v>
      </c>
      <c r="D98" s="487" t="s">
        <v>3327</v>
      </c>
      <c r="E98" s="488"/>
      <c r="F98" s="489"/>
      <c r="G98" s="487" t="s">
        <v>3032</v>
      </c>
      <c r="H98" s="188" t="s">
        <v>3328</v>
      </c>
      <c r="I98" s="188">
        <v>45445</v>
      </c>
      <c r="J98" s="188">
        <v>45464</v>
      </c>
      <c r="K98" s="493" t="s">
        <v>3038</v>
      </c>
      <c r="L98" s="500" t="s">
        <v>3274</v>
      </c>
      <c r="M98" s="490" t="s">
        <v>309</v>
      </c>
      <c r="N98" s="484"/>
      <c r="O98" s="484"/>
      <c r="P98" s="499"/>
      <c r="Q98" s="501">
        <v>45449</v>
      </c>
      <c r="R98" s="501"/>
      <c r="S98" s="188"/>
      <c r="T98" s="188"/>
      <c r="U98" s="188">
        <v>45467</v>
      </c>
      <c r="V98" s="487" t="s">
        <v>20</v>
      </c>
      <c r="W98" s="188">
        <f t="shared" si="3"/>
        <v>45485</v>
      </c>
      <c r="X98" s="509"/>
      <c r="Y98" s="513"/>
      <c r="Z98" s="514"/>
      <c r="AA98" s="514"/>
    </row>
    <row r="99" s="178" customFormat="1" ht="14.25" customHeight="1" spans="1:27">
      <c r="A99" s="487" t="s">
        <v>3247</v>
      </c>
      <c r="B99" s="487"/>
      <c r="C99" s="487" t="s">
        <v>3329</v>
      </c>
      <c r="D99" s="487" t="s">
        <v>3330</v>
      </c>
      <c r="E99" s="488"/>
      <c r="F99" s="489"/>
      <c r="G99" s="487" t="s">
        <v>3032</v>
      </c>
      <c r="H99" s="188" t="s">
        <v>3328</v>
      </c>
      <c r="I99" s="188">
        <v>45445</v>
      </c>
      <c r="J99" s="188">
        <v>45464</v>
      </c>
      <c r="K99" s="493" t="s">
        <v>3038</v>
      </c>
      <c r="L99" s="500" t="s">
        <v>3039</v>
      </c>
      <c r="M99" s="490" t="s">
        <v>309</v>
      </c>
      <c r="N99" s="484"/>
      <c r="O99" s="484"/>
      <c r="P99" s="499"/>
      <c r="Q99" s="501">
        <v>45449</v>
      </c>
      <c r="R99" s="501"/>
      <c r="S99" s="188"/>
      <c r="T99" s="188"/>
      <c r="U99" s="188">
        <v>45468</v>
      </c>
      <c r="V99" s="487" t="s">
        <v>20</v>
      </c>
      <c r="W99" s="188">
        <f t="shared" si="3"/>
        <v>45485</v>
      </c>
      <c r="X99" s="509"/>
      <c r="Y99" s="513"/>
      <c r="Z99" s="514"/>
      <c r="AA99" s="514"/>
    </row>
    <row r="100" s="178" customFormat="1" ht="14.25" customHeight="1" spans="1:27">
      <c r="A100" s="487" t="s">
        <v>3247</v>
      </c>
      <c r="B100" s="487"/>
      <c r="C100" s="487" t="s">
        <v>3331</v>
      </c>
      <c r="D100" s="487" t="s">
        <v>3332</v>
      </c>
      <c r="E100" s="488"/>
      <c r="F100" s="489"/>
      <c r="G100" s="487" t="s">
        <v>3032</v>
      </c>
      <c r="H100" s="188" t="s">
        <v>3328</v>
      </c>
      <c r="I100" s="188">
        <v>45445</v>
      </c>
      <c r="J100" s="188">
        <v>45464</v>
      </c>
      <c r="K100" s="493" t="s">
        <v>3038</v>
      </c>
      <c r="L100" s="500" t="s">
        <v>3039</v>
      </c>
      <c r="M100" s="490" t="s">
        <v>309</v>
      </c>
      <c r="N100" s="484"/>
      <c r="O100" s="484"/>
      <c r="P100" s="499"/>
      <c r="Q100" s="501">
        <v>45449</v>
      </c>
      <c r="R100" s="501"/>
      <c r="S100" s="188"/>
      <c r="T100" s="188"/>
      <c r="U100" s="188">
        <v>45469</v>
      </c>
      <c r="V100" s="487" t="s">
        <v>20</v>
      </c>
      <c r="W100" s="188">
        <f t="shared" si="3"/>
        <v>45485</v>
      </c>
      <c r="X100" s="509"/>
      <c r="Y100" s="513"/>
      <c r="Z100" s="514"/>
      <c r="AA100" s="514"/>
    </row>
    <row r="101" s="178" customFormat="1" ht="14.25" customHeight="1" spans="1:27">
      <c r="A101" s="487" t="s">
        <v>3247</v>
      </c>
      <c r="B101" s="487"/>
      <c r="C101" s="487" t="s">
        <v>3333</v>
      </c>
      <c r="D101" s="487" t="s">
        <v>3334</v>
      </c>
      <c r="E101" s="488"/>
      <c r="F101" s="489"/>
      <c r="G101" s="487" t="s">
        <v>3032</v>
      </c>
      <c r="H101" s="188" t="s">
        <v>3328</v>
      </c>
      <c r="I101" s="188">
        <v>45445</v>
      </c>
      <c r="J101" s="188">
        <v>45464</v>
      </c>
      <c r="K101" s="493" t="s">
        <v>3038</v>
      </c>
      <c r="L101" s="500" t="s">
        <v>3274</v>
      </c>
      <c r="M101" s="490" t="s">
        <v>309</v>
      </c>
      <c r="N101" s="484"/>
      <c r="O101" s="484"/>
      <c r="P101" s="499"/>
      <c r="Q101" s="501">
        <v>45449</v>
      </c>
      <c r="R101" s="501"/>
      <c r="S101" s="188"/>
      <c r="T101" s="188"/>
      <c r="U101" s="188">
        <v>45470</v>
      </c>
      <c r="V101" s="487" t="s">
        <v>20</v>
      </c>
      <c r="W101" s="188">
        <f t="shared" si="3"/>
        <v>45485</v>
      </c>
      <c r="X101" s="509"/>
      <c r="Y101" s="513"/>
      <c r="Z101" s="514"/>
      <c r="AA101" s="514"/>
    </row>
    <row r="102" s="178" customFormat="1" ht="14.25" customHeight="1" spans="1:27">
      <c r="A102" s="487" t="s">
        <v>3285</v>
      </c>
      <c r="B102" s="487"/>
      <c r="C102" s="487" t="s">
        <v>3335</v>
      </c>
      <c r="D102" s="487" t="s">
        <v>3336</v>
      </c>
      <c r="E102" s="488"/>
      <c r="F102" s="489"/>
      <c r="G102" s="487" t="s">
        <v>3032</v>
      </c>
      <c r="H102" s="188" t="s">
        <v>3328</v>
      </c>
      <c r="I102" s="188">
        <v>45445</v>
      </c>
      <c r="J102" s="188">
        <v>45464</v>
      </c>
      <c r="K102" s="493" t="s">
        <v>3038</v>
      </c>
      <c r="L102" s="500" t="s">
        <v>3039</v>
      </c>
      <c r="M102" s="490" t="s">
        <v>309</v>
      </c>
      <c r="N102" s="484"/>
      <c r="O102" s="484"/>
      <c r="P102" s="499"/>
      <c r="Q102" s="501">
        <v>45447</v>
      </c>
      <c r="R102" s="501"/>
      <c r="S102" s="188"/>
      <c r="T102" s="188"/>
      <c r="U102" s="188">
        <v>45468</v>
      </c>
      <c r="V102" s="487" t="s">
        <v>20</v>
      </c>
      <c r="W102" s="188">
        <f t="shared" si="3"/>
        <v>45485</v>
      </c>
      <c r="X102" s="509"/>
      <c r="Y102" s="513"/>
      <c r="Z102" s="514"/>
      <c r="AA102" s="514"/>
    </row>
    <row r="103" s="178" customFormat="1" ht="14.25" customHeight="1" spans="1:27">
      <c r="A103" s="487" t="s">
        <v>3320</v>
      </c>
      <c r="B103" s="487"/>
      <c r="C103" s="487" t="s">
        <v>3337</v>
      </c>
      <c r="D103" s="487" t="s">
        <v>3338</v>
      </c>
      <c r="E103" s="488"/>
      <c r="F103" s="489"/>
      <c r="G103" s="487" t="s">
        <v>3032</v>
      </c>
      <c r="H103" s="188" t="s">
        <v>3339</v>
      </c>
      <c r="I103" s="516">
        <v>45450</v>
      </c>
      <c r="J103" s="188">
        <v>45465</v>
      </c>
      <c r="K103" s="493" t="s">
        <v>3038</v>
      </c>
      <c r="L103" s="500" t="s">
        <v>3039</v>
      </c>
      <c r="M103" s="490" t="s">
        <v>309</v>
      </c>
      <c r="N103" s="484"/>
      <c r="O103" s="484"/>
      <c r="P103" s="499"/>
      <c r="Q103" s="501">
        <v>45456</v>
      </c>
      <c r="R103" s="501"/>
      <c r="S103" s="188"/>
      <c r="T103" s="188"/>
      <c r="U103" s="188">
        <v>45471</v>
      </c>
      <c r="V103" s="487" t="s">
        <v>20</v>
      </c>
      <c r="W103" s="188">
        <f>J103+14</f>
        <v>45479</v>
      </c>
      <c r="X103" s="509"/>
      <c r="Y103" s="513"/>
      <c r="Z103" s="514"/>
      <c r="AA103" s="514"/>
    </row>
    <row r="104" s="178" customFormat="1" ht="14.25" customHeight="1" spans="1:27">
      <c r="A104" s="487" t="s">
        <v>3340</v>
      </c>
      <c r="B104" s="487"/>
      <c r="C104" s="487" t="s">
        <v>3341</v>
      </c>
      <c r="D104" s="487" t="s">
        <v>3342</v>
      </c>
      <c r="E104" s="488"/>
      <c r="F104" s="489"/>
      <c r="G104" s="492" t="s">
        <v>3146</v>
      </c>
      <c r="H104" s="188" t="s">
        <v>3343</v>
      </c>
      <c r="I104" s="188">
        <v>45443</v>
      </c>
      <c r="J104" s="188">
        <v>45467</v>
      </c>
      <c r="K104" s="493" t="s">
        <v>3038</v>
      </c>
      <c r="L104" s="500" t="s">
        <v>3039</v>
      </c>
      <c r="M104" s="490" t="s">
        <v>309</v>
      </c>
      <c r="N104" s="484"/>
      <c r="O104" s="484"/>
      <c r="P104" s="499"/>
      <c r="Q104" s="501">
        <v>45454</v>
      </c>
      <c r="R104" s="501"/>
      <c r="S104" s="188"/>
      <c r="T104" s="188"/>
      <c r="U104" s="188">
        <v>45474</v>
      </c>
      <c r="V104" s="487" t="s">
        <v>20</v>
      </c>
      <c r="W104" s="188">
        <f>J104+21</f>
        <v>45488</v>
      </c>
      <c r="X104" s="509"/>
      <c r="Y104" s="513"/>
      <c r="Z104" s="514"/>
      <c r="AA104" s="514"/>
    </row>
    <row r="105" s="178" customFormat="1" ht="14.25" customHeight="1" spans="1:27">
      <c r="A105" s="487" t="s">
        <v>3285</v>
      </c>
      <c r="B105" s="487"/>
      <c r="C105" s="487" t="s">
        <v>3344</v>
      </c>
      <c r="D105" s="487" t="s">
        <v>3345</v>
      </c>
      <c r="E105" s="488"/>
      <c r="F105" s="489"/>
      <c r="G105" s="487" t="s">
        <v>3032</v>
      </c>
      <c r="H105" s="188" t="s">
        <v>3309</v>
      </c>
      <c r="I105" s="188">
        <v>45442</v>
      </c>
      <c r="J105" s="188">
        <v>45468</v>
      </c>
      <c r="K105" s="493" t="s">
        <v>39</v>
      </c>
      <c r="L105" s="500" t="s">
        <v>3096</v>
      </c>
      <c r="M105" s="490" t="s">
        <v>309</v>
      </c>
      <c r="N105" s="484"/>
      <c r="O105" s="484"/>
      <c r="P105" s="499"/>
      <c r="Q105" s="501">
        <v>45447</v>
      </c>
      <c r="R105" s="501"/>
      <c r="S105" s="188"/>
      <c r="T105" s="188"/>
      <c r="U105" s="188">
        <v>45471</v>
      </c>
      <c r="V105" s="487" t="s">
        <v>20</v>
      </c>
      <c r="W105" s="188">
        <f>J105+14</f>
        <v>45482</v>
      </c>
      <c r="X105" s="509"/>
      <c r="Y105" s="513"/>
      <c r="Z105" s="514"/>
      <c r="AA105" s="514"/>
    </row>
    <row r="106" s="178" customFormat="1" ht="14.25" customHeight="1" spans="1:27">
      <c r="A106" s="487" t="s">
        <v>3134</v>
      </c>
      <c r="B106" s="487"/>
      <c r="C106" s="487" t="s">
        <v>3346</v>
      </c>
      <c r="D106" s="487" t="s">
        <v>3347</v>
      </c>
      <c r="E106" s="488"/>
      <c r="F106" s="489"/>
      <c r="G106" s="487" t="s">
        <v>3238</v>
      </c>
      <c r="H106" s="188" t="s">
        <v>3348</v>
      </c>
      <c r="I106" s="188">
        <v>45442</v>
      </c>
      <c r="J106" s="188">
        <v>45468</v>
      </c>
      <c r="K106" s="493" t="s">
        <v>39</v>
      </c>
      <c r="L106" s="500" t="s">
        <v>3096</v>
      </c>
      <c r="M106" s="490" t="s">
        <v>309</v>
      </c>
      <c r="N106" s="484"/>
      <c r="O106" s="484"/>
      <c r="P106" s="499"/>
      <c r="Q106" s="501">
        <v>45450</v>
      </c>
      <c r="R106" s="501"/>
      <c r="S106" s="188"/>
      <c r="T106" s="188"/>
      <c r="U106" s="188">
        <v>45471</v>
      </c>
      <c r="V106" s="487" t="s">
        <v>20</v>
      </c>
      <c r="W106" s="188">
        <f>J106+14</f>
        <v>45482</v>
      </c>
      <c r="X106" s="509"/>
      <c r="Y106" s="513"/>
      <c r="Z106" s="514"/>
      <c r="AA106" s="514"/>
    </row>
    <row r="107" s="178" customFormat="1" ht="14.25" customHeight="1" spans="1:27">
      <c r="A107" s="487" t="s">
        <v>3247</v>
      </c>
      <c r="B107" s="487"/>
      <c r="C107" s="487" t="s">
        <v>3349</v>
      </c>
      <c r="D107" s="487" t="s">
        <v>3350</v>
      </c>
      <c r="E107" s="488"/>
      <c r="F107" s="489"/>
      <c r="G107" s="487" t="s">
        <v>3032</v>
      </c>
      <c r="H107" s="188" t="s">
        <v>3328</v>
      </c>
      <c r="I107" s="188">
        <v>45445</v>
      </c>
      <c r="J107" s="188">
        <v>45469</v>
      </c>
      <c r="K107" s="493" t="s">
        <v>39</v>
      </c>
      <c r="L107" s="500" t="s">
        <v>3096</v>
      </c>
      <c r="M107" s="490" t="s">
        <v>309</v>
      </c>
      <c r="N107" s="484"/>
      <c r="O107" s="484"/>
      <c r="P107" s="499"/>
      <c r="Q107" s="501">
        <v>45449</v>
      </c>
      <c r="R107" s="501"/>
      <c r="S107" s="188"/>
      <c r="T107" s="188"/>
      <c r="U107" s="188">
        <v>45475</v>
      </c>
      <c r="V107" s="487" t="s">
        <v>20</v>
      </c>
      <c r="W107" s="188">
        <f>J107+21</f>
        <v>45490</v>
      </c>
      <c r="X107" s="509"/>
      <c r="Y107" s="513"/>
      <c r="Z107" s="514"/>
      <c r="AA107" s="514"/>
    </row>
    <row r="108" s="178" customFormat="1" ht="14.25" customHeight="1" spans="1:27">
      <c r="A108" s="487" t="s">
        <v>3351</v>
      </c>
      <c r="B108" s="487"/>
      <c r="C108" s="487" t="s">
        <v>3352</v>
      </c>
      <c r="D108" s="487" t="s">
        <v>3353</v>
      </c>
      <c r="E108" s="488"/>
      <c r="F108" s="489"/>
      <c r="G108" s="487" t="s">
        <v>3032</v>
      </c>
      <c r="H108" s="188" t="s">
        <v>3354</v>
      </c>
      <c r="I108" s="516">
        <v>45455</v>
      </c>
      <c r="J108" s="188">
        <v>45470</v>
      </c>
      <c r="K108" s="493" t="s">
        <v>161</v>
      </c>
      <c r="L108" s="520"/>
      <c r="M108" s="505" t="s">
        <v>3355</v>
      </c>
      <c r="N108" s="521"/>
      <c r="O108" s="521"/>
      <c r="P108" s="522"/>
      <c r="Q108" s="501">
        <v>45456</v>
      </c>
      <c r="R108" s="501"/>
      <c r="S108" s="188"/>
      <c r="T108" s="188"/>
      <c r="U108" s="188">
        <v>45476</v>
      </c>
      <c r="V108" s="487" t="s">
        <v>20</v>
      </c>
      <c r="W108" s="188">
        <f>J108+21</f>
        <v>45491</v>
      </c>
      <c r="X108" s="509"/>
      <c r="Y108" s="513"/>
      <c r="Z108" s="514"/>
      <c r="AA108" s="514"/>
    </row>
    <row r="109" s="178" customFormat="1" ht="14.25" customHeight="1" spans="1:27">
      <c r="A109" s="487" t="s">
        <v>3285</v>
      </c>
      <c r="B109" s="487"/>
      <c r="C109" s="487" t="s">
        <v>3356</v>
      </c>
      <c r="D109" s="487" t="s">
        <v>3357</v>
      </c>
      <c r="E109" s="488"/>
      <c r="F109" s="489"/>
      <c r="G109" s="487" t="s">
        <v>3032</v>
      </c>
      <c r="H109" s="188" t="s">
        <v>3358</v>
      </c>
      <c r="I109" s="516">
        <v>45456</v>
      </c>
      <c r="J109" s="188">
        <v>45470</v>
      </c>
      <c r="K109" s="493" t="s">
        <v>3038</v>
      </c>
      <c r="L109" s="500" t="s">
        <v>3039</v>
      </c>
      <c r="M109" s="490" t="s">
        <v>309</v>
      </c>
      <c r="N109" s="484"/>
      <c r="O109" s="484"/>
      <c r="P109" s="499"/>
      <c r="Q109" s="501">
        <v>45460</v>
      </c>
      <c r="R109" s="501"/>
      <c r="S109" s="188"/>
      <c r="T109" s="188"/>
      <c r="U109" s="188">
        <v>45476</v>
      </c>
      <c r="V109" s="487" t="s">
        <v>20</v>
      </c>
      <c r="W109" s="188">
        <f>J109+14</f>
        <v>45484</v>
      </c>
      <c r="X109" s="509"/>
      <c r="Y109" s="513"/>
      <c r="Z109" s="514"/>
      <c r="AA109" s="514"/>
    </row>
    <row r="110" s="178" customFormat="1" ht="14.25" customHeight="1" spans="1:27">
      <c r="A110" s="487" t="s">
        <v>3285</v>
      </c>
      <c r="B110" s="487"/>
      <c r="C110" s="487" t="s">
        <v>3356</v>
      </c>
      <c r="D110" s="487" t="s">
        <v>3359</v>
      </c>
      <c r="E110" s="488"/>
      <c r="F110" s="489"/>
      <c r="G110" s="487" t="s">
        <v>3032</v>
      </c>
      <c r="H110" s="188" t="s">
        <v>3358</v>
      </c>
      <c r="I110" s="516">
        <v>45456</v>
      </c>
      <c r="J110" s="188">
        <v>45470</v>
      </c>
      <c r="K110" s="493" t="s">
        <v>3038</v>
      </c>
      <c r="L110" s="500" t="s">
        <v>3039</v>
      </c>
      <c r="M110" s="490" t="s">
        <v>309</v>
      </c>
      <c r="N110" s="484"/>
      <c r="O110" s="484"/>
      <c r="P110" s="499"/>
      <c r="Q110" s="501">
        <v>45460</v>
      </c>
      <c r="R110" s="501"/>
      <c r="S110" s="188"/>
      <c r="T110" s="188"/>
      <c r="U110" s="188">
        <v>45476</v>
      </c>
      <c r="V110" s="487" t="s">
        <v>20</v>
      </c>
      <c r="W110" s="188">
        <f>J110+14</f>
        <v>45484</v>
      </c>
      <c r="X110" s="509"/>
      <c r="Y110" s="513"/>
      <c r="Z110" s="514"/>
      <c r="AA110" s="514"/>
    </row>
    <row r="111" s="178" customFormat="1" ht="14.25" customHeight="1" spans="1:27">
      <c r="A111" s="487" t="s">
        <v>3134</v>
      </c>
      <c r="B111" s="487"/>
      <c r="C111" s="487" t="s">
        <v>3360</v>
      </c>
      <c r="D111" s="487" t="s">
        <v>3361</v>
      </c>
      <c r="E111" s="488"/>
      <c r="F111" s="489"/>
      <c r="G111" s="487" t="s">
        <v>3295</v>
      </c>
      <c r="H111" s="188" t="s">
        <v>3362</v>
      </c>
      <c r="I111" s="188">
        <v>45443</v>
      </c>
      <c r="J111" s="188">
        <v>45471</v>
      </c>
      <c r="K111" s="493" t="s">
        <v>3038</v>
      </c>
      <c r="L111" s="500" t="s">
        <v>3039</v>
      </c>
      <c r="M111" s="490" t="s">
        <v>309</v>
      </c>
      <c r="N111" s="484"/>
      <c r="O111" s="484"/>
      <c r="P111" s="499"/>
      <c r="Q111" s="501">
        <v>45449</v>
      </c>
      <c r="R111" s="501"/>
      <c r="S111" s="188"/>
      <c r="T111" s="188"/>
      <c r="U111" s="188">
        <v>45475</v>
      </c>
      <c r="V111" s="487" t="s">
        <v>20</v>
      </c>
      <c r="W111" s="188">
        <f>J111+14</f>
        <v>45485</v>
      </c>
      <c r="X111" s="509"/>
      <c r="Y111" s="513"/>
      <c r="Z111" s="514"/>
      <c r="AA111" s="514"/>
    </row>
    <row r="112" s="178" customFormat="1" ht="14.25" customHeight="1" spans="1:27">
      <c r="A112" s="487" t="s">
        <v>3247</v>
      </c>
      <c r="B112" s="487"/>
      <c r="C112" s="487" t="s">
        <v>3363</v>
      </c>
      <c r="D112" s="487" t="s">
        <v>3364</v>
      </c>
      <c r="E112" s="488"/>
      <c r="F112" s="489"/>
      <c r="G112" s="487" t="s">
        <v>3295</v>
      </c>
      <c r="H112" s="188" t="s">
        <v>3362</v>
      </c>
      <c r="I112" s="188">
        <v>45443</v>
      </c>
      <c r="J112" s="188">
        <v>45471</v>
      </c>
      <c r="K112" s="493" t="s">
        <v>3038</v>
      </c>
      <c r="L112" s="500" t="s">
        <v>3365</v>
      </c>
      <c r="M112" s="490" t="s">
        <v>3366</v>
      </c>
      <c r="N112" s="484"/>
      <c r="O112" s="484"/>
      <c r="P112" s="499"/>
      <c r="Q112" s="501">
        <v>45449</v>
      </c>
      <c r="R112" s="501"/>
      <c r="S112" s="188"/>
      <c r="T112" s="188"/>
      <c r="U112" s="188">
        <v>45475</v>
      </c>
      <c r="V112" s="487" t="s">
        <v>20</v>
      </c>
      <c r="W112" s="188">
        <f>J112+14</f>
        <v>45485</v>
      </c>
      <c r="X112" s="509"/>
      <c r="Y112" s="513"/>
      <c r="Z112" s="514"/>
      <c r="AA112" s="514"/>
    </row>
    <row r="113" s="178" customFormat="1" ht="14.25" customHeight="1" spans="1:27">
      <c r="A113" s="487" t="s">
        <v>3285</v>
      </c>
      <c r="B113" s="487"/>
      <c r="C113" s="487" t="s">
        <v>3367</v>
      </c>
      <c r="D113" s="515" t="s">
        <v>3368</v>
      </c>
      <c r="E113" s="488"/>
      <c r="F113" s="489"/>
      <c r="G113" s="487" t="s">
        <v>3032</v>
      </c>
      <c r="H113" s="188" t="s">
        <v>3354</v>
      </c>
      <c r="I113" s="516">
        <v>45455</v>
      </c>
      <c r="J113" s="188">
        <v>45473</v>
      </c>
      <c r="K113" s="493" t="s">
        <v>3038</v>
      </c>
      <c r="L113" s="520" t="s">
        <v>3369</v>
      </c>
      <c r="M113" s="490" t="s">
        <v>3370</v>
      </c>
      <c r="N113" s="484"/>
      <c r="O113" s="484"/>
      <c r="P113" s="499"/>
      <c r="Q113" s="501">
        <v>45456</v>
      </c>
      <c r="R113" s="501"/>
      <c r="S113" s="188"/>
      <c r="T113" s="188"/>
      <c r="U113" s="188">
        <v>45476</v>
      </c>
      <c r="V113" s="487" t="s">
        <v>20</v>
      </c>
      <c r="W113" s="188">
        <f>J113+21</f>
        <v>45494</v>
      </c>
      <c r="X113" s="509"/>
      <c r="Y113" s="513"/>
      <c r="Z113" s="514"/>
      <c r="AA113" s="514"/>
    </row>
    <row r="114" s="178" customFormat="1" ht="14.25" customHeight="1" spans="1:27">
      <c r="A114" s="487" t="s">
        <v>3371</v>
      </c>
      <c r="B114" s="487"/>
      <c r="C114" s="487" t="s">
        <v>3372</v>
      </c>
      <c r="D114" s="515" t="s">
        <v>3373</v>
      </c>
      <c r="E114" s="488"/>
      <c r="F114" s="489"/>
      <c r="G114" s="487" t="s">
        <v>3032</v>
      </c>
      <c r="H114" s="188" t="s">
        <v>3354</v>
      </c>
      <c r="I114" s="516">
        <v>45455</v>
      </c>
      <c r="J114" s="188">
        <v>45473</v>
      </c>
      <c r="K114" s="493" t="s">
        <v>3038</v>
      </c>
      <c r="L114" s="520" t="s">
        <v>3369</v>
      </c>
      <c r="M114" s="490" t="s">
        <v>3374</v>
      </c>
      <c r="N114" s="484"/>
      <c r="O114" s="484"/>
      <c r="P114" s="499"/>
      <c r="Q114" s="501">
        <v>45456</v>
      </c>
      <c r="R114" s="501"/>
      <c r="S114" s="188"/>
      <c r="T114" s="188"/>
      <c r="U114" s="188">
        <v>45475</v>
      </c>
      <c r="V114" s="487" t="s">
        <v>20</v>
      </c>
      <c r="W114" s="188">
        <f>J114+21</f>
        <v>45494</v>
      </c>
      <c r="X114" s="509"/>
      <c r="Y114" s="513"/>
      <c r="Z114" s="514"/>
      <c r="AA114" s="514"/>
    </row>
    <row r="115" s="178" customFormat="1" ht="14.25" customHeight="1" spans="1:27">
      <c r="A115" s="487" t="s">
        <v>3375</v>
      </c>
      <c r="B115" s="487"/>
      <c r="C115" s="487" t="s">
        <v>3376</v>
      </c>
      <c r="D115" s="515" t="s">
        <v>3377</v>
      </c>
      <c r="E115" s="488"/>
      <c r="F115" s="489"/>
      <c r="G115" s="487" t="s">
        <v>3032</v>
      </c>
      <c r="H115" s="188" t="s">
        <v>3354</v>
      </c>
      <c r="I115" s="516">
        <v>45455</v>
      </c>
      <c r="J115" s="188">
        <v>45473</v>
      </c>
      <c r="K115" s="493" t="s">
        <v>3038</v>
      </c>
      <c r="L115" s="500" t="s">
        <v>3324</v>
      </c>
      <c r="M115" s="490" t="s">
        <v>309</v>
      </c>
      <c r="N115" s="484"/>
      <c r="O115" s="484"/>
      <c r="P115" s="499"/>
      <c r="Q115" s="501">
        <v>45456</v>
      </c>
      <c r="R115" s="501"/>
      <c r="S115" s="188"/>
      <c r="T115" s="188"/>
      <c r="U115" s="188">
        <v>45477</v>
      </c>
      <c r="V115" s="487" t="s">
        <v>20</v>
      </c>
      <c r="W115" s="188">
        <f>J115+21</f>
        <v>45494</v>
      </c>
      <c r="X115" s="509"/>
      <c r="Y115" s="513"/>
      <c r="Z115" s="514"/>
      <c r="AA115" s="514"/>
    </row>
    <row r="116" s="178" customFormat="1" ht="14.25" customHeight="1" spans="1:27">
      <c r="A116" s="487" t="s">
        <v>3378</v>
      </c>
      <c r="B116" s="487"/>
      <c r="C116" s="487" t="s">
        <v>3379</v>
      </c>
      <c r="D116" s="515" t="s">
        <v>3380</v>
      </c>
      <c r="E116" s="488"/>
      <c r="F116" s="489"/>
      <c r="G116" s="487" t="s">
        <v>3032</v>
      </c>
      <c r="H116" s="188" t="s">
        <v>3354</v>
      </c>
      <c r="I116" s="516">
        <v>45455</v>
      </c>
      <c r="J116" s="188">
        <v>45473</v>
      </c>
      <c r="K116" s="493" t="s">
        <v>3038</v>
      </c>
      <c r="L116" s="500" t="s">
        <v>3324</v>
      </c>
      <c r="M116" s="490" t="s">
        <v>309</v>
      </c>
      <c r="N116" s="484"/>
      <c r="O116" s="484"/>
      <c r="P116" s="499"/>
      <c r="Q116" s="501">
        <v>45460</v>
      </c>
      <c r="R116" s="501"/>
      <c r="S116" s="188"/>
      <c r="T116" s="188"/>
      <c r="U116" s="188">
        <v>45477</v>
      </c>
      <c r="V116" s="487" t="s">
        <v>20</v>
      </c>
      <c r="W116" s="188">
        <f>J116+21</f>
        <v>45494</v>
      </c>
      <c r="X116" s="509"/>
      <c r="Y116" s="513"/>
      <c r="Z116" s="514"/>
      <c r="AA116" s="514"/>
    </row>
    <row r="117" s="178" customFormat="1" ht="14.25" customHeight="1" spans="1:27">
      <c r="A117" s="487" t="s">
        <v>3381</v>
      </c>
      <c r="B117" s="487"/>
      <c r="C117" s="487" t="s">
        <v>3382</v>
      </c>
      <c r="D117" s="515" t="s">
        <v>3383</v>
      </c>
      <c r="E117" s="488"/>
      <c r="F117" s="489"/>
      <c r="G117" s="487" t="s">
        <v>3032</v>
      </c>
      <c r="H117" s="188" t="s">
        <v>3354</v>
      </c>
      <c r="I117" s="516">
        <v>45455</v>
      </c>
      <c r="J117" s="188">
        <v>45473</v>
      </c>
      <c r="K117" s="493" t="s">
        <v>3038</v>
      </c>
      <c r="L117" s="500" t="s">
        <v>3324</v>
      </c>
      <c r="M117" s="490" t="s">
        <v>309</v>
      </c>
      <c r="N117" s="484"/>
      <c r="O117" s="484"/>
      <c r="P117" s="499"/>
      <c r="Q117" s="501">
        <v>45464</v>
      </c>
      <c r="R117" s="501"/>
      <c r="S117" s="188"/>
      <c r="T117" s="188"/>
      <c r="U117" s="188">
        <v>45478</v>
      </c>
      <c r="V117" s="487" t="s">
        <v>20</v>
      </c>
      <c r="W117" s="188">
        <f>J117+21</f>
        <v>45494</v>
      </c>
      <c r="X117" s="509"/>
      <c r="Y117" s="513"/>
      <c r="Z117" s="514"/>
      <c r="AA117" s="514"/>
    </row>
    <row r="118" s="178" customFormat="1" ht="14.25" customHeight="1" spans="1:27">
      <c r="A118" s="487" t="s">
        <v>3384</v>
      </c>
      <c r="B118" s="487"/>
      <c r="C118" s="487" t="s">
        <v>3385</v>
      </c>
      <c r="D118" s="487" t="s">
        <v>3386</v>
      </c>
      <c r="E118" s="488"/>
      <c r="F118" s="489"/>
      <c r="G118" s="487" t="s">
        <v>3067</v>
      </c>
      <c r="H118" s="188" t="s">
        <v>3387</v>
      </c>
      <c r="I118" s="188">
        <v>45442</v>
      </c>
      <c r="J118" s="188">
        <v>45473</v>
      </c>
      <c r="K118" s="493" t="s">
        <v>207</v>
      </c>
      <c r="L118" s="500" t="s">
        <v>3069</v>
      </c>
      <c r="M118" s="490" t="s">
        <v>3388</v>
      </c>
      <c r="N118" s="484"/>
      <c r="O118" s="484"/>
      <c r="P118" s="499"/>
      <c r="Q118" s="501">
        <v>45456</v>
      </c>
      <c r="R118" s="501"/>
      <c r="S118" s="188"/>
      <c r="T118" s="188"/>
      <c r="U118" s="188">
        <v>45478</v>
      </c>
      <c r="V118" s="487" t="s">
        <v>20</v>
      </c>
      <c r="W118" s="188">
        <f>J118+14</f>
        <v>45487</v>
      </c>
      <c r="X118" s="509"/>
      <c r="Y118" s="513"/>
      <c r="Z118" s="514"/>
      <c r="AA118" s="514"/>
    </row>
    <row r="119" s="178" customFormat="1" ht="14.25" customHeight="1" spans="1:27">
      <c r="A119" s="487" t="s">
        <v>3389</v>
      </c>
      <c r="B119" s="487"/>
      <c r="C119" s="487" t="s">
        <v>3390</v>
      </c>
      <c r="D119" s="487" t="s">
        <v>3391</v>
      </c>
      <c r="E119" s="488"/>
      <c r="F119" s="489"/>
      <c r="G119" s="487" t="s">
        <v>3067</v>
      </c>
      <c r="H119" s="188" t="s">
        <v>3392</v>
      </c>
      <c r="I119" s="188">
        <v>45449</v>
      </c>
      <c r="J119" s="188">
        <v>45473</v>
      </c>
      <c r="K119" s="493" t="s">
        <v>207</v>
      </c>
      <c r="L119" s="500" t="s">
        <v>3393</v>
      </c>
      <c r="M119" s="490" t="s">
        <v>3394</v>
      </c>
      <c r="N119" s="484"/>
      <c r="O119" s="484"/>
      <c r="P119" s="499"/>
      <c r="Q119" s="501">
        <v>45456</v>
      </c>
      <c r="R119" s="501"/>
      <c r="S119" s="188"/>
      <c r="T119" s="188"/>
      <c r="U119" s="188">
        <v>45478</v>
      </c>
      <c r="V119" s="487" t="s">
        <v>20</v>
      </c>
      <c r="W119" s="188">
        <f>J119+14</f>
        <v>45487</v>
      </c>
      <c r="X119" s="509"/>
      <c r="Y119" s="513"/>
      <c r="Z119" s="514"/>
      <c r="AA119" s="514"/>
    </row>
    <row r="120" s="178" customFormat="1" ht="14.25" customHeight="1" spans="1:27">
      <c r="A120" s="487" t="s">
        <v>3389</v>
      </c>
      <c r="B120" s="487"/>
      <c r="C120" s="487" t="s">
        <v>3395</v>
      </c>
      <c r="D120" s="487" t="s">
        <v>3396</v>
      </c>
      <c r="E120" s="488"/>
      <c r="F120" s="489"/>
      <c r="G120" s="487" t="s">
        <v>3067</v>
      </c>
      <c r="H120" s="188" t="s">
        <v>3397</v>
      </c>
      <c r="I120" s="188">
        <v>45413</v>
      </c>
      <c r="J120" s="188">
        <v>45474</v>
      </c>
      <c r="K120" s="493" t="s">
        <v>215</v>
      </c>
      <c r="L120" s="500" t="s">
        <v>3086</v>
      </c>
      <c r="M120" s="490" t="s">
        <v>3398</v>
      </c>
      <c r="N120" s="484"/>
      <c r="O120" s="484"/>
      <c r="P120" s="499"/>
      <c r="Q120" s="501">
        <v>45423</v>
      </c>
      <c r="R120" s="501"/>
      <c r="S120" s="188"/>
      <c r="T120" s="188"/>
      <c r="U120" s="188">
        <v>45476</v>
      </c>
      <c r="V120" s="487" t="s">
        <v>20</v>
      </c>
      <c r="W120" s="188">
        <f>J120+14</f>
        <v>45488</v>
      </c>
      <c r="X120" s="509"/>
      <c r="Y120" s="513"/>
      <c r="Z120" s="514"/>
      <c r="AA120" s="514"/>
    </row>
    <row r="121" s="178" customFormat="1" ht="14.25" customHeight="1" spans="1:27">
      <c r="A121" s="487" t="s">
        <v>3320</v>
      </c>
      <c r="B121" s="487"/>
      <c r="C121" s="487" t="s">
        <v>3399</v>
      </c>
      <c r="D121" s="515" t="s">
        <v>3400</v>
      </c>
      <c r="E121" s="488"/>
      <c r="F121" s="489"/>
      <c r="G121" s="487" t="s">
        <v>3079</v>
      </c>
      <c r="H121" s="188" t="s">
        <v>3401</v>
      </c>
      <c r="I121" s="188">
        <v>45454</v>
      </c>
      <c r="J121" s="188">
        <v>45475</v>
      </c>
      <c r="K121" s="493" t="s">
        <v>3038</v>
      </c>
      <c r="L121" s="500" t="s">
        <v>3324</v>
      </c>
      <c r="M121" s="490" t="s">
        <v>309</v>
      </c>
      <c r="N121" s="484"/>
      <c r="O121" s="484"/>
      <c r="P121" s="499"/>
      <c r="Q121" s="501">
        <v>45456</v>
      </c>
      <c r="R121" s="501"/>
      <c r="S121" s="188"/>
      <c r="T121" s="188"/>
      <c r="U121" s="188">
        <v>45482</v>
      </c>
      <c r="V121" s="487" t="s">
        <v>20</v>
      </c>
      <c r="W121" s="188">
        <f t="shared" ref="W121:W137" si="4">J121+21</f>
        <v>45496</v>
      </c>
      <c r="X121" s="509"/>
      <c r="Y121" s="513"/>
      <c r="Z121" s="514"/>
      <c r="AA121" s="514"/>
    </row>
    <row r="122" s="178" customFormat="1" ht="14.25" customHeight="1" spans="1:27">
      <c r="A122" s="487" t="s">
        <v>3285</v>
      </c>
      <c r="B122" s="487"/>
      <c r="C122" s="487" t="s">
        <v>3402</v>
      </c>
      <c r="D122" s="515" t="s">
        <v>3403</v>
      </c>
      <c r="E122" s="488"/>
      <c r="F122" s="489"/>
      <c r="G122" s="487" t="s">
        <v>3079</v>
      </c>
      <c r="H122" s="188" t="s">
        <v>3404</v>
      </c>
      <c r="I122" s="188">
        <v>45440</v>
      </c>
      <c r="J122" s="188">
        <v>45475</v>
      </c>
      <c r="K122" s="493" t="s">
        <v>3038</v>
      </c>
      <c r="L122" s="500" t="s">
        <v>3324</v>
      </c>
      <c r="M122" s="490" t="s">
        <v>309</v>
      </c>
      <c r="N122" s="484"/>
      <c r="O122" s="484"/>
      <c r="P122" s="499"/>
      <c r="Q122" s="501">
        <v>45447</v>
      </c>
      <c r="R122" s="501"/>
      <c r="S122" s="188"/>
      <c r="T122" s="188"/>
      <c r="U122" s="188">
        <v>45478</v>
      </c>
      <c r="V122" s="487" t="s">
        <v>20</v>
      </c>
      <c r="W122" s="188">
        <f t="shared" si="4"/>
        <v>45496</v>
      </c>
      <c r="X122" s="509"/>
      <c r="Y122" s="513"/>
      <c r="Z122" s="514"/>
      <c r="AA122" s="514"/>
    </row>
    <row r="123" s="178" customFormat="1" ht="14.25" customHeight="1" spans="1:27">
      <c r="A123" s="487" t="s">
        <v>3285</v>
      </c>
      <c r="B123" s="487"/>
      <c r="C123" s="487" t="s">
        <v>3402</v>
      </c>
      <c r="D123" s="515" t="s">
        <v>3405</v>
      </c>
      <c r="E123" s="488"/>
      <c r="F123" s="489"/>
      <c r="G123" s="487" t="s">
        <v>3079</v>
      </c>
      <c r="H123" s="188" t="s">
        <v>3404</v>
      </c>
      <c r="I123" s="188">
        <v>45440</v>
      </c>
      <c r="J123" s="188">
        <v>45475</v>
      </c>
      <c r="K123" s="493" t="s">
        <v>3038</v>
      </c>
      <c r="L123" s="500" t="s">
        <v>3324</v>
      </c>
      <c r="M123" s="490" t="s">
        <v>309</v>
      </c>
      <c r="N123" s="484"/>
      <c r="O123" s="484"/>
      <c r="P123" s="499"/>
      <c r="Q123" s="501">
        <v>45447</v>
      </c>
      <c r="R123" s="501"/>
      <c r="S123" s="188"/>
      <c r="T123" s="188"/>
      <c r="U123" s="188">
        <v>45481</v>
      </c>
      <c r="V123" s="487" t="s">
        <v>20</v>
      </c>
      <c r="W123" s="188">
        <f t="shared" si="4"/>
        <v>45496</v>
      </c>
      <c r="X123" s="509"/>
      <c r="Y123" s="513"/>
      <c r="Z123" s="514"/>
      <c r="AA123" s="514"/>
    </row>
    <row r="124" s="178" customFormat="1" ht="14.25" customHeight="1" spans="1:27">
      <c r="A124" s="487" t="s">
        <v>3320</v>
      </c>
      <c r="B124" s="487"/>
      <c r="C124" s="487" t="s">
        <v>3406</v>
      </c>
      <c r="D124" s="515" t="s">
        <v>3407</v>
      </c>
      <c r="E124" s="488"/>
      <c r="F124" s="489"/>
      <c r="G124" s="487" t="s">
        <v>3067</v>
      </c>
      <c r="H124" s="188" t="s">
        <v>3408</v>
      </c>
      <c r="I124" s="516">
        <v>45445</v>
      </c>
      <c r="J124" s="188">
        <v>45475</v>
      </c>
      <c r="K124" s="493" t="s">
        <v>3038</v>
      </c>
      <c r="L124" s="500" t="s">
        <v>3324</v>
      </c>
      <c r="M124" s="490" t="s">
        <v>309</v>
      </c>
      <c r="N124" s="484"/>
      <c r="O124" s="484"/>
      <c r="P124" s="499"/>
      <c r="Q124" s="501">
        <v>45449</v>
      </c>
      <c r="R124" s="501"/>
      <c r="S124" s="188"/>
      <c r="T124" s="188"/>
      <c r="U124" s="188">
        <v>45481</v>
      </c>
      <c r="V124" s="487" t="s">
        <v>20</v>
      </c>
      <c r="W124" s="188">
        <f t="shared" si="4"/>
        <v>45496</v>
      </c>
      <c r="X124" s="509"/>
      <c r="Y124" s="513"/>
      <c r="Z124" s="514"/>
      <c r="AA124" s="514"/>
    </row>
    <row r="125" s="178" customFormat="1" ht="14.25" customHeight="1" spans="1:27">
      <c r="A125" s="487" t="s">
        <v>3378</v>
      </c>
      <c r="B125" s="487"/>
      <c r="C125" s="487" t="s">
        <v>3409</v>
      </c>
      <c r="D125" s="515" t="s">
        <v>3410</v>
      </c>
      <c r="E125" s="488"/>
      <c r="F125" s="489"/>
      <c r="G125" s="487" t="s">
        <v>3137</v>
      </c>
      <c r="H125" s="188" t="s">
        <v>3411</v>
      </c>
      <c r="I125" s="188">
        <v>45465</v>
      </c>
      <c r="J125" s="188">
        <v>45477</v>
      </c>
      <c r="K125" s="493" t="s">
        <v>3038</v>
      </c>
      <c r="L125" s="500" t="s">
        <v>3324</v>
      </c>
      <c r="M125" s="490" t="s">
        <v>309</v>
      </c>
      <c r="N125" s="484"/>
      <c r="O125" s="484"/>
      <c r="P125" s="499"/>
      <c r="Q125" s="501">
        <v>45468</v>
      </c>
      <c r="R125" s="501"/>
      <c r="S125" s="188"/>
      <c r="T125" s="188"/>
      <c r="U125" s="188">
        <v>45482</v>
      </c>
      <c r="V125" s="487" t="s">
        <v>20</v>
      </c>
      <c r="W125" s="188">
        <f t="shared" si="4"/>
        <v>45498</v>
      </c>
      <c r="X125" s="509"/>
      <c r="Y125" s="513"/>
      <c r="Z125" s="514"/>
      <c r="AA125" s="514"/>
    </row>
    <row r="126" s="178" customFormat="1" ht="14.25" customHeight="1" spans="1:27">
      <c r="A126" s="487" t="s">
        <v>3378</v>
      </c>
      <c r="B126" s="487"/>
      <c r="C126" s="487" t="s">
        <v>3409</v>
      </c>
      <c r="D126" s="515" t="s">
        <v>3412</v>
      </c>
      <c r="E126" s="488"/>
      <c r="F126" s="489"/>
      <c r="G126" s="487" t="s">
        <v>3137</v>
      </c>
      <c r="H126" s="188" t="s">
        <v>3411</v>
      </c>
      <c r="I126" s="188">
        <v>45465</v>
      </c>
      <c r="J126" s="188">
        <v>45477</v>
      </c>
      <c r="K126" s="493" t="s">
        <v>3038</v>
      </c>
      <c r="L126" s="500" t="s">
        <v>3324</v>
      </c>
      <c r="M126" s="490" t="s">
        <v>309</v>
      </c>
      <c r="N126" s="484"/>
      <c r="O126" s="484"/>
      <c r="P126" s="499"/>
      <c r="Q126" s="501">
        <v>45468</v>
      </c>
      <c r="R126" s="501"/>
      <c r="S126" s="188"/>
      <c r="T126" s="188"/>
      <c r="U126" s="188">
        <v>45482</v>
      </c>
      <c r="V126" s="487" t="s">
        <v>20</v>
      </c>
      <c r="W126" s="188">
        <f t="shared" si="4"/>
        <v>45498</v>
      </c>
      <c r="X126" s="509"/>
      <c r="Y126" s="513"/>
      <c r="Z126" s="514"/>
      <c r="AA126" s="514"/>
    </row>
    <row r="127" s="178" customFormat="1" ht="14.25" customHeight="1" spans="1:27">
      <c r="A127" s="487" t="s">
        <v>3378</v>
      </c>
      <c r="B127" s="487"/>
      <c r="C127" s="487" t="s">
        <v>3409</v>
      </c>
      <c r="D127" s="515" t="s">
        <v>3413</v>
      </c>
      <c r="E127" s="488"/>
      <c r="F127" s="489"/>
      <c r="G127" s="487" t="s">
        <v>3137</v>
      </c>
      <c r="H127" s="188" t="s">
        <v>3411</v>
      </c>
      <c r="I127" s="188">
        <v>45465</v>
      </c>
      <c r="J127" s="188">
        <v>45477</v>
      </c>
      <c r="K127" s="493" t="s">
        <v>3038</v>
      </c>
      <c r="L127" s="500" t="s">
        <v>3324</v>
      </c>
      <c r="M127" s="490" t="s">
        <v>309</v>
      </c>
      <c r="N127" s="484"/>
      <c r="O127" s="484"/>
      <c r="P127" s="499"/>
      <c r="Q127" s="501">
        <v>45468</v>
      </c>
      <c r="R127" s="501"/>
      <c r="S127" s="188"/>
      <c r="T127" s="188"/>
      <c r="U127" s="188">
        <v>45482</v>
      </c>
      <c r="V127" s="487" t="s">
        <v>20</v>
      </c>
      <c r="W127" s="188">
        <f t="shared" si="4"/>
        <v>45498</v>
      </c>
      <c r="X127" s="509"/>
      <c r="Y127" s="513"/>
      <c r="Z127" s="514"/>
      <c r="AA127" s="514"/>
    </row>
    <row r="128" s="178" customFormat="1" ht="14.25" customHeight="1" spans="1:27">
      <c r="A128" s="487" t="s">
        <v>3378</v>
      </c>
      <c r="B128" s="487"/>
      <c r="C128" s="487" t="s">
        <v>3409</v>
      </c>
      <c r="D128" s="515" t="s">
        <v>3414</v>
      </c>
      <c r="E128" s="488"/>
      <c r="F128" s="489"/>
      <c r="G128" s="487" t="s">
        <v>3137</v>
      </c>
      <c r="H128" s="188" t="s">
        <v>3411</v>
      </c>
      <c r="I128" s="188">
        <v>45465</v>
      </c>
      <c r="J128" s="188">
        <v>45477</v>
      </c>
      <c r="K128" s="493" t="s">
        <v>3038</v>
      </c>
      <c r="L128" s="500" t="s">
        <v>3324</v>
      </c>
      <c r="M128" s="490" t="s">
        <v>309</v>
      </c>
      <c r="N128" s="484"/>
      <c r="O128" s="484"/>
      <c r="P128" s="499"/>
      <c r="Q128" s="501">
        <v>45468</v>
      </c>
      <c r="R128" s="501"/>
      <c r="S128" s="188"/>
      <c r="T128" s="188"/>
      <c r="U128" s="188">
        <v>45483</v>
      </c>
      <c r="V128" s="487" t="s">
        <v>20</v>
      </c>
      <c r="W128" s="188">
        <f t="shared" si="4"/>
        <v>45498</v>
      </c>
      <c r="X128" s="509"/>
      <c r="Y128" s="513"/>
      <c r="Z128" s="514"/>
      <c r="AA128" s="514"/>
    </row>
    <row r="129" s="178" customFormat="1" ht="14.25" customHeight="1" spans="1:27">
      <c r="A129" s="487" t="s">
        <v>3378</v>
      </c>
      <c r="B129" s="487"/>
      <c r="C129" s="487" t="s">
        <v>3409</v>
      </c>
      <c r="D129" s="515" t="s">
        <v>3415</v>
      </c>
      <c r="E129" s="488"/>
      <c r="F129" s="489"/>
      <c r="G129" s="487" t="s">
        <v>3137</v>
      </c>
      <c r="H129" s="188" t="s">
        <v>3411</v>
      </c>
      <c r="I129" s="188">
        <v>45465</v>
      </c>
      <c r="J129" s="188">
        <v>45477</v>
      </c>
      <c r="K129" s="493" t="s">
        <v>3038</v>
      </c>
      <c r="L129" s="500" t="s">
        <v>3324</v>
      </c>
      <c r="M129" s="490" t="s">
        <v>309</v>
      </c>
      <c r="N129" s="484"/>
      <c r="O129" s="484"/>
      <c r="P129" s="499"/>
      <c r="Q129" s="501">
        <v>45468</v>
      </c>
      <c r="R129" s="501"/>
      <c r="S129" s="188"/>
      <c r="T129" s="188"/>
      <c r="U129" s="188">
        <v>45483</v>
      </c>
      <c r="V129" s="487" t="s">
        <v>20</v>
      </c>
      <c r="W129" s="188">
        <f t="shared" si="4"/>
        <v>45498</v>
      </c>
      <c r="X129" s="509"/>
      <c r="Y129" s="513"/>
      <c r="Z129" s="514"/>
      <c r="AA129" s="514"/>
    </row>
    <row r="130" s="178" customFormat="1" ht="14.25" customHeight="1" spans="1:27">
      <c r="A130" s="487" t="s">
        <v>3378</v>
      </c>
      <c r="B130" s="487"/>
      <c r="C130" s="487" t="s">
        <v>3409</v>
      </c>
      <c r="D130" s="515" t="s">
        <v>3416</v>
      </c>
      <c r="E130" s="488"/>
      <c r="F130" s="489"/>
      <c r="G130" s="487" t="s">
        <v>3137</v>
      </c>
      <c r="H130" s="188" t="s">
        <v>3411</v>
      </c>
      <c r="I130" s="188">
        <v>45465</v>
      </c>
      <c r="J130" s="188">
        <v>45477</v>
      </c>
      <c r="K130" s="493" t="s">
        <v>3038</v>
      </c>
      <c r="L130" s="500" t="s">
        <v>3324</v>
      </c>
      <c r="M130" s="490" t="s">
        <v>309</v>
      </c>
      <c r="N130" s="484"/>
      <c r="O130" s="484"/>
      <c r="P130" s="499"/>
      <c r="Q130" s="501">
        <v>45468</v>
      </c>
      <c r="R130" s="501"/>
      <c r="S130" s="188"/>
      <c r="T130" s="188"/>
      <c r="U130" s="188">
        <v>45483</v>
      </c>
      <c r="V130" s="487" t="s">
        <v>20</v>
      </c>
      <c r="W130" s="188">
        <f t="shared" si="4"/>
        <v>45498</v>
      </c>
      <c r="X130" s="509"/>
      <c r="Y130" s="513"/>
      <c r="Z130" s="514"/>
      <c r="AA130" s="514"/>
    </row>
    <row r="131" s="178" customFormat="1" ht="14.25" customHeight="1" spans="1:27">
      <c r="A131" s="487" t="s">
        <v>3351</v>
      </c>
      <c r="B131" s="487"/>
      <c r="C131" s="487" t="s">
        <v>3417</v>
      </c>
      <c r="D131" s="487" t="s">
        <v>3418</v>
      </c>
      <c r="E131" s="488"/>
      <c r="F131" s="489"/>
      <c r="G131" s="487" t="s">
        <v>3032</v>
      </c>
      <c r="H131" s="188" t="s">
        <v>3354</v>
      </c>
      <c r="I131" s="516">
        <v>45455</v>
      </c>
      <c r="J131" s="188">
        <v>45478</v>
      </c>
      <c r="K131" s="493" t="s">
        <v>39</v>
      </c>
      <c r="L131" s="520" t="s">
        <v>3419</v>
      </c>
      <c r="M131" s="490" t="s">
        <v>3420</v>
      </c>
      <c r="N131" s="484"/>
      <c r="O131" s="484"/>
      <c r="P131" s="499"/>
      <c r="Q131" s="501">
        <v>45456</v>
      </c>
      <c r="R131" s="501"/>
      <c r="S131" s="188"/>
      <c r="T131" s="188"/>
      <c r="U131" s="188">
        <v>45484</v>
      </c>
      <c r="V131" s="487" t="s">
        <v>20</v>
      </c>
      <c r="W131" s="188">
        <f t="shared" si="4"/>
        <v>45499</v>
      </c>
      <c r="X131" s="509"/>
      <c r="Y131" s="513"/>
      <c r="Z131" s="514"/>
      <c r="AA131" s="514"/>
    </row>
    <row r="132" s="178" customFormat="1" ht="14.25" customHeight="1" spans="1:27">
      <c r="A132" s="487" t="s">
        <v>3351</v>
      </c>
      <c r="B132" s="487"/>
      <c r="C132" s="487" t="s">
        <v>3421</v>
      </c>
      <c r="D132" s="487" t="s">
        <v>3422</v>
      </c>
      <c r="E132" s="488"/>
      <c r="F132" s="489"/>
      <c r="G132" s="487" t="s">
        <v>3032</v>
      </c>
      <c r="H132" s="188" t="s">
        <v>3354</v>
      </c>
      <c r="I132" s="516">
        <v>45455</v>
      </c>
      <c r="J132" s="188">
        <v>45478</v>
      </c>
      <c r="K132" s="493" t="s">
        <v>39</v>
      </c>
      <c r="L132" s="520" t="s">
        <v>3419</v>
      </c>
      <c r="M132" s="490" t="s">
        <v>3423</v>
      </c>
      <c r="N132" s="484"/>
      <c r="O132" s="484"/>
      <c r="P132" s="499"/>
      <c r="Q132" s="501">
        <v>45456</v>
      </c>
      <c r="R132" s="501"/>
      <c r="S132" s="188"/>
      <c r="T132" s="188"/>
      <c r="U132" s="188">
        <v>45484</v>
      </c>
      <c r="V132" s="487" t="s">
        <v>20</v>
      </c>
      <c r="W132" s="188">
        <f t="shared" si="4"/>
        <v>45499</v>
      </c>
      <c r="X132" s="509"/>
      <c r="Y132" s="513"/>
      <c r="Z132" s="514"/>
      <c r="AA132" s="514"/>
    </row>
    <row r="133" s="178" customFormat="1" ht="14.25" customHeight="1" spans="1:27">
      <c r="A133" s="487" t="s">
        <v>3378</v>
      </c>
      <c r="B133" s="487"/>
      <c r="C133" s="487" t="s">
        <v>3424</v>
      </c>
      <c r="D133" s="515" t="s">
        <v>3425</v>
      </c>
      <c r="E133" s="488"/>
      <c r="F133" s="489"/>
      <c r="G133" s="487" t="s">
        <v>3032</v>
      </c>
      <c r="H133" s="188" t="s">
        <v>3426</v>
      </c>
      <c r="I133" s="188">
        <v>45463</v>
      </c>
      <c r="J133" s="188">
        <v>45479</v>
      </c>
      <c r="K133" s="493" t="s">
        <v>3038</v>
      </c>
      <c r="L133" s="500" t="s">
        <v>3324</v>
      </c>
      <c r="M133" s="490" t="s">
        <v>309</v>
      </c>
      <c r="N133" s="484"/>
      <c r="O133" s="484"/>
      <c r="P133" s="499"/>
      <c r="Q133" s="501">
        <v>45468</v>
      </c>
      <c r="R133" s="501"/>
      <c r="S133" s="188"/>
      <c r="T133" s="188"/>
      <c r="U133" s="188">
        <v>45484</v>
      </c>
      <c r="V133" s="487" t="s">
        <v>20</v>
      </c>
      <c r="W133" s="188">
        <f t="shared" si="4"/>
        <v>45500</v>
      </c>
      <c r="X133" s="509"/>
      <c r="Y133" s="513"/>
      <c r="Z133" s="514"/>
      <c r="AA133" s="514"/>
    </row>
    <row r="134" s="178" customFormat="1" ht="14.25" customHeight="1" spans="1:27">
      <c r="A134" s="487" t="s">
        <v>3378</v>
      </c>
      <c r="B134" s="487"/>
      <c r="C134" s="487" t="s">
        <v>3427</v>
      </c>
      <c r="D134" s="515" t="s">
        <v>3428</v>
      </c>
      <c r="E134" s="488"/>
      <c r="F134" s="489"/>
      <c r="G134" s="487" t="s">
        <v>3032</v>
      </c>
      <c r="H134" s="188" t="s">
        <v>3426</v>
      </c>
      <c r="I134" s="188">
        <v>45463</v>
      </c>
      <c r="J134" s="188">
        <v>45479</v>
      </c>
      <c r="K134" s="493" t="s">
        <v>3038</v>
      </c>
      <c r="L134" s="500" t="s">
        <v>3324</v>
      </c>
      <c r="M134" s="490" t="s">
        <v>309</v>
      </c>
      <c r="N134" s="484"/>
      <c r="O134" s="484"/>
      <c r="P134" s="499"/>
      <c r="Q134" s="501">
        <v>45468</v>
      </c>
      <c r="R134" s="501"/>
      <c r="S134" s="188"/>
      <c r="T134" s="188"/>
      <c r="U134" s="188">
        <v>45484</v>
      </c>
      <c r="V134" s="487" t="s">
        <v>20</v>
      </c>
      <c r="W134" s="188">
        <f t="shared" si="4"/>
        <v>45500</v>
      </c>
      <c r="X134" s="509"/>
      <c r="Y134" s="513"/>
      <c r="Z134" s="514"/>
      <c r="AA134" s="514"/>
    </row>
    <row r="135" s="178" customFormat="1" ht="14.25" customHeight="1" spans="1:27">
      <c r="A135" s="487" t="s">
        <v>3429</v>
      </c>
      <c r="B135" s="487"/>
      <c r="C135" s="487" t="s">
        <v>3430</v>
      </c>
      <c r="D135" s="487" t="s">
        <v>3431</v>
      </c>
      <c r="E135" s="488"/>
      <c r="F135" s="489"/>
      <c r="G135" s="487" t="s">
        <v>3032</v>
      </c>
      <c r="H135" s="188" t="s">
        <v>3432</v>
      </c>
      <c r="I135" s="516">
        <v>45462</v>
      </c>
      <c r="J135" s="188">
        <v>45479</v>
      </c>
      <c r="K135" s="493" t="s">
        <v>3038</v>
      </c>
      <c r="L135" s="500" t="s">
        <v>3039</v>
      </c>
      <c r="M135" s="490" t="s">
        <v>309</v>
      </c>
      <c r="N135" s="484"/>
      <c r="O135" s="484"/>
      <c r="P135" s="499"/>
      <c r="Q135" s="501">
        <v>45467</v>
      </c>
      <c r="R135" s="501"/>
      <c r="S135" s="188"/>
      <c r="T135" s="188"/>
      <c r="U135" s="188">
        <v>45482</v>
      </c>
      <c r="V135" s="487" t="s">
        <v>20</v>
      </c>
      <c r="W135" s="188">
        <f t="shared" si="4"/>
        <v>45500</v>
      </c>
      <c r="X135" s="509"/>
      <c r="Y135" s="513"/>
      <c r="Z135" s="514"/>
      <c r="AA135" s="514"/>
    </row>
    <row r="136" s="178" customFormat="1" ht="14.25" customHeight="1" spans="1:27">
      <c r="A136" s="487" t="s">
        <v>3375</v>
      </c>
      <c r="B136" s="487"/>
      <c r="C136" s="487" t="s">
        <v>3433</v>
      </c>
      <c r="D136" s="515" t="s">
        <v>3434</v>
      </c>
      <c r="E136" s="488"/>
      <c r="F136" s="489"/>
      <c r="G136" s="487" t="s">
        <v>3032</v>
      </c>
      <c r="H136" s="188" t="s">
        <v>3432</v>
      </c>
      <c r="I136" s="516">
        <v>45462</v>
      </c>
      <c r="J136" s="188">
        <v>45479</v>
      </c>
      <c r="K136" s="493" t="s">
        <v>3038</v>
      </c>
      <c r="L136" s="500" t="s">
        <v>3324</v>
      </c>
      <c r="M136" s="490" t="s">
        <v>309</v>
      </c>
      <c r="N136" s="484"/>
      <c r="O136" s="484"/>
      <c r="P136" s="499"/>
      <c r="Q136" s="501">
        <v>45467</v>
      </c>
      <c r="R136" s="501"/>
      <c r="S136" s="188"/>
      <c r="T136" s="188"/>
      <c r="U136" s="188">
        <v>45484</v>
      </c>
      <c r="V136" s="487" t="s">
        <v>20</v>
      </c>
      <c r="W136" s="188">
        <f t="shared" si="4"/>
        <v>45500</v>
      </c>
      <c r="X136" s="509"/>
      <c r="Y136" s="513"/>
      <c r="Z136" s="514"/>
      <c r="AA136" s="514"/>
    </row>
    <row r="137" s="178" customFormat="1" ht="14.25" customHeight="1" spans="1:27">
      <c r="A137" s="487" t="s">
        <v>3247</v>
      </c>
      <c r="B137" s="487"/>
      <c r="C137" s="487" t="s">
        <v>3435</v>
      </c>
      <c r="D137" s="487" t="s">
        <v>3436</v>
      </c>
      <c r="E137" s="488"/>
      <c r="F137" s="489"/>
      <c r="G137" s="492" t="s">
        <v>3146</v>
      </c>
      <c r="H137" s="188" t="s">
        <v>3411</v>
      </c>
      <c r="I137" s="516">
        <v>45463</v>
      </c>
      <c r="J137" s="188">
        <v>45484</v>
      </c>
      <c r="K137" s="493" t="s">
        <v>39</v>
      </c>
      <c r="L137" s="500" t="s">
        <v>3437</v>
      </c>
      <c r="M137" s="490" t="s">
        <v>309</v>
      </c>
      <c r="N137" s="484"/>
      <c r="O137" s="484"/>
      <c r="P137" s="499"/>
      <c r="Q137" s="501">
        <v>45474</v>
      </c>
      <c r="R137" s="501"/>
      <c r="S137" s="188"/>
      <c r="T137" s="188"/>
      <c r="U137" s="188">
        <v>45489</v>
      </c>
      <c r="V137" s="487" t="s">
        <v>20</v>
      </c>
      <c r="W137" s="188">
        <f t="shared" si="4"/>
        <v>45505</v>
      </c>
      <c r="X137" s="509"/>
      <c r="Y137" s="513"/>
      <c r="Z137" s="514"/>
      <c r="AA137" s="514"/>
    </row>
    <row r="138" s="178" customFormat="1" ht="14.25" customHeight="1" spans="1:27">
      <c r="A138" s="487" t="s">
        <v>3438</v>
      </c>
      <c r="B138" s="487"/>
      <c r="C138" s="487" t="s">
        <v>3439</v>
      </c>
      <c r="D138" s="487" t="s">
        <v>3440</v>
      </c>
      <c r="E138" s="488"/>
      <c r="F138" s="489"/>
      <c r="G138" s="487" t="s">
        <v>3295</v>
      </c>
      <c r="H138" s="188" t="s">
        <v>3362</v>
      </c>
      <c r="I138" s="188">
        <v>45443</v>
      </c>
      <c r="J138" s="188">
        <v>45485</v>
      </c>
      <c r="K138" s="493" t="s">
        <v>161</v>
      </c>
      <c r="L138" s="520" t="s">
        <v>3441</v>
      </c>
      <c r="M138" s="490" t="s">
        <v>3442</v>
      </c>
      <c r="N138" s="484"/>
      <c r="O138" s="484"/>
      <c r="P138" s="499"/>
      <c r="Q138" s="501">
        <v>45449</v>
      </c>
      <c r="R138" s="501"/>
      <c r="S138" s="188"/>
      <c r="T138" s="188"/>
      <c r="U138" s="188">
        <v>45488</v>
      </c>
      <c r="V138" s="487" t="s">
        <v>20</v>
      </c>
      <c r="W138" s="188">
        <f>J138+14</f>
        <v>45499</v>
      </c>
      <c r="X138" s="509"/>
      <c r="Y138" s="513"/>
      <c r="Z138" s="514"/>
      <c r="AA138" s="514"/>
    </row>
    <row r="139" s="178" customFormat="1" ht="14.25" customHeight="1" spans="1:27">
      <c r="A139" s="487" t="s">
        <v>3443</v>
      </c>
      <c r="B139" s="487"/>
      <c r="C139" s="487" t="s">
        <v>3444</v>
      </c>
      <c r="D139" s="487" t="s">
        <v>3445</v>
      </c>
      <c r="E139" s="488"/>
      <c r="F139" s="489"/>
      <c r="G139" s="487" t="s">
        <v>3067</v>
      </c>
      <c r="H139" s="188" t="s">
        <v>3446</v>
      </c>
      <c r="I139" s="188">
        <v>45433</v>
      </c>
      <c r="J139" s="188">
        <v>45486</v>
      </c>
      <c r="K139" s="493" t="s">
        <v>215</v>
      </c>
      <c r="L139" s="500" t="s">
        <v>3086</v>
      </c>
      <c r="M139" s="490" t="s">
        <v>3447</v>
      </c>
      <c r="N139" s="484"/>
      <c r="O139" s="484"/>
      <c r="P139" s="499"/>
      <c r="Q139" s="501">
        <v>45437</v>
      </c>
      <c r="R139" s="501"/>
      <c r="S139" s="188"/>
      <c r="T139" s="188"/>
      <c r="U139" s="188">
        <v>45488</v>
      </c>
      <c r="V139" s="487" t="s">
        <v>20</v>
      </c>
      <c r="W139" s="188">
        <f>J139+14</f>
        <v>45500</v>
      </c>
      <c r="X139" s="509"/>
      <c r="Y139" s="513"/>
      <c r="Z139" s="514"/>
      <c r="AA139" s="514"/>
    </row>
    <row r="140" s="178" customFormat="1" ht="14.25" customHeight="1" spans="1:27">
      <c r="A140" s="487" t="s">
        <v>3448</v>
      </c>
      <c r="B140" s="487"/>
      <c r="C140" s="487" t="s">
        <v>3449</v>
      </c>
      <c r="D140" s="487" t="s">
        <v>3450</v>
      </c>
      <c r="E140" s="488"/>
      <c r="F140" s="489"/>
      <c r="G140" s="487" t="s">
        <v>3032</v>
      </c>
      <c r="H140" s="188" t="s">
        <v>3451</v>
      </c>
      <c r="I140" s="188">
        <v>45473</v>
      </c>
      <c r="J140" s="188">
        <v>45489</v>
      </c>
      <c r="K140" s="493" t="s">
        <v>3038</v>
      </c>
      <c r="L140" s="520" t="s">
        <v>3452</v>
      </c>
      <c r="M140" s="490" t="s">
        <v>3453</v>
      </c>
      <c r="N140" s="484"/>
      <c r="O140" s="484"/>
      <c r="P140" s="499"/>
      <c r="Q140" s="501">
        <v>45482</v>
      </c>
      <c r="R140" s="501"/>
      <c r="S140" s="188"/>
      <c r="T140" s="188"/>
      <c r="U140" s="188">
        <v>45495</v>
      </c>
      <c r="V140" s="487" t="s">
        <v>20</v>
      </c>
      <c r="W140" s="188">
        <f t="shared" ref="W140:W156" si="5">J140+21</f>
        <v>45510</v>
      </c>
      <c r="X140" s="509"/>
      <c r="Y140" s="513"/>
      <c r="Z140" s="514"/>
      <c r="AA140" s="514"/>
    </row>
    <row r="141" s="178" customFormat="1" ht="14.25" customHeight="1" spans="1:27">
      <c r="A141" s="487" t="s">
        <v>3454</v>
      </c>
      <c r="B141" s="487"/>
      <c r="C141" s="487" t="s">
        <v>3455</v>
      </c>
      <c r="D141" s="487" t="s">
        <v>3456</v>
      </c>
      <c r="E141" s="488"/>
      <c r="F141" s="489"/>
      <c r="G141" s="487" t="s">
        <v>3032</v>
      </c>
      <c r="H141" s="188" t="s">
        <v>3451</v>
      </c>
      <c r="I141" s="188">
        <v>45473</v>
      </c>
      <c r="J141" s="188">
        <v>45489</v>
      </c>
      <c r="K141" s="493" t="s">
        <v>3038</v>
      </c>
      <c r="L141" s="520" t="s">
        <v>3457</v>
      </c>
      <c r="M141" s="490" t="s">
        <v>309</v>
      </c>
      <c r="N141" s="484"/>
      <c r="O141" s="484"/>
      <c r="P141" s="499"/>
      <c r="Q141" s="501">
        <v>45482</v>
      </c>
      <c r="R141" s="501"/>
      <c r="S141" s="188"/>
      <c r="T141" s="188"/>
      <c r="U141" s="188">
        <v>45497</v>
      </c>
      <c r="V141" s="487" t="s">
        <v>20</v>
      </c>
      <c r="W141" s="188">
        <f t="shared" si="5"/>
        <v>45510</v>
      </c>
      <c r="X141" s="509"/>
      <c r="Y141" s="513"/>
      <c r="Z141" s="514"/>
      <c r="AA141" s="514"/>
    </row>
    <row r="142" s="178" customFormat="1" ht="14.25" customHeight="1" spans="1:27">
      <c r="A142" s="487" t="s">
        <v>3378</v>
      </c>
      <c r="B142" s="487"/>
      <c r="C142" s="487" t="s">
        <v>3458</v>
      </c>
      <c r="D142" s="487" t="s">
        <v>3459</v>
      </c>
      <c r="E142" s="488"/>
      <c r="F142" s="489"/>
      <c r="G142" s="487" t="s">
        <v>3032</v>
      </c>
      <c r="H142" s="188" t="s">
        <v>3451</v>
      </c>
      <c r="I142" s="188">
        <v>45473</v>
      </c>
      <c r="J142" s="188">
        <v>45489</v>
      </c>
      <c r="K142" s="493" t="s">
        <v>3038</v>
      </c>
      <c r="L142" s="500" t="s">
        <v>3324</v>
      </c>
      <c r="M142" s="490" t="s">
        <v>309</v>
      </c>
      <c r="N142" s="484"/>
      <c r="O142" s="484"/>
      <c r="P142" s="499"/>
      <c r="Q142" s="501">
        <v>45476</v>
      </c>
      <c r="R142" s="501"/>
      <c r="S142" s="188"/>
      <c r="T142" s="188"/>
      <c r="U142" s="188">
        <v>45495</v>
      </c>
      <c r="V142" s="487" t="s">
        <v>20</v>
      </c>
      <c r="W142" s="188">
        <f t="shared" si="5"/>
        <v>45510</v>
      </c>
      <c r="X142" s="509"/>
      <c r="Y142" s="513"/>
      <c r="Z142" s="514"/>
      <c r="AA142" s="514"/>
    </row>
    <row r="143" s="178" customFormat="1" ht="14.25" customHeight="1" spans="1:27">
      <c r="A143" s="487" t="s">
        <v>3378</v>
      </c>
      <c r="B143" s="487"/>
      <c r="C143" s="487" t="s">
        <v>3460</v>
      </c>
      <c r="D143" s="487" t="s">
        <v>3461</v>
      </c>
      <c r="E143" s="488"/>
      <c r="F143" s="489"/>
      <c r="G143" s="487" t="s">
        <v>3032</v>
      </c>
      <c r="H143" s="188" t="s">
        <v>3451</v>
      </c>
      <c r="I143" s="188">
        <v>45473</v>
      </c>
      <c r="J143" s="188">
        <v>45489</v>
      </c>
      <c r="K143" s="493" t="s">
        <v>3038</v>
      </c>
      <c r="L143" s="500" t="s">
        <v>3324</v>
      </c>
      <c r="M143" s="490" t="s">
        <v>309</v>
      </c>
      <c r="N143" s="484"/>
      <c r="O143" s="484"/>
      <c r="P143" s="499"/>
      <c r="Q143" s="501">
        <v>45476</v>
      </c>
      <c r="R143" s="501"/>
      <c r="S143" s="188"/>
      <c r="T143" s="188"/>
      <c r="U143" s="188">
        <v>45496</v>
      </c>
      <c r="V143" s="487" t="s">
        <v>20</v>
      </c>
      <c r="W143" s="188">
        <f t="shared" si="5"/>
        <v>45510</v>
      </c>
      <c r="X143" s="509"/>
      <c r="Y143" s="513"/>
      <c r="Z143" s="514"/>
      <c r="AA143" s="514"/>
    </row>
    <row r="144" s="178" customFormat="1" ht="14.25" customHeight="1" spans="1:27">
      <c r="A144" s="487" t="s">
        <v>3378</v>
      </c>
      <c r="B144" s="487"/>
      <c r="C144" s="487" t="s">
        <v>3462</v>
      </c>
      <c r="D144" s="487" t="s">
        <v>3463</v>
      </c>
      <c r="E144" s="488"/>
      <c r="F144" s="489"/>
      <c r="G144" s="487" t="s">
        <v>3032</v>
      </c>
      <c r="H144" s="188" t="s">
        <v>3451</v>
      </c>
      <c r="I144" s="188">
        <v>45473</v>
      </c>
      <c r="J144" s="188">
        <v>45489</v>
      </c>
      <c r="K144" s="493" t="s">
        <v>3038</v>
      </c>
      <c r="L144" s="500" t="s">
        <v>3324</v>
      </c>
      <c r="M144" s="490" t="s">
        <v>309</v>
      </c>
      <c r="N144" s="484"/>
      <c r="O144" s="484"/>
      <c r="P144" s="499"/>
      <c r="Q144" s="501">
        <v>45476</v>
      </c>
      <c r="R144" s="501"/>
      <c r="S144" s="188"/>
      <c r="T144" s="188"/>
      <c r="U144" s="188">
        <v>45495</v>
      </c>
      <c r="V144" s="487" t="s">
        <v>20</v>
      </c>
      <c r="W144" s="188">
        <f t="shared" si="5"/>
        <v>45510</v>
      </c>
      <c r="X144" s="509"/>
      <c r="Y144" s="513"/>
      <c r="Z144" s="514"/>
      <c r="AA144" s="514"/>
    </row>
    <row r="145" s="178" customFormat="1" ht="14.25" customHeight="1" spans="1:27">
      <c r="A145" s="487" t="s">
        <v>3378</v>
      </c>
      <c r="B145" s="487"/>
      <c r="C145" s="487" t="s">
        <v>3464</v>
      </c>
      <c r="D145" s="487" t="s">
        <v>3465</v>
      </c>
      <c r="E145" s="488"/>
      <c r="F145" s="489"/>
      <c r="G145" s="487" t="s">
        <v>3032</v>
      </c>
      <c r="H145" s="188" t="s">
        <v>3451</v>
      </c>
      <c r="I145" s="188">
        <v>45473</v>
      </c>
      <c r="J145" s="188">
        <v>45489</v>
      </c>
      <c r="K145" s="493" t="s">
        <v>3038</v>
      </c>
      <c r="L145" s="500" t="s">
        <v>3324</v>
      </c>
      <c r="M145" s="490" t="s">
        <v>309</v>
      </c>
      <c r="N145" s="484"/>
      <c r="O145" s="484"/>
      <c r="P145" s="499"/>
      <c r="Q145" s="501">
        <v>45476</v>
      </c>
      <c r="R145" s="501"/>
      <c r="S145" s="188"/>
      <c r="T145" s="188"/>
      <c r="U145" s="188">
        <v>45495</v>
      </c>
      <c r="V145" s="487" t="s">
        <v>20</v>
      </c>
      <c r="W145" s="188">
        <f t="shared" si="5"/>
        <v>45510</v>
      </c>
      <c r="X145" s="509"/>
      <c r="Y145" s="513"/>
      <c r="Z145" s="514"/>
      <c r="AA145" s="514"/>
    </row>
    <row r="146" s="178" customFormat="1" ht="14.25" customHeight="1" spans="1:27">
      <c r="A146" s="487" t="s">
        <v>3378</v>
      </c>
      <c r="B146" s="487"/>
      <c r="C146" s="487" t="s">
        <v>3466</v>
      </c>
      <c r="D146" s="487" t="s">
        <v>3467</v>
      </c>
      <c r="E146" s="488"/>
      <c r="F146" s="489"/>
      <c r="G146" s="487" t="s">
        <v>3032</v>
      </c>
      <c r="H146" s="188" t="s">
        <v>3451</v>
      </c>
      <c r="I146" s="188">
        <v>45473</v>
      </c>
      <c r="J146" s="188">
        <v>45489</v>
      </c>
      <c r="K146" s="493" t="s">
        <v>3038</v>
      </c>
      <c r="L146" s="500" t="s">
        <v>3324</v>
      </c>
      <c r="M146" s="490" t="s">
        <v>309</v>
      </c>
      <c r="N146" s="484"/>
      <c r="O146" s="484"/>
      <c r="P146" s="499"/>
      <c r="Q146" s="501">
        <v>45476</v>
      </c>
      <c r="R146" s="501"/>
      <c r="S146" s="188"/>
      <c r="T146" s="188"/>
      <c r="U146" s="188">
        <v>45496</v>
      </c>
      <c r="V146" s="487" t="s">
        <v>20</v>
      </c>
      <c r="W146" s="188">
        <f t="shared" si="5"/>
        <v>45510</v>
      </c>
      <c r="X146" s="509"/>
      <c r="Y146" s="513"/>
      <c r="Z146" s="514"/>
      <c r="AA146" s="514"/>
    </row>
    <row r="147" s="178" customFormat="1" ht="14.25" customHeight="1" spans="1:27">
      <c r="A147" s="487" t="s">
        <v>3378</v>
      </c>
      <c r="B147" s="487"/>
      <c r="C147" s="487" t="s">
        <v>3468</v>
      </c>
      <c r="D147" s="487" t="s">
        <v>3469</v>
      </c>
      <c r="E147" s="488"/>
      <c r="F147" s="489"/>
      <c r="G147" s="487" t="s">
        <v>3032</v>
      </c>
      <c r="H147" s="188" t="s">
        <v>3451</v>
      </c>
      <c r="I147" s="188">
        <v>45473</v>
      </c>
      <c r="J147" s="188">
        <v>45489</v>
      </c>
      <c r="K147" s="493" t="s">
        <v>3038</v>
      </c>
      <c r="L147" s="500" t="s">
        <v>3324</v>
      </c>
      <c r="M147" s="490" t="s">
        <v>309</v>
      </c>
      <c r="N147" s="484"/>
      <c r="O147" s="484"/>
      <c r="P147" s="499"/>
      <c r="Q147" s="501">
        <v>45476</v>
      </c>
      <c r="R147" s="501"/>
      <c r="S147" s="188"/>
      <c r="T147" s="188"/>
      <c r="U147" s="188">
        <v>45497</v>
      </c>
      <c r="V147" s="487" t="s">
        <v>20</v>
      </c>
      <c r="W147" s="188">
        <f t="shared" si="5"/>
        <v>45510</v>
      </c>
      <c r="X147" s="509"/>
      <c r="Y147" s="513"/>
      <c r="Z147" s="514"/>
      <c r="AA147" s="514"/>
    </row>
    <row r="148" s="178" customFormat="1" ht="14.25" customHeight="1" spans="1:27">
      <c r="A148" s="487" t="s">
        <v>3378</v>
      </c>
      <c r="B148" s="487"/>
      <c r="C148" s="487" t="s">
        <v>3470</v>
      </c>
      <c r="D148" s="487" t="s">
        <v>3471</v>
      </c>
      <c r="E148" s="488"/>
      <c r="F148" s="489"/>
      <c r="G148" s="487" t="s">
        <v>3032</v>
      </c>
      <c r="H148" s="188" t="s">
        <v>3451</v>
      </c>
      <c r="I148" s="188">
        <v>45473</v>
      </c>
      <c r="J148" s="188">
        <v>45489</v>
      </c>
      <c r="K148" s="493" t="s">
        <v>3038</v>
      </c>
      <c r="L148" s="520" t="s">
        <v>3457</v>
      </c>
      <c r="M148" s="490" t="s">
        <v>309</v>
      </c>
      <c r="N148" s="484"/>
      <c r="O148" s="484"/>
      <c r="P148" s="499"/>
      <c r="Q148" s="501">
        <v>45476</v>
      </c>
      <c r="R148" s="501"/>
      <c r="S148" s="188"/>
      <c r="T148" s="188"/>
      <c r="U148" s="188">
        <v>45497</v>
      </c>
      <c r="V148" s="487" t="s">
        <v>20</v>
      </c>
      <c r="W148" s="188">
        <f t="shared" si="5"/>
        <v>45510</v>
      </c>
      <c r="X148" s="509"/>
      <c r="Y148" s="513"/>
      <c r="Z148" s="514"/>
      <c r="AA148" s="514"/>
    </row>
    <row r="149" s="178" customFormat="1" ht="14.25" customHeight="1" spans="1:27">
      <c r="A149" s="487" t="s">
        <v>3472</v>
      </c>
      <c r="B149" s="487"/>
      <c r="C149" s="487" t="s">
        <v>3473</v>
      </c>
      <c r="D149" s="487" t="s">
        <v>3474</v>
      </c>
      <c r="E149" s="488"/>
      <c r="F149" s="489"/>
      <c r="G149" s="487" t="s">
        <v>3032</v>
      </c>
      <c r="H149" s="188" t="s">
        <v>3475</v>
      </c>
      <c r="I149" s="188">
        <v>45481</v>
      </c>
      <c r="J149" s="188">
        <v>45496</v>
      </c>
      <c r="K149" s="487" t="s">
        <v>18</v>
      </c>
      <c r="L149" s="520" t="s">
        <v>3476</v>
      </c>
      <c r="M149" s="501" t="s">
        <v>3477</v>
      </c>
      <c r="N149" s="507"/>
      <c r="O149" s="507"/>
      <c r="P149" s="499"/>
      <c r="Q149" s="501">
        <v>45482</v>
      </c>
      <c r="R149" s="501"/>
      <c r="S149" s="188"/>
      <c r="T149" s="188"/>
      <c r="U149" s="188">
        <v>45499</v>
      </c>
      <c r="V149" s="487" t="s">
        <v>20</v>
      </c>
      <c r="W149" s="188">
        <f t="shared" si="5"/>
        <v>45517</v>
      </c>
      <c r="X149" s="509"/>
      <c r="Y149" s="509"/>
      <c r="Z149" s="524"/>
      <c r="AA149" s="524"/>
    </row>
    <row r="150" s="178" customFormat="1" ht="14.25" customHeight="1" spans="1:27">
      <c r="A150" s="487" t="s">
        <v>3472</v>
      </c>
      <c r="B150" s="487"/>
      <c r="C150" s="487" t="s">
        <v>3478</v>
      </c>
      <c r="D150" s="487" t="s">
        <v>3479</v>
      </c>
      <c r="E150" s="488"/>
      <c r="F150" s="489"/>
      <c r="G150" s="487" t="s">
        <v>3032</v>
      </c>
      <c r="H150" s="188" t="s">
        <v>3475</v>
      </c>
      <c r="I150" s="188">
        <v>45481</v>
      </c>
      <c r="J150" s="188">
        <v>45496</v>
      </c>
      <c r="K150" s="487" t="s">
        <v>18</v>
      </c>
      <c r="L150" s="520" t="s">
        <v>3476</v>
      </c>
      <c r="M150" s="501" t="s">
        <v>3477</v>
      </c>
      <c r="N150" s="507"/>
      <c r="O150" s="507"/>
      <c r="P150" s="499"/>
      <c r="Q150" s="501">
        <v>45485</v>
      </c>
      <c r="R150" s="501"/>
      <c r="S150" s="188"/>
      <c r="T150" s="188"/>
      <c r="U150" s="188">
        <v>45502</v>
      </c>
      <c r="V150" s="487" t="s">
        <v>20</v>
      </c>
      <c r="W150" s="188">
        <f t="shared" si="5"/>
        <v>45517</v>
      </c>
      <c r="X150" s="509"/>
      <c r="Y150" s="509"/>
      <c r="Z150" s="524"/>
      <c r="AA150" s="524"/>
    </row>
    <row r="151" s="178" customFormat="1" ht="14.25" customHeight="1" spans="1:27">
      <c r="A151" s="487" t="s">
        <v>3472</v>
      </c>
      <c r="B151" s="487"/>
      <c r="C151" s="487" t="s">
        <v>3480</v>
      </c>
      <c r="D151" s="487" t="s">
        <v>3481</v>
      </c>
      <c r="E151" s="488"/>
      <c r="F151" s="489"/>
      <c r="G151" s="487" t="s">
        <v>3032</v>
      </c>
      <c r="H151" s="188" t="s">
        <v>3475</v>
      </c>
      <c r="I151" s="188">
        <v>45481</v>
      </c>
      <c r="J151" s="188">
        <v>45496</v>
      </c>
      <c r="K151" s="487" t="s">
        <v>18</v>
      </c>
      <c r="L151" s="520" t="s">
        <v>3476</v>
      </c>
      <c r="M151" s="501" t="s">
        <v>3477</v>
      </c>
      <c r="N151" s="507"/>
      <c r="O151" s="507"/>
      <c r="P151" s="499"/>
      <c r="Q151" s="501">
        <v>45482</v>
      </c>
      <c r="R151" s="501"/>
      <c r="S151" s="188"/>
      <c r="T151" s="188"/>
      <c r="U151" s="188">
        <v>45503</v>
      </c>
      <c r="V151" s="487" t="s">
        <v>20</v>
      </c>
      <c r="W151" s="188">
        <f t="shared" si="5"/>
        <v>45517</v>
      </c>
      <c r="X151" s="509"/>
      <c r="Y151" s="509"/>
      <c r="Z151" s="524"/>
      <c r="AA151" s="524"/>
    </row>
    <row r="152" s="178" customFormat="1" ht="14.25" customHeight="1" spans="1:27">
      <c r="A152" s="487" t="s">
        <v>3454</v>
      </c>
      <c r="B152" s="487"/>
      <c r="C152" s="487" t="s">
        <v>3482</v>
      </c>
      <c r="D152" s="487" t="s">
        <v>3483</v>
      </c>
      <c r="E152" s="488"/>
      <c r="F152" s="489"/>
      <c r="G152" s="487" t="s">
        <v>3032</v>
      </c>
      <c r="H152" s="188" t="s">
        <v>3475</v>
      </c>
      <c r="I152" s="188">
        <v>45481</v>
      </c>
      <c r="J152" s="188">
        <v>45496</v>
      </c>
      <c r="K152" s="487" t="s">
        <v>18</v>
      </c>
      <c r="L152" s="520" t="s">
        <v>3039</v>
      </c>
      <c r="M152" s="490" t="s">
        <v>309</v>
      </c>
      <c r="N152" s="484"/>
      <c r="O152" s="484"/>
      <c r="P152" s="499"/>
      <c r="Q152" s="501">
        <v>45482</v>
      </c>
      <c r="R152" s="501"/>
      <c r="S152" s="188"/>
      <c r="T152" s="188"/>
      <c r="U152" s="188">
        <v>45502</v>
      </c>
      <c r="V152" s="487" t="s">
        <v>20</v>
      </c>
      <c r="W152" s="188">
        <f t="shared" si="5"/>
        <v>45517</v>
      </c>
      <c r="X152" s="509"/>
      <c r="Y152" s="509"/>
      <c r="Z152" s="524"/>
      <c r="AA152" s="524"/>
    </row>
    <row r="153" s="178" customFormat="1" ht="14.25" customHeight="1" spans="1:27">
      <c r="A153" s="487" t="s">
        <v>3378</v>
      </c>
      <c r="B153" s="487"/>
      <c r="C153" s="487" t="s">
        <v>3484</v>
      </c>
      <c r="D153" s="515" t="s">
        <v>3485</v>
      </c>
      <c r="E153" s="488"/>
      <c r="F153" s="489"/>
      <c r="G153" s="487" t="s">
        <v>3032</v>
      </c>
      <c r="H153" s="188" t="s">
        <v>3475</v>
      </c>
      <c r="I153" s="188">
        <v>45481</v>
      </c>
      <c r="J153" s="188">
        <v>45496</v>
      </c>
      <c r="K153" s="493" t="s">
        <v>3038</v>
      </c>
      <c r="L153" s="520" t="s">
        <v>3324</v>
      </c>
      <c r="M153" s="490" t="s">
        <v>309</v>
      </c>
      <c r="N153" s="484"/>
      <c r="O153" s="484"/>
      <c r="P153" s="499"/>
      <c r="Q153" s="501">
        <v>45483</v>
      </c>
      <c r="R153" s="501"/>
      <c r="S153" s="188"/>
      <c r="T153" s="188"/>
      <c r="U153" s="188">
        <v>45502</v>
      </c>
      <c r="V153" s="487" t="s">
        <v>20</v>
      </c>
      <c r="W153" s="188">
        <f t="shared" si="5"/>
        <v>45517</v>
      </c>
      <c r="X153" s="509"/>
      <c r="Y153" s="509"/>
      <c r="Z153" s="524"/>
      <c r="AA153" s="524"/>
    </row>
    <row r="154" s="178" customFormat="1" ht="14.25" customHeight="1" spans="1:27">
      <c r="A154" s="487" t="s">
        <v>3472</v>
      </c>
      <c r="B154" s="487"/>
      <c r="C154" s="487" t="s">
        <v>3486</v>
      </c>
      <c r="D154" s="487" t="s">
        <v>3487</v>
      </c>
      <c r="E154" s="488"/>
      <c r="F154" s="489"/>
      <c r="G154" s="487" t="s">
        <v>3032</v>
      </c>
      <c r="H154" s="188" t="s">
        <v>3475</v>
      </c>
      <c r="I154" s="188">
        <v>45481</v>
      </c>
      <c r="J154" s="188">
        <v>45496</v>
      </c>
      <c r="K154" s="487" t="s">
        <v>18</v>
      </c>
      <c r="L154" s="520" t="s">
        <v>3488</v>
      </c>
      <c r="M154" s="501" t="s">
        <v>3477</v>
      </c>
      <c r="N154" s="507"/>
      <c r="O154" s="507"/>
      <c r="P154" s="499"/>
      <c r="Q154" s="501">
        <v>45485</v>
      </c>
      <c r="R154" s="501"/>
      <c r="S154" s="188"/>
      <c r="T154" s="188"/>
      <c r="U154" s="188">
        <v>45504</v>
      </c>
      <c r="V154" s="487" t="s">
        <v>20</v>
      </c>
      <c r="W154" s="188">
        <f t="shared" si="5"/>
        <v>45517</v>
      </c>
      <c r="X154" s="509"/>
      <c r="Y154" s="509"/>
      <c r="Z154" s="524"/>
      <c r="AA154" s="524"/>
    </row>
    <row r="155" s="178" customFormat="1" ht="14.25" customHeight="1" spans="1:27">
      <c r="A155" s="487" t="s">
        <v>3472</v>
      </c>
      <c r="B155" s="487"/>
      <c r="C155" s="487" t="s">
        <v>3489</v>
      </c>
      <c r="D155" s="487" t="s">
        <v>3490</v>
      </c>
      <c r="E155" s="488"/>
      <c r="F155" s="489"/>
      <c r="G155" s="487" t="s">
        <v>3032</v>
      </c>
      <c r="H155" s="188" t="s">
        <v>3475</v>
      </c>
      <c r="I155" s="188">
        <v>45481</v>
      </c>
      <c r="J155" s="188">
        <v>45496</v>
      </c>
      <c r="K155" s="487" t="s">
        <v>18</v>
      </c>
      <c r="L155" s="520" t="s">
        <v>3488</v>
      </c>
      <c r="M155" s="501" t="s">
        <v>3477</v>
      </c>
      <c r="N155" s="507"/>
      <c r="O155" s="507"/>
      <c r="P155" s="499"/>
      <c r="Q155" s="501">
        <v>45485</v>
      </c>
      <c r="R155" s="501"/>
      <c r="S155" s="188"/>
      <c r="T155" s="188"/>
      <c r="U155" s="188">
        <v>45504</v>
      </c>
      <c r="V155" s="487" t="s">
        <v>20</v>
      </c>
      <c r="W155" s="188">
        <f t="shared" si="5"/>
        <v>45517</v>
      </c>
      <c r="X155" s="509"/>
      <c r="Y155" s="509"/>
      <c r="Z155" s="524"/>
      <c r="AA155" s="524"/>
    </row>
    <row r="156" s="178" customFormat="1" ht="14.25" customHeight="1" spans="1:27">
      <c r="A156" s="487" t="s">
        <v>3454</v>
      </c>
      <c r="B156" s="487"/>
      <c r="C156" s="487" t="s">
        <v>3491</v>
      </c>
      <c r="D156" s="487" t="s">
        <v>3492</v>
      </c>
      <c r="E156" s="488"/>
      <c r="F156" s="489"/>
      <c r="G156" s="487" t="s">
        <v>3032</v>
      </c>
      <c r="H156" s="188" t="s">
        <v>3475</v>
      </c>
      <c r="I156" s="188">
        <v>45481</v>
      </c>
      <c r="J156" s="188">
        <v>45496</v>
      </c>
      <c r="K156" s="493" t="s">
        <v>3038</v>
      </c>
      <c r="L156" s="500" t="s">
        <v>3039</v>
      </c>
      <c r="M156" s="490" t="s">
        <v>309</v>
      </c>
      <c r="N156" s="484"/>
      <c r="O156" s="484"/>
      <c r="P156" s="499"/>
      <c r="Q156" s="501">
        <v>45488</v>
      </c>
      <c r="R156" s="501"/>
      <c r="S156" s="188"/>
      <c r="T156" s="188"/>
      <c r="U156" s="188">
        <v>45502</v>
      </c>
      <c r="V156" s="487" t="s">
        <v>20</v>
      </c>
      <c r="W156" s="188">
        <f t="shared" si="5"/>
        <v>45517</v>
      </c>
      <c r="X156" s="509"/>
      <c r="Y156" s="509"/>
      <c r="Z156" s="524"/>
      <c r="AA156" s="524"/>
    </row>
    <row r="157" s="178" customFormat="1" ht="14.25" customHeight="1" spans="1:27">
      <c r="A157" s="487" t="s">
        <v>3285</v>
      </c>
      <c r="B157" s="487"/>
      <c r="C157" s="487" t="s">
        <v>3493</v>
      </c>
      <c r="D157" s="487" t="s">
        <v>3494</v>
      </c>
      <c r="E157" s="488"/>
      <c r="F157" s="489"/>
      <c r="G157" s="487" t="s">
        <v>3032</v>
      </c>
      <c r="H157" s="495" t="s">
        <v>3495</v>
      </c>
      <c r="I157" s="188">
        <v>45481</v>
      </c>
      <c r="J157" s="188">
        <v>45497</v>
      </c>
      <c r="K157" s="493" t="s">
        <v>3038</v>
      </c>
      <c r="L157" s="520" t="s">
        <v>3457</v>
      </c>
      <c r="M157" s="490" t="s">
        <v>309</v>
      </c>
      <c r="N157" s="484"/>
      <c r="O157" s="484"/>
      <c r="P157" s="499"/>
      <c r="Q157" s="501">
        <v>45483</v>
      </c>
      <c r="R157" s="501"/>
      <c r="S157" s="188"/>
      <c r="T157" s="188"/>
      <c r="U157" s="188">
        <v>45503</v>
      </c>
      <c r="V157" s="487" t="s">
        <v>20</v>
      </c>
      <c r="W157" s="188">
        <f>J157+14</f>
        <v>45511</v>
      </c>
      <c r="X157" s="509"/>
      <c r="Y157" s="509"/>
      <c r="Z157" s="524"/>
      <c r="AA157" s="524"/>
    </row>
    <row r="158" s="178" customFormat="1" ht="14.25" customHeight="1" spans="1:27">
      <c r="A158" s="487" t="s">
        <v>3285</v>
      </c>
      <c r="B158" s="487"/>
      <c r="C158" s="487" t="s">
        <v>3493</v>
      </c>
      <c r="D158" s="487" t="s">
        <v>3496</v>
      </c>
      <c r="E158" s="488"/>
      <c r="F158" s="489"/>
      <c r="G158" s="487" t="s">
        <v>3032</v>
      </c>
      <c r="H158" s="495" t="s">
        <v>3495</v>
      </c>
      <c r="I158" s="188">
        <v>45481</v>
      </c>
      <c r="J158" s="188">
        <v>45497</v>
      </c>
      <c r="K158" s="493" t="s">
        <v>3038</v>
      </c>
      <c r="L158" s="520" t="s">
        <v>3457</v>
      </c>
      <c r="M158" s="490" t="s">
        <v>309</v>
      </c>
      <c r="N158" s="484"/>
      <c r="O158" s="484"/>
      <c r="P158" s="499"/>
      <c r="Q158" s="501">
        <v>45483</v>
      </c>
      <c r="R158" s="501"/>
      <c r="S158" s="188"/>
      <c r="T158" s="188"/>
      <c r="U158" s="188">
        <v>45503</v>
      </c>
      <c r="V158" s="487" t="s">
        <v>20</v>
      </c>
      <c r="W158" s="188">
        <f>J158+14</f>
        <v>45511</v>
      </c>
      <c r="X158" s="509"/>
      <c r="Y158" s="509"/>
      <c r="Z158" s="524"/>
      <c r="AA158" s="524"/>
    </row>
    <row r="159" s="178" customFormat="1" ht="14.25" customHeight="1" spans="1:27">
      <c r="A159" s="487" t="s">
        <v>3448</v>
      </c>
      <c r="B159" s="487"/>
      <c r="C159" s="487" t="s">
        <v>3497</v>
      </c>
      <c r="D159" s="487" t="s">
        <v>3498</v>
      </c>
      <c r="E159" s="488"/>
      <c r="F159" s="489"/>
      <c r="G159" s="487" t="s">
        <v>3067</v>
      </c>
      <c r="H159" s="188" t="s">
        <v>3499</v>
      </c>
      <c r="I159" s="188">
        <v>45475</v>
      </c>
      <c r="J159" s="188">
        <v>45497</v>
      </c>
      <c r="K159" s="487" t="s">
        <v>161</v>
      </c>
      <c r="L159" s="520" t="s">
        <v>3500</v>
      </c>
      <c r="M159" s="501" t="s">
        <v>3501</v>
      </c>
      <c r="N159" s="507"/>
      <c r="O159" s="507"/>
      <c r="P159" s="499"/>
      <c r="Q159" s="501">
        <v>45482</v>
      </c>
      <c r="R159" s="501"/>
      <c r="S159" s="188"/>
      <c r="T159" s="188"/>
      <c r="U159" s="188">
        <v>45502</v>
      </c>
      <c r="V159" s="487" t="s">
        <v>20</v>
      </c>
      <c r="W159" s="188">
        <f t="shared" ref="W159:W167" si="6">J159+21</f>
        <v>45518</v>
      </c>
      <c r="X159" s="509"/>
      <c r="Y159" s="509"/>
      <c r="Z159" s="524"/>
      <c r="AA159" s="524"/>
    </row>
    <row r="160" s="178" customFormat="1" ht="14.25" customHeight="1" spans="1:27">
      <c r="A160" s="487" t="s">
        <v>3448</v>
      </c>
      <c r="B160" s="487"/>
      <c r="C160" s="487" t="s">
        <v>3502</v>
      </c>
      <c r="D160" s="487" t="s">
        <v>3503</v>
      </c>
      <c r="E160" s="488"/>
      <c r="F160" s="489"/>
      <c r="G160" s="487" t="s">
        <v>3067</v>
      </c>
      <c r="H160" s="188" t="s">
        <v>3499</v>
      </c>
      <c r="I160" s="188">
        <v>45475</v>
      </c>
      <c r="J160" s="188">
        <v>45498</v>
      </c>
      <c r="K160" s="493" t="s">
        <v>39</v>
      </c>
      <c r="L160" s="523" t="s">
        <v>3504</v>
      </c>
      <c r="M160" s="501" t="s">
        <v>3505</v>
      </c>
      <c r="N160" s="507"/>
      <c r="O160" s="507"/>
      <c r="P160" s="499"/>
      <c r="Q160" s="501">
        <v>45482</v>
      </c>
      <c r="R160" s="501"/>
      <c r="S160" s="188"/>
      <c r="T160" s="188"/>
      <c r="U160" s="188">
        <v>45502</v>
      </c>
      <c r="V160" s="487" t="s">
        <v>20</v>
      </c>
      <c r="W160" s="188">
        <f t="shared" si="6"/>
        <v>45519</v>
      </c>
      <c r="X160" s="509"/>
      <c r="Y160" s="509"/>
      <c r="Z160" s="524"/>
      <c r="AA160" s="524"/>
    </row>
    <row r="161" s="178" customFormat="1" ht="14.25" customHeight="1" spans="1:27">
      <c r="A161" s="487" t="s">
        <v>3378</v>
      </c>
      <c r="B161" s="487"/>
      <c r="C161" s="487" t="s">
        <v>3506</v>
      </c>
      <c r="D161" s="515" t="s">
        <v>3507</v>
      </c>
      <c r="E161" s="488"/>
      <c r="F161" s="489"/>
      <c r="G161" s="487" t="s">
        <v>3079</v>
      </c>
      <c r="H161" s="188" t="s">
        <v>3508</v>
      </c>
      <c r="I161" s="188">
        <v>45474</v>
      </c>
      <c r="J161" s="188">
        <v>45502</v>
      </c>
      <c r="K161" s="493" t="s">
        <v>3038</v>
      </c>
      <c r="L161" s="500" t="s">
        <v>3324</v>
      </c>
      <c r="M161" s="490" t="s">
        <v>309</v>
      </c>
      <c r="N161" s="484"/>
      <c r="O161" s="484"/>
      <c r="P161" s="499"/>
      <c r="Q161" s="501">
        <v>45483</v>
      </c>
      <c r="R161" s="501"/>
      <c r="S161" s="188"/>
      <c r="T161" s="188"/>
      <c r="U161" s="188">
        <v>45509</v>
      </c>
      <c r="V161" s="487" t="s">
        <v>20</v>
      </c>
      <c r="W161" s="188">
        <f t="shared" si="6"/>
        <v>45523</v>
      </c>
      <c r="X161" s="509"/>
      <c r="Y161" s="509"/>
      <c r="Z161" s="524"/>
      <c r="AA161" s="524"/>
    </row>
    <row r="162" s="178" customFormat="1" ht="14.25" customHeight="1" spans="1:27">
      <c r="A162" s="487" t="s">
        <v>3378</v>
      </c>
      <c r="B162" s="487"/>
      <c r="C162" s="487" t="s">
        <v>3506</v>
      </c>
      <c r="D162" s="515" t="s">
        <v>3509</v>
      </c>
      <c r="E162" s="488"/>
      <c r="F162" s="489"/>
      <c r="G162" s="487" t="s">
        <v>3079</v>
      </c>
      <c r="H162" s="188" t="s">
        <v>3508</v>
      </c>
      <c r="I162" s="188">
        <v>45474</v>
      </c>
      <c r="J162" s="188">
        <v>45502</v>
      </c>
      <c r="K162" s="493" t="s">
        <v>3038</v>
      </c>
      <c r="L162" s="500" t="s">
        <v>3324</v>
      </c>
      <c r="M162" s="490" t="s">
        <v>309</v>
      </c>
      <c r="N162" s="484"/>
      <c r="O162" s="484"/>
      <c r="P162" s="499"/>
      <c r="Q162" s="501">
        <v>45483</v>
      </c>
      <c r="R162" s="501"/>
      <c r="S162" s="188"/>
      <c r="T162" s="188"/>
      <c r="U162" s="188">
        <v>45509</v>
      </c>
      <c r="V162" s="487" t="s">
        <v>20</v>
      </c>
      <c r="W162" s="188">
        <f t="shared" si="6"/>
        <v>45523</v>
      </c>
      <c r="X162" s="509"/>
      <c r="Y162" s="509"/>
      <c r="Z162" s="524"/>
      <c r="AA162" s="524"/>
    </row>
    <row r="163" s="178" customFormat="1" ht="14.25" customHeight="1" spans="1:27">
      <c r="A163" s="487" t="s">
        <v>3378</v>
      </c>
      <c r="B163" s="487"/>
      <c r="C163" s="487" t="s">
        <v>3506</v>
      </c>
      <c r="D163" s="515" t="s">
        <v>3510</v>
      </c>
      <c r="E163" s="488"/>
      <c r="F163" s="489"/>
      <c r="G163" s="487" t="s">
        <v>3079</v>
      </c>
      <c r="H163" s="188" t="s">
        <v>3508</v>
      </c>
      <c r="I163" s="188">
        <v>45474</v>
      </c>
      <c r="J163" s="188">
        <v>45502</v>
      </c>
      <c r="K163" s="493" t="s">
        <v>3038</v>
      </c>
      <c r="L163" s="500" t="s">
        <v>3324</v>
      </c>
      <c r="M163" s="490" t="s">
        <v>309</v>
      </c>
      <c r="N163" s="484"/>
      <c r="O163" s="484"/>
      <c r="P163" s="499"/>
      <c r="Q163" s="501">
        <v>45483</v>
      </c>
      <c r="R163" s="501"/>
      <c r="S163" s="188"/>
      <c r="T163" s="188"/>
      <c r="U163" s="188">
        <v>45509</v>
      </c>
      <c r="V163" s="487" t="s">
        <v>20</v>
      </c>
      <c r="W163" s="188">
        <f t="shared" si="6"/>
        <v>45523</v>
      </c>
      <c r="X163" s="509"/>
      <c r="Y163" s="509"/>
      <c r="Z163" s="524"/>
      <c r="AA163" s="524"/>
    </row>
    <row r="164" s="178" customFormat="1" ht="14.25" customHeight="1" spans="1:27">
      <c r="A164" s="487" t="s">
        <v>3378</v>
      </c>
      <c r="B164" s="487"/>
      <c r="C164" s="487" t="s">
        <v>3506</v>
      </c>
      <c r="D164" s="515" t="s">
        <v>3511</v>
      </c>
      <c r="E164" s="488"/>
      <c r="F164" s="489"/>
      <c r="G164" s="487" t="s">
        <v>3079</v>
      </c>
      <c r="H164" s="188" t="s">
        <v>3508</v>
      </c>
      <c r="I164" s="188">
        <v>45474</v>
      </c>
      <c r="J164" s="188">
        <v>45502</v>
      </c>
      <c r="K164" s="493" t="s">
        <v>3038</v>
      </c>
      <c r="L164" s="520" t="s">
        <v>3457</v>
      </c>
      <c r="M164" s="490" t="s">
        <v>309</v>
      </c>
      <c r="N164" s="484"/>
      <c r="O164" s="484"/>
      <c r="P164" s="499"/>
      <c r="Q164" s="501">
        <v>45483</v>
      </c>
      <c r="R164" s="501"/>
      <c r="S164" s="188"/>
      <c r="T164" s="188"/>
      <c r="U164" s="188">
        <v>45509</v>
      </c>
      <c r="V164" s="487" t="s">
        <v>20</v>
      </c>
      <c r="W164" s="188">
        <f t="shared" si="6"/>
        <v>45523</v>
      </c>
      <c r="X164" s="509"/>
      <c r="Y164" s="509"/>
      <c r="Z164" s="524"/>
      <c r="AA164" s="524"/>
    </row>
    <row r="165" s="178" customFormat="1" ht="14.25" customHeight="1" spans="1:27">
      <c r="A165" s="487" t="s">
        <v>3454</v>
      </c>
      <c r="B165" s="487"/>
      <c r="C165" s="487" t="s">
        <v>3512</v>
      </c>
      <c r="D165" s="487" t="s">
        <v>3513</v>
      </c>
      <c r="E165" s="488"/>
      <c r="F165" s="489"/>
      <c r="G165" s="492" t="s">
        <v>3146</v>
      </c>
      <c r="H165" s="188" t="s">
        <v>3514</v>
      </c>
      <c r="I165" s="188">
        <v>45478</v>
      </c>
      <c r="J165" s="188">
        <v>45503</v>
      </c>
      <c r="K165" s="493" t="s">
        <v>3038</v>
      </c>
      <c r="L165" s="520" t="s">
        <v>3457</v>
      </c>
      <c r="M165" s="490" t="s">
        <v>309</v>
      </c>
      <c r="N165" s="484"/>
      <c r="O165" s="484"/>
      <c r="P165" s="499"/>
      <c r="Q165" s="501">
        <v>45485</v>
      </c>
      <c r="R165" s="501"/>
      <c r="S165" s="188"/>
      <c r="T165" s="188"/>
      <c r="U165" s="188">
        <v>45509</v>
      </c>
      <c r="V165" s="487" t="s">
        <v>20</v>
      </c>
      <c r="W165" s="188">
        <f t="shared" si="6"/>
        <v>45524</v>
      </c>
      <c r="X165" s="509"/>
      <c r="Y165" s="509"/>
      <c r="Z165" s="524"/>
      <c r="AA165" s="524"/>
    </row>
    <row r="166" s="178" customFormat="1" ht="14.25" customHeight="1" spans="1:27">
      <c r="A166" s="487" t="s">
        <v>3285</v>
      </c>
      <c r="B166" s="487"/>
      <c r="C166" s="487" t="s">
        <v>3515</v>
      </c>
      <c r="D166" s="487" t="s">
        <v>3516</v>
      </c>
      <c r="E166" s="488"/>
      <c r="F166" s="489"/>
      <c r="G166" s="492" t="s">
        <v>3146</v>
      </c>
      <c r="H166" s="188" t="s">
        <v>3514</v>
      </c>
      <c r="I166" s="188">
        <v>45476</v>
      </c>
      <c r="J166" s="188">
        <v>45503</v>
      </c>
      <c r="K166" s="493" t="s">
        <v>3038</v>
      </c>
      <c r="L166" s="520" t="s">
        <v>3457</v>
      </c>
      <c r="M166" s="490" t="s">
        <v>309</v>
      </c>
      <c r="N166" s="484"/>
      <c r="O166" s="484"/>
      <c r="P166" s="499"/>
      <c r="Q166" s="501">
        <v>45485</v>
      </c>
      <c r="R166" s="501"/>
      <c r="S166" s="188"/>
      <c r="T166" s="188"/>
      <c r="U166" s="188">
        <v>45510</v>
      </c>
      <c r="V166" s="487" t="s">
        <v>20</v>
      </c>
      <c r="W166" s="188">
        <f t="shared" si="6"/>
        <v>45524</v>
      </c>
      <c r="X166" s="509"/>
      <c r="Y166" s="509"/>
      <c r="Z166" s="524"/>
      <c r="AA166" s="524"/>
    </row>
    <row r="167" s="178" customFormat="1" ht="14.25" customHeight="1" spans="1:27">
      <c r="A167" s="487" t="s">
        <v>3285</v>
      </c>
      <c r="B167" s="487"/>
      <c r="C167" s="487" t="s">
        <v>3517</v>
      </c>
      <c r="D167" s="487" t="s">
        <v>3518</v>
      </c>
      <c r="E167" s="488"/>
      <c r="F167" s="489"/>
      <c r="G167" s="492" t="s">
        <v>3146</v>
      </c>
      <c r="H167" s="188" t="s">
        <v>3514</v>
      </c>
      <c r="I167" s="188">
        <v>45478</v>
      </c>
      <c r="J167" s="188">
        <v>45503</v>
      </c>
      <c r="K167" s="493" t="s">
        <v>3038</v>
      </c>
      <c r="L167" s="520" t="s">
        <v>3457</v>
      </c>
      <c r="M167" s="490" t="s">
        <v>309</v>
      </c>
      <c r="N167" s="484"/>
      <c r="O167" s="484"/>
      <c r="P167" s="499"/>
      <c r="Q167" s="501">
        <v>45485</v>
      </c>
      <c r="R167" s="501"/>
      <c r="S167" s="188"/>
      <c r="T167" s="188"/>
      <c r="U167" s="188">
        <v>45509</v>
      </c>
      <c r="V167" s="487" t="s">
        <v>20</v>
      </c>
      <c r="W167" s="188">
        <f t="shared" si="6"/>
        <v>45524</v>
      </c>
      <c r="X167" s="509"/>
      <c r="Y167" s="509"/>
      <c r="Z167" s="524"/>
      <c r="AA167" s="524"/>
    </row>
    <row r="168" s="178" customFormat="1" ht="14.25" customHeight="1" spans="1:27">
      <c r="A168" s="487" t="s">
        <v>3285</v>
      </c>
      <c r="B168" s="487"/>
      <c r="C168" s="487" t="s">
        <v>3519</v>
      </c>
      <c r="D168" s="487" t="s">
        <v>3520</v>
      </c>
      <c r="E168" s="488"/>
      <c r="F168" s="489"/>
      <c r="G168" s="487" t="s">
        <v>3032</v>
      </c>
      <c r="H168" s="188" t="s">
        <v>3521</v>
      </c>
      <c r="I168" s="516">
        <v>45489</v>
      </c>
      <c r="J168" s="188">
        <v>45503</v>
      </c>
      <c r="K168" s="493" t="s">
        <v>3038</v>
      </c>
      <c r="L168" s="520" t="s">
        <v>3457</v>
      </c>
      <c r="M168" s="490"/>
      <c r="N168" s="484"/>
      <c r="O168" s="484"/>
      <c r="P168" s="499"/>
      <c r="Q168" s="501">
        <v>45491</v>
      </c>
      <c r="R168" s="501">
        <v>45498</v>
      </c>
      <c r="S168" s="188">
        <v>45506</v>
      </c>
      <c r="T168" s="188">
        <v>45506</v>
      </c>
      <c r="U168" s="188">
        <v>45510</v>
      </c>
      <c r="V168" s="487" t="s">
        <v>20</v>
      </c>
      <c r="W168" s="188">
        <f>J168+14</f>
        <v>45517</v>
      </c>
      <c r="X168" s="509"/>
      <c r="Y168" s="509"/>
      <c r="Z168" s="524"/>
      <c r="AA168" s="524"/>
    </row>
    <row r="169" s="178" customFormat="1" ht="14.25" customHeight="1" spans="1:27">
      <c r="A169" s="487" t="s">
        <v>3285</v>
      </c>
      <c r="B169" s="487"/>
      <c r="C169" s="487" t="s">
        <v>3519</v>
      </c>
      <c r="D169" s="487" t="s">
        <v>3522</v>
      </c>
      <c r="E169" s="488"/>
      <c r="F169" s="489"/>
      <c r="G169" s="487" t="s">
        <v>3032</v>
      </c>
      <c r="H169" s="188" t="s">
        <v>3521</v>
      </c>
      <c r="I169" s="516">
        <v>45489</v>
      </c>
      <c r="J169" s="188">
        <v>45503</v>
      </c>
      <c r="K169" s="493" t="s">
        <v>3038</v>
      </c>
      <c r="L169" s="520" t="s">
        <v>3457</v>
      </c>
      <c r="M169" s="490" t="s">
        <v>309</v>
      </c>
      <c r="N169" s="484"/>
      <c r="O169" s="484"/>
      <c r="P169" s="499"/>
      <c r="Q169" s="501">
        <v>45491</v>
      </c>
      <c r="R169" s="501">
        <v>45498</v>
      </c>
      <c r="S169" s="188">
        <v>45506</v>
      </c>
      <c r="T169" s="188">
        <v>45506</v>
      </c>
      <c r="U169" s="188">
        <v>45510</v>
      </c>
      <c r="V169" s="487" t="s">
        <v>20</v>
      </c>
      <c r="W169" s="188">
        <f>J169+14</f>
        <v>45517</v>
      </c>
      <c r="X169" s="509"/>
      <c r="Y169" s="509"/>
      <c r="Z169" s="524"/>
      <c r="AA169" s="524"/>
    </row>
    <row r="170" s="178" customFormat="1" ht="14.25" customHeight="1" spans="1:27">
      <c r="A170" s="487" t="s">
        <v>3285</v>
      </c>
      <c r="B170" s="487"/>
      <c r="C170" s="487" t="s">
        <v>3523</v>
      </c>
      <c r="D170" s="487" t="s">
        <v>3524</v>
      </c>
      <c r="E170" s="488"/>
      <c r="F170" s="489"/>
      <c r="G170" s="487" t="s">
        <v>3032</v>
      </c>
      <c r="H170" s="188" t="s">
        <v>3525</v>
      </c>
      <c r="I170" s="516">
        <v>45493</v>
      </c>
      <c r="J170" s="188">
        <v>45506</v>
      </c>
      <c r="K170" s="493" t="s">
        <v>3038</v>
      </c>
      <c r="L170" s="520" t="s">
        <v>3457</v>
      </c>
      <c r="M170" s="490" t="s">
        <v>309</v>
      </c>
      <c r="N170" s="484"/>
      <c r="O170" s="484"/>
      <c r="P170" s="499"/>
      <c r="Q170" s="501">
        <v>45497</v>
      </c>
      <c r="R170" s="501">
        <v>45504</v>
      </c>
      <c r="S170" s="188">
        <v>45506</v>
      </c>
      <c r="T170" s="188">
        <v>45509</v>
      </c>
      <c r="U170" s="188">
        <v>45512</v>
      </c>
      <c r="V170" s="487" t="s">
        <v>20</v>
      </c>
      <c r="W170" s="188">
        <f>J170+14</f>
        <v>45520</v>
      </c>
      <c r="X170" s="509"/>
      <c r="Y170" s="509"/>
      <c r="Z170" s="524"/>
      <c r="AA170" s="524"/>
    </row>
    <row r="171" s="178" customFormat="1" ht="14.25" customHeight="1" spans="1:27">
      <c r="A171" s="487" t="s">
        <v>3285</v>
      </c>
      <c r="B171" s="487"/>
      <c r="C171" s="487" t="s">
        <v>3523</v>
      </c>
      <c r="D171" s="487" t="s">
        <v>3526</v>
      </c>
      <c r="E171" s="488"/>
      <c r="F171" s="489"/>
      <c r="G171" s="487" t="s">
        <v>3032</v>
      </c>
      <c r="H171" s="188" t="s">
        <v>3525</v>
      </c>
      <c r="I171" s="516">
        <v>45493</v>
      </c>
      <c r="J171" s="188">
        <v>45506</v>
      </c>
      <c r="K171" s="493" t="s">
        <v>3038</v>
      </c>
      <c r="L171" s="520" t="s">
        <v>3457</v>
      </c>
      <c r="M171" s="490" t="s">
        <v>309</v>
      </c>
      <c r="N171" s="484"/>
      <c r="O171" s="484"/>
      <c r="P171" s="499"/>
      <c r="Q171" s="501">
        <v>45497</v>
      </c>
      <c r="R171" s="501">
        <v>45504</v>
      </c>
      <c r="S171" s="188">
        <v>45506</v>
      </c>
      <c r="T171" s="188">
        <v>45509</v>
      </c>
      <c r="U171" s="188">
        <v>45511</v>
      </c>
      <c r="V171" s="487" t="s">
        <v>20</v>
      </c>
      <c r="W171" s="188">
        <f>J171+14</f>
        <v>45520</v>
      </c>
      <c r="X171" s="509"/>
      <c r="Y171" s="509"/>
      <c r="Z171" s="524"/>
      <c r="AA171" s="524"/>
    </row>
    <row r="172" s="178" customFormat="1" ht="14.25" customHeight="1" spans="1:27">
      <c r="A172" s="487" t="s">
        <v>3527</v>
      </c>
      <c r="B172" s="487"/>
      <c r="C172" s="487" t="s">
        <v>3528</v>
      </c>
      <c r="D172" s="487" t="s">
        <v>3529</v>
      </c>
      <c r="E172" s="488"/>
      <c r="F172" s="489"/>
      <c r="G172" s="487" t="s">
        <v>3032</v>
      </c>
      <c r="H172" s="188" t="s">
        <v>3525</v>
      </c>
      <c r="I172" s="516">
        <v>45492</v>
      </c>
      <c r="J172" s="188">
        <v>45506</v>
      </c>
      <c r="K172" s="493" t="s">
        <v>3038</v>
      </c>
      <c r="L172" s="520" t="s">
        <v>3457</v>
      </c>
      <c r="M172" s="490" t="s">
        <v>309</v>
      </c>
      <c r="N172" s="484"/>
      <c r="O172" s="484"/>
      <c r="P172" s="499"/>
      <c r="Q172" s="501">
        <v>45497</v>
      </c>
      <c r="R172" s="501">
        <v>45504</v>
      </c>
      <c r="S172" s="188">
        <v>45505</v>
      </c>
      <c r="T172" s="188">
        <v>45506</v>
      </c>
      <c r="U172" s="188">
        <v>45511</v>
      </c>
      <c r="V172" s="487" t="s">
        <v>20</v>
      </c>
      <c r="W172" s="188">
        <f t="shared" ref="W172:W179" si="7">J172+21</f>
        <v>45527</v>
      </c>
      <c r="X172" s="509"/>
      <c r="Y172" s="509"/>
      <c r="Z172" s="524"/>
      <c r="AA172" s="524"/>
    </row>
    <row r="173" s="178" customFormat="1" ht="14.25" customHeight="1" spans="1:27">
      <c r="A173" s="487" t="s">
        <v>3527</v>
      </c>
      <c r="B173" s="487"/>
      <c r="C173" s="487" t="s">
        <v>3530</v>
      </c>
      <c r="D173" s="487" t="s">
        <v>3531</v>
      </c>
      <c r="E173" s="488"/>
      <c r="F173" s="489"/>
      <c r="G173" s="487" t="s">
        <v>3032</v>
      </c>
      <c r="H173" s="188" t="s">
        <v>3525</v>
      </c>
      <c r="I173" s="516">
        <v>45492</v>
      </c>
      <c r="J173" s="188">
        <v>45506</v>
      </c>
      <c r="K173" s="493" t="s">
        <v>3038</v>
      </c>
      <c r="L173" s="520" t="s">
        <v>3457</v>
      </c>
      <c r="M173" s="490" t="s">
        <v>309</v>
      </c>
      <c r="N173" s="484"/>
      <c r="O173" s="484"/>
      <c r="P173" s="499"/>
      <c r="Q173" s="501">
        <v>45497</v>
      </c>
      <c r="R173" s="501">
        <v>45504</v>
      </c>
      <c r="S173" s="188">
        <v>45505</v>
      </c>
      <c r="T173" s="188">
        <v>45506</v>
      </c>
      <c r="U173" s="188">
        <v>45513</v>
      </c>
      <c r="V173" s="487" t="s">
        <v>20</v>
      </c>
      <c r="W173" s="188">
        <f t="shared" si="7"/>
        <v>45527</v>
      </c>
      <c r="X173" s="509" t="s">
        <v>3532</v>
      </c>
      <c r="Y173" s="509"/>
      <c r="Z173" s="524"/>
      <c r="AA173" s="524"/>
    </row>
    <row r="174" s="178" customFormat="1" ht="14.25" customHeight="1" spans="1:27">
      <c r="A174" s="487" t="s">
        <v>3285</v>
      </c>
      <c r="B174" s="487"/>
      <c r="C174" s="487" t="s">
        <v>3533</v>
      </c>
      <c r="D174" s="487" t="s">
        <v>3534</v>
      </c>
      <c r="E174" s="488"/>
      <c r="F174" s="489"/>
      <c r="G174" s="487" t="s">
        <v>3032</v>
      </c>
      <c r="H174" s="188" t="s">
        <v>3525</v>
      </c>
      <c r="I174" s="516">
        <v>45492</v>
      </c>
      <c r="J174" s="188">
        <v>45506</v>
      </c>
      <c r="K174" s="493" t="s">
        <v>3038</v>
      </c>
      <c r="L174" s="520" t="s">
        <v>3274</v>
      </c>
      <c r="M174" s="490" t="s">
        <v>309</v>
      </c>
      <c r="N174" s="484"/>
      <c r="O174" s="484"/>
      <c r="P174" s="499"/>
      <c r="Q174" s="501">
        <v>45499</v>
      </c>
      <c r="R174" s="501">
        <v>45506</v>
      </c>
      <c r="S174" s="188">
        <v>45510</v>
      </c>
      <c r="T174" s="188">
        <v>45510</v>
      </c>
      <c r="U174" s="188">
        <v>45517</v>
      </c>
      <c r="V174" s="487" t="s">
        <v>20</v>
      </c>
      <c r="W174" s="188">
        <f t="shared" si="7"/>
        <v>45527</v>
      </c>
      <c r="X174" s="509" t="s">
        <v>3535</v>
      </c>
      <c r="Y174" s="509"/>
      <c r="Z174" s="524"/>
      <c r="AA174" s="524"/>
    </row>
    <row r="175" s="178" customFormat="1" ht="14.25" customHeight="1" spans="1:27">
      <c r="A175" s="487" t="s">
        <v>3536</v>
      </c>
      <c r="B175" s="487"/>
      <c r="C175" s="487" t="s">
        <v>3537</v>
      </c>
      <c r="D175" s="487" t="s">
        <v>3538</v>
      </c>
      <c r="E175" s="488"/>
      <c r="F175" s="489"/>
      <c r="G175" s="487" t="s">
        <v>3032</v>
      </c>
      <c r="H175" s="188" t="s">
        <v>3525</v>
      </c>
      <c r="I175" s="516">
        <v>45492</v>
      </c>
      <c r="J175" s="188">
        <v>45506</v>
      </c>
      <c r="K175" s="493" t="s">
        <v>3038</v>
      </c>
      <c r="L175" s="520" t="s">
        <v>3274</v>
      </c>
      <c r="M175" s="490" t="s">
        <v>309</v>
      </c>
      <c r="N175" s="484"/>
      <c r="O175" s="484"/>
      <c r="P175" s="499"/>
      <c r="Q175" s="501">
        <v>45499</v>
      </c>
      <c r="R175" s="501">
        <v>45504</v>
      </c>
      <c r="S175" s="188">
        <v>45505</v>
      </c>
      <c r="T175" s="188">
        <v>45506</v>
      </c>
      <c r="U175" s="188">
        <v>45511</v>
      </c>
      <c r="V175" s="487" t="s">
        <v>20</v>
      </c>
      <c r="W175" s="188">
        <f t="shared" si="7"/>
        <v>45527</v>
      </c>
      <c r="X175" s="509"/>
      <c r="Y175" s="509"/>
      <c r="Z175" s="524"/>
      <c r="AA175" s="524"/>
    </row>
    <row r="176" s="178" customFormat="1" ht="14.25" customHeight="1" spans="1:27">
      <c r="A176" s="487" t="s">
        <v>3536</v>
      </c>
      <c r="B176" s="487"/>
      <c r="C176" s="487" t="s">
        <v>3539</v>
      </c>
      <c r="D176" s="487" t="s">
        <v>3540</v>
      </c>
      <c r="E176" s="488"/>
      <c r="F176" s="489"/>
      <c r="G176" s="487" t="s">
        <v>3032</v>
      </c>
      <c r="H176" s="188" t="s">
        <v>3525</v>
      </c>
      <c r="I176" s="516">
        <v>45492</v>
      </c>
      <c r="J176" s="188">
        <v>45506</v>
      </c>
      <c r="K176" s="493" t="s">
        <v>3038</v>
      </c>
      <c r="L176" s="520" t="s">
        <v>3476</v>
      </c>
      <c r="M176" s="490" t="s">
        <v>309</v>
      </c>
      <c r="N176" s="484"/>
      <c r="O176" s="484"/>
      <c r="P176" s="499"/>
      <c r="Q176" s="501">
        <v>45499</v>
      </c>
      <c r="R176" s="501">
        <v>45504</v>
      </c>
      <c r="S176" s="188">
        <v>45505</v>
      </c>
      <c r="T176" s="188">
        <v>45506</v>
      </c>
      <c r="U176" s="188">
        <v>45517</v>
      </c>
      <c r="V176" s="487" t="s">
        <v>20</v>
      </c>
      <c r="W176" s="188">
        <f t="shared" si="7"/>
        <v>45527</v>
      </c>
      <c r="X176" s="509"/>
      <c r="Y176" s="509"/>
      <c r="Z176" s="524"/>
      <c r="AA176" s="524"/>
    </row>
    <row r="177" s="178" customFormat="1" ht="14.25" customHeight="1" spans="1:27">
      <c r="A177" s="487" t="s">
        <v>3351</v>
      </c>
      <c r="B177" s="487"/>
      <c r="C177" s="487" t="s">
        <v>3541</v>
      </c>
      <c r="D177" s="487" t="s">
        <v>3542</v>
      </c>
      <c r="E177" s="488"/>
      <c r="F177" s="489"/>
      <c r="G177" s="487" t="s">
        <v>3032</v>
      </c>
      <c r="H177" s="188" t="s">
        <v>3525</v>
      </c>
      <c r="I177" s="516">
        <v>45492</v>
      </c>
      <c r="J177" s="188">
        <v>45506</v>
      </c>
      <c r="K177" s="493" t="s">
        <v>3038</v>
      </c>
      <c r="L177" s="520" t="s">
        <v>3543</v>
      </c>
      <c r="M177" s="490" t="s">
        <v>309</v>
      </c>
      <c r="N177" s="484"/>
      <c r="O177" s="484"/>
      <c r="P177" s="499"/>
      <c r="Q177" s="501">
        <v>45499</v>
      </c>
      <c r="R177" s="501">
        <v>45504</v>
      </c>
      <c r="S177" s="188">
        <v>45505</v>
      </c>
      <c r="T177" s="188">
        <v>45506</v>
      </c>
      <c r="U177" s="188">
        <v>45513</v>
      </c>
      <c r="V177" s="487" t="s">
        <v>20</v>
      </c>
      <c r="W177" s="188">
        <f t="shared" si="7"/>
        <v>45527</v>
      </c>
      <c r="X177" s="509" t="s">
        <v>3544</v>
      </c>
      <c r="Y177" s="509"/>
      <c r="Z177" s="524"/>
      <c r="AA177" s="524"/>
    </row>
    <row r="178" s="178" customFormat="1" ht="14.25" customHeight="1" spans="1:27">
      <c r="A178" s="487" t="s">
        <v>3285</v>
      </c>
      <c r="B178" s="487"/>
      <c r="C178" s="487" t="s">
        <v>3545</v>
      </c>
      <c r="D178" s="487" t="s">
        <v>3546</v>
      </c>
      <c r="E178" s="488"/>
      <c r="F178" s="489"/>
      <c r="G178" s="487" t="s">
        <v>3032</v>
      </c>
      <c r="H178" s="188" t="s">
        <v>3525</v>
      </c>
      <c r="I178" s="516">
        <v>45492</v>
      </c>
      <c r="J178" s="188">
        <v>45506</v>
      </c>
      <c r="K178" s="493" t="s">
        <v>3038</v>
      </c>
      <c r="L178" s="520" t="s">
        <v>3274</v>
      </c>
      <c r="M178" s="490" t="s">
        <v>309</v>
      </c>
      <c r="N178" s="484"/>
      <c r="O178" s="484"/>
      <c r="P178" s="499"/>
      <c r="Q178" s="501">
        <v>45499</v>
      </c>
      <c r="R178" s="501">
        <v>45504</v>
      </c>
      <c r="S178" s="188">
        <v>45506</v>
      </c>
      <c r="T178" s="188">
        <v>45506</v>
      </c>
      <c r="U178" s="188">
        <v>45513</v>
      </c>
      <c r="V178" s="487" t="s">
        <v>20</v>
      </c>
      <c r="W178" s="188">
        <f t="shared" si="7"/>
        <v>45527</v>
      </c>
      <c r="X178" s="509"/>
      <c r="Y178" s="509"/>
      <c r="Z178" s="524"/>
      <c r="AA178" s="524"/>
    </row>
    <row r="179" s="178" customFormat="1" ht="14.25" customHeight="1" spans="1:27">
      <c r="A179" s="487" t="s">
        <v>3454</v>
      </c>
      <c r="B179" s="487"/>
      <c r="C179" s="487" t="s">
        <v>3547</v>
      </c>
      <c r="D179" s="487" t="s">
        <v>3548</v>
      </c>
      <c r="E179" s="488"/>
      <c r="F179" s="489"/>
      <c r="G179" s="487" t="s">
        <v>3032</v>
      </c>
      <c r="H179" s="188" t="s">
        <v>3525</v>
      </c>
      <c r="I179" s="516">
        <v>45492</v>
      </c>
      <c r="J179" s="188">
        <v>45513</v>
      </c>
      <c r="K179" s="493" t="s">
        <v>39</v>
      </c>
      <c r="L179" s="520" t="s">
        <v>3437</v>
      </c>
      <c r="M179" s="490" t="s">
        <v>309</v>
      </c>
      <c r="N179" s="484"/>
      <c r="O179" s="484"/>
      <c r="P179" s="499"/>
      <c r="Q179" s="501">
        <v>45499</v>
      </c>
      <c r="R179" s="501">
        <v>45506</v>
      </c>
      <c r="S179" s="188">
        <v>45509</v>
      </c>
      <c r="T179" s="188">
        <v>45510</v>
      </c>
      <c r="U179" s="188">
        <v>45517</v>
      </c>
      <c r="V179" s="487" t="s">
        <v>20</v>
      </c>
      <c r="W179" s="188">
        <f t="shared" si="7"/>
        <v>45534</v>
      </c>
      <c r="X179" s="509"/>
      <c r="Y179" s="509"/>
      <c r="Z179" s="524"/>
      <c r="AA179" s="524"/>
    </row>
    <row r="180" s="178" customFormat="1" ht="14.25" customHeight="1" spans="1:27">
      <c r="A180" s="487" t="s">
        <v>3448</v>
      </c>
      <c r="B180" s="487"/>
      <c r="C180" s="487" t="s">
        <v>3549</v>
      </c>
      <c r="D180" s="487" t="s">
        <v>3550</v>
      </c>
      <c r="E180" s="488"/>
      <c r="F180" s="489"/>
      <c r="G180" s="487" t="s">
        <v>3079</v>
      </c>
      <c r="H180" s="188" t="s">
        <v>3551</v>
      </c>
      <c r="I180" s="188">
        <v>45471</v>
      </c>
      <c r="J180" s="188">
        <v>45513</v>
      </c>
      <c r="K180" s="487" t="s">
        <v>215</v>
      </c>
      <c r="L180" s="500" t="s">
        <v>3086</v>
      </c>
      <c r="M180" s="490" t="s">
        <v>3552</v>
      </c>
      <c r="N180" s="484"/>
      <c r="O180" s="484"/>
      <c r="P180" s="499"/>
      <c r="Q180" s="501">
        <v>45482</v>
      </c>
      <c r="R180" s="501">
        <v>45506</v>
      </c>
      <c r="S180" s="188">
        <v>45509</v>
      </c>
      <c r="T180" s="188">
        <v>45511</v>
      </c>
      <c r="U180" s="188">
        <v>45516</v>
      </c>
      <c r="V180" s="487" t="s">
        <v>20</v>
      </c>
      <c r="W180" s="188">
        <f>J180+14</f>
        <v>45527</v>
      </c>
      <c r="X180" s="509"/>
      <c r="Y180" s="509"/>
      <c r="Z180" s="524"/>
      <c r="AA180" s="524"/>
    </row>
    <row r="181" s="178" customFormat="1" ht="14.25" customHeight="1" spans="1:27">
      <c r="A181" s="487" t="s">
        <v>3553</v>
      </c>
      <c r="B181" s="487"/>
      <c r="C181" s="487" t="s">
        <v>3554</v>
      </c>
      <c r="D181" s="487" t="s">
        <v>3555</v>
      </c>
      <c r="E181" s="488"/>
      <c r="F181" s="489"/>
      <c r="G181" s="487" t="s">
        <v>3067</v>
      </c>
      <c r="H181" s="188" t="s">
        <v>3556</v>
      </c>
      <c r="I181" s="516">
        <v>45504</v>
      </c>
      <c r="J181" s="188">
        <v>45519</v>
      </c>
      <c r="K181" s="493" t="s">
        <v>161</v>
      </c>
      <c r="L181" s="520" t="s">
        <v>3500</v>
      </c>
      <c r="M181" s="490" t="s">
        <v>3557</v>
      </c>
      <c r="N181" s="484">
        <f>1575.77+228.8</f>
        <v>1804.57</v>
      </c>
      <c r="O181" s="484">
        <v>8876.55</v>
      </c>
      <c r="P181" s="499"/>
      <c r="Q181" s="501">
        <v>45510</v>
      </c>
      <c r="R181" s="501">
        <v>45513</v>
      </c>
      <c r="S181" s="188">
        <v>45516</v>
      </c>
      <c r="T181" s="188">
        <v>45517</v>
      </c>
      <c r="U181" s="188">
        <v>45526</v>
      </c>
      <c r="V181" s="487" t="s">
        <v>20</v>
      </c>
      <c r="W181" s="188">
        <f t="shared" ref="W181:W188" si="8">J181+21</f>
        <v>45540</v>
      </c>
      <c r="X181" s="524"/>
      <c r="Y181" s="509"/>
      <c r="Z181" s="524"/>
      <c r="AA181" s="524"/>
    </row>
    <row r="182" s="178" customFormat="1" ht="14.25" customHeight="1" spans="1:27">
      <c r="A182" s="487" t="s">
        <v>3527</v>
      </c>
      <c r="B182" s="487"/>
      <c r="C182" s="487" t="s">
        <v>3558</v>
      </c>
      <c r="D182" s="487" t="s">
        <v>3559</v>
      </c>
      <c r="E182" s="488"/>
      <c r="F182" s="489"/>
      <c r="G182" s="487" t="s">
        <v>3032</v>
      </c>
      <c r="H182" s="487" t="s">
        <v>3560</v>
      </c>
      <c r="I182" s="516">
        <v>45507</v>
      </c>
      <c r="J182" s="188">
        <v>45520</v>
      </c>
      <c r="K182" s="493" t="s">
        <v>3038</v>
      </c>
      <c r="L182" s="520" t="s">
        <v>3457</v>
      </c>
      <c r="M182" s="490" t="s">
        <v>309</v>
      </c>
      <c r="N182" s="484">
        <v>1537.62</v>
      </c>
      <c r="O182" s="484">
        <v>9745.78</v>
      </c>
      <c r="P182" s="499"/>
      <c r="Q182" s="501">
        <v>45510</v>
      </c>
      <c r="R182" s="501">
        <v>45516</v>
      </c>
      <c r="S182" s="188">
        <v>45517</v>
      </c>
      <c r="T182" s="188">
        <v>45518</v>
      </c>
      <c r="U182" s="188">
        <v>45525</v>
      </c>
      <c r="V182" s="487" t="s">
        <v>20</v>
      </c>
      <c r="W182" s="188">
        <f t="shared" si="8"/>
        <v>45541</v>
      </c>
      <c r="X182" s="524"/>
      <c r="Y182" s="509"/>
      <c r="Z182" s="524"/>
      <c r="AA182" s="524"/>
    </row>
    <row r="183" s="178" customFormat="1" ht="14.25" customHeight="1" spans="1:27">
      <c r="A183" s="487" t="s">
        <v>3527</v>
      </c>
      <c r="B183" s="487"/>
      <c r="C183" s="487" t="s">
        <v>3561</v>
      </c>
      <c r="D183" s="487" t="s">
        <v>3562</v>
      </c>
      <c r="E183" s="488"/>
      <c r="F183" s="489"/>
      <c r="G183" s="487" t="s">
        <v>3032</v>
      </c>
      <c r="H183" s="487" t="s">
        <v>3560</v>
      </c>
      <c r="I183" s="516">
        <v>45507</v>
      </c>
      <c r="J183" s="188">
        <v>45520</v>
      </c>
      <c r="K183" s="493" t="s">
        <v>3038</v>
      </c>
      <c r="L183" s="520" t="s">
        <v>3457</v>
      </c>
      <c r="M183" s="490" t="s">
        <v>309</v>
      </c>
      <c r="N183" s="484">
        <v>1537.62</v>
      </c>
      <c r="O183" s="484">
        <v>14150.96</v>
      </c>
      <c r="P183" s="499"/>
      <c r="Q183" s="501">
        <v>45510</v>
      </c>
      <c r="R183" s="501">
        <v>45516</v>
      </c>
      <c r="S183" s="188">
        <v>45518</v>
      </c>
      <c r="T183" s="188">
        <v>45518</v>
      </c>
      <c r="U183" s="188">
        <v>45526</v>
      </c>
      <c r="V183" s="487" t="s">
        <v>20</v>
      </c>
      <c r="W183" s="188">
        <f t="shared" si="8"/>
        <v>45541</v>
      </c>
      <c r="X183" s="524"/>
      <c r="Y183" s="509"/>
      <c r="Z183" s="524"/>
      <c r="AA183" s="524"/>
    </row>
    <row r="184" s="178" customFormat="1" ht="14.25" customHeight="1" spans="1:27">
      <c r="A184" s="487" t="s">
        <v>3527</v>
      </c>
      <c r="B184" s="487"/>
      <c r="C184" s="487" t="s">
        <v>3563</v>
      </c>
      <c r="D184" s="487" t="s">
        <v>3564</v>
      </c>
      <c r="E184" s="488"/>
      <c r="F184" s="489"/>
      <c r="G184" s="487" t="s">
        <v>3032</v>
      </c>
      <c r="H184" s="487" t="s">
        <v>3560</v>
      </c>
      <c r="I184" s="516">
        <v>45507</v>
      </c>
      <c r="J184" s="188">
        <v>45520</v>
      </c>
      <c r="K184" s="493" t="s">
        <v>3038</v>
      </c>
      <c r="L184" s="500" t="s">
        <v>3324</v>
      </c>
      <c r="M184" s="490" t="s">
        <v>309</v>
      </c>
      <c r="N184" s="484">
        <v>1411.08</v>
      </c>
      <c r="O184" s="484">
        <v>14150.96</v>
      </c>
      <c r="P184" s="499"/>
      <c r="Q184" s="501">
        <v>45510</v>
      </c>
      <c r="R184" s="501">
        <v>45516</v>
      </c>
      <c r="S184" s="188">
        <v>45517</v>
      </c>
      <c r="T184" s="188">
        <v>45518</v>
      </c>
      <c r="U184" s="188">
        <v>45526</v>
      </c>
      <c r="V184" s="487" t="s">
        <v>20</v>
      </c>
      <c r="W184" s="188">
        <f t="shared" si="8"/>
        <v>45541</v>
      </c>
      <c r="X184" s="524"/>
      <c r="Y184" s="509"/>
      <c r="Z184" s="524"/>
      <c r="AA184" s="524"/>
    </row>
    <row r="185" s="178" customFormat="1" ht="14.25" customHeight="1" spans="1:27">
      <c r="A185" s="487" t="s">
        <v>3527</v>
      </c>
      <c r="B185" s="487"/>
      <c r="C185" s="487" t="s">
        <v>3565</v>
      </c>
      <c r="D185" s="487" t="s">
        <v>3566</v>
      </c>
      <c r="E185" s="488"/>
      <c r="F185" s="489"/>
      <c r="G185" s="487" t="s">
        <v>3032</v>
      </c>
      <c r="H185" s="487" t="s">
        <v>3560</v>
      </c>
      <c r="I185" s="516">
        <v>45507</v>
      </c>
      <c r="J185" s="188">
        <v>45520</v>
      </c>
      <c r="K185" s="493" t="s">
        <v>3038</v>
      </c>
      <c r="L185" s="500" t="s">
        <v>3324</v>
      </c>
      <c r="M185" s="490" t="s">
        <v>309</v>
      </c>
      <c r="N185" s="484">
        <v>1430.49</v>
      </c>
      <c r="O185" s="484">
        <v>14150.96</v>
      </c>
      <c r="P185" s="499"/>
      <c r="Q185" s="501">
        <v>45510</v>
      </c>
      <c r="R185" s="501">
        <v>45516</v>
      </c>
      <c r="S185" s="188">
        <v>45517</v>
      </c>
      <c r="T185" s="188">
        <v>45518</v>
      </c>
      <c r="U185" s="188">
        <v>45526</v>
      </c>
      <c r="V185" s="487" t="s">
        <v>20</v>
      </c>
      <c r="W185" s="188">
        <f t="shared" si="8"/>
        <v>45541</v>
      </c>
      <c r="X185" s="524"/>
      <c r="Y185" s="509"/>
      <c r="Z185" s="524"/>
      <c r="AA185" s="524"/>
    </row>
    <row r="186" s="178" customFormat="1" ht="14.25" customHeight="1" spans="1:27">
      <c r="A186" s="487" t="s">
        <v>3527</v>
      </c>
      <c r="B186" s="487"/>
      <c r="C186" s="487" t="s">
        <v>3567</v>
      </c>
      <c r="D186" s="487" t="s">
        <v>3568</v>
      </c>
      <c r="E186" s="488"/>
      <c r="F186" s="489"/>
      <c r="G186" s="487" t="s">
        <v>3032</v>
      </c>
      <c r="H186" s="487" t="s">
        <v>3560</v>
      </c>
      <c r="I186" s="516">
        <v>45507</v>
      </c>
      <c r="J186" s="188">
        <v>45520</v>
      </c>
      <c r="K186" s="493" t="s">
        <v>3038</v>
      </c>
      <c r="L186" s="500" t="s">
        <v>3324</v>
      </c>
      <c r="M186" s="490" t="s">
        <v>309</v>
      </c>
      <c r="N186" s="484">
        <v>1392.57</v>
      </c>
      <c r="O186" s="484">
        <v>14135.57</v>
      </c>
      <c r="P186" s="499"/>
      <c r="Q186" s="501">
        <v>45510</v>
      </c>
      <c r="R186" s="501">
        <v>45516</v>
      </c>
      <c r="S186" s="188">
        <v>45517</v>
      </c>
      <c r="T186" s="188">
        <v>45518</v>
      </c>
      <c r="U186" s="188">
        <v>45526</v>
      </c>
      <c r="V186" s="487" t="s">
        <v>20</v>
      </c>
      <c r="W186" s="188">
        <f t="shared" si="8"/>
        <v>45541</v>
      </c>
      <c r="X186" s="524"/>
      <c r="Y186" s="509"/>
      <c r="Z186" s="524"/>
      <c r="AA186" s="524"/>
    </row>
    <row r="187" s="178" customFormat="1" ht="14.25" customHeight="1" spans="1:27">
      <c r="A187" s="487" t="s">
        <v>3569</v>
      </c>
      <c r="B187" s="487"/>
      <c r="C187" s="487" t="s">
        <v>3570</v>
      </c>
      <c r="D187" s="487" t="s">
        <v>3571</v>
      </c>
      <c r="E187" s="488"/>
      <c r="F187" s="489"/>
      <c r="G187" s="487" t="s">
        <v>3032</v>
      </c>
      <c r="H187" s="188" t="s">
        <v>3560</v>
      </c>
      <c r="I187" s="516">
        <v>45507</v>
      </c>
      <c r="J187" s="188">
        <v>45520</v>
      </c>
      <c r="K187" s="493" t="s">
        <v>3038</v>
      </c>
      <c r="L187" s="520" t="s">
        <v>3457</v>
      </c>
      <c r="M187" s="490" t="s">
        <v>309</v>
      </c>
      <c r="N187" s="484">
        <v>1541.2</v>
      </c>
      <c r="O187" s="484">
        <v>12746.64</v>
      </c>
      <c r="P187" s="499"/>
      <c r="Q187" s="501">
        <v>45512</v>
      </c>
      <c r="R187" s="501">
        <v>45516</v>
      </c>
      <c r="S187" s="188" t="s">
        <v>309</v>
      </c>
      <c r="T187" s="188">
        <v>45519</v>
      </c>
      <c r="U187" s="188">
        <v>45525</v>
      </c>
      <c r="V187" s="487" t="s">
        <v>20</v>
      </c>
      <c r="W187" s="188">
        <f t="shared" si="8"/>
        <v>45541</v>
      </c>
      <c r="X187" s="524"/>
      <c r="Y187" s="509"/>
      <c r="Z187" s="524"/>
      <c r="AA187" s="524"/>
    </row>
    <row r="188" s="178" customFormat="1" ht="14.25" customHeight="1" spans="1:27">
      <c r="A188" s="487" t="s">
        <v>3572</v>
      </c>
      <c r="B188" s="487"/>
      <c r="C188" s="487" t="s">
        <v>3573</v>
      </c>
      <c r="D188" s="487" t="s">
        <v>3574</v>
      </c>
      <c r="E188" s="488"/>
      <c r="F188" s="489"/>
      <c r="G188" s="487" t="s">
        <v>3032</v>
      </c>
      <c r="H188" s="188" t="s">
        <v>3575</v>
      </c>
      <c r="I188" s="516">
        <v>45502</v>
      </c>
      <c r="J188" s="188">
        <v>45522</v>
      </c>
      <c r="K188" s="493" t="s">
        <v>3038</v>
      </c>
      <c r="L188" s="520" t="s">
        <v>3576</v>
      </c>
      <c r="M188" s="490" t="s">
        <v>3577</v>
      </c>
      <c r="N188" s="484"/>
      <c r="O188" s="484"/>
      <c r="P188" s="499"/>
      <c r="Q188" s="501">
        <v>45506</v>
      </c>
      <c r="R188" s="501">
        <v>45513</v>
      </c>
      <c r="S188" s="188">
        <v>45517</v>
      </c>
      <c r="T188" s="188">
        <v>45518</v>
      </c>
      <c r="U188" s="188">
        <v>45525</v>
      </c>
      <c r="V188" s="487" t="s">
        <v>20</v>
      </c>
      <c r="W188" s="188">
        <f t="shared" si="8"/>
        <v>45543</v>
      </c>
      <c r="X188" s="509"/>
      <c r="Y188" s="509"/>
      <c r="Z188" s="524"/>
      <c r="AA188" s="524"/>
    </row>
    <row r="189" s="178" customFormat="1" ht="14.25" customHeight="1" spans="1:27">
      <c r="A189" s="487" t="s">
        <v>3578</v>
      </c>
      <c r="B189" s="487"/>
      <c r="C189" s="487" t="s">
        <v>3579</v>
      </c>
      <c r="D189" s="487" t="s">
        <v>3580</v>
      </c>
      <c r="E189" s="488"/>
      <c r="F189" s="489"/>
      <c r="G189" s="487" t="s">
        <v>3024</v>
      </c>
      <c r="H189" s="188" t="s">
        <v>3581</v>
      </c>
      <c r="I189" s="516">
        <v>45504</v>
      </c>
      <c r="J189" s="188">
        <v>45524</v>
      </c>
      <c r="K189" s="493" t="s">
        <v>3038</v>
      </c>
      <c r="L189" s="520" t="s">
        <v>3452</v>
      </c>
      <c r="M189" s="490" t="s">
        <v>3582</v>
      </c>
      <c r="N189" s="484">
        <v>1530.36</v>
      </c>
      <c r="O189" s="484">
        <v>8764.82</v>
      </c>
      <c r="P189" s="499"/>
      <c r="Q189" s="501">
        <v>45510</v>
      </c>
      <c r="R189" s="501">
        <v>45512</v>
      </c>
      <c r="S189" s="188" t="s">
        <v>309</v>
      </c>
      <c r="T189" s="188">
        <v>45516</v>
      </c>
      <c r="U189" s="188">
        <v>45527</v>
      </c>
      <c r="V189" s="487" t="s">
        <v>20</v>
      </c>
      <c r="W189" s="188">
        <f t="shared" ref="W189:W197" si="9">J189+14</f>
        <v>45538</v>
      </c>
      <c r="X189" s="524"/>
      <c r="Y189" s="509"/>
      <c r="Z189" s="524"/>
      <c r="AA189" s="524"/>
    </row>
    <row r="190" s="178" customFormat="1" ht="14.25" customHeight="1" spans="1:27">
      <c r="A190" s="487" t="s">
        <v>3578</v>
      </c>
      <c r="B190" s="487"/>
      <c r="C190" s="487" t="s">
        <v>3583</v>
      </c>
      <c r="D190" s="487" t="s">
        <v>3584</v>
      </c>
      <c r="E190" s="488"/>
      <c r="F190" s="489"/>
      <c r="G190" s="487" t="s">
        <v>3024</v>
      </c>
      <c r="H190" s="188" t="s">
        <v>3581</v>
      </c>
      <c r="I190" s="516">
        <v>45501</v>
      </c>
      <c r="J190" s="188">
        <v>45524</v>
      </c>
      <c r="K190" s="493" t="s">
        <v>3038</v>
      </c>
      <c r="L190" s="520" t="s">
        <v>3452</v>
      </c>
      <c r="M190" s="490" t="s">
        <v>3585</v>
      </c>
      <c r="N190" s="484">
        <v>1391.23</v>
      </c>
      <c r="O190" s="484">
        <v>8572.23</v>
      </c>
      <c r="P190" s="499"/>
      <c r="Q190" s="501">
        <v>45510</v>
      </c>
      <c r="R190" s="501">
        <v>45511</v>
      </c>
      <c r="S190" s="188" t="s">
        <v>309</v>
      </c>
      <c r="T190" s="188">
        <v>45516</v>
      </c>
      <c r="U190" s="188">
        <v>45531</v>
      </c>
      <c r="V190" s="487" t="s">
        <v>20</v>
      </c>
      <c r="W190" s="188">
        <f t="shared" si="9"/>
        <v>45538</v>
      </c>
      <c r="X190" s="524"/>
      <c r="Y190" s="509"/>
      <c r="Z190" s="524"/>
      <c r="AA190" s="524"/>
    </row>
    <row r="191" s="178" customFormat="1" ht="14.25" customHeight="1" spans="1:27">
      <c r="A191" s="487" t="s">
        <v>3569</v>
      </c>
      <c r="B191" s="487"/>
      <c r="C191" s="487" t="s">
        <v>3586</v>
      </c>
      <c r="D191" s="487" t="s">
        <v>3587</v>
      </c>
      <c r="E191" s="488"/>
      <c r="F191" s="489"/>
      <c r="G191" s="487" t="s">
        <v>3024</v>
      </c>
      <c r="H191" s="188" t="s">
        <v>3581</v>
      </c>
      <c r="I191" s="516">
        <v>45504</v>
      </c>
      <c r="J191" s="188">
        <v>45524</v>
      </c>
      <c r="K191" s="493" t="s">
        <v>3038</v>
      </c>
      <c r="L191" s="520" t="s">
        <v>3457</v>
      </c>
      <c r="M191" s="490" t="s">
        <v>309</v>
      </c>
      <c r="N191" s="484">
        <v>1542.46</v>
      </c>
      <c r="O191" s="484">
        <v>11579.41</v>
      </c>
      <c r="P191" s="499"/>
      <c r="Q191" s="501">
        <v>45510</v>
      </c>
      <c r="R191" s="501">
        <v>45511</v>
      </c>
      <c r="S191" s="188" t="s">
        <v>309</v>
      </c>
      <c r="T191" s="188">
        <v>45519</v>
      </c>
      <c r="U191" s="188">
        <v>45530</v>
      </c>
      <c r="V191" s="487" t="s">
        <v>20</v>
      </c>
      <c r="W191" s="188">
        <f t="shared" si="9"/>
        <v>45538</v>
      </c>
      <c r="X191" s="524"/>
      <c r="Y191" s="509"/>
      <c r="Z191" s="524"/>
      <c r="AA191" s="524"/>
    </row>
    <row r="192" s="178" customFormat="1" ht="14.25" customHeight="1" spans="1:27">
      <c r="A192" s="487" t="s">
        <v>3569</v>
      </c>
      <c r="B192" s="487"/>
      <c r="C192" s="487" t="s">
        <v>3588</v>
      </c>
      <c r="D192" s="487" t="s">
        <v>3589</v>
      </c>
      <c r="E192" s="488"/>
      <c r="F192" s="489"/>
      <c r="G192" s="487" t="s">
        <v>3024</v>
      </c>
      <c r="H192" s="188" t="s">
        <v>3581</v>
      </c>
      <c r="I192" s="516">
        <v>45504</v>
      </c>
      <c r="J192" s="188">
        <v>45526</v>
      </c>
      <c r="K192" s="493" t="s">
        <v>161</v>
      </c>
      <c r="L192" s="520" t="s">
        <v>3590</v>
      </c>
      <c r="M192" s="490" t="s">
        <v>309</v>
      </c>
      <c r="N192" s="484">
        <f>1650.36+126.5</f>
        <v>1776.86</v>
      </c>
      <c r="O192" s="484">
        <v>7534.28</v>
      </c>
      <c r="P192" s="499"/>
      <c r="Q192" s="501">
        <v>45510</v>
      </c>
      <c r="R192" s="501">
        <v>45512</v>
      </c>
      <c r="S192" s="188" t="s">
        <v>309</v>
      </c>
      <c r="T192" s="188">
        <v>45519</v>
      </c>
      <c r="U192" s="188">
        <v>45532</v>
      </c>
      <c r="V192" s="487" t="s">
        <v>20</v>
      </c>
      <c r="W192" s="188">
        <f t="shared" si="9"/>
        <v>45540</v>
      </c>
      <c r="X192" s="524"/>
      <c r="Y192" s="509"/>
      <c r="Z192" s="524"/>
      <c r="AA192" s="524"/>
    </row>
    <row r="193" s="178" customFormat="1" ht="14.25" customHeight="1" spans="1:27">
      <c r="A193" s="487" t="s">
        <v>3569</v>
      </c>
      <c r="B193" s="487"/>
      <c r="C193" s="487" t="s">
        <v>3591</v>
      </c>
      <c r="D193" s="487" t="s">
        <v>3592</v>
      </c>
      <c r="E193" s="488"/>
      <c r="F193" s="489"/>
      <c r="G193" s="487" t="s">
        <v>3024</v>
      </c>
      <c r="H193" s="188" t="s">
        <v>3581</v>
      </c>
      <c r="I193" s="516">
        <v>45504</v>
      </c>
      <c r="J193" s="188">
        <v>45526</v>
      </c>
      <c r="K193" s="493" t="s">
        <v>161</v>
      </c>
      <c r="L193" s="520" t="s">
        <v>3590</v>
      </c>
      <c r="M193" s="490" t="s">
        <v>309</v>
      </c>
      <c r="N193" s="484">
        <f>1707.45+462-122.1</f>
        <v>2047.35</v>
      </c>
      <c r="O193" s="484">
        <v>8855.53</v>
      </c>
      <c r="P193" s="499"/>
      <c r="Q193" s="501">
        <v>45510</v>
      </c>
      <c r="R193" s="501">
        <v>45512</v>
      </c>
      <c r="S193" s="188" t="s">
        <v>309</v>
      </c>
      <c r="T193" s="188">
        <v>45519</v>
      </c>
      <c r="U193" s="188">
        <v>45534</v>
      </c>
      <c r="V193" s="487" t="s">
        <v>20</v>
      </c>
      <c r="W193" s="188">
        <f t="shared" si="9"/>
        <v>45540</v>
      </c>
      <c r="X193" s="524"/>
      <c r="Y193" s="509"/>
      <c r="Z193" s="524"/>
      <c r="AA193" s="524"/>
    </row>
    <row r="194" s="178" customFormat="1" ht="14.25" customHeight="1" spans="1:27">
      <c r="A194" s="487" t="s">
        <v>3569</v>
      </c>
      <c r="B194" s="188"/>
      <c r="C194" s="188" t="s">
        <v>3593</v>
      </c>
      <c r="D194" s="188" t="s">
        <v>3594</v>
      </c>
      <c r="E194" s="488"/>
      <c r="F194" s="489"/>
      <c r="G194" s="188" t="s">
        <v>3024</v>
      </c>
      <c r="H194" s="188" t="s">
        <v>3595</v>
      </c>
      <c r="I194" s="516">
        <v>45512</v>
      </c>
      <c r="J194" s="188">
        <v>45529</v>
      </c>
      <c r="K194" s="493" t="s">
        <v>3038</v>
      </c>
      <c r="L194" s="520" t="s">
        <v>3457</v>
      </c>
      <c r="M194" s="490" t="s">
        <v>309</v>
      </c>
      <c r="N194" s="484">
        <v>1555.39</v>
      </c>
      <c r="O194" s="484">
        <v>15494.19</v>
      </c>
      <c r="P194" s="499"/>
      <c r="Q194" s="501">
        <v>45518</v>
      </c>
      <c r="R194" s="501">
        <v>45524</v>
      </c>
      <c r="S194" s="188" t="s">
        <v>309</v>
      </c>
      <c r="T194" s="188">
        <v>45526</v>
      </c>
      <c r="U194" s="188">
        <v>45534</v>
      </c>
      <c r="V194" s="487" t="s">
        <v>20</v>
      </c>
      <c r="W194" s="188">
        <f t="shared" si="9"/>
        <v>45543</v>
      </c>
      <c r="X194" s="524"/>
      <c r="Y194" s="509"/>
      <c r="Z194" s="524"/>
      <c r="AA194" s="524"/>
    </row>
    <row r="195" s="178" customFormat="1" ht="14.25" customHeight="1" spans="1:27">
      <c r="A195" s="487" t="s">
        <v>3569</v>
      </c>
      <c r="B195" s="188"/>
      <c r="C195" s="188" t="s">
        <v>3596</v>
      </c>
      <c r="D195" s="188" t="s">
        <v>3597</v>
      </c>
      <c r="E195" s="488"/>
      <c r="F195" s="489"/>
      <c r="G195" s="188" t="s">
        <v>3024</v>
      </c>
      <c r="H195" s="188" t="s">
        <v>3595</v>
      </c>
      <c r="I195" s="516">
        <v>45512</v>
      </c>
      <c r="J195" s="188">
        <v>45529</v>
      </c>
      <c r="K195" s="493" t="s">
        <v>3038</v>
      </c>
      <c r="L195" s="520" t="s">
        <v>3598</v>
      </c>
      <c r="M195" s="490" t="s">
        <v>309</v>
      </c>
      <c r="N195" s="484">
        <v>1599.11</v>
      </c>
      <c r="O195" s="484">
        <v>12155.08</v>
      </c>
      <c r="P195" s="499"/>
      <c r="Q195" s="501">
        <v>45518</v>
      </c>
      <c r="R195" s="501">
        <v>45519</v>
      </c>
      <c r="S195" s="188" t="s">
        <v>309</v>
      </c>
      <c r="T195" s="188">
        <v>45526</v>
      </c>
      <c r="U195" s="188">
        <v>45534</v>
      </c>
      <c r="V195" s="487" t="s">
        <v>20</v>
      </c>
      <c r="W195" s="188">
        <f t="shared" si="9"/>
        <v>45543</v>
      </c>
      <c r="X195" s="524"/>
      <c r="Y195" s="509"/>
      <c r="Z195" s="524"/>
      <c r="AA195" s="524"/>
    </row>
    <row r="196" s="178" customFormat="1" ht="14.25" customHeight="1" spans="1:27">
      <c r="A196" s="487" t="s">
        <v>3527</v>
      </c>
      <c r="B196" s="487"/>
      <c r="C196" s="487" t="s">
        <v>3599</v>
      </c>
      <c r="D196" s="487" t="s">
        <v>3600</v>
      </c>
      <c r="E196" s="488"/>
      <c r="F196" s="489"/>
      <c r="G196" s="487" t="s">
        <v>3024</v>
      </c>
      <c r="H196" s="487" t="s">
        <v>3595</v>
      </c>
      <c r="I196" s="516">
        <v>45512</v>
      </c>
      <c r="J196" s="188">
        <v>45529</v>
      </c>
      <c r="K196" s="493" t="s">
        <v>3038</v>
      </c>
      <c r="L196" s="520" t="s">
        <v>3457</v>
      </c>
      <c r="M196" s="490" t="s">
        <v>309</v>
      </c>
      <c r="N196" s="484">
        <v>1530.36</v>
      </c>
      <c r="O196" s="484">
        <v>13868.37</v>
      </c>
      <c r="P196" s="499"/>
      <c r="Q196" s="501">
        <v>45517</v>
      </c>
      <c r="R196" s="501">
        <v>45519</v>
      </c>
      <c r="S196" s="188" t="s">
        <v>309</v>
      </c>
      <c r="T196" s="188">
        <v>45525</v>
      </c>
      <c r="U196" s="188">
        <v>45534</v>
      </c>
      <c r="V196" s="487" t="s">
        <v>20</v>
      </c>
      <c r="W196" s="188">
        <f t="shared" si="9"/>
        <v>45543</v>
      </c>
      <c r="X196" s="524"/>
      <c r="Y196" s="509"/>
      <c r="Z196" s="524"/>
      <c r="AA196" s="524"/>
    </row>
    <row r="197" s="178" customFormat="1" ht="14.25" customHeight="1" spans="1:27">
      <c r="A197" s="487" t="s">
        <v>3569</v>
      </c>
      <c r="B197" s="188"/>
      <c r="C197" s="188" t="s">
        <v>3601</v>
      </c>
      <c r="D197" s="487" t="s">
        <v>3602</v>
      </c>
      <c r="E197" s="488"/>
      <c r="F197" s="489"/>
      <c r="G197" s="487" t="s">
        <v>3024</v>
      </c>
      <c r="H197" s="188" t="s">
        <v>3595</v>
      </c>
      <c r="I197" s="516">
        <v>45512</v>
      </c>
      <c r="J197" s="188">
        <v>45529</v>
      </c>
      <c r="K197" s="493" t="s">
        <v>3038</v>
      </c>
      <c r="L197" s="520" t="s">
        <v>3603</v>
      </c>
      <c r="M197" s="490" t="s">
        <v>309</v>
      </c>
      <c r="N197" s="484">
        <f>1405.94+102.3</f>
        <v>1508.24</v>
      </c>
      <c r="O197" s="484">
        <v>12260.62</v>
      </c>
      <c r="P197" s="499"/>
      <c r="Q197" s="501">
        <v>45518</v>
      </c>
      <c r="R197" s="501">
        <v>45519</v>
      </c>
      <c r="S197" s="188" t="s">
        <v>309</v>
      </c>
      <c r="T197" s="188">
        <v>45526</v>
      </c>
      <c r="U197" s="188">
        <v>45534</v>
      </c>
      <c r="V197" s="487" t="s">
        <v>20</v>
      </c>
      <c r="W197" s="188">
        <f t="shared" si="9"/>
        <v>45543</v>
      </c>
      <c r="X197" s="524"/>
      <c r="Y197" s="509"/>
      <c r="Z197" s="524"/>
      <c r="AA197" s="524"/>
    </row>
    <row r="198" s="178" customFormat="1" ht="14.25" customHeight="1" spans="1:27">
      <c r="A198" s="487" t="s">
        <v>3454</v>
      </c>
      <c r="B198" s="487"/>
      <c r="C198" s="487" t="s">
        <v>3604</v>
      </c>
      <c r="D198" s="487" t="s">
        <v>3605</v>
      </c>
      <c r="E198" s="488"/>
      <c r="F198" s="489"/>
      <c r="G198" s="487" t="s">
        <v>3032</v>
      </c>
      <c r="H198" s="487" t="s">
        <v>3606</v>
      </c>
      <c r="I198" s="516">
        <v>45515</v>
      </c>
      <c r="J198" s="188">
        <v>45530</v>
      </c>
      <c r="K198" s="493" t="s">
        <v>3038</v>
      </c>
      <c r="L198" s="520" t="s">
        <v>3603</v>
      </c>
      <c r="M198" s="490" t="s">
        <v>309</v>
      </c>
      <c r="N198" s="484">
        <v>1413.2</v>
      </c>
      <c r="O198" s="484">
        <v>12888.62</v>
      </c>
      <c r="P198" s="499"/>
      <c r="Q198" s="501">
        <v>45519</v>
      </c>
      <c r="R198" s="501">
        <v>45524</v>
      </c>
      <c r="S198" s="487"/>
      <c r="T198" s="188">
        <v>45530</v>
      </c>
      <c r="U198" s="188">
        <v>45532</v>
      </c>
      <c r="V198" s="487" t="s">
        <v>20</v>
      </c>
      <c r="W198" s="188">
        <f t="shared" ref="W198:W203" si="10">J198+21</f>
        <v>45551</v>
      </c>
      <c r="X198" s="524"/>
      <c r="Y198" s="509"/>
      <c r="Z198" s="524"/>
      <c r="AA198" s="524"/>
    </row>
    <row r="199" s="178" customFormat="1" ht="14.25" customHeight="1" spans="1:27">
      <c r="A199" s="487" t="s">
        <v>3569</v>
      </c>
      <c r="B199" s="487"/>
      <c r="C199" s="487" t="s">
        <v>3607</v>
      </c>
      <c r="D199" s="487" t="s">
        <v>3608</v>
      </c>
      <c r="E199" s="488"/>
      <c r="F199" s="489"/>
      <c r="G199" s="487" t="s">
        <v>3032</v>
      </c>
      <c r="H199" s="487" t="s">
        <v>3606</v>
      </c>
      <c r="I199" s="516">
        <v>45515</v>
      </c>
      <c r="J199" s="188">
        <v>45530</v>
      </c>
      <c r="K199" s="493" t="s">
        <v>3038</v>
      </c>
      <c r="L199" s="520" t="s">
        <v>3457</v>
      </c>
      <c r="M199" s="490" t="s">
        <v>309</v>
      </c>
      <c r="N199" s="484">
        <v>1397.83</v>
      </c>
      <c r="O199" s="484">
        <v>9325.41</v>
      </c>
      <c r="P199" s="499"/>
      <c r="Q199" s="501">
        <v>45518</v>
      </c>
      <c r="R199" s="501">
        <v>45524</v>
      </c>
      <c r="S199" s="188" t="s">
        <v>309</v>
      </c>
      <c r="T199" s="188">
        <v>45527</v>
      </c>
      <c r="U199" s="188">
        <v>45532</v>
      </c>
      <c r="V199" s="487" t="s">
        <v>20</v>
      </c>
      <c r="W199" s="188">
        <f t="shared" si="10"/>
        <v>45551</v>
      </c>
      <c r="X199" s="524"/>
      <c r="Y199" s="509"/>
      <c r="Z199" s="524"/>
      <c r="AA199" s="524"/>
    </row>
    <row r="200" s="178" customFormat="1" ht="14.25" customHeight="1" spans="1:27">
      <c r="A200" s="487" t="s">
        <v>3285</v>
      </c>
      <c r="B200" s="487"/>
      <c r="C200" s="487" t="s">
        <v>3609</v>
      </c>
      <c r="D200" s="487" t="s">
        <v>3610</v>
      </c>
      <c r="E200" s="488"/>
      <c r="F200" s="489"/>
      <c r="G200" s="487" t="s">
        <v>3032</v>
      </c>
      <c r="H200" s="487" t="s">
        <v>3606</v>
      </c>
      <c r="I200" s="516">
        <v>45515</v>
      </c>
      <c r="J200" s="188">
        <v>45530</v>
      </c>
      <c r="K200" s="493" t="s">
        <v>3038</v>
      </c>
      <c r="L200" s="520" t="s">
        <v>3488</v>
      </c>
      <c r="M200" s="490" t="s">
        <v>309</v>
      </c>
      <c r="N200" s="484">
        <v>1423.27</v>
      </c>
      <c r="O200" s="484">
        <v>12560.25</v>
      </c>
      <c r="P200" s="499"/>
      <c r="Q200" s="501">
        <v>45518</v>
      </c>
      <c r="R200" s="501">
        <v>45524</v>
      </c>
      <c r="S200" s="188" t="s">
        <v>309</v>
      </c>
      <c r="T200" s="188">
        <v>45527</v>
      </c>
      <c r="U200" s="188">
        <v>45534</v>
      </c>
      <c r="V200" s="487" t="s">
        <v>20</v>
      </c>
      <c r="W200" s="188">
        <f t="shared" si="10"/>
        <v>45551</v>
      </c>
      <c r="X200" s="524"/>
      <c r="Y200" s="509"/>
      <c r="Z200" s="524"/>
      <c r="AA200" s="524"/>
    </row>
    <row r="201" s="178" customFormat="1" ht="14.25" customHeight="1" spans="1:27">
      <c r="A201" s="487" t="s">
        <v>3454</v>
      </c>
      <c r="B201" s="487"/>
      <c r="C201" s="487" t="s">
        <v>3611</v>
      </c>
      <c r="D201" s="487" t="s">
        <v>3612</v>
      </c>
      <c r="E201" s="488"/>
      <c r="F201" s="489"/>
      <c r="G201" s="487" t="s">
        <v>3032</v>
      </c>
      <c r="H201" s="487" t="s">
        <v>3606</v>
      </c>
      <c r="I201" s="516">
        <v>45515</v>
      </c>
      <c r="J201" s="188">
        <v>45530</v>
      </c>
      <c r="K201" s="493" t="s">
        <v>3038</v>
      </c>
      <c r="L201" s="520" t="s">
        <v>3598</v>
      </c>
      <c r="M201" s="490" t="s">
        <v>309</v>
      </c>
      <c r="N201" s="484">
        <f>1355.57+278.3</f>
        <v>1633.87</v>
      </c>
      <c r="O201" s="484">
        <v>13016.15</v>
      </c>
      <c r="P201" s="499"/>
      <c r="Q201" s="501">
        <v>45520</v>
      </c>
      <c r="R201" s="501">
        <v>45524</v>
      </c>
      <c r="S201" s="188" t="s">
        <v>309</v>
      </c>
      <c r="T201" s="188">
        <v>45527</v>
      </c>
      <c r="U201" s="188">
        <v>45533</v>
      </c>
      <c r="V201" s="487" t="s">
        <v>20</v>
      </c>
      <c r="W201" s="188">
        <f t="shared" si="10"/>
        <v>45551</v>
      </c>
      <c r="X201" s="524"/>
      <c r="Y201" s="509"/>
      <c r="Z201" s="524"/>
      <c r="AA201" s="524"/>
    </row>
    <row r="202" s="178" customFormat="1" ht="14.25" customHeight="1" spans="1:27">
      <c r="A202" s="487" t="s">
        <v>3285</v>
      </c>
      <c r="B202" s="487"/>
      <c r="C202" s="487" t="s">
        <v>3613</v>
      </c>
      <c r="D202" s="487" t="s">
        <v>3614</v>
      </c>
      <c r="E202" s="488"/>
      <c r="F202" s="489"/>
      <c r="G202" s="487" t="s">
        <v>3137</v>
      </c>
      <c r="H202" s="487" t="s">
        <v>3615</v>
      </c>
      <c r="I202" s="516">
        <v>45506</v>
      </c>
      <c r="J202" s="188">
        <v>45531</v>
      </c>
      <c r="K202" s="493" t="s">
        <v>3038</v>
      </c>
      <c r="L202" s="520" t="s">
        <v>3603</v>
      </c>
      <c r="M202" s="490" t="s">
        <v>309</v>
      </c>
      <c r="N202" s="484">
        <v>1410.62</v>
      </c>
      <c r="O202" s="484">
        <v>12677.08</v>
      </c>
      <c r="P202" s="499"/>
      <c r="Q202" s="501">
        <v>45518</v>
      </c>
      <c r="R202" s="501">
        <v>45524</v>
      </c>
      <c r="S202" s="487"/>
      <c r="T202" s="188">
        <v>45533</v>
      </c>
      <c r="U202" s="188">
        <v>45537</v>
      </c>
      <c r="V202" s="487" t="s">
        <v>20</v>
      </c>
      <c r="W202" s="188">
        <f t="shared" si="10"/>
        <v>45552</v>
      </c>
      <c r="X202" s="524"/>
      <c r="Y202" s="509"/>
      <c r="Z202" s="524"/>
      <c r="AA202" s="524"/>
    </row>
    <row r="203" s="178" customFormat="1" ht="14.25" customHeight="1" spans="1:27">
      <c r="A203" s="487" t="s">
        <v>3578</v>
      </c>
      <c r="B203" s="487"/>
      <c r="C203" s="487" t="s">
        <v>3616</v>
      </c>
      <c r="D203" s="487" t="s">
        <v>3617</v>
      </c>
      <c r="E203" s="488"/>
      <c r="F203" s="489"/>
      <c r="G203" s="487" t="s">
        <v>3137</v>
      </c>
      <c r="H203" s="188" t="s">
        <v>3615</v>
      </c>
      <c r="I203" s="516">
        <v>45506</v>
      </c>
      <c r="J203" s="188">
        <v>45531</v>
      </c>
      <c r="K203" s="493" t="s">
        <v>3038</v>
      </c>
      <c r="L203" s="500" t="s">
        <v>3618</v>
      </c>
      <c r="M203" s="490" t="s">
        <v>3619</v>
      </c>
      <c r="N203" s="484">
        <v>1440.87</v>
      </c>
      <c r="O203" s="484">
        <v>8741.76</v>
      </c>
      <c r="P203" s="499"/>
      <c r="Q203" s="501">
        <v>45518</v>
      </c>
      <c r="R203" s="501">
        <v>45525</v>
      </c>
      <c r="S203" s="188" t="s">
        <v>309</v>
      </c>
      <c r="T203" s="188">
        <v>45529</v>
      </c>
      <c r="U203" s="188">
        <v>45537</v>
      </c>
      <c r="V203" s="487" t="s">
        <v>20</v>
      </c>
      <c r="W203" s="188">
        <f t="shared" si="10"/>
        <v>45552</v>
      </c>
      <c r="X203" s="524"/>
      <c r="Y203" s="509"/>
      <c r="Z203" s="524"/>
      <c r="AA203" s="524"/>
    </row>
    <row r="204" s="178" customFormat="1" ht="14.25" customHeight="1" spans="1:27">
      <c r="A204" s="487" t="s">
        <v>3285</v>
      </c>
      <c r="B204" s="495"/>
      <c r="C204" s="495" t="s">
        <v>3620</v>
      </c>
      <c r="D204" s="487" t="s">
        <v>3621</v>
      </c>
      <c r="E204" s="488"/>
      <c r="F204" s="489"/>
      <c r="G204" s="487" t="s">
        <v>3032</v>
      </c>
      <c r="H204" s="188" t="s">
        <v>3622</v>
      </c>
      <c r="I204" s="516">
        <v>45515</v>
      </c>
      <c r="J204" s="188">
        <v>45531</v>
      </c>
      <c r="K204" s="493" t="s">
        <v>3038</v>
      </c>
      <c r="L204" s="520" t="s">
        <v>3457</v>
      </c>
      <c r="M204" s="490" t="s">
        <v>309</v>
      </c>
      <c r="N204" s="484">
        <v>0</v>
      </c>
      <c r="O204" s="484">
        <v>0</v>
      </c>
      <c r="P204" s="499"/>
      <c r="Q204" s="501">
        <v>45529</v>
      </c>
      <c r="R204" s="501">
        <v>45529</v>
      </c>
      <c r="S204" s="188" t="s">
        <v>309</v>
      </c>
      <c r="T204" s="188">
        <v>45531</v>
      </c>
      <c r="U204" s="188">
        <v>45537</v>
      </c>
      <c r="V204" s="487" t="s">
        <v>20</v>
      </c>
      <c r="W204" s="188">
        <f>J204+14</f>
        <v>45545</v>
      </c>
      <c r="X204" s="524"/>
      <c r="Y204" s="509"/>
      <c r="Z204" s="524"/>
      <c r="AA204" s="524"/>
    </row>
    <row r="205" s="178" customFormat="1" ht="14.25" customHeight="1" spans="1:27">
      <c r="A205" s="487" t="s">
        <v>3578</v>
      </c>
      <c r="B205" s="487"/>
      <c r="C205" s="487" t="s">
        <v>3623</v>
      </c>
      <c r="D205" s="487" t="s">
        <v>3624</v>
      </c>
      <c r="E205" s="488"/>
      <c r="F205" s="489"/>
      <c r="G205" s="487" t="s">
        <v>3137</v>
      </c>
      <c r="H205" s="487" t="s">
        <v>3615</v>
      </c>
      <c r="I205" s="516">
        <v>45506</v>
      </c>
      <c r="J205" s="188">
        <v>45531</v>
      </c>
      <c r="K205" s="493" t="s">
        <v>3038</v>
      </c>
      <c r="L205" s="520" t="s">
        <v>3452</v>
      </c>
      <c r="M205" s="490" t="s">
        <v>3625</v>
      </c>
      <c r="N205" s="484">
        <v>8927.92</v>
      </c>
      <c r="O205" s="484">
        <v>1535.04</v>
      </c>
      <c r="P205" s="499"/>
      <c r="Q205" s="501">
        <v>45518</v>
      </c>
      <c r="R205" s="501">
        <v>45525</v>
      </c>
      <c r="S205" s="188" t="s">
        <v>309</v>
      </c>
      <c r="T205" s="188">
        <v>45529</v>
      </c>
      <c r="U205" s="188">
        <v>45537</v>
      </c>
      <c r="V205" s="487" t="s">
        <v>20</v>
      </c>
      <c r="W205" s="188">
        <f>J205+21</f>
        <v>45552</v>
      </c>
      <c r="X205" s="524"/>
      <c r="Y205" s="509"/>
      <c r="Z205" s="524"/>
      <c r="AA205" s="524"/>
    </row>
    <row r="206" s="178" customFormat="1" ht="14.25" customHeight="1" spans="1:27">
      <c r="A206" s="487" t="s">
        <v>3285</v>
      </c>
      <c r="B206" s="495"/>
      <c r="C206" s="495" t="s">
        <v>3620</v>
      </c>
      <c r="D206" s="487" t="s">
        <v>3626</v>
      </c>
      <c r="E206" s="488"/>
      <c r="F206" s="489"/>
      <c r="G206" s="487" t="s">
        <v>3032</v>
      </c>
      <c r="H206" s="188" t="s">
        <v>3622</v>
      </c>
      <c r="I206" s="516">
        <v>45515</v>
      </c>
      <c r="J206" s="188">
        <v>45531</v>
      </c>
      <c r="K206" s="493" t="s">
        <v>3038</v>
      </c>
      <c r="L206" s="520" t="s">
        <v>3457</v>
      </c>
      <c r="M206" s="490" t="s">
        <v>309</v>
      </c>
      <c r="N206" s="484">
        <v>3018.36</v>
      </c>
      <c r="O206" s="484">
        <v>4824.72</v>
      </c>
      <c r="P206" s="499"/>
      <c r="Q206" s="501">
        <v>45529</v>
      </c>
      <c r="R206" s="501">
        <v>45529</v>
      </c>
      <c r="S206" s="188" t="s">
        <v>309</v>
      </c>
      <c r="T206" s="188">
        <v>45531</v>
      </c>
      <c r="U206" s="188">
        <v>45537</v>
      </c>
      <c r="V206" s="487" t="s">
        <v>20</v>
      </c>
      <c r="W206" s="188">
        <f>J206+14</f>
        <v>45545</v>
      </c>
      <c r="X206" s="524"/>
      <c r="Y206" s="509"/>
      <c r="Z206" s="524"/>
      <c r="AA206" s="524"/>
    </row>
    <row r="207" s="178" customFormat="1" ht="14.25" customHeight="1" spans="1:27">
      <c r="A207" s="487" t="s">
        <v>3578</v>
      </c>
      <c r="B207" s="487"/>
      <c r="C207" s="487" t="s">
        <v>3627</v>
      </c>
      <c r="D207" s="487" t="s">
        <v>3628</v>
      </c>
      <c r="E207" s="488"/>
      <c r="F207" s="489"/>
      <c r="G207" s="487" t="s">
        <v>3137</v>
      </c>
      <c r="H207" s="188" t="s">
        <v>3615</v>
      </c>
      <c r="I207" s="516">
        <v>45506</v>
      </c>
      <c r="J207" s="188">
        <v>45531</v>
      </c>
      <c r="K207" s="493" t="s">
        <v>3038</v>
      </c>
      <c r="L207" s="520" t="s">
        <v>3452</v>
      </c>
      <c r="M207" s="490" t="s">
        <v>3629</v>
      </c>
      <c r="N207" s="484">
        <v>1535.04</v>
      </c>
      <c r="O207" s="484">
        <v>8863.12</v>
      </c>
      <c r="P207" s="499"/>
      <c r="Q207" s="501">
        <v>45518</v>
      </c>
      <c r="R207" s="501">
        <v>45525</v>
      </c>
      <c r="S207" s="188" t="s">
        <v>309</v>
      </c>
      <c r="T207" s="188">
        <v>45529</v>
      </c>
      <c r="U207" s="188">
        <v>45538</v>
      </c>
      <c r="V207" s="487" t="s">
        <v>20</v>
      </c>
      <c r="W207" s="188">
        <f>J207+21</f>
        <v>45552</v>
      </c>
      <c r="X207" s="524"/>
      <c r="Y207" s="509"/>
      <c r="Z207" s="524"/>
      <c r="AA207" s="524"/>
    </row>
    <row r="208" s="178" customFormat="1" ht="14.25" customHeight="1" spans="1:27">
      <c r="A208" s="487" t="s">
        <v>3578</v>
      </c>
      <c r="B208" s="487"/>
      <c r="C208" s="487" t="s">
        <v>3630</v>
      </c>
      <c r="D208" s="487" t="s">
        <v>3631</v>
      </c>
      <c r="E208" s="488"/>
      <c r="F208" s="489"/>
      <c r="G208" s="487" t="s">
        <v>3079</v>
      </c>
      <c r="H208" s="188" t="s">
        <v>3632</v>
      </c>
      <c r="I208" s="516">
        <v>45497</v>
      </c>
      <c r="J208" s="188">
        <v>45532</v>
      </c>
      <c r="K208" s="493" t="s">
        <v>207</v>
      </c>
      <c r="L208" s="520" t="s">
        <v>3633</v>
      </c>
      <c r="M208" s="505" t="s">
        <v>3634</v>
      </c>
      <c r="N208" s="521"/>
      <c r="O208" s="521"/>
      <c r="P208" s="522"/>
      <c r="Q208" s="501">
        <v>45506</v>
      </c>
      <c r="R208" s="501">
        <v>45523</v>
      </c>
      <c r="S208" s="188">
        <v>45525</v>
      </c>
      <c r="T208" s="188">
        <v>45526</v>
      </c>
      <c r="U208" s="188">
        <v>45538</v>
      </c>
      <c r="V208" s="487" t="s">
        <v>20</v>
      </c>
      <c r="W208" s="188">
        <f>J208+14</f>
        <v>45546</v>
      </c>
      <c r="X208" s="524" t="s">
        <v>3635</v>
      </c>
      <c r="Y208" s="509"/>
      <c r="Z208" s="524"/>
      <c r="AA208" s="524"/>
    </row>
    <row r="209" s="178" customFormat="1" ht="14.25" customHeight="1" spans="1:27">
      <c r="A209" s="487" t="s">
        <v>3472</v>
      </c>
      <c r="B209" s="188"/>
      <c r="C209" s="188" t="s">
        <v>3636</v>
      </c>
      <c r="D209" s="188" t="s">
        <v>3637</v>
      </c>
      <c r="E209" s="488"/>
      <c r="F209" s="489"/>
      <c r="G209" s="188" t="s">
        <v>3024</v>
      </c>
      <c r="H209" s="188" t="s">
        <v>3595</v>
      </c>
      <c r="I209" s="516">
        <v>45512</v>
      </c>
      <c r="J209" s="188">
        <v>45533</v>
      </c>
      <c r="K209" s="493" t="s">
        <v>161</v>
      </c>
      <c r="L209" s="520" t="s">
        <v>3500</v>
      </c>
      <c r="M209" s="490" t="s">
        <v>3638</v>
      </c>
      <c r="N209" s="484">
        <f>1648.37+126.5</f>
        <v>1774.87</v>
      </c>
      <c r="O209" s="484">
        <v>8982.84</v>
      </c>
      <c r="P209" s="499"/>
      <c r="Q209" s="501">
        <v>45518</v>
      </c>
      <c r="R209" s="501">
        <v>45525</v>
      </c>
      <c r="S209" s="188" t="s">
        <v>309</v>
      </c>
      <c r="T209" s="188">
        <v>45526</v>
      </c>
      <c r="U209" s="188">
        <v>45537</v>
      </c>
      <c r="V209" s="487" t="s">
        <v>20</v>
      </c>
      <c r="W209" s="188">
        <f>J209+14</f>
        <v>45547</v>
      </c>
      <c r="X209" s="524"/>
      <c r="Y209" s="509"/>
      <c r="Z209" s="524"/>
      <c r="AA209" s="524"/>
    </row>
    <row r="210" s="178" customFormat="1" ht="14.25" customHeight="1" spans="1:27">
      <c r="A210" s="487" t="s">
        <v>3454</v>
      </c>
      <c r="B210" s="487"/>
      <c r="C210" s="487" t="s">
        <v>3639</v>
      </c>
      <c r="D210" s="487" t="s">
        <v>3640</v>
      </c>
      <c r="E210" s="488"/>
      <c r="F210" s="489"/>
      <c r="G210" s="487" t="s">
        <v>3067</v>
      </c>
      <c r="H210" s="188" t="s">
        <v>3641</v>
      </c>
      <c r="I210" s="516">
        <v>45507</v>
      </c>
      <c r="J210" s="188">
        <v>45534</v>
      </c>
      <c r="K210" s="493" t="s">
        <v>3038</v>
      </c>
      <c r="L210" s="520" t="s">
        <v>3457</v>
      </c>
      <c r="M210" s="490" t="s">
        <v>309</v>
      </c>
      <c r="N210" s="484">
        <v>1542.11</v>
      </c>
      <c r="O210" s="484">
        <v>10770.45</v>
      </c>
      <c r="P210" s="499"/>
      <c r="Q210" s="501">
        <v>45517</v>
      </c>
      <c r="R210" s="501">
        <v>45525</v>
      </c>
      <c r="S210" s="487"/>
      <c r="T210" s="188">
        <v>45533</v>
      </c>
      <c r="U210" s="188">
        <v>45538</v>
      </c>
      <c r="V210" s="487" t="s">
        <v>20</v>
      </c>
      <c r="W210" s="188">
        <f>J210+21</f>
        <v>45555</v>
      </c>
      <c r="X210" s="524"/>
      <c r="Y210" s="509"/>
      <c r="Z210" s="524"/>
      <c r="AA210" s="524"/>
    </row>
    <row r="211" s="178" customFormat="1" ht="14.25" customHeight="1" spans="1:27">
      <c r="A211" s="487" t="s">
        <v>3285</v>
      </c>
      <c r="B211" s="487"/>
      <c r="C211" s="525" t="s">
        <v>3642</v>
      </c>
      <c r="D211" s="525" t="s">
        <v>3643</v>
      </c>
      <c r="E211" s="488"/>
      <c r="F211" s="489"/>
      <c r="G211" s="487" t="s">
        <v>3024</v>
      </c>
      <c r="H211" s="487" t="s">
        <v>3644</v>
      </c>
      <c r="I211" s="516">
        <v>45517</v>
      </c>
      <c r="J211" s="188">
        <v>45534</v>
      </c>
      <c r="K211" s="493" t="s">
        <v>3038</v>
      </c>
      <c r="L211" s="520" t="s">
        <v>3603</v>
      </c>
      <c r="M211" s="490" t="s">
        <v>309</v>
      </c>
      <c r="N211" s="484">
        <v>1401.15</v>
      </c>
      <c r="O211" s="484">
        <v>12513.32</v>
      </c>
      <c r="P211" s="499"/>
      <c r="Q211" s="501">
        <v>45518</v>
      </c>
      <c r="R211" s="501">
        <v>45527</v>
      </c>
      <c r="S211" s="487"/>
      <c r="T211" s="188">
        <v>45536</v>
      </c>
      <c r="U211" s="188">
        <v>45539</v>
      </c>
      <c r="V211" s="487" t="s">
        <v>20</v>
      </c>
      <c r="W211" s="188">
        <f t="shared" ref="W211:W216" si="11">J211+14</f>
        <v>45548</v>
      </c>
      <c r="X211" s="524"/>
      <c r="Y211" s="509"/>
      <c r="Z211" s="524"/>
      <c r="AA211" s="524"/>
    </row>
    <row r="212" s="178" customFormat="1" ht="14.25" customHeight="1" spans="1:27">
      <c r="A212" s="487" t="s">
        <v>3578</v>
      </c>
      <c r="B212" s="487"/>
      <c r="C212" s="487" t="s">
        <v>3645</v>
      </c>
      <c r="D212" s="487" t="s">
        <v>3646</v>
      </c>
      <c r="E212" s="488"/>
      <c r="F212" s="489"/>
      <c r="G212" s="487" t="s">
        <v>3067</v>
      </c>
      <c r="H212" s="188" t="s">
        <v>3647</v>
      </c>
      <c r="I212" s="516">
        <v>45502</v>
      </c>
      <c r="J212" s="188">
        <v>45534</v>
      </c>
      <c r="K212" s="493" t="s">
        <v>18</v>
      </c>
      <c r="L212" s="500" t="s">
        <v>3618</v>
      </c>
      <c r="M212" s="490" t="s">
        <v>3648</v>
      </c>
      <c r="N212" s="484">
        <v>1437.21</v>
      </c>
      <c r="O212" s="484">
        <v>8618.97</v>
      </c>
      <c r="P212" s="499"/>
      <c r="Q212" s="501">
        <v>45510</v>
      </c>
      <c r="R212" s="501">
        <v>45525</v>
      </c>
      <c r="S212" s="188"/>
      <c r="T212" s="188">
        <v>45533</v>
      </c>
      <c r="U212" s="188">
        <v>45539</v>
      </c>
      <c r="V212" s="487" t="s">
        <v>20</v>
      </c>
      <c r="W212" s="188">
        <f t="shared" si="11"/>
        <v>45548</v>
      </c>
      <c r="X212" s="524"/>
      <c r="Y212" s="509"/>
      <c r="Z212" s="524"/>
      <c r="AA212" s="524"/>
    </row>
    <row r="213" s="178" customFormat="1" ht="14.25" customHeight="1" spans="1:27">
      <c r="A213" s="487" t="s">
        <v>3285</v>
      </c>
      <c r="B213" s="487"/>
      <c r="C213" s="487" t="s">
        <v>3649</v>
      </c>
      <c r="D213" s="487" t="s">
        <v>3650</v>
      </c>
      <c r="E213" s="488"/>
      <c r="F213" s="489"/>
      <c r="G213" s="487" t="s">
        <v>3024</v>
      </c>
      <c r="H213" s="487" t="s">
        <v>3644</v>
      </c>
      <c r="I213" s="516">
        <v>45517</v>
      </c>
      <c r="J213" s="188">
        <v>45535</v>
      </c>
      <c r="K213" s="493" t="s">
        <v>3038</v>
      </c>
      <c r="L213" s="520" t="s">
        <v>3603</v>
      </c>
      <c r="M213" s="490" t="s">
        <v>309</v>
      </c>
      <c r="N213" s="484">
        <v>1412.55</v>
      </c>
      <c r="O213" s="484">
        <v>12356.67</v>
      </c>
      <c r="P213" s="499"/>
      <c r="Q213" s="501">
        <v>45519</v>
      </c>
      <c r="R213" s="501">
        <v>45527</v>
      </c>
      <c r="S213" s="188" t="s">
        <v>309</v>
      </c>
      <c r="T213" s="188">
        <v>45532</v>
      </c>
      <c r="U213" s="188">
        <v>45541</v>
      </c>
      <c r="V213" s="487" t="s">
        <v>20</v>
      </c>
      <c r="W213" s="188">
        <f t="shared" si="11"/>
        <v>45549</v>
      </c>
      <c r="X213" s="524"/>
      <c r="Y213" s="509"/>
      <c r="Z213" s="524"/>
      <c r="AA213" s="524"/>
    </row>
    <row r="214" s="178" customFormat="1" ht="14.25" customHeight="1" spans="1:27">
      <c r="A214" s="487" t="s">
        <v>3578</v>
      </c>
      <c r="B214" s="487"/>
      <c r="C214" s="487" t="s">
        <v>3651</v>
      </c>
      <c r="D214" s="487" t="s">
        <v>3652</v>
      </c>
      <c r="E214" s="488"/>
      <c r="F214" s="489"/>
      <c r="G214" s="487" t="s">
        <v>3079</v>
      </c>
      <c r="H214" s="188" t="s">
        <v>3632</v>
      </c>
      <c r="I214" s="516">
        <v>45497</v>
      </c>
      <c r="J214" s="188">
        <v>45540</v>
      </c>
      <c r="K214" s="493" t="s">
        <v>215</v>
      </c>
      <c r="L214" s="500" t="s">
        <v>3086</v>
      </c>
      <c r="M214" s="490" t="s">
        <v>3653</v>
      </c>
      <c r="N214" s="484"/>
      <c r="O214" s="484"/>
      <c r="P214" s="499"/>
      <c r="Q214" s="501">
        <v>45506</v>
      </c>
      <c r="R214" s="501">
        <v>45524</v>
      </c>
      <c r="S214" s="188">
        <v>45525</v>
      </c>
      <c r="T214" s="188">
        <v>45533</v>
      </c>
      <c r="U214" s="188">
        <v>45541</v>
      </c>
      <c r="V214" s="487" t="s">
        <v>20</v>
      </c>
      <c r="W214" s="188">
        <f t="shared" si="11"/>
        <v>45554</v>
      </c>
      <c r="X214" s="524"/>
      <c r="Y214" s="509"/>
      <c r="Z214" s="524"/>
      <c r="AA214" s="524"/>
    </row>
    <row r="215" s="178" customFormat="1" ht="14.25" customHeight="1" spans="1:27">
      <c r="A215" s="487" t="s">
        <v>3285</v>
      </c>
      <c r="B215" s="487"/>
      <c r="C215" s="487" t="s">
        <v>3654</v>
      </c>
      <c r="D215" s="487" t="s">
        <v>3655</v>
      </c>
      <c r="E215" s="488"/>
      <c r="F215" s="489"/>
      <c r="G215" s="487" t="s">
        <v>3024</v>
      </c>
      <c r="H215" s="487" t="s">
        <v>3656</v>
      </c>
      <c r="I215" s="516">
        <v>45521</v>
      </c>
      <c r="J215" s="188">
        <v>45540</v>
      </c>
      <c r="K215" s="493" t="s">
        <v>3038</v>
      </c>
      <c r="L215" s="520" t="s">
        <v>3598</v>
      </c>
      <c r="M215" s="490" t="s">
        <v>309</v>
      </c>
      <c r="N215" s="484">
        <f>1599.11+137.67</f>
        <v>1736.78</v>
      </c>
      <c r="O215" s="484">
        <v>12288.84</v>
      </c>
      <c r="P215" s="499"/>
      <c r="Q215" s="501">
        <v>45527</v>
      </c>
      <c r="R215" s="501">
        <v>45530</v>
      </c>
      <c r="S215" s="188" t="s">
        <v>309</v>
      </c>
      <c r="T215" s="188">
        <v>45532</v>
      </c>
      <c r="U215" s="188">
        <v>45547</v>
      </c>
      <c r="V215" s="487" t="s">
        <v>20</v>
      </c>
      <c r="W215" s="188">
        <f t="shared" si="11"/>
        <v>45554</v>
      </c>
      <c r="X215" s="524"/>
      <c r="Y215" s="509"/>
      <c r="Z215" s="524"/>
      <c r="AA215" s="524"/>
    </row>
    <row r="216" s="178" customFormat="1" ht="14.25" customHeight="1" spans="1:27">
      <c r="A216" s="487" t="s">
        <v>3285</v>
      </c>
      <c r="B216" s="487"/>
      <c r="C216" s="487" t="s">
        <v>3657</v>
      </c>
      <c r="D216" s="487" t="s">
        <v>3658</v>
      </c>
      <c r="E216" s="488"/>
      <c r="F216" s="489"/>
      <c r="G216" s="487" t="s">
        <v>3024</v>
      </c>
      <c r="H216" s="487" t="s">
        <v>3656</v>
      </c>
      <c r="I216" s="516">
        <v>45521</v>
      </c>
      <c r="J216" s="188">
        <v>45540</v>
      </c>
      <c r="K216" s="493" t="s">
        <v>3038</v>
      </c>
      <c r="L216" s="520" t="s">
        <v>3603</v>
      </c>
      <c r="M216" s="490" t="s">
        <v>309</v>
      </c>
      <c r="N216" s="484">
        <f>1405.94+137.67</f>
        <v>1543.61</v>
      </c>
      <c r="O216" s="484">
        <v>12588.67</v>
      </c>
      <c r="P216" s="499"/>
      <c r="Q216" s="501">
        <v>45527</v>
      </c>
      <c r="R216" s="501">
        <v>45530</v>
      </c>
      <c r="S216" s="188" t="s">
        <v>309</v>
      </c>
      <c r="T216" s="188">
        <v>45533</v>
      </c>
      <c r="U216" s="188">
        <v>45546</v>
      </c>
      <c r="V216" s="487" t="s">
        <v>20</v>
      </c>
      <c r="W216" s="188">
        <f t="shared" si="11"/>
        <v>45554</v>
      </c>
      <c r="X216" s="524"/>
      <c r="Y216" s="509"/>
      <c r="Z216" s="524"/>
      <c r="AA216" s="524"/>
    </row>
    <row r="217" s="178" customFormat="1" ht="14.25" customHeight="1" spans="1:27">
      <c r="A217" s="487" t="s">
        <v>3454</v>
      </c>
      <c r="B217" s="487"/>
      <c r="C217" s="487" t="s">
        <v>3659</v>
      </c>
      <c r="D217" s="487" t="s">
        <v>3660</v>
      </c>
      <c r="E217" s="488"/>
      <c r="F217" s="489"/>
      <c r="G217" s="487" t="s">
        <v>3079</v>
      </c>
      <c r="H217" s="487" t="s">
        <v>3661</v>
      </c>
      <c r="I217" s="516">
        <v>45510</v>
      </c>
      <c r="J217" s="188">
        <v>45543</v>
      </c>
      <c r="K217" s="493" t="s">
        <v>3038</v>
      </c>
      <c r="L217" s="520" t="s">
        <v>3457</v>
      </c>
      <c r="M217" s="490" t="s">
        <v>309</v>
      </c>
      <c r="N217" s="484">
        <f>1531.94+137.67-5.67</f>
        <v>1663.94</v>
      </c>
      <c r="O217" s="484">
        <v>11239.86</v>
      </c>
      <c r="P217" s="499"/>
      <c r="Q217" s="501">
        <v>45518</v>
      </c>
      <c r="R217" s="501">
        <v>45541</v>
      </c>
      <c r="S217" s="188">
        <v>45541</v>
      </c>
      <c r="T217" s="188">
        <v>45541</v>
      </c>
      <c r="U217" s="188">
        <v>45546</v>
      </c>
      <c r="V217" s="487" t="s">
        <v>20</v>
      </c>
      <c r="W217" s="188">
        <f>J217+21</f>
        <v>45564</v>
      </c>
      <c r="X217" s="524"/>
      <c r="Y217" s="509"/>
      <c r="Z217" s="524"/>
      <c r="AA217" s="524"/>
    </row>
    <row r="218" s="178" customFormat="1" ht="14.25" customHeight="1" spans="1:27">
      <c r="A218" s="487" t="s">
        <v>3285</v>
      </c>
      <c r="B218" s="487"/>
      <c r="C218" s="487" t="s">
        <v>3662</v>
      </c>
      <c r="D218" s="487" t="s">
        <v>3663</v>
      </c>
      <c r="E218" s="488"/>
      <c r="F218" s="489"/>
      <c r="G218" s="487" t="s">
        <v>3032</v>
      </c>
      <c r="H218" s="188" t="s">
        <v>3622</v>
      </c>
      <c r="I218" s="516">
        <v>45515</v>
      </c>
      <c r="J218" s="188">
        <v>45543</v>
      </c>
      <c r="K218" s="493" t="s">
        <v>39</v>
      </c>
      <c r="L218" s="520" t="s">
        <v>3437</v>
      </c>
      <c r="M218" s="490" t="s">
        <v>309</v>
      </c>
      <c r="N218" s="484">
        <f>1551.52+137.5-137.5</f>
        <v>1551.52</v>
      </c>
      <c r="O218" s="484">
        <v>2883.32</v>
      </c>
      <c r="P218" s="499"/>
      <c r="Q218" s="501">
        <v>45529</v>
      </c>
      <c r="R218" s="501">
        <v>45537</v>
      </c>
      <c r="S218" s="188" t="s">
        <v>309</v>
      </c>
      <c r="T218" s="188">
        <v>45538</v>
      </c>
      <c r="U218" s="188">
        <v>45546</v>
      </c>
      <c r="V218" s="487" t="s">
        <v>20</v>
      </c>
      <c r="W218" s="188">
        <f>J218+14</f>
        <v>45557</v>
      </c>
      <c r="X218" s="524" t="s">
        <v>3664</v>
      </c>
      <c r="Y218" s="509"/>
      <c r="Z218" s="524"/>
      <c r="AA218" s="524"/>
    </row>
    <row r="219" s="178" customFormat="1" ht="14.25" customHeight="1" spans="1:27">
      <c r="A219" s="487" t="s">
        <v>3569</v>
      </c>
      <c r="B219" s="487"/>
      <c r="C219" s="487" t="s">
        <v>3665</v>
      </c>
      <c r="D219" s="487" t="s">
        <v>3666</v>
      </c>
      <c r="E219" s="488"/>
      <c r="F219" s="489"/>
      <c r="G219" s="487" t="s">
        <v>3032</v>
      </c>
      <c r="H219" s="188" t="s">
        <v>3667</v>
      </c>
      <c r="I219" s="516">
        <v>45502</v>
      </c>
      <c r="J219" s="188">
        <v>45543</v>
      </c>
      <c r="K219" s="493" t="s">
        <v>39</v>
      </c>
      <c r="L219" s="520" t="s">
        <v>3437</v>
      </c>
      <c r="M219" s="490" t="s">
        <v>309</v>
      </c>
      <c r="N219" s="484"/>
      <c r="O219" s="484"/>
      <c r="P219" s="499"/>
      <c r="Q219" s="501">
        <v>45506</v>
      </c>
      <c r="R219" s="501">
        <v>45537</v>
      </c>
      <c r="S219" s="188" t="s">
        <v>309</v>
      </c>
      <c r="T219" s="188">
        <v>45539</v>
      </c>
      <c r="U219" s="188">
        <v>45547</v>
      </c>
      <c r="V219" s="487" t="s">
        <v>20</v>
      </c>
      <c r="W219" s="188">
        <f>J219+14</f>
        <v>45557</v>
      </c>
      <c r="X219" s="524" t="s">
        <v>3668</v>
      </c>
      <c r="Y219" s="509"/>
      <c r="Z219" s="524"/>
      <c r="AA219" s="524"/>
    </row>
    <row r="220" s="178" customFormat="1" ht="14.25" customHeight="1" spans="1:27">
      <c r="A220" s="487" t="s">
        <v>3569</v>
      </c>
      <c r="B220" s="487"/>
      <c r="C220" s="487" t="s">
        <v>3669</v>
      </c>
      <c r="D220" s="487" t="s">
        <v>3670</v>
      </c>
      <c r="E220" s="488"/>
      <c r="F220" s="489"/>
      <c r="G220" s="487" t="s">
        <v>3032</v>
      </c>
      <c r="H220" s="188" t="s">
        <v>3667</v>
      </c>
      <c r="I220" s="516">
        <v>45502</v>
      </c>
      <c r="J220" s="188">
        <v>45543</v>
      </c>
      <c r="K220" s="493" t="s">
        <v>39</v>
      </c>
      <c r="L220" s="520" t="s">
        <v>3437</v>
      </c>
      <c r="M220" s="490" t="s">
        <v>309</v>
      </c>
      <c r="N220" s="484"/>
      <c r="O220" s="484"/>
      <c r="P220" s="499"/>
      <c r="Q220" s="501">
        <v>45506</v>
      </c>
      <c r="R220" s="501">
        <v>45537</v>
      </c>
      <c r="S220" s="188" t="s">
        <v>309</v>
      </c>
      <c r="T220" s="188">
        <v>45539</v>
      </c>
      <c r="U220" s="188">
        <v>45547</v>
      </c>
      <c r="V220" s="487" t="s">
        <v>20</v>
      </c>
      <c r="W220" s="188">
        <f>J220+14</f>
        <v>45557</v>
      </c>
      <c r="X220" s="524" t="s">
        <v>3671</v>
      </c>
      <c r="Y220" s="509"/>
      <c r="Z220" s="524"/>
      <c r="AA220" s="524"/>
    </row>
    <row r="221" s="178" customFormat="1" ht="14.25" customHeight="1" spans="1:27">
      <c r="A221" s="487" t="s">
        <v>3454</v>
      </c>
      <c r="B221" s="487"/>
      <c r="C221" s="487" t="s">
        <v>3672</v>
      </c>
      <c r="D221" s="487" t="s">
        <v>3673</v>
      </c>
      <c r="E221" s="488"/>
      <c r="F221" s="489"/>
      <c r="G221" s="487" t="s">
        <v>3137</v>
      </c>
      <c r="H221" s="487" t="s">
        <v>3674</v>
      </c>
      <c r="I221" s="516">
        <v>45520</v>
      </c>
      <c r="J221" s="516">
        <v>45546</v>
      </c>
      <c r="K221" s="493" t="s">
        <v>3038</v>
      </c>
      <c r="L221" s="520" t="s">
        <v>3457</v>
      </c>
      <c r="M221" s="490" t="s">
        <v>309</v>
      </c>
      <c r="N221" s="484">
        <v>1535.04</v>
      </c>
      <c r="O221" s="484">
        <v>9710.93</v>
      </c>
      <c r="P221" s="499"/>
      <c r="Q221" s="501">
        <v>45529</v>
      </c>
      <c r="R221" s="501">
        <v>45540</v>
      </c>
      <c r="S221" s="188" t="s">
        <v>309</v>
      </c>
      <c r="T221" s="188">
        <v>45544</v>
      </c>
      <c r="U221" s="188">
        <v>45551</v>
      </c>
      <c r="V221" s="487" t="s">
        <v>20</v>
      </c>
      <c r="W221" s="188">
        <f t="shared" ref="W221:W245" si="12">J221+21</f>
        <v>45567</v>
      </c>
      <c r="X221" s="524"/>
      <c r="Y221" s="509"/>
      <c r="Z221" s="524"/>
      <c r="AA221" s="524"/>
    </row>
    <row r="222" s="178" customFormat="1" ht="14.25" customHeight="1" spans="1:27">
      <c r="A222" s="487" t="s">
        <v>3569</v>
      </c>
      <c r="B222" s="487"/>
      <c r="C222" s="487" t="s">
        <v>3675</v>
      </c>
      <c r="D222" s="487" t="s">
        <v>3676</v>
      </c>
      <c r="E222" s="488"/>
      <c r="F222" s="489"/>
      <c r="G222" s="487" t="s">
        <v>3137</v>
      </c>
      <c r="H222" s="487" t="s">
        <v>3674</v>
      </c>
      <c r="I222" s="516">
        <v>45520</v>
      </c>
      <c r="J222" s="516">
        <v>45546</v>
      </c>
      <c r="K222" s="493" t="s">
        <v>3038</v>
      </c>
      <c r="L222" s="520" t="s">
        <v>3457</v>
      </c>
      <c r="M222" s="490" t="s">
        <v>309</v>
      </c>
      <c r="N222" s="484">
        <v>1535.04</v>
      </c>
      <c r="O222" s="484">
        <v>9053.86</v>
      </c>
      <c r="P222" s="499"/>
      <c r="Q222" s="501">
        <v>45527</v>
      </c>
      <c r="R222" s="501">
        <v>45540</v>
      </c>
      <c r="S222" s="188" t="s">
        <v>309</v>
      </c>
      <c r="T222" s="188">
        <v>45544</v>
      </c>
      <c r="U222" s="188">
        <v>45552</v>
      </c>
      <c r="V222" s="487" t="s">
        <v>20</v>
      </c>
      <c r="W222" s="188">
        <f t="shared" si="12"/>
        <v>45567</v>
      </c>
      <c r="X222" s="524"/>
      <c r="Y222" s="509"/>
      <c r="Z222" s="524"/>
      <c r="AA222" s="524"/>
    </row>
    <row r="223" s="178" customFormat="1" ht="14.25" customHeight="1" spans="1:27">
      <c r="A223" s="487" t="s">
        <v>3454</v>
      </c>
      <c r="B223" s="487"/>
      <c r="C223" s="487" t="s">
        <v>3677</v>
      </c>
      <c r="D223" s="487" t="s">
        <v>3678</v>
      </c>
      <c r="E223" s="488"/>
      <c r="F223" s="489"/>
      <c r="G223" s="487" t="s">
        <v>3137</v>
      </c>
      <c r="H223" s="487" t="s">
        <v>3674</v>
      </c>
      <c r="I223" s="516">
        <v>45520</v>
      </c>
      <c r="J223" s="516">
        <v>45546</v>
      </c>
      <c r="K223" s="493" t="s">
        <v>3038</v>
      </c>
      <c r="L223" s="520" t="s">
        <v>3457</v>
      </c>
      <c r="M223" s="490" t="s">
        <v>309</v>
      </c>
      <c r="N223" s="484">
        <v>1535.04</v>
      </c>
      <c r="O223" s="484">
        <v>9203.84</v>
      </c>
      <c r="P223" s="499"/>
      <c r="Q223" s="501">
        <v>45527</v>
      </c>
      <c r="R223" s="501">
        <v>45540</v>
      </c>
      <c r="S223" s="188" t="s">
        <v>309</v>
      </c>
      <c r="T223" s="188">
        <v>45544</v>
      </c>
      <c r="U223" s="188">
        <v>45552</v>
      </c>
      <c r="V223" s="487" t="s">
        <v>20</v>
      </c>
      <c r="W223" s="188">
        <f t="shared" si="12"/>
        <v>45567</v>
      </c>
      <c r="X223" s="524"/>
      <c r="Y223" s="509"/>
      <c r="Z223" s="524"/>
      <c r="AA223" s="524"/>
    </row>
    <row r="224" s="178" customFormat="1" ht="14.25" customHeight="1" spans="1:27">
      <c r="A224" s="487" t="s">
        <v>3569</v>
      </c>
      <c r="B224" s="487"/>
      <c r="C224" s="487" t="s">
        <v>3679</v>
      </c>
      <c r="D224" s="487" t="s">
        <v>3680</v>
      </c>
      <c r="E224" s="488"/>
      <c r="F224" s="489"/>
      <c r="G224" s="487" t="s">
        <v>3032</v>
      </c>
      <c r="H224" s="487" t="s">
        <v>3681</v>
      </c>
      <c r="I224" s="516">
        <v>45528</v>
      </c>
      <c r="J224" s="516">
        <v>45548</v>
      </c>
      <c r="K224" s="493" t="s">
        <v>161</v>
      </c>
      <c r="L224" s="520" t="s">
        <v>3590</v>
      </c>
      <c r="M224" s="490" t="s">
        <v>309</v>
      </c>
      <c r="N224" s="484">
        <f>1819.16+185.85+10</f>
        <v>2015.01</v>
      </c>
      <c r="O224" s="484">
        <v>7611.73</v>
      </c>
      <c r="P224" s="499"/>
      <c r="Q224" s="501">
        <v>45533</v>
      </c>
      <c r="R224" s="501">
        <v>45545</v>
      </c>
      <c r="S224" s="188" t="s">
        <v>309</v>
      </c>
      <c r="T224" s="188">
        <v>45546</v>
      </c>
      <c r="U224" s="188">
        <v>45552</v>
      </c>
      <c r="V224" s="487" t="s">
        <v>20</v>
      </c>
      <c r="W224" s="188">
        <f t="shared" si="12"/>
        <v>45569</v>
      </c>
      <c r="X224" s="524" t="s">
        <v>3682</v>
      </c>
      <c r="Y224" s="509"/>
      <c r="Z224" s="524"/>
      <c r="AA224" s="524"/>
    </row>
    <row r="225" s="178" customFormat="1" ht="14.25" customHeight="1" spans="1:27">
      <c r="A225" s="487" t="s">
        <v>3454</v>
      </c>
      <c r="B225" s="487"/>
      <c r="C225" s="487" t="s">
        <v>3683</v>
      </c>
      <c r="D225" s="487" t="s">
        <v>3684</v>
      </c>
      <c r="E225" s="488"/>
      <c r="F225" s="489"/>
      <c r="G225" s="487" t="s">
        <v>3067</v>
      </c>
      <c r="H225" s="487" t="s">
        <v>3685</v>
      </c>
      <c r="I225" s="516">
        <v>45524</v>
      </c>
      <c r="J225" s="516">
        <v>45549</v>
      </c>
      <c r="K225" s="493" t="s">
        <v>3038</v>
      </c>
      <c r="L225" s="520" t="s">
        <v>3457</v>
      </c>
      <c r="M225" s="490" t="s">
        <v>309</v>
      </c>
      <c r="N225" s="484">
        <v>1531.88</v>
      </c>
      <c r="O225" s="484">
        <v>9064.26</v>
      </c>
      <c r="P225" s="499"/>
      <c r="Q225" s="501">
        <v>45529</v>
      </c>
      <c r="R225" s="501">
        <v>45547</v>
      </c>
      <c r="S225" s="188">
        <v>45548</v>
      </c>
      <c r="T225" s="188">
        <v>45552</v>
      </c>
      <c r="U225" s="188">
        <v>45554</v>
      </c>
      <c r="V225" s="487" t="s">
        <v>20</v>
      </c>
      <c r="W225" s="188">
        <f t="shared" si="12"/>
        <v>45570</v>
      </c>
      <c r="X225" s="524"/>
      <c r="Y225" s="509"/>
      <c r="Z225" s="524"/>
      <c r="AA225" s="524"/>
    </row>
    <row r="226" s="178" customFormat="1" ht="14.25" customHeight="1" spans="1:27">
      <c r="A226" s="487" t="s">
        <v>3454</v>
      </c>
      <c r="B226" s="487"/>
      <c r="C226" s="487" t="s">
        <v>3686</v>
      </c>
      <c r="D226" s="487" t="s">
        <v>3687</v>
      </c>
      <c r="E226" s="488"/>
      <c r="F226" s="489"/>
      <c r="G226" s="487" t="s">
        <v>3079</v>
      </c>
      <c r="H226" s="487" t="s">
        <v>3661</v>
      </c>
      <c r="I226" s="516">
        <v>45510</v>
      </c>
      <c r="J226" s="188">
        <v>45549</v>
      </c>
      <c r="K226" s="493" t="s">
        <v>39</v>
      </c>
      <c r="L226" s="520" t="s">
        <v>3437</v>
      </c>
      <c r="M226" s="490" t="s">
        <v>309</v>
      </c>
      <c r="N226" s="484">
        <v>1481.25</v>
      </c>
      <c r="O226" s="484">
        <v>11136.39</v>
      </c>
      <c r="P226" s="499"/>
      <c r="Q226" s="501">
        <v>45518</v>
      </c>
      <c r="R226" s="501">
        <v>45544</v>
      </c>
      <c r="S226" s="188" t="s">
        <v>309</v>
      </c>
      <c r="T226" s="188">
        <v>45544</v>
      </c>
      <c r="U226" s="188">
        <v>45554</v>
      </c>
      <c r="V226" s="487" t="s">
        <v>20</v>
      </c>
      <c r="W226" s="188">
        <f t="shared" si="12"/>
        <v>45570</v>
      </c>
      <c r="X226" s="524"/>
      <c r="Y226" s="509"/>
      <c r="Z226" s="524"/>
      <c r="AA226" s="524"/>
    </row>
    <row r="227" s="178" customFormat="1" ht="14.25" customHeight="1" spans="1:27">
      <c r="A227" s="487" t="s">
        <v>3688</v>
      </c>
      <c r="B227" s="487"/>
      <c r="C227" s="487" t="s">
        <v>3689</v>
      </c>
      <c r="D227" s="487" t="s">
        <v>3690</v>
      </c>
      <c r="E227" s="488"/>
      <c r="F227" s="489"/>
      <c r="G227" s="487" t="s">
        <v>3032</v>
      </c>
      <c r="H227" s="487" t="s">
        <v>3691</v>
      </c>
      <c r="I227" s="516">
        <v>45535</v>
      </c>
      <c r="J227" s="188">
        <v>45554</v>
      </c>
      <c r="K227" s="188" t="s">
        <v>161</v>
      </c>
      <c r="L227" s="520" t="s">
        <v>3590</v>
      </c>
      <c r="M227" s="490" t="s">
        <v>309</v>
      </c>
      <c r="N227" s="484">
        <f>1813.71+185.85+10</f>
        <v>2009.56</v>
      </c>
      <c r="O227" s="484">
        <v>8686.47</v>
      </c>
      <c r="P227" s="499"/>
      <c r="Q227" s="501">
        <v>45545</v>
      </c>
      <c r="R227" s="501">
        <v>45546</v>
      </c>
      <c r="S227" s="188" t="s">
        <v>309</v>
      </c>
      <c r="T227" s="188">
        <v>45548</v>
      </c>
      <c r="U227" s="188">
        <v>45558</v>
      </c>
      <c r="V227" s="487" t="s">
        <v>20</v>
      </c>
      <c r="W227" s="188">
        <f t="shared" si="12"/>
        <v>45575</v>
      </c>
      <c r="X227" s="524"/>
      <c r="Y227" s="509"/>
      <c r="Z227" s="524"/>
      <c r="AA227" s="524"/>
    </row>
    <row r="228" s="178" customFormat="1" ht="14.25" customHeight="1" spans="1:27">
      <c r="A228" s="487" t="s">
        <v>3285</v>
      </c>
      <c r="B228" s="487"/>
      <c r="C228" s="487" t="s">
        <v>3692</v>
      </c>
      <c r="D228" s="487" t="s">
        <v>3693</v>
      </c>
      <c r="E228" s="488"/>
      <c r="F228" s="489"/>
      <c r="G228" s="487" t="s">
        <v>3032</v>
      </c>
      <c r="H228" s="487" t="s">
        <v>3681</v>
      </c>
      <c r="I228" s="516">
        <v>45528</v>
      </c>
      <c r="J228" s="188">
        <v>45555</v>
      </c>
      <c r="K228" s="493" t="s">
        <v>3038</v>
      </c>
      <c r="L228" s="520" t="s">
        <v>3598</v>
      </c>
      <c r="M228" s="490" t="s">
        <v>309</v>
      </c>
      <c r="N228" s="484">
        <v>1589.66</v>
      </c>
      <c r="O228" s="484">
        <v>12446.94</v>
      </c>
      <c r="P228" s="499"/>
      <c r="Q228" s="501">
        <v>45533</v>
      </c>
      <c r="R228" s="501">
        <v>45551</v>
      </c>
      <c r="S228" s="188" t="s">
        <v>309</v>
      </c>
      <c r="T228" s="188">
        <v>45552</v>
      </c>
      <c r="U228" s="188">
        <v>45560</v>
      </c>
      <c r="V228" s="487" t="s">
        <v>20</v>
      </c>
      <c r="W228" s="188">
        <f t="shared" si="12"/>
        <v>45576</v>
      </c>
      <c r="X228" s="524"/>
      <c r="Y228" s="509"/>
      <c r="Z228" s="524"/>
      <c r="AA228" s="524"/>
    </row>
    <row r="229" s="178" customFormat="1" ht="14.25" customHeight="1" spans="1:27">
      <c r="A229" s="487" t="s">
        <v>3694</v>
      </c>
      <c r="B229" s="487"/>
      <c r="C229" s="487" t="s">
        <v>3695</v>
      </c>
      <c r="D229" s="487" t="s">
        <v>3696</v>
      </c>
      <c r="E229" s="488"/>
      <c r="F229" s="489"/>
      <c r="G229" s="487" t="s">
        <v>3032</v>
      </c>
      <c r="H229" s="487" t="s">
        <v>3681</v>
      </c>
      <c r="I229" s="516">
        <v>45528</v>
      </c>
      <c r="J229" s="188">
        <v>45555</v>
      </c>
      <c r="K229" s="493" t="s">
        <v>3038</v>
      </c>
      <c r="L229" s="520" t="s">
        <v>3457</v>
      </c>
      <c r="M229" s="490" t="s">
        <v>309</v>
      </c>
      <c r="N229" s="484">
        <v>1538.47</v>
      </c>
      <c r="O229" s="484">
        <v>16224.66</v>
      </c>
      <c r="P229" s="499"/>
      <c r="Q229" s="501">
        <v>45533</v>
      </c>
      <c r="R229" s="501">
        <v>45551</v>
      </c>
      <c r="S229" s="188" t="s">
        <v>309</v>
      </c>
      <c r="T229" s="188">
        <v>45552</v>
      </c>
      <c r="U229" s="188">
        <v>45559</v>
      </c>
      <c r="V229" s="487" t="s">
        <v>20</v>
      </c>
      <c r="W229" s="188">
        <f t="shared" si="12"/>
        <v>45576</v>
      </c>
      <c r="X229" s="524"/>
      <c r="Y229" s="509"/>
      <c r="Z229" s="524"/>
      <c r="AA229" s="524"/>
    </row>
    <row r="230" s="178" customFormat="1" ht="14.25" customHeight="1" spans="1:27">
      <c r="A230" s="487" t="s">
        <v>3688</v>
      </c>
      <c r="B230" s="487"/>
      <c r="C230" s="487" t="s">
        <v>3697</v>
      </c>
      <c r="D230" s="487" t="s">
        <v>3698</v>
      </c>
      <c r="E230" s="488"/>
      <c r="F230" s="489"/>
      <c r="G230" s="487" t="s">
        <v>3032</v>
      </c>
      <c r="H230" s="487" t="s">
        <v>3691</v>
      </c>
      <c r="I230" s="516">
        <v>45535</v>
      </c>
      <c r="J230" s="188">
        <v>45557</v>
      </c>
      <c r="K230" s="188" t="s">
        <v>3038</v>
      </c>
      <c r="L230" s="520" t="s">
        <v>3457</v>
      </c>
      <c r="M230" s="490" t="s">
        <v>309</v>
      </c>
      <c r="N230" s="484">
        <v>1538.47</v>
      </c>
      <c r="O230" s="484">
        <v>8340.39</v>
      </c>
      <c r="P230" s="499"/>
      <c r="Q230" s="501">
        <v>45545</v>
      </c>
      <c r="R230" s="501">
        <v>45548</v>
      </c>
      <c r="S230" s="188" t="s">
        <v>309</v>
      </c>
      <c r="T230" s="188">
        <v>45552</v>
      </c>
      <c r="U230" s="188">
        <v>45560</v>
      </c>
      <c r="V230" s="487" t="s">
        <v>20</v>
      </c>
      <c r="W230" s="188">
        <f t="shared" si="12"/>
        <v>45578</v>
      </c>
      <c r="X230" s="524"/>
      <c r="Y230" s="509"/>
      <c r="Z230" s="524"/>
      <c r="AA230" s="524"/>
    </row>
    <row r="231" s="178" customFormat="1" ht="13.5" customHeight="1" spans="1:27">
      <c r="A231" s="487" t="s">
        <v>3569</v>
      </c>
      <c r="B231" s="487"/>
      <c r="C231" s="487" t="s">
        <v>3699</v>
      </c>
      <c r="D231" s="487" t="s">
        <v>3700</v>
      </c>
      <c r="E231" s="488"/>
      <c r="F231" s="489"/>
      <c r="G231" s="487" t="s">
        <v>3137</v>
      </c>
      <c r="H231" s="487" t="s">
        <v>3701</v>
      </c>
      <c r="I231" s="516">
        <v>45529</v>
      </c>
      <c r="J231" s="188">
        <v>45558</v>
      </c>
      <c r="K231" s="493" t="s">
        <v>3038</v>
      </c>
      <c r="L231" s="520" t="s">
        <v>3457</v>
      </c>
      <c r="M231" s="490" t="s">
        <v>309</v>
      </c>
      <c r="N231" s="484">
        <v>1431.38</v>
      </c>
      <c r="O231" s="484">
        <v>14935.98</v>
      </c>
      <c r="P231" s="499"/>
      <c r="Q231" s="501">
        <v>45541</v>
      </c>
      <c r="R231" s="501">
        <v>45552</v>
      </c>
      <c r="S231" s="188" t="s">
        <v>309</v>
      </c>
      <c r="T231" s="188">
        <v>45554</v>
      </c>
      <c r="U231" s="188">
        <v>45561</v>
      </c>
      <c r="V231" s="487" t="s">
        <v>20</v>
      </c>
      <c r="W231" s="188">
        <f t="shared" si="12"/>
        <v>45579</v>
      </c>
      <c r="X231" s="524"/>
      <c r="Y231" s="509"/>
      <c r="Z231" s="524"/>
      <c r="AA231" s="524"/>
    </row>
    <row r="232" s="178" customFormat="1" ht="12.75" customHeight="1" spans="1:27">
      <c r="A232" s="487" t="s">
        <v>3454</v>
      </c>
      <c r="B232" s="487"/>
      <c r="C232" s="487" t="s">
        <v>3702</v>
      </c>
      <c r="D232" s="487" t="s">
        <v>3703</v>
      </c>
      <c r="E232" s="488"/>
      <c r="F232" s="489"/>
      <c r="G232" s="487" t="s">
        <v>3137</v>
      </c>
      <c r="H232" s="487" t="s">
        <v>3701</v>
      </c>
      <c r="I232" s="516">
        <v>45529</v>
      </c>
      <c r="J232" s="188">
        <v>45558</v>
      </c>
      <c r="K232" s="493" t="s">
        <v>3038</v>
      </c>
      <c r="L232" s="520" t="s">
        <v>3704</v>
      </c>
      <c r="M232" s="490" t="s">
        <v>309</v>
      </c>
      <c r="N232" s="484">
        <v>1393.19</v>
      </c>
      <c r="O232" s="484">
        <v>12362.79</v>
      </c>
      <c r="P232" s="499"/>
      <c r="Q232" s="501">
        <v>45541</v>
      </c>
      <c r="R232" s="501">
        <v>45552</v>
      </c>
      <c r="S232" s="188" t="s">
        <v>309</v>
      </c>
      <c r="T232" s="188">
        <v>45554</v>
      </c>
      <c r="U232" s="188">
        <v>45561</v>
      </c>
      <c r="V232" s="487" t="s">
        <v>20</v>
      </c>
      <c r="W232" s="188">
        <f t="shared" si="12"/>
        <v>45579</v>
      </c>
      <c r="X232" s="524"/>
      <c r="Y232" s="509"/>
      <c r="Z232" s="524"/>
      <c r="AA232" s="524"/>
    </row>
    <row r="233" s="178" customFormat="1" ht="15.75" customHeight="1" spans="1:27">
      <c r="A233" s="487" t="s">
        <v>3569</v>
      </c>
      <c r="B233" s="487"/>
      <c r="C233" s="487" t="s">
        <v>3705</v>
      </c>
      <c r="D233" s="487" t="s">
        <v>3706</v>
      </c>
      <c r="E233" s="488"/>
      <c r="F233" s="489"/>
      <c r="G233" s="487" t="s">
        <v>3137</v>
      </c>
      <c r="H233" s="487" t="s">
        <v>3701</v>
      </c>
      <c r="I233" s="516">
        <v>45529</v>
      </c>
      <c r="J233" s="188">
        <v>45558</v>
      </c>
      <c r="K233" s="188" t="s">
        <v>3038</v>
      </c>
      <c r="L233" s="520" t="s">
        <v>3707</v>
      </c>
      <c r="M233" s="490" t="s">
        <v>309</v>
      </c>
      <c r="N233" s="484">
        <f>1263.49+316.62</f>
        <v>1580.11</v>
      </c>
      <c r="O233" s="484">
        <v>12127.85</v>
      </c>
      <c r="P233" s="499"/>
      <c r="Q233" s="501">
        <v>45541</v>
      </c>
      <c r="R233" s="501">
        <v>45552</v>
      </c>
      <c r="S233" s="188" t="s">
        <v>309</v>
      </c>
      <c r="T233" s="188">
        <v>45554</v>
      </c>
      <c r="U233" s="188">
        <v>45565</v>
      </c>
      <c r="V233" s="487" t="s">
        <v>20</v>
      </c>
      <c r="W233" s="188">
        <f t="shared" si="12"/>
        <v>45579</v>
      </c>
      <c r="X233" s="524" t="s">
        <v>3708</v>
      </c>
      <c r="Y233" s="509"/>
      <c r="Z233" s="524"/>
      <c r="AA233" s="524"/>
    </row>
    <row r="234" s="178" customFormat="1" ht="14.25" customHeight="1" spans="1:27">
      <c r="A234" s="487" t="s">
        <v>3454</v>
      </c>
      <c r="B234" s="487"/>
      <c r="C234" s="487" t="s">
        <v>3709</v>
      </c>
      <c r="D234" s="487" t="s">
        <v>3710</v>
      </c>
      <c r="E234" s="488"/>
      <c r="F234" s="489"/>
      <c r="G234" s="492" t="s">
        <v>3146</v>
      </c>
      <c r="H234" s="487" t="s">
        <v>3711</v>
      </c>
      <c r="I234" s="516">
        <v>45534</v>
      </c>
      <c r="J234" s="188">
        <v>45559</v>
      </c>
      <c r="K234" s="188" t="s">
        <v>3038</v>
      </c>
      <c r="L234" s="520" t="s">
        <v>3712</v>
      </c>
      <c r="M234" s="490" t="s">
        <v>309</v>
      </c>
      <c r="N234" s="484">
        <v>1387.77</v>
      </c>
      <c r="O234" s="484">
        <v>11705.58</v>
      </c>
      <c r="P234" s="499"/>
      <c r="Q234" s="501">
        <v>45548</v>
      </c>
      <c r="R234" s="501">
        <v>45555</v>
      </c>
      <c r="S234" s="188" t="s">
        <v>309</v>
      </c>
      <c r="T234" s="188">
        <v>45559</v>
      </c>
      <c r="U234" s="188">
        <v>45567</v>
      </c>
      <c r="V234" s="487" t="s">
        <v>20</v>
      </c>
      <c r="W234" s="188">
        <f t="shared" si="12"/>
        <v>45580</v>
      </c>
      <c r="X234" s="524"/>
      <c r="Y234" s="509"/>
      <c r="Z234" s="524"/>
      <c r="AA234" s="524"/>
    </row>
    <row r="235" s="178" customFormat="1" ht="14.25" customHeight="1" spans="1:27">
      <c r="A235" s="487" t="s">
        <v>3569</v>
      </c>
      <c r="B235" s="487"/>
      <c r="C235" s="487" t="s">
        <v>3713</v>
      </c>
      <c r="D235" s="487" t="s">
        <v>3714</v>
      </c>
      <c r="E235" s="488"/>
      <c r="F235" s="489"/>
      <c r="G235" s="492" t="s">
        <v>3146</v>
      </c>
      <c r="H235" s="487" t="s">
        <v>3711</v>
      </c>
      <c r="I235" s="516">
        <v>45534</v>
      </c>
      <c r="J235" s="188">
        <v>45559</v>
      </c>
      <c r="K235" s="493" t="s">
        <v>3038</v>
      </c>
      <c r="L235" s="520" t="s">
        <v>3715</v>
      </c>
      <c r="M235" s="490" t="s">
        <v>309</v>
      </c>
      <c r="N235" s="484">
        <v>1387.77</v>
      </c>
      <c r="O235" s="484">
        <v>11766.26</v>
      </c>
      <c r="P235" s="499"/>
      <c r="Q235" s="501">
        <v>45547</v>
      </c>
      <c r="R235" s="501">
        <v>45555</v>
      </c>
      <c r="S235" s="188" t="s">
        <v>309</v>
      </c>
      <c r="T235" s="188">
        <v>45559</v>
      </c>
      <c r="U235" s="188">
        <v>45567</v>
      </c>
      <c r="V235" s="487" t="s">
        <v>20</v>
      </c>
      <c r="W235" s="188">
        <f t="shared" si="12"/>
        <v>45580</v>
      </c>
      <c r="X235" s="524"/>
      <c r="Y235" s="509"/>
      <c r="Z235" s="524"/>
      <c r="AA235" s="524"/>
    </row>
    <row r="236" s="178" customFormat="1" ht="14.25" customHeight="1" spans="1:27">
      <c r="A236" s="487" t="s">
        <v>3569</v>
      </c>
      <c r="B236" s="487"/>
      <c r="C236" s="487" t="s">
        <v>3716</v>
      </c>
      <c r="D236" s="487" t="s">
        <v>3717</v>
      </c>
      <c r="E236" s="488"/>
      <c r="F236" s="489"/>
      <c r="G236" s="487" t="s">
        <v>3137</v>
      </c>
      <c r="H236" s="487" t="s">
        <v>3718</v>
      </c>
      <c r="I236" s="516">
        <v>45530</v>
      </c>
      <c r="J236" s="516">
        <v>45560</v>
      </c>
      <c r="K236" s="493" t="s">
        <v>39</v>
      </c>
      <c r="L236" s="520" t="s">
        <v>3437</v>
      </c>
      <c r="M236" s="490" t="s">
        <v>309</v>
      </c>
      <c r="N236" s="484">
        <v>1506.72</v>
      </c>
      <c r="O236" s="484">
        <v>10891.47</v>
      </c>
      <c r="P236" s="499"/>
      <c r="Q236" s="501">
        <v>45541</v>
      </c>
      <c r="R236" s="501">
        <v>45552</v>
      </c>
      <c r="S236" s="188" t="s">
        <v>309</v>
      </c>
      <c r="T236" s="188">
        <v>45555</v>
      </c>
      <c r="U236" s="188">
        <v>45565</v>
      </c>
      <c r="V236" s="487" t="s">
        <v>20</v>
      </c>
      <c r="W236" s="188">
        <f t="shared" si="12"/>
        <v>45581</v>
      </c>
      <c r="X236" s="524"/>
      <c r="Y236" s="509"/>
      <c r="Z236" s="524"/>
      <c r="AA236" s="524"/>
    </row>
    <row r="237" s="178" customFormat="1" ht="14.25" customHeight="1" spans="1:27">
      <c r="A237" s="487" t="s">
        <v>3569</v>
      </c>
      <c r="B237" s="487"/>
      <c r="C237" s="487" t="s">
        <v>3719</v>
      </c>
      <c r="D237" s="487" t="s">
        <v>3720</v>
      </c>
      <c r="E237" s="488"/>
      <c r="F237" s="489"/>
      <c r="G237" s="487" t="s">
        <v>3032</v>
      </c>
      <c r="H237" s="487" t="s">
        <v>3691</v>
      </c>
      <c r="I237" s="516">
        <v>45535</v>
      </c>
      <c r="J237" s="188">
        <v>45561</v>
      </c>
      <c r="K237" s="188" t="s">
        <v>39</v>
      </c>
      <c r="L237" s="520" t="s">
        <v>3437</v>
      </c>
      <c r="M237" s="490" t="s">
        <v>309</v>
      </c>
      <c r="N237" s="484">
        <f>1392.62+303.6-160.05</f>
        <v>1536.17</v>
      </c>
      <c r="O237" s="484">
        <v>8776.67</v>
      </c>
      <c r="P237" s="499"/>
      <c r="Q237" s="501">
        <v>45545</v>
      </c>
      <c r="R237" s="501">
        <v>45554</v>
      </c>
      <c r="S237" s="188" t="s">
        <v>309</v>
      </c>
      <c r="T237" s="188">
        <v>45559</v>
      </c>
      <c r="U237" s="188">
        <v>45565</v>
      </c>
      <c r="V237" s="487" t="s">
        <v>20</v>
      </c>
      <c r="W237" s="188">
        <f t="shared" si="12"/>
        <v>45582</v>
      </c>
      <c r="X237" s="524"/>
      <c r="Y237" s="509"/>
      <c r="Z237" s="524"/>
      <c r="AA237" s="524"/>
    </row>
    <row r="238" s="178" customFormat="1" ht="14.25" customHeight="1" spans="1:27">
      <c r="A238" s="487" t="s">
        <v>3569</v>
      </c>
      <c r="B238" s="487"/>
      <c r="C238" s="487" t="s">
        <v>3721</v>
      </c>
      <c r="D238" s="487" t="s">
        <v>3722</v>
      </c>
      <c r="E238" s="488"/>
      <c r="F238" s="489"/>
      <c r="G238" s="487" t="s">
        <v>3032</v>
      </c>
      <c r="H238" s="487" t="s">
        <v>3691</v>
      </c>
      <c r="I238" s="516">
        <v>45535</v>
      </c>
      <c r="J238" s="188">
        <v>45561</v>
      </c>
      <c r="K238" s="493" t="s">
        <v>39</v>
      </c>
      <c r="L238" s="520" t="s">
        <v>3437</v>
      </c>
      <c r="M238" s="490" t="s">
        <v>309</v>
      </c>
      <c r="N238" s="484">
        <v>1508.67</v>
      </c>
      <c r="O238" s="484">
        <v>8839.01</v>
      </c>
      <c r="P238" s="499"/>
      <c r="Q238" s="501">
        <v>45545</v>
      </c>
      <c r="R238" s="501">
        <v>45554</v>
      </c>
      <c r="S238" s="188" t="s">
        <v>309</v>
      </c>
      <c r="T238" s="188">
        <v>45559</v>
      </c>
      <c r="U238" s="188">
        <v>45565</v>
      </c>
      <c r="V238" s="487" t="s">
        <v>20</v>
      </c>
      <c r="W238" s="188">
        <f t="shared" si="12"/>
        <v>45582</v>
      </c>
      <c r="X238" s="524"/>
      <c r="Y238" s="509"/>
      <c r="Z238" s="524"/>
      <c r="AA238" s="524"/>
    </row>
    <row r="239" s="178" customFormat="1" ht="14.25" customHeight="1" spans="1:27">
      <c r="A239" s="487" t="s">
        <v>3569</v>
      </c>
      <c r="B239" s="487"/>
      <c r="C239" s="487" t="s">
        <v>3723</v>
      </c>
      <c r="D239" s="487" t="s">
        <v>3724</v>
      </c>
      <c r="E239" s="488"/>
      <c r="F239" s="489"/>
      <c r="G239" s="487" t="s">
        <v>3032</v>
      </c>
      <c r="H239" s="487" t="s">
        <v>3691</v>
      </c>
      <c r="I239" s="516">
        <v>45535</v>
      </c>
      <c r="J239" s="188">
        <v>45561</v>
      </c>
      <c r="K239" s="188" t="s">
        <v>39</v>
      </c>
      <c r="L239" s="520" t="s">
        <v>3437</v>
      </c>
      <c r="M239" s="490" t="s">
        <v>309</v>
      </c>
      <c r="N239" s="484">
        <f>1508.67+957.59-371.89</f>
        <v>2094.37</v>
      </c>
      <c r="O239" s="484">
        <v>8382.9</v>
      </c>
      <c r="P239" s="499"/>
      <c r="Q239" s="501">
        <v>45545</v>
      </c>
      <c r="R239" s="501">
        <v>45554</v>
      </c>
      <c r="S239" s="188" t="s">
        <v>309</v>
      </c>
      <c r="T239" s="188">
        <v>45560</v>
      </c>
      <c r="U239" s="188">
        <v>45574</v>
      </c>
      <c r="V239" s="487" t="s">
        <v>20</v>
      </c>
      <c r="W239" s="188">
        <f t="shared" si="12"/>
        <v>45582</v>
      </c>
      <c r="X239" s="529" t="s">
        <v>3725</v>
      </c>
      <c r="Y239" s="509"/>
      <c r="Z239" s="524"/>
      <c r="AA239" s="524"/>
    </row>
    <row r="240" s="178" customFormat="1" ht="14.25" customHeight="1" spans="1:27">
      <c r="A240" s="487" t="s">
        <v>3688</v>
      </c>
      <c r="B240" s="487"/>
      <c r="C240" s="487" t="s">
        <v>3726</v>
      </c>
      <c r="D240" s="487" t="s">
        <v>3727</v>
      </c>
      <c r="E240" s="488"/>
      <c r="F240" s="489"/>
      <c r="G240" s="487" t="s">
        <v>3032</v>
      </c>
      <c r="H240" s="487" t="s">
        <v>3691</v>
      </c>
      <c r="I240" s="516">
        <v>45535</v>
      </c>
      <c r="J240" s="188">
        <v>45561</v>
      </c>
      <c r="K240" s="188" t="s">
        <v>39</v>
      </c>
      <c r="L240" s="520" t="s">
        <v>3437</v>
      </c>
      <c r="M240" s="490" t="s">
        <v>309</v>
      </c>
      <c r="N240" s="484">
        <f>1508.67+957.59-371.89</f>
        <v>2094.37</v>
      </c>
      <c r="O240" s="484">
        <v>8213.11</v>
      </c>
      <c r="P240" s="499"/>
      <c r="Q240" s="501">
        <v>45546</v>
      </c>
      <c r="R240" s="501">
        <v>45554</v>
      </c>
      <c r="S240" s="188" t="s">
        <v>309</v>
      </c>
      <c r="T240" s="188">
        <v>45559</v>
      </c>
      <c r="U240" s="188">
        <v>45574</v>
      </c>
      <c r="V240" s="487" t="s">
        <v>20</v>
      </c>
      <c r="W240" s="188">
        <f t="shared" si="12"/>
        <v>45582</v>
      </c>
      <c r="X240" s="529" t="s">
        <v>3725</v>
      </c>
      <c r="Y240" s="509"/>
      <c r="Z240" s="524"/>
      <c r="AA240" s="524"/>
    </row>
    <row r="241" s="178" customFormat="1" ht="14.25" customHeight="1" spans="1:27">
      <c r="A241" s="487" t="s">
        <v>3569</v>
      </c>
      <c r="B241" s="487"/>
      <c r="C241" s="487" t="s">
        <v>3728</v>
      </c>
      <c r="D241" s="487" t="s">
        <v>3729</v>
      </c>
      <c r="E241" s="488"/>
      <c r="F241" s="489"/>
      <c r="G241" s="487" t="s">
        <v>3032</v>
      </c>
      <c r="H241" s="487" t="s">
        <v>3691</v>
      </c>
      <c r="I241" s="516">
        <v>45535</v>
      </c>
      <c r="J241" s="188">
        <v>45561</v>
      </c>
      <c r="K241" s="493" t="s">
        <v>39</v>
      </c>
      <c r="L241" s="520" t="s">
        <v>3437</v>
      </c>
      <c r="M241" s="490" t="s">
        <v>309</v>
      </c>
      <c r="N241" s="484">
        <f>1507.65+891.59-305.89</f>
        <v>2093.35</v>
      </c>
      <c r="O241" s="484">
        <v>9103.7</v>
      </c>
      <c r="P241" s="499"/>
      <c r="Q241" s="501">
        <v>45547</v>
      </c>
      <c r="R241" s="501">
        <v>45554</v>
      </c>
      <c r="S241" s="188" t="s">
        <v>309</v>
      </c>
      <c r="T241" s="188">
        <v>45559</v>
      </c>
      <c r="U241" s="188">
        <v>45574</v>
      </c>
      <c r="V241" s="487" t="s">
        <v>20</v>
      </c>
      <c r="W241" s="188">
        <f t="shared" si="12"/>
        <v>45582</v>
      </c>
      <c r="X241" s="529" t="s">
        <v>3725</v>
      </c>
      <c r="Y241" s="509"/>
      <c r="Z241" s="524"/>
      <c r="AA241" s="524"/>
    </row>
    <row r="242" s="178" customFormat="1" spans="1:27">
      <c r="A242" s="487" t="s">
        <v>3569</v>
      </c>
      <c r="B242" s="487"/>
      <c r="C242" s="487" t="s">
        <v>3730</v>
      </c>
      <c r="D242" s="487" t="s">
        <v>3731</v>
      </c>
      <c r="E242" s="488"/>
      <c r="F242" s="489"/>
      <c r="G242" s="492" t="s">
        <v>3146</v>
      </c>
      <c r="H242" s="487" t="s">
        <v>3711</v>
      </c>
      <c r="I242" s="516">
        <v>45534</v>
      </c>
      <c r="J242" s="188">
        <v>45565</v>
      </c>
      <c r="K242" s="493" t="s">
        <v>161</v>
      </c>
      <c r="L242" s="520" t="s">
        <v>3590</v>
      </c>
      <c r="M242" s="490" t="s">
        <v>309</v>
      </c>
      <c r="N242" s="484">
        <v>4172.7</v>
      </c>
      <c r="O242" s="484">
        <v>8943.88</v>
      </c>
      <c r="P242" s="499"/>
      <c r="Q242" s="501">
        <v>45547</v>
      </c>
      <c r="R242" s="501">
        <v>45555</v>
      </c>
      <c r="S242" s="188" t="s">
        <v>309</v>
      </c>
      <c r="T242" s="188">
        <v>45567</v>
      </c>
      <c r="U242" s="188">
        <v>45573</v>
      </c>
      <c r="V242" s="487" t="s">
        <v>20</v>
      </c>
      <c r="W242" s="188">
        <f t="shared" si="12"/>
        <v>45586</v>
      </c>
      <c r="X242" s="524"/>
      <c r="Y242" s="509"/>
      <c r="Z242" s="524"/>
      <c r="AA242" s="524"/>
    </row>
    <row r="243" s="178" customFormat="1" ht="14.25" customHeight="1" spans="1:27">
      <c r="A243" s="487" t="s">
        <v>3454</v>
      </c>
      <c r="B243" s="487"/>
      <c r="C243" s="487" t="s">
        <v>3732</v>
      </c>
      <c r="D243" s="487" t="s">
        <v>3733</v>
      </c>
      <c r="E243" s="488"/>
      <c r="F243" s="489"/>
      <c r="G243" s="492" t="s">
        <v>3146</v>
      </c>
      <c r="H243" s="487" t="s">
        <v>3734</v>
      </c>
      <c r="I243" s="516">
        <v>45541</v>
      </c>
      <c r="J243" s="188">
        <v>45567</v>
      </c>
      <c r="K243" s="188" t="s">
        <v>3038</v>
      </c>
      <c r="L243" s="520" t="s">
        <v>3457</v>
      </c>
      <c r="M243" s="490" t="s">
        <v>309</v>
      </c>
      <c r="N243" s="484">
        <f>1576.89+115.5</f>
        <v>1692.39</v>
      </c>
      <c r="O243" s="484">
        <v>9319.56</v>
      </c>
      <c r="P243" s="499"/>
      <c r="Q243" s="501">
        <v>45548</v>
      </c>
      <c r="R243" s="501">
        <v>45565</v>
      </c>
      <c r="S243" s="188" t="s">
        <v>309</v>
      </c>
      <c r="T243" s="188">
        <v>45566</v>
      </c>
      <c r="U243" s="188">
        <v>45572</v>
      </c>
      <c r="V243" s="487" t="s">
        <v>20</v>
      </c>
      <c r="W243" s="188">
        <f t="shared" si="12"/>
        <v>45588</v>
      </c>
      <c r="X243" s="524"/>
      <c r="Y243" s="509"/>
      <c r="Z243" s="524"/>
      <c r="AA243" s="524"/>
    </row>
    <row r="244" s="178" customFormat="1" ht="14.25" customHeight="1" spans="1:27">
      <c r="A244" s="487" t="s">
        <v>3472</v>
      </c>
      <c r="B244" s="487"/>
      <c r="C244" s="487" t="s">
        <v>3735</v>
      </c>
      <c r="D244" s="487" t="s">
        <v>3736</v>
      </c>
      <c r="E244" s="488"/>
      <c r="F244" s="489"/>
      <c r="G244" s="492" t="s">
        <v>3146</v>
      </c>
      <c r="H244" s="487" t="s">
        <v>3734</v>
      </c>
      <c r="I244" s="516">
        <v>45541</v>
      </c>
      <c r="J244" s="188">
        <v>45567</v>
      </c>
      <c r="K244" s="188" t="s">
        <v>3038</v>
      </c>
      <c r="L244" s="520" t="s">
        <v>3737</v>
      </c>
      <c r="M244" s="490" t="s">
        <v>309</v>
      </c>
      <c r="N244" s="484">
        <v>2060.49</v>
      </c>
      <c r="O244" s="484">
        <v>11945.7</v>
      </c>
      <c r="P244" s="499"/>
      <c r="Q244" s="501">
        <v>45548</v>
      </c>
      <c r="R244" s="501">
        <v>45565</v>
      </c>
      <c r="S244" s="188" t="s">
        <v>309</v>
      </c>
      <c r="T244" s="188">
        <v>45566</v>
      </c>
      <c r="U244" s="188">
        <v>45574</v>
      </c>
      <c r="V244" s="487" t="s">
        <v>20</v>
      </c>
      <c r="W244" s="188">
        <f t="shared" si="12"/>
        <v>45588</v>
      </c>
      <c r="X244" s="524" t="s">
        <v>3738</v>
      </c>
      <c r="Y244" s="509"/>
      <c r="Z244" s="524"/>
      <c r="AA244" s="524"/>
    </row>
    <row r="245" s="178" customFormat="1" ht="14.25" customHeight="1" spans="1:27">
      <c r="A245" s="487" t="s">
        <v>3472</v>
      </c>
      <c r="B245" s="487"/>
      <c r="C245" s="487" t="s">
        <v>3739</v>
      </c>
      <c r="D245" s="487" t="s">
        <v>3740</v>
      </c>
      <c r="E245" s="488"/>
      <c r="F245" s="489"/>
      <c r="G245" s="492" t="s">
        <v>3146</v>
      </c>
      <c r="H245" s="487" t="s">
        <v>3734</v>
      </c>
      <c r="I245" s="516">
        <v>45541</v>
      </c>
      <c r="J245" s="188">
        <v>45567</v>
      </c>
      <c r="K245" s="188" t="s">
        <v>3038</v>
      </c>
      <c r="L245" s="520" t="s">
        <v>3737</v>
      </c>
      <c r="M245" s="490" t="s">
        <v>309</v>
      </c>
      <c r="N245" s="484">
        <v>1635.44</v>
      </c>
      <c r="O245" s="484">
        <v>12405.65</v>
      </c>
      <c r="P245" s="499"/>
      <c r="Q245" s="501">
        <v>45548</v>
      </c>
      <c r="R245" s="501">
        <v>45565</v>
      </c>
      <c r="S245" s="188" t="s">
        <v>309</v>
      </c>
      <c r="T245" s="188">
        <v>45566</v>
      </c>
      <c r="U245" s="188">
        <v>45572</v>
      </c>
      <c r="V245" s="487" t="s">
        <v>20</v>
      </c>
      <c r="W245" s="188">
        <f t="shared" si="12"/>
        <v>45588</v>
      </c>
      <c r="X245" s="524" t="s">
        <v>3741</v>
      </c>
      <c r="Y245" s="509"/>
      <c r="Z245" s="524"/>
      <c r="AA245" s="524"/>
    </row>
    <row r="246" s="178" customFormat="1" ht="14.25" customHeight="1" spans="1:27">
      <c r="A246" s="487" t="s">
        <v>3742</v>
      </c>
      <c r="B246" s="487"/>
      <c r="C246" s="487" t="s">
        <v>3743</v>
      </c>
      <c r="D246" s="487" t="s">
        <v>3744</v>
      </c>
      <c r="E246" s="488"/>
      <c r="F246" s="489"/>
      <c r="G246" s="487" t="s">
        <v>3079</v>
      </c>
      <c r="H246" s="487" t="s">
        <v>3745</v>
      </c>
      <c r="I246" s="516">
        <v>45534</v>
      </c>
      <c r="J246" s="188">
        <v>45569</v>
      </c>
      <c r="K246" s="188" t="s">
        <v>207</v>
      </c>
      <c r="L246" s="500" t="s">
        <v>3069</v>
      </c>
      <c r="M246" s="501" t="s">
        <v>3746</v>
      </c>
      <c r="N246" s="484">
        <f>1633.36+126.5+132-405.9</f>
        <v>1485.96</v>
      </c>
      <c r="O246" s="484">
        <v>8414.73</v>
      </c>
      <c r="P246" s="499"/>
      <c r="Q246" s="501">
        <v>45547</v>
      </c>
      <c r="R246" s="501">
        <v>45559</v>
      </c>
      <c r="S246" s="188" t="s">
        <v>309</v>
      </c>
      <c r="T246" s="188">
        <v>45564</v>
      </c>
      <c r="U246" s="188">
        <v>45575</v>
      </c>
      <c r="V246" s="487" t="s">
        <v>20</v>
      </c>
      <c r="W246" s="188">
        <f>J246+14</f>
        <v>45583</v>
      </c>
      <c r="X246" s="524"/>
      <c r="Y246" s="509"/>
      <c r="Z246" s="524"/>
      <c r="AA246" s="524"/>
    </row>
    <row r="247" s="178" customFormat="1" ht="14.25" customHeight="1" spans="1:27">
      <c r="A247" s="487" t="s">
        <v>3747</v>
      </c>
      <c r="B247" s="487"/>
      <c r="C247" s="487" t="s">
        <v>3748</v>
      </c>
      <c r="D247" s="487" t="s">
        <v>3749</v>
      </c>
      <c r="E247" s="488"/>
      <c r="F247" s="489"/>
      <c r="G247" s="487" t="s">
        <v>3079</v>
      </c>
      <c r="H247" s="487" t="s">
        <v>3745</v>
      </c>
      <c r="I247" s="516">
        <v>45534</v>
      </c>
      <c r="J247" s="188">
        <v>45569</v>
      </c>
      <c r="K247" s="188" t="s">
        <v>207</v>
      </c>
      <c r="L247" s="520" t="s">
        <v>3633</v>
      </c>
      <c r="M247" s="501" t="s">
        <v>3750</v>
      </c>
      <c r="N247" s="484">
        <v>1633.36</v>
      </c>
      <c r="O247" s="484">
        <v>8265.01</v>
      </c>
      <c r="P247" s="499"/>
      <c r="Q247" s="501">
        <v>45547</v>
      </c>
      <c r="R247" s="501">
        <v>45559</v>
      </c>
      <c r="S247" s="188" t="s">
        <v>309</v>
      </c>
      <c r="T247" s="188">
        <v>45565</v>
      </c>
      <c r="U247" s="188">
        <v>45575</v>
      </c>
      <c r="V247" s="487" t="s">
        <v>20</v>
      </c>
      <c r="W247" s="188">
        <f>J247+14</f>
        <v>45583</v>
      </c>
      <c r="X247" s="530" t="s">
        <v>3751</v>
      </c>
      <c r="Y247" s="509"/>
      <c r="Z247" s="524"/>
      <c r="AA247" s="524"/>
    </row>
    <row r="248" s="178" customFormat="1" ht="14.25" customHeight="1" spans="1:27">
      <c r="A248" s="487" t="s">
        <v>3527</v>
      </c>
      <c r="B248" s="487"/>
      <c r="C248" s="487" t="s">
        <v>3752</v>
      </c>
      <c r="D248" s="487" t="s">
        <v>3753</v>
      </c>
      <c r="E248" s="488"/>
      <c r="F248" s="489"/>
      <c r="G248" s="487" t="s">
        <v>3079</v>
      </c>
      <c r="H248" s="526" t="s">
        <v>3754</v>
      </c>
      <c r="I248" s="516">
        <v>45558</v>
      </c>
      <c r="J248" s="516">
        <v>45572</v>
      </c>
      <c r="K248" s="188" t="s">
        <v>3038</v>
      </c>
      <c r="L248" s="520" t="s">
        <v>3324</v>
      </c>
      <c r="M248" s="490" t="s">
        <v>309</v>
      </c>
      <c r="N248" s="484">
        <v>0</v>
      </c>
      <c r="O248" s="484">
        <v>0</v>
      </c>
      <c r="P248" s="499"/>
      <c r="Q248" s="501">
        <v>45559</v>
      </c>
      <c r="R248" s="501">
        <v>45564</v>
      </c>
      <c r="S248" s="188" t="s">
        <v>309</v>
      </c>
      <c r="T248" s="188">
        <v>45570</v>
      </c>
      <c r="U248" s="188">
        <v>45579</v>
      </c>
      <c r="V248" s="487" t="s">
        <v>20</v>
      </c>
      <c r="W248" s="188">
        <f t="shared" ref="W248:W259" si="13">J248+21</f>
        <v>45593</v>
      </c>
      <c r="X248" s="524"/>
      <c r="Y248" s="509"/>
      <c r="Z248" s="524"/>
      <c r="AA248" s="524"/>
    </row>
    <row r="249" s="178" customFormat="1" ht="14.25" customHeight="1" spans="1:27">
      <c r="A249" s="487" t="s">
        <v>3527</v>
      </c>
      <c r="B249" s="487"/>
      <c r="C249" s="487" t="s">
        <v>3755</v>
      </c>
      <c r="D249" s="487" t="s">
        <v>3756</v>
      </c>
      <c r="E249" s="488"/>
      <c r="F249" s="489"/>
      <c r="G249" s="487" t="s">
        <v>3067</v>
      </c>
      <c r="H249" s="527" t="s">
        <v>3757</v>
      </c>
      <c r="I249" s="516">
        <v>45558</v>
      </c>
      <c r="J249" s="516">
        <v>45572</v>
      </c>
      <c r="K249" s="188" t="s">
        <v>3038</v>
      </c>
      <c r="L249" s="520" t="s">
        <v>3457</v>
      </c>
      <c r="M249" s="490" t="s">
        <v>309</v>
      </c>
      <c r="N249" s="484">
        <f>2913.96+231</f>
        <v>3144.96</v>
      </c>
      <c r="O249" s="484">
        <v>26569.92</v>
      </c>
      <c r="P249" s="499"/>
      <c r="Q249" s="501">
        <v>45560</v>
      </c>
      <c r="R249" s="501">
        <v>45568</v>
      </c>
      <c r="S249" s="188" t="s">
        <v>309</v>
      </c>
      <c r="T249" s="188">
        <v>45573</v>
      </c>
      <c r="U249" s="188">
        <v>45576</v>
      </c>
      <c r="V249" s="487" t="s">
        <v>20</v>
      </c>
      <c r="W249" s="188">
        <f t="shared" si="13"/>
        <v>45593</v>
      </c>
      <c r="X249" s="524"/>
      <c r="Y249" s="509"/>
      <c r="Z249" s="524"/>
      <c r="AA249" s="524"/>
    </row>
    <row r="250" s="178" customFormat="1" ht="14.25" customHeight="1" spans="1:27">
      <c r="A250" s="487" t="s">
        <v>3527</v>
      </c>
      <c r="B250" s="487"/>
      <c r="C250" s="487" t="s">
        <v>3755</v>
      </c>
      <c r="D250" s="487" t="s">
        <v>3758</v>
      </c>
      <c r="E250" s="488"/>
      <c r="F250" s="489"/>
      <c r="G250" s="487" t="s">
        <v>3067</v>
      </c>
      <c r="H250" s="487" t="s">
        <v>3754</v>
      </c>
      <c r="I250" s="516">
        <v>45558</v>
      </c>
      <c r="J250" s="516">
        <v>45572</v>
      </c>
      <c r="K250" s="188" t="s">
        <v>3038</v>
      </c>
      <c r="L250" s="520" t="s">
        <v>3324</v>
      </c>
      <c r="M250" s="490" t="s">
        <v>309</v>
      </c>
      <c r="N250" s="484">
        <v>0</v>
      </c>
      <c r="O250" s="484">
        <v>0</v>
      </c>
      <c r="P250" s="499"/>
      <c r="Q250" s="501">
        <v>45560</v>
      </c>
      <c r="R250" s="501">
        <v>45568</v>
      </c>
      <c r="S250" s="188" t="s">
        <v>309</v>
      </c>
      <c r="T250" s="188">
        <v>45573</v>
      </c>
      <c r="U250" s="188">
        <v>45579</v>
      </c>
      <c r="V250" s="487" t="s">
        <v>20</v>
      </c>
      <c r="W250" s="188">
        <f t="shared" si="13"/>
        <v>45593</v>
      </c>
      <c r="X250" s="524"/>
      <c r="Y250" s="509"/>
      <c r="Z250" s="524"/>
      <c r="AA250" s="524"/>
    </row>
    <row r="251" s="178" customFormat="1" ht="14.25" customHeight="1" spans="1:27">
      <c r="A251" s="487" t="s">
        <v>3527</v>
      </c>
      <c r="B251" s="487"/>
      <c r="C251" s="487" t="s">
        <v>3752</v>
      </c>
      <c r="D251" s="487" t="s">
        <v>3759</v>
      </c>
      <c r="E251" s="488"/>
      <c r="F251" s="489"/>
      <c r="G251" s="487" t="s">
        <v>3079</v>
      </c>
      <c r="H251" s="487" t="s">
        <v>3754</v>
      </c>
      <c r="I251" s="516">
        <v>45558</v>
      </c>
      <c r="J251" s="516">
        <v>45574</v>
      </c>
      <c r="K251" s="188" t="s">
        <v>3038</v>
      </c>
      <c r="L251" s="520" t="s">
        <v>3457</v>
      </c>
      <c r="M251" s="490" t="s">
        <v>309</v>
      </c>
      <c r="N251" s="484">
        <v>0</v>
      </c>
      <c r="O251" s="484">
        <v>0</v>
      </c>
      <c r="P251" s="499"/>
      <c r="Q251" s="501">
        <v>45559</v>
      </c>
      <c r="R251" s="501">
        <v>45564</v>
      </c>
      <c r="S251" s="188" t="s">
        <v>309</v>
      </c>
      <c r="T251" s="188">
        <v>45570</v>
      </c>
      <c r="U251" s="188">
        <v>45576</v>
      </c>
      <c r="V251" s="487" t="s">
        <v>20</v>
      </c>
      <c r="W251" s="188">
        <f t="shared" si="13"/>
        <v>45595</v>
      </c>
      <c r="X251" s="524"/>
      <c r="Y251" s="509"/>
      <c r="Z251" s="524"/>
      <c r="AA251" s="524"/>
    </row>
    <row r="252" s="178" customFormat="1" ht="14.25" customHeight="1" spans="1:27">
      <c r="A252" s="487" t="s">
        <v>3527</v>
      </c>
      <c r="B252" s="487"/>
      <c r="C252" s="487" t="s">
        <v>3752</v>
      </c>
      <c r="D252" s="487" t="s">
        <v>3760</v>
      </c>
      <c r="E252" s="488"/>
      <c r="F252" s="489"/>
      <c r="G252" s="487" t="s">
        <v>3079</v>
      </c>
      <c r="H252" s="487" t="s">
        <v>3754</v>
      </c>
      <c r="I252" s="516">
        <v>45558</v>
      </c>
      <c r="J252" s="516">
        <v>45574</v>
      </c>
      <c r="K252" s="188" t="s">
        <v>3038</v>
      </c>
      <c r="L252" s="520" t="s">
        <v>3457</v>
      </c>
      <c r="M252" s="490" t="s">
        <v>309</v>
      </c>
      <c r="N252" s="484">
        <v>0</v>
      </c>
      <c r="O252" s="484">
        <v>0</v>
      </c>
      <c r="P252" s="499"/>
      <c r="Q252" s="501">
        <v>45559</v>
      </c>
      <c r="R252" s="501">
        <v>45564</v>
      </c>
      <c r="S252" s="188" t="s">
        <v>309</v>
      </c>
      <c r="T252" s="188">
        <v>45570</v>
      </c>
      <c r="U252" s="188">
        <v>45576</v>
      </c>
      <c r="V252" s="487" t="s">
        <v>20</v>
      </c>
      <c r="W252" s="188">
        <f t="shared" si="13"/>
        <v>45595</v>
      </c>
      <c r="X252" s="524"/>
      <c r="Y252" s="509"/>
      <c r="Z252" s="524"/>
      <c r="AA252" s="524"/>
    </row>
    <row r="253" s="178" customFormat="1" ht="14.25" customHeight="1" spans="1:27">
      <c r="A253" s="490" t="s">
        <v>3527</v>
      </c>
      <c r="B253" s="490"/>
      <c r="C253" s="490" t="s">
        <v>3752</v>
      </c>
      <c r="D253" s="490" t="s">
        <v>3761</v>
      </c>
      <c r="E253" s="491"/>
      <c r="F253" s="492"/>
      <c r="G253" s="490" t="s">
        <v>3079</v>
      </c>
      <c r="H253" s="490" t="s">
        <v>3754</v>
      </c>
      <c r="I253" s="528">
        <v>45558</v>
      </c>
      <c r="J253" s="528">
        <v>45574</v>
      </c>
      <c r="K253" s="501" t="s">
        <v>3038</v>
      </c>
      <c r="L253" s="520" t="s">
        <v>3457</v>
      </c>
      <c r="M253" s="490" t="s">
        <v>309</v>
      </c>
      <c r="N253" s="484">
        <f>7301.26-54.38+346.5+561.59+561.59</f>
        <v>8716.56</v>
      </c>
      <c r="O253" s="484">
        <v>62767.99</v>
      </c>
      <c r="P253" s="499"/>
      <c r="Q253" s="501">
        <v>45559</v>
      </c>
      <c r="R253" s="501">
        <v>45564</v>
      </c>
      <c r="S253" s="501" t="s">
        <v>309</v>
      </c>
      <c r="T253" s="501">
        <v>45570</v>
      </c>
      <c r="U253" s="501">
        <v>45576</v>
      </c>
      <c r="V253" s="490" t="s">
        <v>20</v>
      </c>
      <c r="W253" s="501">
        <f t="shared" si="13"/>
        <v>45595</v>
      </c>
      <c r="X253" s="531"/>
      <c r="Y253" s="500"/>
      <c r="Z253" s="531"/>
      <c r="AA253" s="531"/>
    </row>
    <row r="254" s="178" customFormat="1" ht="14.25" customHeight="1" spans="1:27">
      <c r="A254" s="487" t="s">
        <v>3527</v>
      </c>
      <c r="B254" s="487"/>
      <c r="C254" s="487" t="s">
        <v>3752</v>
      </c>
      <c r="D254" s="487" t="s">
        <v>3762</v>
      </c>
      <c r="E254" s="488"/>
      <c r="F254" s="489"/>
      <c r="G254" s="487" t="s">
        <v>3079</v>
      </c>
      <c r="H254" s="487" t="s">
        <v>3754</v>
      </c>
      <c r="I254" s="516">
        <v>45558</v>
      </c>
      <c r="J254" s="516">
        <v>45574</v>
      </c>
      <c r="K254" s="188" t="s">
        <v>3038</v>
      </c>
      <c r="L254" s="520" t="s">
        <v>3457</v>
      </c>
      <c r="M254" s="490" t="s">
        <v>309</v>
      </c>
      <c r="N254" s="484">
        <v>0</v>
      </c>
      <c r="O254" s="484">
        <v>0</v>
      </c>
      <c r="P254" s="499"/>
      <c r="Q254" s="501">
        <v>45559</v>
      </c>
      <c r="R254" s="501">
        <v>45564</v>
      </c>
      <c r="S254" s="188" t="s">
        <v>309</v>
      </c>
      <c r="T254" s="188">
        <v>45570</v>
      </c>
      <c r="U254" s="188">
        <v>45579</v>
      </c>
      <c r="V254" s="487" t="s">
        <v>20</v>
      </c>
      <c r="W254" s="188">
        <f t="shared" si="13"/>
        <v>45595</v>
      </c>
      <c r="X254" s="524"/>
      <c r="Y254" s="509"/>
      <c r="Z254" s="524"/>
      <c r="AA254" s="524"/>
    </row>
    <row r="255" s="178" customFormat="1" ht="14.25" customHeight="1" spans="1:27">
      <c r="A255" s="487" t="s">
        <v>3569</v>
      </c>
      <c r="B255" s="487"/>
      <c r="C255" s="487" t="s">
        <v>3763</v>
      </c>
      <c r="D255" s="487" t="s">
        <v>3764</v>
      </c>
      <c r="E255" s="488"/>
      <c r="F255" s="489"/>
      <c r="G255" s="492" t="s">
        <v>3146</v>
      </c>
      <c r="H255" s="487" t="s">
        <v>3711</v>
      </c>
      <c r="I255" s="516">
        <v>45534</v>
      </c>
      <c r="J255" s="188">
        <v>45574</v>
      </c>
      <c r="K255" s="493" t="s">
        <v>39</v>
      </c>
      <c r="L255" s="520" t="s">
        <v>3437</v>
      </c>
      <c r="M255" s="490" t="s">
        <v>309</v>
      </c>
      <c r="N255" s="484">
        <f>1492.66+167.2-35.2</f>
        <v>1624.66</v>
      </c>
      <c r="O255" s="484">
        <v>9182.03</v>
      </c>
      <c r="P255" s="499"/>
      <c r="Q255" s="501">
        <v>45548</v>
      </c>
      <c r="R255" s="501">
        <v>45555</v>
      </c>
      <c r="S255" s="188" t="s">
        <v>309</v>
      </c>
      <c r="T255" s="188">
        <v>45572</v>
      </c>
      <c r="U255" s="188">
        <v>45580</v>
      </c>
      <c r="V255" s="487" t="s">
        <v>20</v>
      </c>
      <c r="W255" s="188">
        <f t="shared" si="13"/>
        <v>45595</v>
      </c>
      <c r="X255" s="524"/>
      <c r="Y255" s="509"/>
      <c r="Z255" s="524"/>
      <c r="AA255" s="524"/>
    </row>
    <row r="256" s="178" customFormat="1" ht="14.25" customHeight="1" spans="1:27">
      <c r="A256" s="487" t="s">
        <v>3569</v>
      </c>
      <c r="B256" s="487"/>
      <c r="C256" s="487" t="s">
        <v>3765</v>
      </c>
      <c r="D256" s="487" t="s">
        <v>3766</v>
      </c>
      <c r="E256" s="488"/>
      <c r="F256" s="489"/>
      <c r="G256" s="492" t="s">
        <v>3146</v>
      </c>
      <c r="H256" s="487" t="s">
        <v>3711</v>
      </c>
      <c r="I256" s="516">
        <v>45534</v>
      </c>
      <c r="J256" s="188">
        <v>45574</v>
      </c>
      <c r="K256" s="493" t="s">
        <v>39</v>
      </c>
      <c r="L256" s="520" t="s">
        <v>3437</v>
      </c>
      <c r="M256" s="490" t="s">
        <v>309</v>
      </c>
      <c r="N256" s="484">
        <f>1492.66+135.95</f>
        <v>1628.61</v>
      </c>
      <c r="O256" s="484">
        <v>8415.64</v>
      </c>
      <c r="P256" s="499"/>
      <c r="Q256" s="501">
        <v>45547</v>
      </c>
      <c r="R256" s="501">
        <v>45555</v>
      </c>
      <c r="S256" s="188" t="s">
        <v>309</v>
      </c>
      <c r="T256" s="188">
        <v>45573</v>
      </c>
      <c r="U256" s="188">
        <v>45580</v>
      </c>
      <c r="V256" s="487" t="s">
        <v>20</v>
      </c>
      <c r="W256" s="188">
        <f t="shared" si="13"/>
        <v>45595</v>
      </c>
      <c r="X256" s="524"/>
      <c r="Y256" s="509"/>
      <c r="Z256" s="524"/>
      <c r="AA256" s="524"/>
    </row>
    <row r="257" s="178" customFormat="1" ht="14.25" customHeight="1" spans="1:27">
      <c r="A257" s="487" t="s">
        <v>3569</v>
      </c>
      <c r="B257" s="487"/>
      <c r="C257" s="487" t="s">
        <v>3767</v>
      </c>
      <c r="D257" s="487" t="s">
        <v>3768</v>
      </c>
      <c r="E257" s="488"/>
      <c r="F257" s="489"/>
      <c r="G257" s="492" t="s">
        <v>3146</v>
      </c>
      <c r="H257" s="487" t="s">
        <v>3711</v>
      </c>
      <c r="I257" s="516">
        <v>45534</v>
      </c>
      <c r="J257" s="188">
        <v>45574</v>
      </c>
      <c r="K257" s="493" t="s">
        <v>39</v>
      </c>
      <c r="L257" s="520" t="s">
        <v>3437</v>
      </c>
      <c r="M257" s="490" t="s">
        <v>309</v>
      </c>
      <c r="N257" s="484">
        <f>1963.64-50.05-410.3</f>
        <v>1503.29</v>
      </c>
      <c r="O257" s="484">
        <v>10362.25</v>
      </c>
      <c r="P257" s="499"/>
      <c r="Q257" s="501">
        <v>45547</v>
      </c>
      <c r="R257" s="501">
        <v>45555</v>
      </c>
      <c r="S257" s="188" t="s">
        <v>309</v>
      </c>
      <c r="T257" s="188">
        <v>45572</v>
      </c>
      <c r="U257" s="188">
        <v>45580</v>
      </c>
      <c r="V257" s="487" t="s">
        <v>20</v>
      </c>
      <c r="W257" s="188">
        <f t="shared" si="13"/>
        <v>45595</v>
      </c>
      <c r="X257" s="524" t="s">
        <v>3769</v>
      </c>
      <c r="Y257" s="509"/>
      <c r="Z257" s="524"/>
      <c r="AA257" s="524"/>
    </row>
    <row r="258" s="178" customFormat="1" ht="14.25" customHeight="1" spans="1:27">
      <c r="A258" s="487" t="s">
        <v>3285</v>
      </c>
      <c r="B258" s="487"/>
      <c r="C258" s="487" t="s">
        <v>3770</v>
      </c>
      <c r="D258" s="487" t="s">
        <v>3771</v>
      </c>
      <c r="E258" s="488"/>
      <c r="F258" s="489"/>
      <c r="G258" s="487" t="s">
        <v>3079</v>
      </c>
      <c r="H258" s="526" t="s">
        <v>3772</v>
      </c>
      <c r="I258" s="516">
        <v>45549</v>
      </c>
      <c r="J258" s="188">
        <v>45575</v>
      </c>
      <c r="K258" s="188" t="s">
        <v>3038</v>
      </c>
      <c r="L258" s="520" t="s">
        <v>3457</v>
      </c>
      <c r="M258" s="490" t="s">
        <v>309</v>
      </c>
      <c r="N258" s="484">
        <v>1569.28</v>
      </c>
      <c r="O258" s="484">
        <v>12167.72</v>
      </c>
      <c r="P258" s="499"/>
      <c r="Q258" s="501">
        <v>45558</v>
      </c>
      <c r="R258" s="501">
        <v>45558</v>
      </c>
      <c r="S258" s="188" t="s">
        <v>309</v>
      </c>
      <c r="T258" s="188">
        <v>45570</v>
      </c>
      <c r="U258" s="188">
        <v>45579</v>
      </c>
      <c r="V258" s="487" t="s">
        <v>20</v>
      </c>
      <c r="W258" s="188">
        <f t="shared" si="13"/>
        <v>45596</v>
      </c>
      <c r="X258" s="524"/>
      <c r="Y258" s="509"/>
      <c r="Z258" s="524"/>
      <c r="AA258" s="524"/>
    </row>
    <row r="259" s="178" customFormat="1" ht="14.25" customHeight="1" spans="1:27">
      <c r="A259" s="487" t="s">
        <v>3285</v>
      </c>
      <c r="B259" s="487"/>
      <c r="C259" s="487" t="s">
        <v>3773</v>
      </c>
      <c r="D259" s="487" t="s">
        <v>3774</v>
      </c>
      <c r="E259" s="488"/>
      <c r="F259" s="489"/>
      <c r="G259" s="487" t="s">
        <v>3079</v>
      </c>
      <c r="H259" s="526" t="s">
        <v>3775</v>
      </c>
      <c r="I259" s="516">
        <v>45546</v>
      </c>
      <c r="J259" s="188">
        <v>45575</v>
      </c>
      <c r="K259" s="188" t="s">
        <v>3038</v>
      </c>
      <c r="L259" s="520" t="s">
        <v>3737</v>
      </c>
      <c r="M259" s="490" t="s">
        <v>309</v>
      </c>
      <c r="N259" s="484">
        <v>1569.28</v>
      </c>
      <c r="O259" s="484">
        <v>12553.55</v>
      </c>
      <c r="P259" s="499"/>
      <c r="Q259" s="501">
        <v>45558</v>
      </c>
      <c r="R259" s="501">
        <v>45558</v>
      </c>
      <c r="S259" s="188" t="s">
        <v>309</v>
      </c>
      <c r="T259" s="188">
        <v>45570</v>
      </c>
      <c r="U259" s="188">
        <v>45579</v>
      </c>
      <c r="V259" s="487" t="s">
        <v>20</v>
      </c>
      <c r="W259" s="188">
        <f t="shared" si="13"/>
        <v>45596</v>
      </c>
      <c r="X259" s="524"/>
      <c r="Y259" s="509"/>
      <c r="Z259" s="524"/>
      <c r="AA259" s="524"/>
    </row>
    <row r="260" s="178" customFormat="1" ht="14.25" customHeight="1" spans="1:27">
      <c r="A260" s="487" t="s">
        <v>3536</v>
      </c>
      <c r="B260" s="487"/>
      <c r="C260" s="487" t="s">
        <v>3776</v>
      </c>
      <c r="D260" s="487" t="s">
        <v>3777</v>
      </c>
      <c r="E260" s="488"/>
      <c r="F260" s="489"/>
      <c r="G260" s="487" t="s">
        <v>3079</v>
      </c>
      <c r="H260" s="487" t="s">
        <v>3745</v>
      </c>
      <c r="I260" s="188">
        <v>45534</v>
      </c>
      <c r="J260" s="188">
        <v>45581</v>
      </c>
      <c r="K260" s="534" t="s">
        <v>215</v>
      </c>
      <c r="L260" s="500" t="s">
        <v>3086</v>
      </c>
      <c r="M260" s="535" t="s">
        <v>3778</v>
      </c>
      <c r="N260" s="536">
        <v>946.13</v>
      </c>
      <c r="O260" s="536">
        <v>9297.64</v>
      </c>
      <c r="P260" s="537"/>
      <c r="Q260" s="501">
        <v>45547</v>
      </c>
      <c r="R260" s="501">
        <v>45560</v>
      </c>
      <c r="S260" s="188" t="s">
        <v>309</v>
      </c>
      <c r="T260" s="188">
        <v>45575</v>
      </c>
      <c r="U260" s="188">
        <v>45587</v>
      </c>
      <c r="V260" s="487" t="s">
        <v>20</v>
      </c>
      <c r="W260" s="188">
        <f>J260+14</f>
        <v>45595</v>
      </c>
      <c r="X260" s="524"/>
      <c r="Y260" s="509"/>
      <c r="Z260" s="524"/>
      <c r="AA260" s="524"/>
    </row>
    <row r="261" s="178" customFormat="1" ht="14.25" customHeight="1" spans="1:27">
      <c r="A261" s="487" t="s">
        <v>3569</v>
      </c>
      <c r="B261" s="487"/>
      <c r="C261" s="487" t="s">
        <v>3779</v>
      </c>
      <c r="D261" s="487" t="s">
        <v>3780</v>
      </c>
      <c r="E261" s="488"/>
      <c r="F261" s="489"/>
      <c r="G261" s="487" t="s">
        <v>3137</v>
      </c>
      <c r="H261" s="487" t="s">
        <v>3781</v>
      </c>
      <c r="I261" s="516">
        <v>45562</v>
      </c>
      <c r="J261" s="516">
        <v>45581</v>
      </c>
      <c r="K261" s="188" t="s">
        <v>3038</v>
      </c>
      <c r="L261" s="520" t="s">
        <v>3452</v>
      </c>
      <c r="M261" s="505" t="s">
        <v>3782</v>
      </c>
      <c r="N261" s="521">
        <v>1528.03</v>
      </c>
      <c r="O261" s="521">
        <v>8632.24</v>
      </c>
      <c r="P261" s="522"/>
      <c r="Q261" s="501">
        <v>45573</v>
      </c>
      <c r="R261" s="501">
        <v>45574</v>
      </c>
      <c r="S261" s="188" t="s">
        <v>309</v>
      </c>
      <c r="T261" s="188">
        <v>45579</v>
      </c>
      <c r="U261" s="188">
        <v>45589</v>
      </c>
      <c r="V261" s="487" t="s">
        <v>20</v>
      </c>
      <c r="W261" s="188">
        <f>J261+21</f>
        <v>45602</v>
      </c>
      <c r="X261" s="524" t="s">
        <v>3783</v>
      </c>
      <c r="Y261" s="509"/>
      <c r="Z261" s="524"/>
      <c r="AA261" s="524"/>
    </row>
    <row r="262" s="178" customFormat="1" ht="14.25" customHeight="1" spans="1:27">
      <c r="A262" s="487" t="s">
        <v>3454</v>
      </c>
      <c r="B262" s="487"/>
      <c r="C262" s="487" t="s">
        <v>3784</v>
      </c>
      <c r="D262" s="487" t="s">
        <v>3785</v>
      </c>
      <c r="E262" s="488"/>
      <c r="F262" s="489"/>
      <c r="G262" s="492" t="s">
        <v>3146</v>
      </c>
      <c r="H262" s="487" t="s">
        <v>3781</v>
      </c>
      <c r="I262" s="516">
        <v>45566</v>
      </c>
      <c r="J262" s="188">
        <v>45581</v>
      </c>
      <c r="K262" s="188" t="s">
        <v>3038</v>
      </c>
      <c r="L262" s="520" t="s">
        <v>3457</v>
      </c>
      <c r="M262" s="490" t="s">
        <v>309</v>
      </c>
      <c r="N262" s="484">
        <v>1524.92</v>
      </c>
      <c r="O262" s="484">
        <v>12248.59</v>
      </c>
      <c r="P262" s="499"/>
      <c r="Q262" s="501">
        <v>45574</v>
      </c>
      <c r="R262" s="501">
        <v>45576</v>
      </c>
      <c r="S262" s="188" t="s">
        <v>309</v>
      </c>
      <c r="T262" s="188">
        <v>45579</v>
      </c>
      <c r="U262" s="188">
        <v>45588</v>
      </c>
      <c r="V262" s="487" t="s">
        <v>20</v>
      </c>
      <c r="W262" s="188">
        <f>J262+21</f>
        <v>45602</v>
      </c>
      <c r="X262" s="524"/>
      <c r="Y262" s="509"/>
      <c r="Z262" s="524"/>
      <c r="AA262" s="524"/>
    </row>
    <row r="263" s="178" customFormat="1" ht="14.25" customHeight="1" spans="1:27">
      <c r="A263" s="487" t="s">
        <v>3285</v>
      </c>
      <c r="B263" s="487"/>
      <c r="C263" s="487" t="s">
        <v>3786</v>
      </c>
      <c r="D263" s="487" t="s">
        <v>3787</v>
      </c>
      <c r="E263" s="488"/>
      <c r="F263" s="489"/>
      <c r="G263" s="492" t="s">
        <v>3146</v>
      </c>
      <c r="H263" s="487" t="s">
        <v>3781</v>
      </c>
      <c r="I263" s="516">
        <v>45566</v>
      </c>
      <c r="J263" s="188">
        <v>45581</v>
      </c>
      <c r="K263" s="188" t="s">
        <v>3038</v>
      </c>
      <c r="L263" s="520" t="s">
        <v>3457</v>
      </c>
      <c r="M263" s="490" t="s">
        <v>309</v>
      </c>
      <c r="N263" s="484">
        <v>1524.92</v>
      </c>
      <c r="O263" s="484">
        <v>12246.84</v>
      </c>
      <c r="P263" s="499"/>
      <c r="Q263" s="501">
        <v>45576</v>
      </c>
      <c r="R263" s="501">
        <v>45576</v>
      </c>
      <c r="S263" s="188" t="s">
        <v>309</v>
      </c>
      <c r="T263" s="188">
        <v>45579</v>
      </c>
      <c r="U263" s="188">
        <v>45588</v>
      </c>
      <c r="V263" s="487" t="s">
        <v>20</v>
      </c>
      <c r="W263" s="188">
        <f>J263+21</f>
        <v>45602</v>
      </c>
      <c r="X263" s="524"/>
      <c r="Y263" s="509"/>
      <c r="Z263" s="524"/>
      <c r="AA263" s="524"/>
    </row>
    <row r="264" s="178" customFormat="1" ht="14.25" customHeight="1" spans="1:27">
      <c r="A264" s="487" t="s">
        <v>3472</v>
      </c>
      <c r="B264" s="487"/>
      <c r="C264" s="487" t="s">
        <v>3788</v>
      </c>
      <c r="D264" s="487" t="s">
        <v>3789</v>
      </c>
      <c r="E264" s="488"/>
      <c r="F264" s="489"/>
      <c r="G264" s="487" t="s">
        <v>3079</v>
      </c>
      <c r="H264" s="487" t="s">
        <v>3790</v>
      </c>
      <c r="I264" s="516">
        <v>45554</v>
      </c>
      <c r="J264" s="188">
        <v>45581</v>
      </c>
      <c r="K264" s="493" t="s">
        <v>207</v>
      </c>
      <c r="L264" s="520" t="s">
        <v>3633</v>
      </c>
      <c r="M264" s="505" t="s">
        <v>3791</v>
      </c>
      <c r="N264" s="521">
        <v>1364.27</v>
      </c>
      <c r="O264" s="521">
        <v>8159.35</v>
      </c>
      <c r="P264" s="522"/>
      <c r="Q264" s="501">
        <v>45562</v>
      </c>
      <c r="R264" s="501">
        <v>45574</v>
      </c>
      <c r="S264" s="188" t="s">
        <v>309</v>
      </c>
      <c r="T264" s="188">
        <v>45577</v>
      </c>
      <c r="U264" s="188">
        <v>45588</v>
      </c>
      <c r="V264" s="487" t="s">
        <v>20</v>
      </c>
      <c r="W264" s="188">
        <f>J264+14</f>
        <v>45595</v>
      </c>
      <c r="X264" s="524" t="s">
        <v>3792</v>
      </c>
      <c r="Y264" s="509"/>
      <c r="Z264" s="524"/>
      <c r="AA264" s="524"/>
    </row>
    <row r="265" s="178" customFormat="1" ht="14.25" customHeight="1" spans="1:27">
      <c r="A265" s="487" t="s">
        <v>3285</v>
      </c>
      <c r="B265" s="487"/>
      <c r="C265" s="487" t="s">
        <v>3793</v>
      </c>
      <c r="D265" s="487" t="s">
        <v>3794</v>
      </c>
      <c r="E265" s="488"/>
      <c r="F265" s="489"/>
      <c r="G265" s="492" t="s">
        <v>3146</v>
      </c>
      <c r="H265" s="487" t="s">
        <v>3781</v>
      </c>
      <c r="I265" s="516">
        <v>45566</v>
      </c>
      <c r="J265" s="188">
        <v>45581</v>
      </c>
      <c r="K265" s="188" t="s">
        <v>3038</v>
      </c>
      <c r="L265" s="520" t="s">
        <v>3737</v>
      </c>
      <c r="M265" s="490" t="s">
        <v>309</v>
      </c>
      <c r="N265" s="484">
        <v>1400.09</v>
      </c>
      <c r="O265" s="484">
        <v>12475.03</v>
      </c>
      <c r="P265" s="499"/>
      <c r="Q265" s="501">
        <v>45574</v>
      </c>
      <c r="R265" s="501">
        <v>45576</v>
      </c>
      <c r="S265" s="188" t="s">
        <v>309</v>
      </c>
      <c r="T265" s="188">
        <v>45579</v>
      </c>
      <c r="U265" s="188">
        <v>45588</v>
      </c>
      <c r="V265" s="487" t="s">
        <v>20</v>
      </c>
      <c r="W265" s="188">
        <f t="shared" ref="W265:W277" si="14">J265+21</f>
        <v>45602</v>
      </c>
      <c r="X265" s="524"/>
      <c r="Y265" s="509"/>
      <c r="Z265" s="524"/>
      <c r="AA265" s="524"/>
    </row>
    <row r="266" s="178" customFormat="1" ht="14.25" customHeight="1" spans="1:27">
      <c r="A266" s="487" t="s">
        <v>3454</v>
      </c>
      <c r="B266" s="487"/>
      <c r="C266" s="487" t="s">
        <v>3795</v>
      </c>
      <c r="D266" s="487" t="s">
        <v>3796</v>
      </c>
      <c r="E266" s="488"/>
      <c r="F266" s="489"/>
      <c r="G266" s="492" t="s">
        <v>3146</v>
      </c>
      <c r="H266" s="487" t="s">
        <v>3781</v>
      </c>
      <c r="I266" s="516">
        <v>45566</v>
      </c>
      <c r="J266" s="188">
        <v>45581</v>
      </c>
      <c r="K266" s="188" t="s">
        <v>3038</v>
      </c>
      <c r="L266" s="523" t="s">
        <v>3797</v>
      </c>
      <c r="M266" s="490" t="s">
        <v>309</v>
      </c>
      <c r="N266" s="484">
        <v>1400.09</v>
      </c>
      <c r="O266" s="484">
        <v>12182.19</v>
      </c>
      <c r="P266" s="499"/>
      <c r="Q266" s="501">
        <v>45574</v>
      </c>
      <c r="R266" s="501">
        <v>45576</v>
      </c>
      <c r="S266" s="188" t="s">
        <v>309</v>
      </c>
      <c r="T266" s="188">
        <v>45579</v>
      </c>
      <c r="U266" s="188">
        <v>45588</v>
      </c>
      <c r="V266" s="487" t="s">
        <v>20</v>
      </c>
      <c r="W266" s="188">
        <f t="shared" si="14"/>
        <v>45602</v>
      </c>
      <c r="X266" s="524"/>
      <c r="Y266" s="509"/>
      <c r="Z266" s="524"/>
      <c r="AA266" s="524"/>
    </row>
    <row r="267" s="178" customFormat="1" ht="14.25" customHeight="1" spans="1:27">
      <c r="A267" s="487" t="s">
        <v>3569</v>
      </c>
      <c r="B267" s="487"/>
      <c r="C267" s="487" t="s">
        <v>3798</v>
      </c>
      <c r="D267" s="525" t="s">
        <v>3799</v>
      </c>
      <c r="E267" s="488"/>
      <c r="F267" s="489"/>
      <c r="G267" s="487" t="s">
        <v>3032</v>
      </c>
      <c r="H267" s="487" t="s">
        <v>3800</v>
      </c>
      <c r="I267" s="516">
        <v>45567</v>
      </c>
      <c r="J267" s="188">
        <v>45581</v>
      </c>
      <c r="K267" s="493" t="s">
        <v>39</v>
      </c>
      <c r="L267" s="520" t="s">
        <v>3437</v>
      </c>
      <c r="M267" s="490" t="s">
        <v>309</v>
      </c>
      <c r="N267" s="484">
        <v>1498.04</v>
      </c>
      <c r="O267" s="484">
        <v>9086.32</v>
      </c>
      <c r="P267" s="499"/>
      <c r="Q267" s="501">
        <v>45574</v>
      </c>
      <c r="R267" s="501">
        <v>45576</v>
      </c>
      <c r="S267" s="188" t="s">
        <v>309</v>
      </c>
      <c r="T267" s="188">
        <v>45579</v>
      </c>
      <c r="U267" s="188">
        <v>45587</v>
      </c>
      <c r="V267" s="487" t="s">
        <v>20</v>
      </c>
      <c r="W267" s="188">
        <f t="shared" si="14"/>
        <v>45602</v>
      </c>
      <c r="X267" s="544" t="s">
        <v>3801</v>
      </c>
      <c r="Y267" s="509"/>
      <c r="Z267" s="524"/>
      <c r="AA267" s="524"/>
    </row>
    <row r="268" s="178" customFormat="1" ht="14.25" customHeight="1" spans="1:27">
      <c r="A268" s="487" t="s">
        <v>3569</v>
      </c>
      <c r="B268" s="487"/>
      <c r="C268" s="487" t="s">
        <v>3802</v>
      </c>
      <c r="D268" s="487" t="s">
        <v>3803</v>
      </c>
      <c r="E268" s="488"/>
      <c r="F268" s="489"/>
      <c r="G268" s="487" t="s">
        <v>3032</v>
      </c>
      <c r="H268" s="487" t="s">
        <v>3800</v>
      </c>
      <c r="I268" s="516">
        <v>45567</v>
      </c>
      <c r="J268" s="188">
        <v>45581</v>
      </c>
      <c r="K268" s="493" t="s">
        <v>39</v>
      </c>
      <c r="L268" s="520" t="s">
        <v>3437</v>
      </c>
      <c r="M268" s="490" t="s">
        <v>309</v>
      </c>
      <c r="N268" s="484">
        <v>1498.04</v>
      </c>
      <c r="O268" s="484">
        <v>8972.23</v>
      </c>
      <c r="P268" s="499"/>
      <c r="Q268" s="501">
        <v>45575</v>
      </c>
      <c r="R268" s="501">
        <v>45576</v>
      </c>
      <c r="S268" s="188" t="s">
        <v>309</v>
      </c>
      <c r="T268" s="188">
        <v>45579</v>
      </c>
      <c r="U268" s="188">
        <v>45589</v>
      </c>
      <c r="V268" s="487" t="s">
        <v>20</v>
      </c>
      <c r="W268" s="188">
        <f t="shared" si="14"/>
        <v>45602</v>
      </c>
      <c r="X268" s="524"/>
      <c r="Y268" s="509"/>
      <c r="Z268" s="524"/>
      <c r="AA268" s="524"/>
    </row>
    <row r="269" s="178" customFormat="1" ht="14.25" customHeight="1" spans="1:27">
      <c r="A269" s="487" t="s">
        <v>142</v>
      </c>
      <c r="B269" s="487"/>
      <c r="C269" s="487" t="s">
        <v>3804</v>
      </c>
      <c r="D269" s="487" t="s">
        <v>3805</v>
      </c>
      <c r="E269" s="488"/>
      <c r="F269" s="489"/>
      <c r="G269" s="492" t="s">
        <v>3146</v>
      </c>
      <c r="H269" s="487" t="s">
        <v>3806</v>
      </c>
      <c r="I269" s="516">
        <v>45571</v>
      </c>
      <c r="J269" s="188">
        <v>45585</v>
      </c>
      <c r="K269" s="188" t="s">
        <v>3038</v>
      </c>
      <c r="L269" s="520" t="s">
        <v>3324</v>
      </c>
      <c r="M269" s="490" t="s">
        <v>309</v>
      </c>
      <c r="N269" s="484">
        <v>1527.56</v>
      </c>
      <c r="O269" s="484">
        <v>3081.01</v>
      </c>
      <c r="P269" s="499"/>
      <c r="Q269" s="501">
        <v>45555</v>
      </c>
      <c r="R269" s="501">
        <v>45582</v>
      </c>
      <c r="S269" s="188" t="s">
        <v>309</v>
      </c>
      <c r="T269" s="188">
        <v>45583</v>
      </c>
      <c r="U269" s="188">
        <v>45595</v>
      </c>
      <c r="V269" s="487" t="s">
        <v>20</v>
      </c>
      <c r="W269" s="188">
        <f t="shared" si="14"/>
        <v>45606</v>
      </c>
      <c r="X269" s="524"/>
      <c r="Y269" s="509"/>
      <c r="Z269" s="524"/>
      <c r="AA269" s="524"/>
    </row>
    <row r="270" s="178" customFormat="1" ht="14.25" customHeight="1" spans="1:27">
      <c r="A270" s="487" t="s">
        <v>3454</v>
      </c>
      <c r="B270" s="487"/>
      <c r="C270" s="487" t="s">
        <v>3807</v>
      </c>
      <c r="D270" s="487" t="s">
        <v>3808</v>
      </c>
      <c r="E270" s="488"/>
      <c r="F270" s="489"/>
      <c r="G270" s="492" t="s">
        <v>3146</v>
      </c>
      <c r="H270" s="487" t="s">
        <v>3806</v>
      </c>
      <c r="I270" s="516">
        <v>45571</v>
      </c>
      <c r="J270" s="188">
        <v>45585</v>
      </c>
      <c r="K270" s="188" t="s">
        <v>3038</v>
      </c>
      <c r="L270" s="520" t="s">
        <v>3457</v>
      </c>
      <c r="M270" s="490" t="s">
        <v>309</v>
      </c>
      <c r="N270" s="538">
        <v>1527.56</v>
      </c>
      <c r="O270" s="538">
        <v>8656.1</v>
      </c>
      <c r="P270" s="499"/>
      <c r="Q270" s="501">
        <v>45577</v>
      </c>
      <c r="R270" s="501">
        <v>45582</v>
      </c>
      <c r="S270" s="188" t="s">
        <v>309</v>
      </c>
      <c r="T270" s="188">
        <v>45583</v>
      </c>
      <c r="U270" s="188">
        <v>45595</v>
      </c>
      <c r="V270" s="487" t="s">
        <v>20</v>
      </c>
      <c r="W270" s="188">
        <f t="shared" si="14"/>
        <v>45606</v>
      </c>
      <c r="X270" s="524"/>
      <c r="Y270" s="509"/>
      <c r="Z270" s="524"/>
      <c r="AA270" s="524"/>
    </row>
    <row r="271" s="178" customFormat="1" ht="14.25" customHeight="1" spans="1:27">
      <c r="A271" s="487" t="s">
        <v>3454</v>
      </c>
      <c r="B271" s="487"/>
      <c r="C271" s="487" t="s">
        <v>3809</v>
      </c>
      <c r="D271" s="525" t="s">
        <v>3810</v>
      </c>
      <c r="E271" s="488"/>
      <c r="F271" s="489"/>
      <c r="G271" s="492" t="s">
        <v>3146</v>
      </c>
      <c r="H271" s="487" t="s">
        <v>3806</v>
      </c>
      <c r="I271" s="516">
        <v>45571</v>
      </c>
      <c r="J271" s="188">
        <v>45585</v>
      </c>
      <c r="K271" s="188" t="s">
        <v>3038</v>
      </c>
      <c r="L271" s="520" t="s">
        <v>3457</v>
      </c>
      <c r="M271" s="490" t="s">
        <v>309</v>
      </c>
      <c r="N271" s="484">
        <v>1527.56</v>
      </c>
      <c r="O271" s="484">
        <v>8108.13</v>
      </c>
      <c r="P271" s="499"/>
      <c r="Q271" s="501">
        <v>45577</v>
      </c>
      <c r="R271" s="501">
        <v>45582</v>
      </c>
      <c r="S271" s="188" t="s">
        <v>309</v>
      </c>
      <c r="T271" s="188">
        <v>45583</v>
      </c>
      <c r="U271" s="188">
        <v>45593</v>
      </c>
      <c r="V271" s="487" t="s">
        <v>20</v>
      </c>
      <c r="W271" s="188">
        <f t="shared" si="14"/>
        <v>45606</v>
      </c>
      <c r="X271" s="544" t="s">
        <v>3811</v>
      </c>
      <c r="Y271" s="509"/>
      <c r="Z271" s="524"/>
      <c r="AA271" s="524"/>
    </row>
    <row r="272" s="178" customFormat="1" ht="14.25" customHeight="1" spans="1:27">
      <c r="A272" s="487" t="s">
        <v>3454</v>
      </c>
      <c r="B272" s="487"/>
      <c r="C272" s="487" t="s">
        <v>3812</v>
      </c>
      <c r="D272" s="525" t="s">
        <v>3813</v>
      </c>
      <c r="E272" s="488"/>
      <c r="F272" s="489"/>
      <c r="G272" s="492" t="s">
        <v>3146</v>
      </c>
      <c r="H272" s="487" t="s">
        <v>3806</v>
      </c>
      <c r="I272" s="516">
        <v>45571</v>
      </c>
      <c r="J272" s="188">
        <v>45585</v>
      </c>
      <c r="K272" s="188" t="s">
        <v>3038</v>
      </c>
      <c r="L272" s="520" t="s">
        <v>3457</v>
      </c>
      <c r="M272" s="490" t="s">
        <v>309</v>
      </c>
      <c r="N272" s="484">
        <v>1527.56</v>
      </c>
      <c r="O272" s="484">
        <v>9388.63</v>
      </c>
      <c r="P272" s="499"/>
      <c r="Q272" s="501">
        <v>45579</v>
      </c>
      <c r="R272" s="501">
        <v>45582</v>
      </c>
      <c r="S272" s="188" t="s">
        <v>309</v>
      </c>
      <c r="T272" s="188">
        <v>45583</v>
      </c>
      <c r="U272" s="188">
        <v>45593</v>
      </c>
      <c r="V272" s="487" t="s">
        <v>20</v>
      </c>
      <c r="W272" s="188">
        <f t="shared" si="14"/>
        <v>45606</v>
      </c>
      <c r="X272" s="524" t="s">
        <v>3814</v>
      </c>
      <c r="Y272" s="509"/>
      <c r="Z272" s="524"/>
      <c r="AA272" s="524"/>
    </row>
    <row r="273" s="178" customFormat="1" ht="14.25" customHeight="1" spans="1:27">
      <c r="A273" s="487" t="s">
        <v>3454</v>
      </c>
      <c r="B273" s="487"/>
      <c r="C273" s="487" t="s">
        <v>3815</v>
      </c>
      <c r="D273" s="487" t="s">
        <v>3816</v>
      </c>
      <c r="E273" s="488"/>
      <c r="F273" s="489"/>
      <c r="G273" s="492" t="s">
        <v>3146</v>
      </c>
      <c r="H273" s="487" t="s">
        <v>3806</v>
      </c>
      <c r="I273" s="516">
        <v>45571</v>
      </c>
      <c r="J273" s="188">
        <v>45585</v>
      </c>
      <c r="K273" s="188" t="s">
        <v>3038</v>
      </c>
      <c r="L273" s="520" t="s">
        <v>3457</v>
      </c>
      <c r="M273" s="490" t="s">
        <v>309</v>
      </c>
      <c r="N273" s="484">
        <v>1527.56</v>
      </c>
      <c r="O273" s="484">
        <v>8653.11</v>
      </c>
      <c r="P273" s="499"/>
      <c r="Q273" s="501">
        <v>45579</v>
      </c>
      <c r="R273" s="501">
        <v>45582</v>
      </c>
      <c r="S273" s="188" t="s">
        <v>309</v>
      </c>
      <c r="T273" s="188">
        <v>45583</v>
      </c>
      <c r="U273" s="188">
        <v>45593</v>
      </c>
      <c r="V273" s="487" t="s">
        <v>20</v>
      </c>
      <c r="W273" s="188">
        <f t="shared" si="14"/>
        <v>45606</v>
      </c>
      <c r="X273" s="524"/>
      <c r="Y273" s="509"/>
      <c r="Z273" s="524"/>
      <c r="AA273" s="524"/>
    </row>
    <row r="274" s="178" customFormat="1" ht="14.25" customHeight="1" spans="1:27">
      <c r="A274" s="487" t="s">
        <v>3454</v>
      </c>
      <c r="B274" s="487"/>
      <c r="C274" s="487" t="s">
        <v>3817</v>
      </c>
      <c r="D274" s="487" t="s">
        <v>3818</v>
      </c>
      <c r="E274" s="488"/>
      <c r="F274" s="489"/>
      <c r="G274" s="492" t="s">
        <v>3146</v>
      </c>
      <c r="H274" s="487" t="s">
        <v>3806</v>
      </c>
      <c r="I274" s="516">
        <v>45571</v>
      </c>
      <c r="J274" s="188">
        <v>45585</v>
      </c>
      <c r="K274" s="188" t="s">
        <v>3038</v>
      </c>
      <c r="L274" s="520" t="s">
        <v>3457</v>
      </c>
      <c r="M274" s="490" t="s">
        <v>309</v>
      </c>
      <c r="N274" s="484">
        <v>1527.56</v>
      </c>
      <c r="O274" s="484">
        <v>8398.31</v>
      </c>
      <c r="P274" s="499"/>
      <c r="Q274" s="501">
        <v>45579</v>
      </c>
      <c r="R274" s="501">
        <v>45582</v>
      </c>
      <c r="S274" s="188" t="s">
        <v>309</v>
      </c>
      <c r="T274" s="188">
        <v>45583</v>
      </c>
      <c r="U274" s="188">
        <v>45595</v>
      </c>
      <c r="V274" s="487" t="s">
        <v>20</v>
      </c>
      <c r="W274" s="188">
        <f t="shared" si="14"/>
        <v>45606</v>
      </c>
      <c r="X274" s="524"/>
      <c r="Y274" s="509"/>
      <c r="Z274" s="524"/>
      <c r="AA274" s="524"/>
    </row>
    <row r="275" s="178" customFormat="1" ht="14.25" customHeight="1" spans="1:27">
      <c r="A275" s="487" t="s">
        <v>3472</v>
      </c>
      <c r="B275" s="487"/>
      <c r="C275" s="487" t="s">
        <v>3819</v>
      </c>
      <c r="D275" s="487" t="s">
        <v>3820</v>
      </c>
      <c r="E275" s="488"/>
      <c r="F275" s="489"/>
      <c r="G275" s="492" t="s">
        <v>3146</v>
      </c>
      <c r="H275" s="487" t="s">
        <v>3806</v>
      </c>
      <c r="I275" s="516">
        <v>45571</v>
      </c>
      <c r="J275" s="188">
        <v>45585</v>
      </c>
      <c r="K275" s="188" t="s">
        <v>3038</v>
      </c>
      <c r="L275" s="520" t="s">
        <v>3457</v>
      </c>
      <c r="M275" s="490" t="s">
        <v>309</v>
      </c>
      <c r="N275" s="484">
        <v>1527.56</v>
      </c>
      <c r="O275" s="484">
        <v>8372.76</v>
      </c>
      <c r="P275" s="499"/>
      <c r="Q275" s="501">
        <v>45573</v>
      </c>
      <c r="R275" s="501">
        <v>45582</v>
      </c>
      <c r="S275" s="188" t="s">
        <v>309</v>
      </c>
      <c r="T275" s="188">
        <v>45583</v>
      </c>
      <c r="U275" s="188">
        <v>45595</v>
      </c>
      <c r="V275" s="487" t="s">
        <v>20</v>
      </c>
      <c r="W275" s="188">
        <f t="shared" si="14"/>
        <v>45606</v>
      </c>
      <c r="X275" s="524"/>
      <c r="Y275" s="509"/>
      <c r="Z275" s="524"/>
      <c r="AA275" s="524"/>
    </row>
    <row r="276" s="178" customFormat="1" ht="14.25" customHeight="1" spans="1:27">
      <c r="A276" s="487" t="s">
        <v>3527</v>
      </c>
      <c r="B276" s="487"/>
      <c r="C276" s="487" t="s">
        <v>3821</v>
      </c>
      <c r="D276" s="487" t="s">
        <v>3822</v>
      </c>
      <c r="E276" s="488"/>
      <c r="F276" s="489"/>
      <c r="G276" s="487" t="s">
        <v>3137</v>
      </c>
      <c r="H276" s="487" t="s">
        <v>3823</v>
      </c>
      <c r="I276" s="516">
        <v>45551</v>
      </c>
      <c r="J276" s="188">
        <v>45587</v>
      </c>
      <c r="K276" s="188" t="s">
        <v>3038</v>
      </c>
      <c r="L276" s="520" t="s">
        <v>3324</v>
      </c>
      <c r="M276" s="490" t="s">
        <v>309</v>
      </c>
      <c r="N276" s="484">
        <v>1382.7</v>
      </c>
      <c r="O276" s="484">
        <v>13276.56</v>
      </c>
      <c r="P276" s="499"/>
      <c r="Q276" s="501">
        <v>45555</v>
      </c>
      <c r="R276" s="501">
        <v>45580</v>
      </c>
      <c r="S276" s="188" t="s">
        <v>309</v>
      </c>
      <c r="T276" s="188">
        <v>45582</v>
      </c>
      <c r="U276" s="188">
        <v>45590</v>
      </c>
      <c r="V276" s="487" t="s">
        <v>20</v>
      </c>
      <c r="W276" s="188">
        <f t="shared" si="14"/>
        <v>45608</v>
      </c>
      <c r="X276" s="524"/>
      <c r="Y276" s="509"/>
      <c r="Z276" s="524"/>
      <c r="AA276" s="524"/>
    </row>
    <row r="277" s="178" customFormat="1" ht="14.25" customHeight="1" spans="1:27">
      <c r="A277" s="487" t="s">
        <v>3569</v>
      </c>
      <c r="B277" s="487"/>
      <c r="C277" s="487" t="s">
        <v>3824</v>
      </c>
      <c r="D277" s="487" t="s">
        <v>3825</v>
      </c>
      <c r="E277" s="488"/>
      <c r="F277" s="489"/>
      <c r="G277" s="487" t="s">
        <v>3032</v>
      </c>
      <c r="H277" s="487" t="s">
        <v>3800</v>
      </c>
      <c r="I277" s="516">
        <v>45567</v>
      </c>
      <c r="J277" s="188">
        <v>45588</v>
      </c>
      <c r="K277" s="188" t="s">
        <v>161</v>
      </c>
      <c r="L277" s="520" t="s">
        <v>3590</v>
      </c>
      <c r="M277" s="490" t="s">
        <v>309</v>
      </c>
      <c r="N277" s="484">
        <v>1809.17</v>
      </c>
      <c r="O277" s="484">
        <v>9758.44</v>
      </c>
      <c r="P277" s="499"/>
      <c r="Q277" s="501">
        <v>45574</v>
      </c>
      <c r="R277" s="501">
        <v>45581</v>
      </c>
      <c r="S277" s="188" t="s">
        <v>309</v>
      </c>
      <c r="T277" s="188">
        <v>45582</v>
      </c>
      <c r="U277" s="188">
        <v>45590</v>
      </c>
      <c r="V277" s="487" t="s">
        <v>20</v>
      </c>
      <c r="W277" s="188">
        <f t="shared" si="14"/>
        <v>45609</v>
      </c>
      <c r="X277" s="524"/>
      <c r="Y277" s="509"/>
      <c r="Z277" s="524"/>
      <c r="AA277" s="524"/>
    </row>
    <row r="278" s="178" customFormat="1" ht="13.5" customHeight="1" spans="1:27">
      <c r="A278" s="487" t="s">
        <v>3285</v>
      </c>
      <c r="B278" s="487"/>
      <c r="C278" s="487" t="s">
        <v>3826</v>
      </c>
      <c r="D278" s="487" t="s">
        <v>3827</v>
      </c>
      <c r="E278" s="488"/>
      <c r="F278" s="489"/>
      <c r="G278" s="487" t="s">
        <v>3067</v>
      </c>
      <c r="H278" s="487" t="s">
        <v>3828</v>
      </c>
      <c r="I278" s="516">
        <v>45563</v>
      </c>
      <c r="J278" s="188">
        <v>45589</v>
      </c>
      <c r="K278" s="188" t="s">
        <v>3038</v>
      </c>
      <c r="L278" s="500" t="s">
        <v>309</v>
      </c>
      <c r="M278" s="505" t="s">
        <v>3829</v>
      </c>
      <c r="N278" s="521"/>
      <c r="O278" s="521"/>
      <c r="P278" s="522"/>
      <c r="Q278" s="501" t="s">
        <v>3830</v>
      </c>
      <c r="R278" s="501" t="s">
        <v>309</v>
      </c>
      <c r="S278" s="188" t="s">
        <v>309</v>
      </c>
      <c r="T278" s="188" t="s">
        <v>309</v>
      </c>
      <c r="U278" s="188" t="s">
        <v>309</v>
      </c>
      <c r="V278" s="487" t="s">
        <v>20</v>
      </c>
      <c r="W278" s="188">
        <f>J278+14</f>
        <v>45603</v>
      </c>
      <c r="X278" s="524"/>
      <c r="Y278" s="509"/>
      <c r="Z278" s="524"/>
      <c r="AA278" s="524"/>
    </row>
    <row r="279" s="178" customFormat="1" ht="14.25" customHeight="1" spans="1:27">
      <c r="A279" s="487" t="s">
        <v>3285</v>
      </c>
      <c r="B279" s="487"/>
      <c r="C279" s="487" t="s">
        <v>3831</v>
      </c>
      <c r="D279" s="487" t="s">
        <v>3832</v>
      </c>
      <c r="E279" s="488"/>
      <c r="F279" s="489"/>
      <c r="G279" s="487" t="s">
        <v>3067</v>
      </c>
      <c r="H279" s="487" t="s">
        <v>3828</v>
      </c>
      <c r="I279" s="516">
        <v>45563</v>
      </c>
      <c r="J279" s="188">
        <v>45589</v>
      </c>
      <c r="K279" s="188" t="s">
        <v>3038</v>
      </c>
      <c r="L279" s="500" t="s">
        <v>309</v>
      </c>
      <c r="M279" s="505" t="s">
        <v>3833</v>
      </c>
      <c r="N279" s="521"/>
      <c r="O279" s="521"/>
      <c r="P279" s="522"/>
      <c r="Q279" s="501" t="s">
        <v>3830</v>
      </c>
      <c r="R279" s="501" t="s">
        <v>309</v>
      </c>
      <c r="S279" s="188" t="s">
        <v>309</v>
      </c>
      <c r="T279" s="188" t="s">
        <v>309</v>
      </c>
      <c r="U279" s="188" t="s">
        <v>309</v>
      </c>
      <c r="V279" s="487" t="s">
        <v>20</v>
      </c>
      <c r="W279" s="188">
        <f>J279+14</f>
        <v>45603</v>
      </c>
      <c r="X279" s="524"/>
      <c r="Y279" s="509"/>
      <c r="Z279" s="524"/>
      <c r="AA279" s="524"/>
    </row>
    <row r="280" s="178" customFormat="1" ht="14.25" customHeight="1" spans="1:27">
      <c r="A280" s="487" t="s">
        <v>3742</v>
      </c>
      <c r="B280" s="487"/>
      <c r="C280" s="487" t="s">
        <v>3834</v>
      </c>
      <c r="D280" s="487" t="s">
        <v>3835</v>
      </c>
      <c r="E280" s="488"/>
      <c r="F280" s="489"/>
      <c r="G280" s="487" t="s">
        <v>3079</v>
      </c>
      <c r="H280" s="487" t="s">
        <v>3836</v>
      </c>
      <c r="I280" s="516">
        <v>45554</v>
      </c>
      <c r="J280" s="188">
        <v>45594</v>
      </c>
      <c r="K280" s="188" t="s">
        <v>215</v>
      </c>
      <c r="L280" s="500" t="s">
        <v>3086</v>
      </c>
      <c r="M280" s="505" t="s">
        <v>3837</v>
      </c>
      <c r="N280" s="521">
        <v>946.79</v>
      </c>
      <c r="O280" s="521">
        <v>8733.73</v>
      </c>
      <c r="P280" s="522"/>
      <c r="Q280" s="501">
        <v>45562</v>
      </c>
      <c r="R280" s="501">
        <v>45582</v>
      </c>
      <c r="S280" s="188" t="s">
        <v>309</v>
      </c>
      <c r="T280" s="188">
        <v>45588</v>
      </c>
      <c r="U280" s="188">
        <v>45596</v>
      </c>
      <c r="V280" s="487" t="s">
        <v>20</v>
      </c>
      <c r="W280" s="188">
        <f>J280+14</f>
        <v>45608</v>
      </c>
      <c r="X280" s="524" t="s">
        <v>3838</v>
      </c>
      <c r="Y280" s="509"/>
      <c r="Z280" s="524"/>
      <c r="AA280" s="524"/>
    </row>
    <row r="281" s="178" customFormat="1" ht="14.25" customHeight="1" spans="1:27">
      <c r="A281" s="487" t="s">
        <v>3569</v>
      </c>
      <c r="B281" s="487"/>
      <c r="C281" s="487" t="s">
        <v>3839</v>
      </c>
      <c r="D281" s="487" t="s">
        <v>3840</v>
      </c>
      <c r="E281" s="488"/>
      <c r="F281" s="489"/>
      <c r="G281" s="492" t="s">
        <v>3146</v>
      </c>
      <c r="H281" s="487" t="s">
        <v>3806</v>
      </c>
      <c r="I281" s="516">
        <v>45571</v>
      </c>
      <c r="J281" s="188">
        <v>45595</v>
      </c>
      <c r="K281" s="188" t="s">
        <v>161</v>
      </c>
      <c r="L281" s="520" t="s">
        <v>3500</v>
      </c>
      <c r="M281" s="501" t="s">
        <v>3841</v>
      </c>
      <c r="N281" s="506">
        <v>16268</v>
      </c>
      <c r="O281" s="506">
        <v>9237.51</v>
      </c>
      <c r="P281" s="499"/>
      <c r="Q281" s="501">
        <v>45575</v>
      </c>
      <c r="R281" s="501">
        <v>45594</v>
      </c>
      <c r="S281" s="188" t="s">
        <v>309</v>
      </c>
      <c r="T281" s="188">
        <v>45595</v>
      </c>
      <c r="U281" s="188">
        <v>45603</v>
      </c>
      <c r="V281" s="487" t="s">
        <v>20</v>
      </c>
      <c r="W281" s="188">
        <f t="shared" ref="W281:W290" si="15">J281+21</f>
        <v>45616</v>
      </c>
      <c r="X281" s="524"/>
      <c r="Y281" s="509"/>
      <c r="Z281" s="524"/>
      <c r="AA281" s="524"/>
    </row>
    <row r="282" s="178" customFormat="1" ht="14.25" customHeight="1" spans="1:27">
      <c r="A282" s="487" t="s">
        <v>3842</v>
      </c>
      <c r="B282" s="487"/>
      <c r="C282" s="487" t="s">
        <v>3843</v>
      </c>
      <c r="D282" s="487" t="s">
        <v>3844</v>
      </c>
      <c r="E282" s="488"/>
      <c r="F282" s="489"/>
      <c r="G282" s="487" t="s">
        <v>3032</v>
      </c>
      <c r="H282" s="487" t="s">
        <v>3845</v>
      </c>
      <c r="I282" s="516">
        <v>45581</v>
      </c>
      <c r="J282" s="188">
        <v>45596</v>
      </c>
      <c r="K282" s="188" t="s">
        <v>3038</v>
      </c>
      <c r="L282" s="520" t="s">
        <v>3457</v>
      </c>
      <c r="M282" s="490" t="s">
        <v>309</v>
      </c>
      <c r="N282" s="484">
        <v>1530.5</v>
      </c>
      <c r="O282" s="484">
        <v>9982.9</v>
      </c>
      <c r="P282" s="499"/>
      <c r="Q282" s="501">
        <v>45588</v>
      </c>
      <c r="R282" s="501">
        <v>45590</v>
      </c>
      <c r="S282" s="188" t="s">
        <v>309</v>
      </c>
      <c r="T282" s="188">
        <v>45593</v>
      </c>
      <c r="U282" s="188">
        <v>45600</v>
      </c>
      <c r="V282" s="487" t="s">
        <v>20</v>
      </c>
      <c r="W282" s="188">
        <f t="shared" si="15"/>
        <v>45617</v>
      </c>
      <c r="X282" s="524" t="s">
        <v>3846</v>
      </c>
      <c r="Y282" s="509"/>
      <c r="Z282" s="524"/>
      <c r="AA282" s="524"/>
    </row>
    <row r="283" s="178" customFormat="1" ht="14.25" customHeight="1" spans="1:27">
      <c r="A283" s="487" t="s">
        <v>3847</v>
      </c>
      <c r="B283" s="487"/>
      <c r="C283" s="487" t="s">
        <v>3848</v>
      </c>
      <c r="D283" s="487" t="s">
        <v>3849</v>
      </c>
      <c r="E283" s="488"/>
      <c r="F283" s="489"/>
      <c r="G283" s="487" t="s">
        <v>3032</v>
      </c>
      <c r="H283" s="487" t="s">
        <v>3845</v>
      </c>
      <c r="I283" s="516">
        <v>45581</v>
      </c>
      <c r="J283" s="188">
        <v>45596</v>
      </c>
      <c r="K283" s="188" t="s">
        <v>3038</v>
      </c>
      <c r="L283" s="520" t="s">
        <v>3457</v>
      </c>
      <c r="M283" s="490" t="s">
        <v>309</v>
      </c>
      <c r="N283" s="484">
        <v>1530.5</v>
      </c>
      <c r="O283" s="484">
        <v>13149.16</v>
      </c>
      <c r="P283" s="499"/>
      <c r="Q283" s="501">
        <v>45583</v>
      </c>
      <c r="R283" s="501">
        <v>45590</v>
      </c>
      <c r="S283" s="188" t="s">
        <v>309</v>
      </c>
      <c r="T283" s="188">
        <v>45593</v>
      </c>
      <c r="U283" s="188">
        <v>45600</v>
      </c>
      <c r="V283" s="487" t="s">
        <v>20</v>
      </c>
      <c r="W283" s="188">
        <f t="shared" si="15"/>
        <v>45617</v>
      </c>
      <c r="X283" s="524" t="s">
        <v>3846</v>
      </c>
      <c r="Y283" s="509"/>
      <c r="Z283" s="524"/>
      <c r="AA283" s="524"/>
    </row>
    <row r="284" s="178" customFormat="1" ht="14.25" customHeight="1" spans="1:27">
      <c r="A284" s="487" t="s">
        <v>3850</v>
      </c>
      <c r="B284" s="487"/>
      <c r="C284" s="487" t="s">
        <v>3851</v>
      </c>
      <c r="D284" s="487" t="s">
        <v>3852</v>
      </c>
      <c r="E284" s="488"/>
      <c r="F284" s="489"/>
      <c r="G284" s="487" t="s">
        <v>3032</v>
      </c>
      <c r="H284" s="487" t="s">
        <v>3845</v>
      </c>
      <c r="I284" s="516">
        <v>45581</v>
      </c>
      <c r="J284" s="188">
        <v>45596</v>
      </c>
      <c r="K284" s="188" t="s">
        <v>3038</v>
      </c>
      <c r="L284" s="520" t="s">
        <v>3737</v>
      </c>
      <c r="M284" s="490" t="s">
        <v>309</v>
      </c>
      <c r="N284" s="484">
        <v>1405.67</v>
      </c>
      <c r="O284" s="484">
        <v>12630.2</v>
      </c>
      <c r="P284" s="499"/>
      <c r="Q284" s="501">
        <v>45583</v>
      </c>
      <c r="R284" s="501">
        <v>45590</v>
      </c>
      <c r="S284" s="188" t="s">
        <v>309</v>
      </c>
      <c r="T284" s="188">
        <v>45593</v>
      </c>
      <c r="U284" s="188">
        <v>45600</v>
      </c>
      <c r="V284" s="487" t="s">
        <v>20</v>
      </c>
      <c r="W284" s="188">
        <f t="shared" si="15"/>
        <v>45617</v>
      </c>
      <c r="X284" s="524"/>
      <c r="Y284" s="509"/>
      <c r="Z284" s="524"/>
      <c r="AA284" s="524"/>
    </row>
    <row r="285" s="178" customFormat="1" ht="14.25" customHeight="1" spans="1:27">
      <c r="A285" s="487" t="s">
        <v>3842</v>
      </c>
      <c r="B285" s="487"/>
      <c r="C285" s="487" t="s">
        <v>3853</v>
      </c>
      <c r="D285" s="487" t="s">
        <v>3854</v>
      </c>
      <c r="E285" s="488"/>
      <c r="F285" s="489"/>
      <c r="G285" s="487" t="s">
        <v>3032</v>
      </c>
      <c r="H285" s="487" t="s">
        <v>3845</v>
      </c>
      <c r="I285" s="516">
        <v>45581</v>
      </c>
      <c r="J285" s="188">
        <v>45596</v>
      </c>
      <c r="K285" s="188" t="s">
        <v>3038</v>
      </c>
      <c r="L285" s="520" t="s">
        <v>3457</v>
      </c>
      <c r="M285" s="490" t="s">
        <v>309</v>
      </c>
      <c r="N285" s="484">
        <v>1530.5</v>
      </c>
      <c r="O285" s="484">
        <v>9226.48</v>
      </c>
      <c r="P285" s="499"/>
      <c r="Q285" s="501">
        <v>45589</v>
      </c>
      <c r="R285" s="501">
        <v>45590</v>
      </c>
      <c r="S285" s="188" t="s">
        <v>309</v>
      </c>
      <c r="T285" s="188">
        <v>45593</v>
      </c>
      <c r="U285" s="188">
        <v>45602</v>
      </c>
      <c r="V285" s="487" t="s">
        <v>20</v>
      </c>
      <c r="W285" s="188">
        <f t="shared" si="15"/>
        <v>45617</v>
      </c>
      <c r="X285" s="524"/>
      <c r="Y285" s="509"/>
      <c r="Z285" s="524"/>
      <c r="AA285" s="524"/>
    </row>
    <row r="286" s="178" customFormat="1" ht="14.25" customHeight="1" spans="1:27">
      <c r="A286" s="487" t="s">
        <v>3850</v>
      </c>
      <c r="B286" s="487"/>
      <c r="C286" s="487" t="s">
        <v>3855</v>
      </c>
      <c r="D286" s="487" t="s">
        <v>3856</v>
      </c>
      <c r="E286" s="488"/>
      <c r="F286" s="489"/>
      <c r="G286" s="487" t="s">
        <v>3032</v>
      </c>
      <c r="H286" s="487" t="s">
        <v>3845</v>
      </c>
      <c r="I286" s="516">
        <v>45581</v>
      </c>
      <c r="J286" s="188">
        <v>45596</v>
      </c>
      <c r="K286" s="188" t="s">
        <v>3038</v>
      </c>
      <c r="L286" s="520" t="s">
        <v>3457</v>
      </c>
      <c r="M286" s="490" t="s">
        <v>309</v>
      </c>
      <c r="N286" s="484">
        <v>1530.5</v>
      </c>
      <c r="O286" s="484">
        <v>13134.78</v>
      </c>
      <c r="P286" s="499"/>
      <c r="Q286" s="501">
        <v>45583</v>
      </c>
      <c r="R286" s="501">
        <v>45590</v>
      </c>
      <c r="S286" s="188" t="s">
        <v>309</v>
      </c>
      <c r="T286" s="188">
        <v>45593</v>
      </c>
      <c r="U286" s="188">
        <v>45602</v>
      </c>
      <c r="V286" s="487" t="s">
        <v>20</v>
      </c>
      <c r="W286" s="188">
        <f t="shared" si="15"/>
        <v>45617</v>
      </c>
      <c r="X286" s="524"/>
      <c r="Y286" s="509"/>
      <c r="Z286" s="524"/>
      <c r="AA286" s="524"/>
    </row>
    <row r="287" s="178" customFormat="1" ht="14.25" customHeight="1" spans="1:27">
      <c r="A287" s="487" t="s">
        <v>3850</v>
      </c>
      <c r="B287" s="487"/>
      <c r="C287" s="487" t="s">
        <v>3857</v>
      </c>
      <c r="D287" s="487" t="s">
        <v>3858</v>
      </c>
      <c r="E287" s="488"/>
      <c r="F287" s="489"/>
      <c r="G287" s="487" t="s">
        <v>3032</v>
      </c>
      <c r="H287" s="487" t="s">
        <v>3845</v>
      </c>
      <c r="I287" s="516">
        <v>45581</v>
      </c>
      <c r="J287" s="188">
        <v>45596</v>
      </c>
      <c r="K287" s="188" t="s">
        <v>3038</v>
      </c>
      <c r="L287" s="520" t="s">
        <v>3476</v>
      </c>
      <c r="M287" s="490" t="s">
        <v>309</v>
      </c>
      <c r="N287" s="484">
        <v>1385.28</v>
      </c>
      <c r="O287" s="484">
        <v>13134.78</v>
      </c>
      <c r="P287" s="499"/>
      <c r="Q287" s="501">
        <v>45589</v>
      </c>
      <c r="R287" s="501">
        <v>45590</v>
      </c>
      <c r="S287" s="188" t="s">
        <v>309</v>
      </c>
      <c r="T287" s="188">
        <v>45593</v>
      </c>
      <c r="U287" s="188">
        <v>45602</v>
      </c>
      <c r="V287" s="487" t="s">
        <v>20</v>
      </c>
      <c r="W287" s="188">
        <f t="shared" si="15"/>
        <v>45617</v>
      </c>
      <c r="X287" s="524"/>
      <c r="Y287" s="509"/>
      <c r="Z287" s="524"/>
      <c r="AA287" s="524"/>
    </row>
    <row r="288" s="178" customFormat="1" ht="14.25" customHeight="1" spans="1:27">
      <c r="A288" s="487" t="s">
        <v>3842</v>
      </c>
      <c r="B288" s="487"/>
      <c r="C288" s="487" t="s">
        <v>3859</v>
      </c>
      <c r="D288" s="487" t="s">
        <v>3860</v>
      </c>
      <c r="E288" s="488"/>
      <c r="F288" s="489"/>
      <c r="G288" s="487" t="s">
        <v>3032</v>
      </c>
      <c r="H288" s="487" t="s">
        <v>3800</v>
      </c>
      <c r="I288" s="516">
        <v>45567</v>
      </c>
      <c r="J288" s="188">
        <v>45600</v>
      </c>
      <c r="K288" s="188" t="s">
        <v>3038</v>
      </c>
      <c r="L288" s="523" t="s">
        <v>3797</v>
      </c>
      <c r="M288" s="490" t="s">
        <v>654</v>
      </c>
      <c r="N288" s="484">
        <f>1405.67+194.56</f>
        <v>1600.23</v>
      </c>
      <c r="O288" s="484">
        <v>9260.37</v>
      </c>
      <c r="P288" s="499"/>
      <c r="Q288" s="501">
        <v>45581</v>
      </c>
      <c r="R288" s="501">
        <v>45587</v>
      </c>
      <c r="S288" s="188" t="s">
        <v>309</v>
      </c>
      <c r="T288" s="188">
        <v>45588</v>
      </c>
      <c r="U288" s="188">
        <v>45604</v>
      </c>
      <c r="V288" s="487" t="s">
        <v>20</v>
      </c>
      <c r="W288" s="188">
        <f t="shared" si="15"/>
        <v>45621</v>
      </c>
      <c r="X288" s="524"/>
      <c r="Y288" s="509"/>
      <c r="Z288" s="524"/>
      <c r="AA288" s="524"/>
    </row>
    <row r="289" s="178" customFormat="1" ht="14.25" customHeight="1" spans="1:27">
      <c r="A289" s="487" t="s">
        <v>3454</v>
      </c>
      <c r="B289" s="487"/>
      <c r="C289" s="487" t="s">
        <v>3861</v>
      </c>
      <c r="D289" s="487" t="s">
        <v>3862</v>
      </c>
      <c r="E289" s="488"/>
      <c r="F289" s="489"/>
      <c r="G289" s="487" t="s">
        <v>3032</v>
      </c>
      <c r="H289" s="487" t="s">
        <v>3800</v>
      </c>
      <c r="I289" s="516">
        <v>45567</v>
      </c>
      <c r="J289" s="188">
        <v>45600</v>
      </c>
      <c r="K289" s="188" t="s">
        <v>3038</v>
      </c>
      <c r="L289" s="520" t="s">
        <v>3457</v>
      </c>
      <c r="M289" s="490" t="s">
        <v>309</v>
      </c>
      <c r="N289" s="484">
        <v>1530.5</v>
      </c>
      <c r="O289" s="484">
        <v>10287.43</v>
      </c>
      <c r="P289" s="499"/>
      <c r="Q289" s="501">
        <v>45574</v>
      </c>
      <c r="R289" s="501">
        <v>45587</v>
      </c>
      <c r="S289" s="487"/>
      <c r="T289" s="188">
        <v>45588</v>
      </c>
      <c r="U289" s="188">
        <v>45608</v>
      </c>
      <c r="V289" s="487" t="s">
        <v>20</v>
      </c>
      <c r="W289" s="188">
        <f t="shared" si="15"/>
        <v>45621</v>
      </c>
      <c r="X289" s="524"/>
      <c r="Y289" s="509"/>
      <c r="Z289" s="524"/>
      <c r="AA289" s="524"/>
    </row>
    <row r="290" s="178" customFormat="1" ht="14.25" customHeight="1" spans="1:27">
      <c r="A290" s="487" t="s">
        <v>3285</v>
      </c>
      <c r="B290" s="487"/>
      <c r="C290" s="487" t="s">
        <v>3863</v>
      </c>
      <c r="D290" s="487" t="s">
        <v>3864</v>
      </c>
      <c r="E290" s="488"/>
      <c r="F290" s="489"/>
      <c r="G290" s="487" t="s">
        <v>3032</v>
      </c>
      <c r="H290" s="487" t="s">
        <v>3800</v>
      </c>
      <c r="I290" s="516">
        <v>45567</v>
      </c>
      <c r="J290" s="188">
        <v>45600</v>
      </c>
      <c r="K290" s="188" t="s">
        <v>3038</v>
      </c>
      <c r="L290" s="520" t="s">
        <v>3476</v>
      </c>
      <c r="M290" s="490" t="s">
        <v>309</v>
      </c>
      <c r="N290" s="484">
        <v>1385.28</v>
      </c>
      <c r="O290" s="484">
        <v>12839.78</v>
      </c>
      <c r="P290" s="499"/>
      <c r="Q290" s="501">
        <v>45579</v>
      </c>
      <c r="R290" s="501">
        <v>45587</v>
      </c>
      <c r="S290" s="188" t="s">
        <v>309</v>
      </c>
      <c r="T290" s="188">
        <v>45588</v>
      </c>
      <c r="U290" s="188">
        <v>45604</v>
      </c>
      <c r="V290" s="487" t="s">
        <v>20</v>
      </c>
      <c r="W290" s="188">
        <f t="shared" si="15"/>
        <v>45621</v>
      </c>
      <c r="X290" s="524"/>
      <c r="Y290" s="509"/>
      <c r="Z290" s="524"/>
      <c r="AA290" s="524"/>
    </row>
    <row r="291" s="178" customFormat="1" ht="14.25" customHeight="1" spans="1:27">
      <c r="A291" s="487" t="s">
        <v>3842</v>
      </c>
      <c r="B291" s="487"/>
      <c r="C291" s="487" t="s">
        <v>3865</v>
      </c>
      <c r="D291" s="487" t="s">
        <v>3866</v>
      </c>
      <c r="E291" s="488"/>
      <c r="F291" s="489"/>
      <c r="G291" s="487" t="s">
        <v>3079</v>
      </c>
      <c r="H291" s="487" t="s">
        <v>3867</v>
      </c>
      <c r="I291" s="516">
        <v>45574</v>
      </c>
      <c r="J291" s="516">
        <v>45601</v>
      </c>
      <c r="K291" s="516" t="s">
        <v>207</v>
      </c>
      <c r="L291" s="500" t="s">
        <v>3393</v>
      </c>
      <c r="M291" s="528" t="s">
        <v>3868</v>
      </c>
      <c r="N291" s="539">
        <v>1344.46</v>
      </c>
      <c r="O291" s="539">
        <v>9453.68</v>
      </c>
      <c r="P291" s="540"/>
      <c r="Q291" s="501">
        <v>45582</v>
      </c>
      <c r="R291" s="501">
        <v>45596</v>
      </c>
      <c r="S291" s="188" t="s">
        <v>309</v>
      </c>
      <c r="T291" s="188">
        <v>45596</v>
      </c>
      <c r="U291" s="188">
        <v>45607</v>
      </c>
      <c r="V291" s="487" t="s">
        <v>20</v>
      </c>
      <c r="W291" s="188">
        <f>J291+14</f>
        <v>45615</v>
      </c>
      <c r="X291" s="524" t="s">
        <v>3869</v>
      </c>
      <c r="Y291" s="509"/>
      <c r="Z291" s="524"/>
      <c r="AA291" s="524"/>
    </row>
    <row r="292" s="178" customFormat="1" ht="14.25" customHeight="1" spans="1:27">
      <c r="A292" s="487" t="s">
        <v>3569</v>
      </c>
      <c r="B292" s="487"/>
      <c r="C292" s="487" t="s">
        <v>3870</v>
      </c>
      <c r="D292" s="487" t="s">
        <v>3871</v>
      </c>
      <c r="E292" s="488"/>
      <c r="F292" s="489"/>
      <c r="G292" s="487" t="s">
        <v>3032</v>
      </c>
      <c r="H292" s="487" t="s">
        <v>3845</v>
      </c>
      <c r="I292" s="516">
        <v>45581</v>
      </c>
      <c r="J292" s="516">
        <v>45602</v>
      </c>
      <c r="K292" s="188" t="s">
        <v>161</v>
      </c>
      <c r="L292" s="520" t="s">
        <v>3590</v>
      </c>
      <c r="M292" s="490" t="s">
        <v>309</v>
      </c>
      <c r="N292" s="484">
        <v>1791.6</v>
      </c>
      <c r="O292" s="484">
        <v>10136.81</v>
      </c>
      <c r="P292" s="499"/>
      <c r="Q292" s="501">
        <v>45583</v>
      </c>
      <c r="R292" s="501">
        <v>45591</v>
      </c>
      <c r="S292" s="188" t="s">
        <v>309</v>
      </c>
      <c r="T292" s="188">
        <v>45595</v>
      </c>
      <c r="U292" s="188">
        <v>45604</v>
      </c>
      <c r="V292" s="487" t="s">
        <v>20</v>
      </c>
      <c r="W292" s="188">
        <f>J292+21</f>
        <v>45623</v>
      </c>
      <c r="X292" s="524"/>
      <c r="Y292" s="509"/>
      <c r="Z292" s="524"/>
      <c r="AA292" s="524"/>
    </row>
    <row r="293" s="178" customFormat="1" ht="14.25" customHeight="1" spans="1:27">
      <c r="A293" s="487" t="s">
        <v>3472</v>
      </c>
      <c r="B293" s="487"/>
      <c r="C293" s="487" t="s">
        <v>3872</v>
      </c>
      <c r="D293" s="487" t="s">
        <v>3873</v>
      </c>
      <c r="E293" s="488"/>
      <c r="F293" s="489"/>
      <c r="G293" s="487" t="s">
        <v>3079</v>
      </c>
      <c r="H293" s="487" t="s">
        <v>3874</v>
      </c>
      <c r="I293" s="516">
        <v>45559</v>
      </c>
      <c r="J293" s="188">
        <v>45603</v>
      </c>
      <c r="K293" s="188" t="s">
        <v>215</v>
      </c>
      <c r="L293" s="500" t="s">
        <v>3086</v>
      </c>
      <c r="M293" s="501" t="s">
        <v>3875</v>
      </c>
      <c r="N293" s="484">
        <v>957.85</v>
      </c>
      <c r="O293" s="484">
        <v>9610.09</v>
      </c>
      <c r="P293" s="499"/>
      <c r="Q293" s="501">
        <v>45562</v>
      </c>
      <c r="R293" s="501">
        <v>45587</v>
      </c>
      <c r="S293" s="188" t="s">
        <v>309</v>
      </c>
      <c r="T293" s="188">
        <v>45597</v>
      </c>
      <c r="U293" s="188">
        <v>45608</v>
      </c>
      <c r="V293" s="487" t="s">
        <v>20</v>
      </c>
      <c r="W293" s="188">
        <f>J293+14</f>
        <v>45617</v>
      </c>
      <c r="X293" s="524"/>
      <c r="Y293" s="509"/>
      <c r="Z293" s="524"/>
      <c r="AA293" s="524"/>
    </row>
    <row r="294" s="178" customFormat="1" ht="15.75" customHeight="1" spans="1:27">
      <c r="A294" s="487" t="s">
        <v>3569</v>
      </c>
      <c r="B294" s="487"/>
      <c r="C294" s="487" t="s">
        <v>3876</v>
      </c>
      <c r="D294" s="487" t="s">
        <v>3877</v>
      </c>
      <c r="E294" s="488"/>
      <c r="F294" s="489"/>
      <c r="G294" s="492" t="s">
        <v>3146</v>
      </c>
      <c r="H294" s="487" t="s">
        <v>3806</v>
      </c>
      <c r="I294" s="516">
        <v>45571</v>
      </c>
      <c r="J294" s="188">
        <v>45604</v>
      </c>
      <c r="K294" s="188" t="s">
        <v>39</v>
      </c>
      <c r="L294" s="520" t="s">
        <v>3419</v>
      </c>
      <c r="M294" s="501" t="s">
        <v>3878</v>
      </c>
      <c r="N294" s="484">
        <v>1454</v>
      </c>
      <c r="O294" s="484">
        <v>9692.72</v>
      </c>
      <c r="P294" s="499"/>
      <c r="Q294" s="501">
        <v>45579</v>
      </c>
      <c r="R294" s="501">
        <v>45595</v>
      </c>
      <c r="S294" s="188" t="s">
        <v>309</v>
      </c>
      <c r="T294" s="188">
        <v>45602</v>
      </c>
      <c r="U294" s="188">
        <v>45611</v>
      </c>
      <c r="V294" s="487" t="s">
        <v>20</v>
      </c>
      <c r="W294" s="188">
        <f t="shared" ref="W294:W308" si="16">J294+21</f>
        <v>45625</v>
      </c>
      <c r="X294" s="524"/>
      <c r="Y294" s="509"/>
      <c r="Z294" s="524"/>
      <c r="AA294" s="524"/>
    </row>
    <row r="295" s="178" customFormat="1" ht="14.25" customHeight="1" spans="1:27">
      <c r="A295" s="487" t="s">
        <v>3285</v>
      </c>
      <c r="B295" s="487"/>
      <c r="C295" s="487" t="s">
        <v>3879</v>
      </c>
      <c r="D295" s="487" t="s">
        <v>3880</v>
      </c>
      <c r="E295" s="488"/>
      <c r="F295" s="489"/>
      <c r="G295" s="492" t="s">
        <v>3146</v>
      </c>
      <c r="H295" s="487" t="s">
        <v>3881</v>
      </c>
      <c r="I295" s="188">
        <v>45579</v>
      </c>
      <c r="J295" s="188">
        <v>45605</v>
      </c>
      <c r="K295" s="188" t="s">
        <v>3038</v>
      </c>
      <c r="L295" s="520" t="s">
        <v>3457</v>
      </c>
      <c r="M295" s="490" t="s">
        <v>309</v>
      </c>
      <c r="N295" s="484">
        <v>1650.53</v>
      </c>
      <c r="O295" s="484">
        <v>12893.04</v>
      </c>
      <c r="P295" s="499"/>
      <c r="Q295" s="501">
        <v>45582</v>
      </c>
      <c r="R295" s="501">
        <v>45597</v>
      </c>
      <c r="S295" s="188" t="s">
        <v>309</v>
      </c>
      <c r="T295" s="188">
        <v>45603</v>
      </c>
      <c r="U295" s="188">
        <v>45614</v>
      </c>
      <c r="V295" s="487" t="s">
        <v>20</v>
      </c>
      <c r="W295" s="188">
        <f t="shared" si="16"/>
        <v>45626</v>
      </c>
      <c r="X295" s="524"/>
      <c r="Y295" s="509"/>
      <c r="Z295" s="524"/>
      <c r="AA295" s="524"/>
    </row>
    <row r="296" s="178" customFormat="1" ht="14.25" customHeight="1" spans="1:27">
      <c r="A296" s="487" t="s">
        <v>3847</v>
      </c>
      <c r="B296" s="487"/>
      <c r="C296" s="487" t="s">
        <v>3882</v>
      </c>
      <c r="D296" s="487" t="s">
        <v>3883</v>
      </c>
      <c r="E296" s="488"/>
      <c r="F296" s="489"/>
      <c r="G296" s="492" t="s">
        <v>3146</v>
      </c>
      <c r="H296" s="487" t="s">
        <v>3881</v>
      </c>
      <c r="I296" s="188">
        <v>45579</v>
      </c>
      <c r="J296" s="188">
        <v>45605</v>
      </c>
      <c r="K296" s="188" t="s">
        <v>3038</v>
      </c>
      <c r="L296" s="520" t="s">
        <v>3457</v>
      </c>
      <c r="M296" s="490" t="s">
        <v>309</v>
      </c>
      <c r="N296" s="484">
        <v>1650.53</v>
      </c>
      <c r="O296" s="484">
        <v>12701.05</v>
      </c>
      <c r="P296" s="499"/>
      <c r="Q296" s="501">
        <v>45590</v>
      </c>
      <c r="R296" s="501">
        <v>45597</v>
      </c>
      <c r="S296" s="188" t="s">
        <v>309</v>
      </c>
      <c r="T296" s="188">
        <v>45602</v>
      </c>
      <c r="U296" s="188">
        <v>45614</v>
      </c>
      <c r="V296" s="487" t="s">
        <v>20</v>
      </c>
      <c r="W296" s="188">
        <f t="shared" si="16"/>
        <v>45626</v>
      </c>
      <c r="X296" s="524"/>
      <c r="Y296" s="509"/>
      <c r="Z296" s="524"/>
      <c r="AA296" s="524"/>
    </row>
    <row r="297" s="178" customFormat="1" ht="14.25" customHeight="1" spans="1:27">
      <c r="A297" s="487" t="s">
        <v>3569</v>
      </c>
      <c r="B297" s="487"/>
      <c r="C297" s="487" t="s">
        <v>3884</v>
      </c>
      <c r="D297" s="487" t="s">
        <v>3885</v>
      </c>
      <c r="E297" s="488"/>
      <c r="F297" s="489"/>
      <c r="G297" s="487" t="s">
        <v>3032</v>
      </c>
      <c r="H297" s="487" t="s">
        <v>3886</v>
      </c>
      <c r="I297" s="188">
        <v>45588</v>
      </c>
      <c r="J297" s="188">
        <v>45605</v>
      </c>
      <c r="K297" s="188" t="s">
        <v>39</v>
      </c>
      <c r="L297" s="520" t="s">
        <v>3437</v>
      </c>
      <c r="M297" s="490" t="s">
        <v>309</v>
      </c>
      <c r="N297" s="484">
        <v>1487.06</v>
      </c>
      <c r="O297" s="484">
        <v>9126.18</v>
      </c>
      <c r="P297" s="499"/>
      <c r="Q297" s="501">
        <v>45595</v>
      </c>
      <c r="R297" s="501">
        <v>45601</v>
      </c>
      <c r="S297" s="188" t="s">
        <v>309</v>
      </c>
      <c r="T297" s="188">
        <v>45602</v>
      </c>
      <c r="U297" s="188">
        <v>45611</v>
      </c>
      <c r="V297" s="487" t="s">
        <v>20</v>
      </c>
      <c r="W297" s="188">
        <f t="shared" si="16"/>
        <v>45626</v>
      </c>
      <c r="X297" s="524"/>
      <c r="Y297" s="509"/>
      <c r="Z297" s="524"/>
      <c r="AA297" s="524"/>
    </row>
    <row r="298" s="178" customFormat="1" ht="15.75" customHeight="1" spans="1:27">
      <c r="A298" s="487" t="s">
        <v>3569</v>
      </c>
      <c r="B298" s="487"/>
      <c r="C298" s="487" t="s">
        <v>3887</v>
      </c>
      <c r="D298" s="487" t="s">
        <v>3888</v>
      </c>
      <c r="E298" s="488"/>
      <c r="F298" s="489"/>
      <c r="G298" s="487" t="s">
        <v>3032</v>
      </c>
      <c r="H298" s="487" t="s">
        <v>3886</v>
      </c>
      <c r="I298" s="188">
        <v>45588</v>
      </c>
      <c r="J298" s="188">
        <v>45605</v>
      </c>
      <c r="K298" s="188" t="s">
        <v>39</v>
      </c>
      <c r="L298" s="520" t="s">
        <v>3437</v>
      </c>
      <c r="M298" s="490" t="s">
        <v>309</v>
      </c>
      <c r="N298" s="484">
        <v>1487.06</v>
      </c>
      <c r="O298" s="484">
        <v>8962.11</v>
      </c>
      <c r="P298" s="499"/>
      <c r="Q298" s="501">
        <v>45595</v>
      </c>
      <c r="R298" s="501">
        <v>45601</v>
      </c>
      <c r="S298" s="188" t="s">
        <v>309</v>
      </c>
      <c r="T298" s="188">
        <v>45602</v>
      </c>
      <c r="U298" s="188">
        <v>45611</v>
      </c>
      <c r="V298" s="487" t="s">
        <v>20</v>
      </c>
      <c r="W298" s="188">
        <f t="shared" si="16"/>
        <v>45626</v>
      </c>
      <c r="X298" s="524"/>
      <c r="Y298" s="509"/>
      <c r="Z298" s="524"/>
      <c r="AA298" s="524"/>
    </row>
    <row r="299" s="178" customFormat="1" ht="14.25" customHeight="1" spans="1:27">
      <c r="A299" s="487" t="s">
        <v>3842</v>
      </c>
      <c r="B299" s="487"/>
      <c r="C299" s="487" t="s">
        <v>3889</v>
      </c>
      <c r="D299" s="487" t="s">
        <v>3890</v>
      </c>
      <c r="E299" s="488"/>
      <c r="F299" s="489"/>
      <c r="G299" s="492" t="s">
        <v>3146</v>
      </c>
      <c r="H299" s="487" t="s">
        <v>3881</v>
      </c>
      <c r="I299" s="188">
        <v>45579</v>
      </c>
      <c r="J299" s="188">
        <v>45605</v>
      </c>
      <c r="K299" s="188" t="s">
        <v>3038</v>
      </c>
      <c r="L299" s="520" t="s">
        <v>3457</v>
      </c>
      <c r="M299" s="490" t="s">
        <v>309</v>
      </c>
      <c r="N299" s="484">
        <v>1650.53</v>
      </c>
      <c r="O299" s="484">
        <v>9239.71</v>
      </c>
      <c r="P299" s="499"/>
      <c r="Q299" s="501">
        <v>45590</v>
      </c>
      <c r="R299" s="501">
        <v>45597</v>
      </c>
      <c r="S299" s="188">
        <v>45603</v>
      </c>
      <c r="T299" s="188">
        <v>45603</v>
      </c>
      <c r="U299" s="188">
        <v>45615</v>
      </c>
      <c r="V299" s="487" t="s">
        <v>20</v>
      </c>
      <c r="W299" s="188">
        <f t="shared" si="16"/>
        <v>45626</v>
      </c>
      <c r="X299" s="524"/>
      <c r="Y299" s="509"/>
      <c r="Z299" s="524"/>
      <c r="AA299" s="524"/>
    </row>
    <row r="300" s="178" customFormat="1" ht="14.25" customHeight="1" spans="1:27">
      <c r="A300" s="487" t="s">
        <v>3285</v>
      </c>
      <c r="B300" s="487"/>
      <c r="C300" s="487" t="s">
        <v>3891</v>
      </c>
      <c r="D300" s="487" t="s">
        <v>3892</v>
      </c>
      <c r="E300" s="488"/>
      <c r="F300" s="489"/>
      <c r="G300" s="492" t="s">
        <v>3146</v>
      </c>
      <c r="H300" s="487" t="s">
        <v>3881</v>
      </c>
      <c r="I300" s="188">
        <v>45579</v>
      </c>
      <c r="J300" s="188">
        <v>45605</v>
      </c>
      <c r="K300" s="188" t="s">
        <v>3038</v>
      </c>
      <c r="L300" s="520" t="s">
        <v>3893</v>
      </c>
      <c r="M300" s="490" t="s">
        <v>309</v>
      </c>
      <c r="N300" s="484">
        <v>1526.14</v>
      </c>
      <c r="O300" s="484">
        <v>12887.75</v>
      </c>
      <c r="P300" s="499"/>
      <c r="Q300" s="501">
        <v>45582</v>
      </c>
      <c r="R300" s="501">
        <v>45597</v>
      </c>
      <c r="S300" s="188" t="s">
        <v>309</v>
      </c>
      <c r="T300" s="188">
        <v>45602</v>
      </c>
      <c r="U300" s="188">
        <v>45614</v>
      </c>
      <c r="V300" s="487" t="s">
        <v>20</v>
      </c>
      <c r="W300" s="188">
        <f t="shared" si="16"/>
        <v>45626</v>
      </c>
      <c r="X300" s="524" t="s">
        <v>3894</v>
      </c>
      <c r="Y300" s="509"/>
      <c r="Z300" s="524"/>
      <c r="AA300" s="524"/>
    </row>
    <row r="301" s="178" customFormat="1" ht="14.25" customHeight="1" spans="1:27">
      <c r="A301" s="487" t="s">
        <v>3847</v>
      </c>
      <c r="B301" s="487"/>
      <c r="C301" s="487" t="s">
        <v>3895</v>
      </c>
      <c r="D301" s="487" t="s">
        <v>3896</v>
      </c>
      <c r="E301" s="488"/>
      <c r="F301" s="489"/>
      <c r="G301" s="492" t="s">
        <v>3146</v>
      </c>
      <c r="H301" s="487" t="s">
        <v>3881</v>
      </c>
      <c r="I301" s="188">
        <v>45579</v>
      </c>
      <c r="J301" s="188">
        <v>45605</v>
      </c>
      <c r="K301" s="188" t="s">
        <v>3038</v>
      </c>
      <c r="L301" s="520" t="s">
        <v>3897</v>
      </c>
      <c r="M301" s="490" t="s">
        <v>309</v>
      </c>
      <c r="N301" s="484">
        <f>1506.21+20.12</f>
        <v>1526.33</v>
      </c>
      <c r="O301" s="484">
        <v>13004.15</v>
      </c>
      <c r="P301" s="499"/>
      <c r="Q301" s="501">
        <v>45582</v>
      </c>
      <c r="R301" s="501">
        <v>45597</v>
      </c>
      <c r="S301" s="188">
        <v>45603</v>
      </c>
      <c r="T301" s="188">
        <v>45603</v>
      </c>
      <c r="U301" s="188">
        <v>45614</v>
      </c>
      <c r="V301" s="487" t="s">
        <v>20</v>
      </c>
      <c r="W301" s="188">
        <f t="shared" si="16"/>
        <v>45626</v>
      </c>
      <c r="X301" s="524" t="s">
        <v>3898</v>
      </c>
      <c r="Y301" s="509"/>
      <c r="Z301" s="524"/>
      <c r="AA301" s="524"/>
    </row>
    <row r="302" s="178" customFormat="1" ht="12.75" customHeight="1" spans="1:27">
      <c r="A302" s="487" t="s">
        <v>3842</v>
      </c>
      <c r="B302" s="487"/>
      <c r="C302" s="487" t="s">
        <v>3899</v>
      </c>
      <c r="D302" s="487" t="s">
        <v>3900</v>
      </c>
      <c r="E302" s="488"/>
      <c r="F302" s="489"/>
      <c r="G302" s="492" t="s">
        <v>3146</v>
      </c>
      <c r="H302" s="487" t="s">
        <v>3881</v>
      </c>
      <c r="I302" s="188">
        <v>45579</v>
      </c>
      <c r="J302" s="188">
        <v>45605</v>
      </c>
      <c r="K302" s="188" t="s">
        <v>3038</v>
      </c>
      <c r="L302" s="520" t="s">
        <v>3457</v>
      </c>
      <c r="M302" s="490" t="s">
        <v>309</v>
      </c>
      <c r="N302" s="484">
        <v>1650.53</v>
      </c>
      <c r="O302" s="484">
        <v>9239.71</v>
      </c>
      <c r="P302" s="499"/>
      <c r="Q302" s="501">
        <v>45590</v>
      </c>
      <c r="R302" s="501">
        <v>45597</v>
      </c>
      <c r="S302" s="188" t="s">
        <v>309</v>
      </c>
      <c r="T302" s="188">
        <v>45602</v>
      </c>
      <c r="U302" s="188">
        <v>45616</v>
      </c>
      <c r="V302" s="487" t="s">
        <v>20</v>
      </c>
      <c r="W302" s="188">
        <f t="shared" si="16"/>
        <v>45626</v>
      </c>
      <c r="X302" s="524"/>
      <c r="Y302" s="509"/>
      <c r="Z302" s="524"/>
      <c r="AA302" s="524"/>
    </row>
    <row r="303" s="178" customFormat="1" ht="14.25" customHeight="1" spans="1:27">
      <c r="A303" s="487" t="s">
        <v>3842</v>
      </c>
      <c r="B303" s="487"/>
      <c r="C303" s="487" t="s">
        <v>3901</v>
      </c>
      <c r="D303" s="487" t="s">
        <v>3902</v>
      </c>
      <c r="E303" s="488"/>
      <c r="F303" s="489"/>
      <c r="G303" s="492" t="s">
        <v>3146</v>
      </c>
      <c r="H303" s="487" t="s">
        <v>3881</v>
      </c>
      <c r="I303" s="188">
        <v>45579</v>
      </c>
      <c r="J303" s="188">
        <v>45605</v>
      </c>
      <c r="K303" s="188" t="s">
        <v>3038</v>
      </c>
      <c r="L303" s="520" t="s">
        <v>3457</v>
      </c>
      <c r="M303" s="490" t="s">
        <v>309</v>
      </c>
      <c r="N303" s="484">
        <v>1650.53</v>
      </c>
      <c r="O303" s="484">
        <v>9288.99</v>
      </c>
      <c r="P303" s="499"/>
      <c r="Q303" s="501">
        <v>45590</v>
      </c>
      <c r="R303" s="501">
        <v>45597</v>
      </c>
      <c r="S303" s="188" t="s">
        <v>309</v>
      </c>
      <c r="T303" s="188">
        <v>45602</v>
      </c>
      <c r="U303" s="188">
        <v>45616</v>
      </c>
      <c r="V303" s="487" t="s">
        <v>20</v>
      </c>
      <c r="W303" s="188">
        <f t="shared" si="16"/>
        <v>45626</v>
      </c>
      <c r="X303" s="524"/>
      <c r="Y303" s="509"/>
      <c r="Z303" s="524"/>
      <c r="AA303" s="524"/>
    </row>
    <row r="304" s="178" customFormat="1" ht="14.25" customHeight="1" spans="1:27">
      <c r="A304" s="487" t="s">
        <v>3569</v>
      </c>
      <c r="B304" s="487"/>
      <c r="C304" s="487" t="s">
        <v>3903</v>
      </c>
      <c r="D304" s="487" t="s">
        <v>3904</v>
      </c>
      <c r="E304" s="488"/>
      <c r="F304" s="489"/>
      <c r="G304" s="487" t="s">
        <v>3032</v>
      </c>
      <c r="H304" s="487" t="s">
        <v>3886</v>
      </c>
      <c r="I304" s="188">
        <v>45588</v>
      </c>
      <c r="J304" s="188">
        <v>45605</v>
      </c>
      <c r="K304" s="188" t="s">
        <v>39</v>
      </c>
      <c r="L304" s="520" t="s">
        <v>3437</v>
      </c>
      <c r="M304" s="490" t="s">
        <v>309</v>
      </c>
      <c r="N304" s="484">
        <f>1487.06+1031.39-401.5+468.88</f>
        <v>2585.83</v>
      </c>
      <c r="O304" s="484">
        <v>9262.28</v>
      </c>
      <c r="P304" s="499"/>
      <c r="Q304" s="501">
        <v>45595</v>
      </c>
      <c r="R304" s="501">
        <v>45601</v>
      </c>
      <c r="S304" s="487"/>
      <c r="T304" s="188">
        <v>45603</v>
      </c>
      <c r="U304" s="188">
        <v>45617</v>
      </c>
      <c r="V304" s="487" t="s">
        <v>20</v>
      </c>
      <c r="W304" s="188">
        <f t="shared" si="16"/>
        <v>45626</v>
      </c>
      <c r="X304" s="524" t="s">
        <v>3905</v>
      </c>
      <c r="Y304" s="509"/>
      <c r="Z304" s="524"/>
      <c r="AA304" s="524"/>
    </row>
    <row r="305" s="473" customFormat="1" ht="14.25" customHeight="1" spans="1:27">
      <c r="A305" s="489" t="s">
        <v>3569</v>
      </c>
      <c r="B305" s="489"/>
      <c r="C305" s="489" t="s">
        <v>3906</v>
      </c>
      <c r="D305" s="489" t="s">
        <v>3907</v>
      </c>
      <c r="E305" s="488"/>
      <c r="F305" s="489"/>
      <c r="G305" s="489" t="s">
        <v>3032</v>
      </c>
      <c r="H305" s="489" t="s">
        <v>3886</v>
      </c>
      <c r="I305" s="195">
        <v>45588</v>
      </c>
      <c r="J305" s="195">
        <v>45605</v>
      </c>
      <c r="K305" s="195" t="s">
        <v>39</v>
      </c>
      <c r="L305" s="541" t="s">
        <v>3437</v>
      </c>
      <c r="M305" s="492" t="s">
        <v>309</v>
      </c>
      <c r="N305" s="484">
        <v>1487.06</v>
      </c>
      <c r="O305" s="484">
        <v>9855.13</v>
      </c>
      <c r="P305" s="499"/>
      <c r="Q305" s="545">
        <v>45595</v>
      </c>
      <c r="R305" s="545">
        <v>45601</v>
      </c>
      <c r="S305" s="195" t="s">
        <v>309</v>
      </c>
      <c r="T305" s="195">
        <v>45602</v>
      </c>
      <c r="U305" s="195">
        <v>45611</v>
      </c>
      <c r="V305" s="546" t="s">
        <v>20</v>
      </c>
      <c r="W305" s="195">
        <f t="shared" si="16"/>
        <v>45626</v>
      </c>
      <c r="X305" s="547"/>
      <c r="Y305" s="549"/>
      <c r="Z305" s="547"/>
      <c r="AA305" s="547"/>
    </row>
    <row r="306" s="178" customFormat="1" ht="14.25" customHeight="1" spans="1:27">
      <c r="A306" s="487" t="s">
        <v>3569</v>
      </c>
      <c r="B306" s="487"/>
      <c r="C306" s="487" t="s">
        <v>3908</v>
      </c>
      <c r="D306" s="487" t="s">
        <v>3909</v>
      </c>
      <c r="E306" s="488"/>
      <c r="F306" s="489"/>
      <c r="G306" s="487" t="s">
        <v>3032</v>
      </c>
      <c r="H306" s="487" t="s">
        <v>3886</v>
      </c>
      <c r="I306" s="188">
        <v>45588</v>
      </c>
      <c r="J306" s="188">
        <v>45607</v>
      </c>
      <c r="K306" s="188" t="s">
        <v>161</v>
      </c>
      <c r="L306" s="520" t="s">
        <v>3590</v>
      </c>
      <c r="M306" s="490" t="s">
        <v>309</v>
      </c>
      <c r="N306" s="484">
        <f>1791.6+45.1</f>
        <v>1836.7</v>
      </c>
      <c r="O306" s="484">
        <v>10584.03</v>
      </c>
      <c r="P306" s="499"/>
      <c r="Q306" s="501">
        <v>45597</v>
      </c>
      <c r="R306" s="501">
        <v>45603</v>
      </c>
      <c r="S306" s="188" t="s">
        <v>309</v>
      </c>
      <c r="T306" s="188">
        <v>45604</v>
      </c>
      <c r="U306" s="188">
        <v>45611</v>
      </c>
      <c r="V306" s="487" t="s">
        <v>20</v>
      </c>
      <c r="W306" s="188">
        <f t="shared" si="16"/>
        <v>45628</v>
      </c>
      <c r="X306" s="524"/>
      <c r="Y306" s="509"/>
      <c r="Z306" s="524"/>
      <c r="AA306" s="524"/>
    </row>
    <row r="307" s="178" customFormat="1" ht="14.25" customHeight="1" spans="1:27">
      <c r="A307" s="487" t="s">
        <v>3910</v>
      </c>
      <c r="B307" s="487"/>
      <c r="C307" s="487" t="s">
        <v>3911</v>
      </c>
      <c r="D307" s="487" t="s">
        <v>3912</v>
      </c>
      <c r="E307" s="488"/>
      <c r="F307" s="489"/>
      <c r="G307" s="487" t="s">
        <v>3032</v>
      </c>
      <c r="H307" s="487" t="s">
        <v>3913</v>
      </c>
      <c r="I307" s="188">
        <v>45599</v>
      </c>
      <c r="J307" s="188">
        <v>45610</v>
      </c>
      <c r="K307" s="188" t="s">
        <v>39</v>
      </c>
      <c r="L307" s="520" t="s">
        <v>3437</v>
      </c>
      <c r="M307" s="490" t="s">
        <v>309</v>
      </c>
      <c r="N307" s="484">
        <v>1613.56</v>
      </c>
      <c r="O307" s="484">
        <v>11012.08</v>
      </c>
      <c r="P307" s="499"/>
      <c r="Q307" s="501">
        <v>45607</v>
      </c>
      <c r="R307" s="501">
        <v>45607</v>
      </c>
      <c r="S307" s="188" t="s">
        <v>309</v>
      </c>
      <c r="T307" s="188">
        <v>45609</v>
      </c>
      <c r="U307" s="188">
        <v>45618</v>
      </c>
      <c r="V307" s="487" t="s">
        <v>20</v>
      </c>
      <c r="W307" s="188">
        <f t="shared" si="16"/>
        <v>45631</v>
      </c>
      <c r="X307" s="524"/>
      <c r="Y307" s="509"/>
      <c r="Z307" s="524"/>
      <c r="AA307" s="524"/>
    </row>
    <row r="308" s="178" customFormat="1" ht="14.25" customHeight="1" spans="1:27">
      <c r="A308" s="487" t="s">
        <v>3910</v>
      </c>
      <c r="B308" s="487"/>
      <c r="C308" s="487" t="s">
        <v>3914</v>
      </c>
      <c r="D308" s="487" t="s">
        <v>3915</v>
      </c>
      <c r="E308" s="488"/>
      <c r="F308" s="489"/>
      <c r="G308" s="487" t="s">
        <v>3032</v>
      </c>
      <c r="H308" s="487" t="s">
        <v>3913</v>
      </c>
      <c r="I308" s="188">
        <v>45599</v>
      </c>
      <c r="J308" s="188">
        <v>45610</v>
      </c>
      <c r="K308" s="188" t="s">
        <v>39</v>
      </c>
      <c r="L308" s="520" t="s">
        <v>3437</v>
      </c>
      <c r="M308" s="490" t="s">
        <v>309</v>
      </c>
      <c r="N308" s="484">
        <v>1487.06</v>
      </c>
      <c r="O308" s="484">
        <v>10972.87</v>
      </c>
      <c r="P308" s="499"/>
      <c r="Q308" s="501">
        <v>45607</v>
      </c>
      <c r="R308" s="501">
        <v>45607</v>
      </c>
      <c r="S308" s="188" t="s">
        <v>309</v>
      </c>
      <c r="T308" s="188">
        <v>45609</v>
      </c>
      <c r="U308" s="188">
        <v>45618</v>
      </c>
      <c r="V308" s="487" t="s">
        <v>20</v>
      </c>
      <c r="W308" s="188">
        <f t="shared" si="16"/>
        <v>45631</v>
      </c>
      <c r="X308" s="524"/>
      <c r="Y308" s="509"/>
      <c r="Z308" s="524"/>
      <c r="AA308" s="524"/>
    </row>
    <row r="309" s="178" customFormat="1" ht="14.25" customHeight="1" spans="1:27">
      <c r="A309" s="487" t="s">
        <v>3910</v>
      </c>
      <c r="B309" s="487"/>
      <c r="C309" s="487" t="s">
        <v>3916</v>
      </c>
      <c r="D309" s="487" t="s">
        <v>3917</v>
      </c>
      <c r="E309" s="488"/>
      <c r="F309" s="489"/>
      <c r="G309" s="487" t="s">
        <v>3079</v>
      </c>
      <c r="H309" s="487" t="s">
        <v>3867</v>
      </c>
      <c r="I309" s="516">
        <v>45574</v>
      </c>
      <c r="J309" s="516">
        <v>45611</v>
      </c>
      <c r="K309" s="516" t="s">
        <v>215</v>
      </c>
      <c r="L309" s="500" t="s">
        <v>3086</v>
      </c>
      <c r="M309" s="528" t="s">
        <v>3918</v>
      </c>
      <c r="N309" s="539">
        <v>935.52</v>
      </c>
      <c r="O309" s="539">
        <v>8843.32</v>
      </c>
      <c r="P309" s="540"/>
      <c r="Q309" s="501">
        <v>45582</v>
      </c>
      <c r="R309" s="501">
        <v>45597</v>
      </c>
      <c r="S309" s="188" t="s">
        <v>309</v>
      </c>
      <c r="T309" s="188">
        <v>45607</v>
      </c>
      <c r="U309" s="188">
        <v>45614</v>
      </c>
      <c r="V309" s="487" t="s">
        <v>20</v>
      </c>
      <c r="W309" s="188">
        <f>J309+14</f>
        <v>45625</v>
      </c>
      <c r="X309" s="524"/>
      <c r="Y309" s="509"/>
      <c r="Z309" s="524"/>
      <c r="AA309" s="524"/>
    </row>
    <row r="310" s="178" customFormat="1" ht="14.25" customHeight="1" spans="1:27">
      <c r="A310" s="487" t="s">
        <v>3847</v>
      </c>
      <c r="B310" s="487"/>
      <c r="C310" s="487" t="s">
        <v>3919</v>
      </c>
      <c r="D310" s="487" t="s">
        <v>3920</v>
      </c>
      <c r="E310" s="488"/>
      <c r="F310" s="489"/>
      <c r="G310" s="487" t="s">
        <v>3032</v>
      </c>
      <c r="H310" s="487" t="s">
        <v>3886</v>
      </c>
      <c r="I310" s="188">
        <v>45588</v>
      </c>
      <c r="J310" s="188">
        <v>45611</v>
      </c>
      <c r="K310" s="188" t="s">
        <v>3038</v>
      </c>
      <c r="L310" s="520" t="s">
        <v>3457</v>
      </c>
      <c r="M310" s="490" t="s">
        <v>309</v>
      </c>
      <c r="N310" s="484">
        <v>1521.47</v>
      </c>
      <c r="O310" s="484">
        <v>13205.65</v>
      </c>
      <c r="P310" s="499"/>
      <c r="Q310" s="501">
        <v>45602</v>
      </c>
      <c r="R310" s="501">
        <v>45607</v>
      </c>
      <c r="S310" s="188" t="s">
        <v>309</v>
      </c>
      <c r="T310" s="188">
        <v>45608</v>
      </c>
      <c r="U310" s="188">
        <v>45616</v>
      </c>
      <c r="V310" s="487" t="s">
        <v>20</v>
      </c>
      <c r="W310" s="188">
        <f>J310+21</f>
        <v>45632</v>
      </c>
      <c r="X310" s="524"/>
      <c r="Y310" s="509"/>
      <c r="Z310" s="524"/>
      <c r="AA310" s="524"/>
    </row>
    <row r="311" s="178" customFormat="1" ht="14.25" customHeight="1" spans="1:27">
      <c r="A311" s="487" t="s">
        <v>3454</v>
      </c>
      <c r="B311" s="487"/>
      <c r="C311" s="487" t="s">
        <v>3921</v>
      </c>
      <c r="D311" s="487" t="s">
        <v>3922</v>
      </c>
      <c r="E311" s="488"/>
      <c r="F311" s="489"/>
      <c r="G311" s="487" t="s">
        <v>3032</v>
      </c>
      <c r="H311" s="487" t="s">
        <v>3886</v>
      </c>
      <c r="I311" s="188">
        <v>45588</v>
      </c>
      <c r="J311" s="188">
        <v>45611</v>
      </c>
      <c r="K311" s="188" t="s">
        <v>3038</v>
      </c>
      <c r="L311" s="520" t="s">
        <v>3457</v>
      </c>
      <c r="M311" s="490" t="s">
        <v>309</v>
      </c>
      <c r="N311" s="484">
        <v>1653.47</v>
      </c>
      <c r="O311" s="484">
        <v>9684.87</v>
      </c>
      <c r="P311" s="499"/>
      <c r="Q311" s="501">
        <v>45602</v>
      </c>
      <c r="R311" s="501">
        <v>45607</v>
      </c>
      <c r="S311" s="188" t="s">
        <v>309</v>
      </c>
      <c r="T311" s="188">
        <v>45608</v>
      </c>
      <c r="U311" s="188">
        <v>45617</v>
      </c>
      <c r="V311" s="487" t="s">
        <v>20</v>
      </c>
      <c r="W311" s="188">
        <f>J311+21</f>
        <v>45632</v>
      </c>
      <c r="X311" s="524"/>
      <c r="Y311" s="509"/>
      <c r="Z311" s="524"/>
      <c r="AA311" s="524"/>
    </row>
    <row r="312" s="178" customFormat="1" ht="14.25" customHeight="1" spans="1:27">
      <c r="A312" s="527" t="s">
        <v>3923</v>
      </c>
      <c r="B312" s="527"/>
      <c r="C312" s="532">
        <v>712410771226</v>
      </c>
      <c r="D312" s="527" t="s">
        <v>3924</v>
      </c>
      <c r="E312" s="488"/>
      <c r="F312" s="489"/>
      <c r="G312" s="527" t="s">
        <v>3032</v>
      </c>
      <c r="H312" s="527" t="s">
        <v>3886</v>
      </c>
      <c r="I312" s="215">
        <v>45588</v>
      </c>
      <c r="J312" s="215">
        <v>45611</v>
      </c>
      <c r="K312" s="527" t="s">
        <v>3038</v>
      </c>
      <c r="L312" s="542" t="s">
        <v>3457</v>
      </c>
      <c r="M312" s="543" t="s">
        <v>309</v>
      </c>
      <c r="N312" s="484">
        <v>1521.47</v>
      </c>
      <c r="O312" s="484">
        <v>10263.31</v>
      </c>
      <c r="P312" s="499"/>
      <c r="Q312" s="548">
        <v>45602</v>
      </c>
      <c r="R312" s="548">
        <v>45607</v>
      </c>
      <c r="S312" s="527" t="s">
        <v>309</v>
      </c>
      <c r="T312" s="215">
        <v>45608</v>
      </c>
      <c r="U312" s="215">
        <v>45617</v>
      </c>
      <c r="V312" s="527" t="s">
        <v>20</v>
      </c>
      <c r="W312" s="215">
        <v>45632</v>
      </c>
      <c r="X312" s="524"/>
      <c r="Y312" s="509"/>
      <c r="Z312" s="524"/>
      <c r="AA312" s="524"/>
    </row>
    <row r="313" s="178" customFormat="1" ht="13.5" customHeight="1" spans="1:27">
      <c r="A313" s="487" t="s">
        <v>3847</v>
      </c>
      <c r="B313" s="487"/>
      <c r="C313" s="487" t="s">
        <v>3925</v>
      </c>
      <c r="D313" s="487" t="s">
        <v>3926</v>
      </c>
      <c r="E313" s="488"/>
      <c r="F313" s="489"/>
      <c r="G313" s="487" t="s">
        <v>3032</v>
      </c>
      <c r="H313" s="487" t="s">
        <v>3886</v>
      </c>
      <c r="I313" s="188">
        <v>45588</v>
      </c>
      <c r="J313" s="188">
        <v>45611</v>
      </c>
      <c r="K313" s="188" t="s">
        <v>3038</v>
      </c>
      <c r="L313" s="520" t="s">
        <v>3457</v>
      </c>
      <c r="M313" s="490" t="s">
        <v>309</v>
      </c>
      <c r="N313" s="484">
        <v>1653.47</v>
      </c>
      <c r="O313" s="484">
        <v>13499.42</v>
      </c>
      <c r="P313" s="499"/>
      <c r="Q313" s="501">
        <v>45600</v>
      </c>
      <c r="R313" s="501">
        <v>45607</v>
      </c>
      <c r="S313" s="188" t="s">
        <v>309</v>
      </c>
      <c r="T313" s="188">
        <v>45608</v>
      </c>
      <c r="U313" s="487" t="s">
        <v>3927</v>
      </c>
      <c r="V313" s="487" t="s">
        <v>20</v>
      </c>
      <c r="W313" s="188">
        <f t="shared" ref="W313:W325" si="17">J313+21</f>
        <v>45632</v>
      </c>
      <c r="X313" s="524"/>
      <c r="Y313" s="509"/>
      <c r="Z313" s="524"/>
      <c r="AA313" s="524"/>
    </row>
    <row r="314" s="178" customFormat="1" ht="14.25" customHeight="1" spans="1:27">
      <c r="A314" s="487" t="s">
        <v>3847</v>
      </c>
      <c r="B314" s="487"/>
      <c r="C314" s="487" t="s">
        <v>3928</v>
      </c>
      <c r="D314" s="487" t="s">
        <v>3929</v>
      </c>
      <c r="E314" s="488"/>
      <c r="F314" s="533"/>
      <c r="G314" s="487" t="s">
        <v>3032</v>
      </c>
      <c r="H314" s="487" t="s">
        <v>3886</v>
      </c>
      <c r="I314" s="188">
        <v>45588</v>
      </c>
      <c r="J314" s="188">
        <v>45611</v>
      </c>
      <c r="K314" s="188" t="s">
        <v>3038</v>
      </c>
      <c r="L314" s="520" t="s">
        <v>3598</v>
      </c>
      <c r="M314" s="490" t="s">
        <v>309</v>
      </c>
      <c r="N314" s="484">
        <v>1561.72</v>
      </c>
      <c r="O314" s="484">
        <v>13407.87</v>
      </c>
      <c r="P314" s="499"/>
      <c r="Q314" s="501">
        <v>45600</v>
      </c>
      <c r="R314" s="501">
        <v>45607</v>
      </c>
      <c r="S314" s="188" t="s">
        <v>309</v>
      </c>
      <c r="T314" s="188">
        <v>45608</v>
      </c>
      <c r="U314" s="188">
        <v>45617</v>
      </c>
      <c r="V314" s="487" t="s">
        <v>20</v>
      </c>
      <c r="W314" s="188">
        <f t="shared" si="17"/>
        <v>45632</v>
      </c>
      <c r="X314" s="524"/>
      <c r="Y314" s="509"/>
      <c r="Z314" s="524"/>
      <c r="AA314" s="524"/>
    </row>
    <row r="315" s="178" customFormat="1" ht="14.25" customHeight="1" spans="1:27">
      <c r="A315" s="487" t="s">
        <v>3847</v>
      </c>
      <c r="B315" s="487"/>
      <c r="C315" s="487" t="s">
        <v>3930</v>
      </c>
      <c r="D315" s="487" t="s">
        <v>3931</v>
      </c>
      <c r="E315" s="488"/>
      <c r="F315" s="489"/>
      <c r="G315" s="487" t="s">
        <v>3032</v>
      </c>
      <c r="H315" s="487" t="s">
        <v>3886</v>
      </c>
      <c r="I315" s="188">
        <v>45588</v>
      </c>
      <c r="J315" s="188">
        <v>45611</v>
      </c>
      <c r="K315" s="188" t="s">
        <v>3038</v>
      </c>
      <c r="L315" s="520" t="s">
        <v>3324</v>
      </c>
      <c r="M315" s="490" t="s">
        <v>309</v>
      </c>
      <c r="N315" s="484">
        <v>1508.96</v>
      </c>
      <c r="O315" s="484">
        <v>13032.18</v>
      </c>
      <c r="P315" s="499"/>
      <c r="Q315" s="501">
        <v>45600</v>
      </c>
      <c r="R315" s="501">
        <v>45607</v>
      </c>
      <c r="S315" s="188" t="s">
        <v>309</v>
      </c>
      <c r="T315" s="188">
        <v>45608</v>
      </c>
      <c r="U315" s="487" t="s">
        <v>3927</v>
      </c>
      <c r="V315" s="487" t="s">
        <v>20</v>
      </c>
      <c r="W315" s="188">
        <f t="shared" si="17"/>
        <v>45632</v>
      </c>
      <c r="X315" s="524" t="s">
        <v>3932</v>
      </c>
      <c r="Y315" s="509"/>
      <c r="Z315" s="524"/>
      <c r="AA315" s="524"/>
    </row>
    <row r="316" s="178" customFormat="1" ht="14.25" customHeight="1" spans="1:27">
      <c r="A316" s="487" t="s">
        <v>3847</v>
      </c>
      <c r="B316" s="487"/>
      <c r="C316" s="487" t="s">
        <v>3933</v>
      </c>
      <c r="D316" s="487" t="s">
        <v>3934</v>
      </c>
      <c r="E316" s="488"/>
      <c r="F316" s="489"/>
      <c r="G316" s="487" t="s">
        <v>3032</v>
      </c>
      <c r="H316" s="487" t="s">
        <v>3886</v>
      </c>
      <c r="I316" s="188">
        <v>45588</v>
      </c>
      <c r="J316" s="188">
        <v>45611</v>
      </c>
      <c r="K316" s="188" t="s">
        <v>3038</v>
      </c>
      <c r="L316" s="520" t="s">
        <v>3457</v>
      </c>
      <c r="M316" s="490" t="s">
        <v>309</v>
      </c>
      <c r="N316" s="484">
        <v>1653.47</v>
      </c>
      <c r="O316" s="484">
        <v>13548.99</v>
      </c>
      <c r="P316" s="499"/>
      <c r="Q316" s="501">
        <v>45602</v>
      </c>
      <c r="R316" s="501">
        <v>45607</v>
      </c>
      <c r="S316" s="188" t="s">
        <v>309</v>
      </c>
      <c r="T316" s="188">
        <v>45608</v>
      </c>
      <c r="U316" s="188">
        <v>45617</v>
      </c>
      <c r="V316" s="487" t="s">
        <v>20</v>
      </c>
      <c r="W316" s="188">
        <f t="shared" si="17"/>
        <v>45632</v>
      </c>
      <c r="X316" s="524"/>
      <c r="Y316" s="509"/>
      <c r="Z316" s="524"/>
      <c r="AA316" s="524"/>
    </row>
    <row r="317" s="178" customFormat="1" ht="14.25" customHeight="1" spans="1:27">
      <c r="A317" s="487" t="s">
        <v>3847</v>
      </c>
      <c r="B317" s="487"/>
      <c r="C317" s="487" t="s">
        <v>3935</v>
      </c>
      <c r="D317" s="487" t="s">
        <v>3936</v>
      </c>
      <c r="E317" s="488"/>
      <c r="F317" s="489"/>
      <c r="G317" s="487" t="s">
        <v>3032</v>
      </c>
      <c r="H317" s="487"/>
      <c r="I317" s="188">
        <v>45588</v>
      </c>
      <c r="J317" s="188">
        <v>45611</v>
      </c>
      <c r="K317" s="188" t="s">
        <v>3038</v>
      </c>
      <c r="L317" s="520" t="s">
        <v>3324</v>
      </c>
      <c r="M317" s="490" t="s">
        <v>309</v>
      </c>
      <c r="N317" s="484">
        <v>1511.14</v>
      </c>
      <c r="O317" s="484">
        <v>13032.18</v>
      </c>
      <c r="P317" s="499"/>
      <c r="Q317" s="501">
        <v>45602</v>
      </c>
      <c r="R317" s="501">
        <v>45607</v>
      </c>
      <c r="S317" s="188" t="s">
        <v>309</v>
      </c>
      <c r="T317" s="188">
        <v>45608</v>
      </c>
      <c r="U317" s="188">
        <v>45617</v>
      </c>
      <c r="V317" s="487" t="s">
        <v>20</v>
      </c>
      <c r="W317" s="188">
        <f t="shared" si="17"/>
        <v>45632</v>
      </c>
      <c r="X317" s="524" t="s">
        <v>3932</v>
      </c>
      <c r="Y317" s="509"/>
      <c r="Z317" s="524"/>
      <c r="AA317" s="524"/>
    </row>
    <row r="318" s="178" customFormat="1" ht="14.25" customHeight="1" spans="1:27">
      <c r="A318" s="487" t="s">
        <v>3847</v>
      </c>
      <c r="B318" s="487"/>
      <c r="C318" s="487" t="s">
        <v>3937</v>
      </c>
      <c r="D318" s="487" t="s">
        <v>3938</v>
      </c>
      <c r="E318" s="488"/>
      <c r="F318" s="489"/>
      <c r="G318" s="489" t="s">
        <v>3032</v>
      </c>
      <c r="H318" s="487" t="s">
        <v>3886</v>
      </c>
      <c r="I318" s="188">
        <v>45588</v>
      </c>
      <c r="J318" s="188">
        <v>45611</v>
      </c>
      <c r="K318" s="188" t="s">
        <v>3038</v>
      </c>
      <c r="L318" s="520" t="s">
        <v>3939</v>
      </c>
      <c r="M318" s="490" t="s">
        <v>309</v>
      </c>
      <c r="N318" s="484">
        <v>1538.66</v>
      </c>
      <c r="O318" s="484">
        <v>12943.36</v>
      </c>
      <c r="P318" s="499"/>
      <c r="Q318" s="501">
        <v>45602</v>
      </c>
      <c r="R318" s="501">
        <v>45607</v>
      </c>
      <c r="S318" s="188" t="s">
        <v>309</v>
      </c>
      <c r="T318" s="188">
        <v>45608</v>
      </c>
      <c r="U318" s="188">
        <v>45618</v>
      </c>
      <c r="V318" s="487" t="s">
        <v>20</v>
      </c>
      <c r="W318" s="188">
        <f t="shared" si="17"/>
        <v>45632</v>
      </c>
      <c r="X318" s="524" t="s">
        <v>3940</v>
      </c>
      <c r="Y318" s="509"/>
      <c r="Z318" s="524"/>
      <c r="AA318" s="524"/>
    </row>
    <row r="319" s="178" customFormat="1" ht="14.25" customHeight="1" spans="1:27">
      <c r="A319" s="487" t="s">
        <v>3847</v>
      </c>
      <c r="B319" s="487"/>
      <c r="C319" s="487" t="s">
        <v>3941</v>
      </c>
      <c r="D319" s="487" t="s">
        <v>3942</v>
      </c>
      <c r="E319" s="488"/>
      <c r="F319" s="489"/>
      <c r="G319" s="489" t="s">
        <v>3032</v>
      </c>
      <c r="H319" s="487" t="s">
        <v>3886</v>
      </c>
      <c r="I319" s="188">
        <v>45588</v>
      </c>
      <c r="J319" s="188">
        <v>45611</v>
      </c>
      <c r="K319" s="188" t="s">
        <v>3038</v>
      </c>
      <c r="L319" s="520" t="s">
        <v>3897</v>
      </c>
      <c r="M319" s="490" t="s">
        <v>309</v>
      </c>
      <c r="N319" s="484">
        <v>1531.26</v>
      </c>
      <c r="O319" s="484">
        <v>12340.54</v>
      </c>
      <c r="P319" s="499"/>
      <c r="Q319" s="501">
        <v>45600</v>
      </c>
      <c r="R319" s="501">
        <v>45607</v>
      </c>
      <c r="S319" s="188" t="s">
        <v>309</v>
      </c>
      <c r="T319" s="188">
        <v>45608</v>
      </c>
      <c r="U319" s="487" t="s">
        <v>3943</v>
      </c>
      <c r="V319" s="487" t="s">
        <v>20</v>
      </c>
      <c r="W319" s="188">
        <f t="shared" si="17"/>
        <v>45632</v>
      </c>
      <c r="X319" s="524"/>
      <c r="Y319" s="509"/>
      <c r="Z319" s="524"/>
      <c r="AA319" s="524"/>
    </row>
    <row r="320" s="178" customFormat="1" ht="14.25" customHeight="1" spans="1:27">
      <c r="A320" s="487" t="s">
        <v>3847</v>
      </c>
      <c r="B320" s="487"/>
      <c r="C320" s="487" t="s">
        <v>3944</v>
      </c>
      <c r="D320" s="487" t="s">
        <v>3945</v>
      </c>
      <c r="E320" s="488"/>
      <c r="F320" s="489"/>
      <c r="G320" s="489" t="s">
        <v>3032</v>
      </c>
      <c r="H320" s="487" t="s">
        <v>3886</v>
      </c>
      <c r="I320" s="188">
        <v>45588</v>
      </c>
      <c r="J320" s="188">
        <v>45611</v>
      </c>
      <c r="K320" s="188" t="s">
        <v>3038</v>
      </c>
      <c r="L320" s="520" t="s">
        <v>3946</v>
      </c>
      <c r="M320" s="490"/>
      <c r="N320" s="484">
        <v>1511.14</v>
      </c>
      <c r="O320" s="484">
        <v>13640.55</v>
      </c>
      <c r="P320" s="499"/>
      <c r="Q320" s="501">
        <v>45602</v>
      </c>
      <c r="R320" s="501">
        <v>45607</v>
      </c>
      <c r="S320" s="188" t="s">
        <v>309</v>
      </c>
      <c r="T320" s="188">
        <v>45608</v>
      </c>
      <c r="U320" s="188">
        <v>45618</v>
      </c>
      <c r="V320" s="487" t="s">
        <v>20</v>
      </c>
      <c r="W320" s="188">
        <f t="shared" si="17"/>
        <v>45632</v>
      </c>
      <c r="X320" s="524" t="s">
        <v>3947</v>
      </c>
      <c r="Y320" s="509"/>
      <c r="Z320" s="524"/>
      <c r="AA320" s="524"/>
    </row>
    <row r="321" s="178" customFormat="1" ht="14.25" customHeight="1" spans="1:27">
      <c r="A321" s="487" t="s">
        <v>3842</v>
      </c>
      <c r="B321" s="487"/>
      <c r="C321" s="487" t="s">
        <v>3948</v>
      </c>
      <c r="D321" s="487" t="s">
        <v>3949</v>
      </c>
      <c r="E321" s="488"/>
      <c r="F321" s="489"/>
      <c r="G321" s="489" t="s">
        <v>3032</v>
      </c>
      <c r="H321" s="487" t="s">
        <v>3913</v>
      </c>
      <c r="I321" s="188">
        <v>45599</v>
      </c>
      <c r="J321" s="188">
        <v>45613</v>
      </c>
      <c r="K321" s="188" t="s">
        <v>161</v>
      </c>
      <c r="L321" s="520" t="s">
        <v>3500</v>
      </c>
      <c r="M321" s="490" t="s">
        <v>3950</v>
      </c>
      <c r="N321" s="484">
        <v>1791.6</v>
      </c>
      <c r="O321" s="484">
        <v>9791.52</v>
      </c>
      <c r="P321" s="499"/>
      <c r="Q321" s="501">
        <v>45607</v>
      </c>
      <c r="R321" s="501">
        <v>45609</v>
      </c>
      <c r="S321" s="188" t="s">
        <v>309</v>
      </c>
      <c r="T321" s="188">
        <v>45610</v>
      </c>
      <c r="U321" s="188">
        <v>45617</v>
      </c>
      <c r="V321" s="487" t="s">
        <v>20</v>
      </c>
      <c r="W321" s="188">
        <f t="shared" si="17"/>
        <v>45634</v>
      </c>
      <c r="X321" s="524"/>
      <c r="Y321" s="509"/>
      <c r="Z321" s="524"/>
      <c r="AA321" s="524"/>
    </row>
    <row r="322" s="178" customFormat="1" ht="14.25" customHeight="1" spans="1:27">
      <c r="A322" s="487" t="s">
        <v>142</v>
      </c>
      <c r="B322" s="487"/>
      <c r="C322" s="487" t="s">
        <v>3951</v>
      </c>
      <c r="D322" s="487" t="s">
        <v>3757</v>
      </c>
      <c r="E322" s="488"/>
      <c r="F322" s="489"/>
      <c r="G322" s="489" t="s">
        <v>3032</v>
      </c>
      <c r="H322" s="487" t="s">
        <v>3913</v>
      </c>
      <c r="I322" s="188">
        <v>45599</v>
      </c>
      <c r="J322" s="188">
        <v>45617</v>
      </c>
      <c r="K322" s="188" t="s">
        <v>3038</v>
      </c>
      <c r="L322" s="520" t="s">
        <v>3457</v>
      </c>
      <c r="M322" s="490" t="s">
        <v>309</v>
      </c>
      <c r="N322" s="506">
        <v>1683.17</v>
      </c>
      <c r="O322" s="506">
        <v>11451.15</v>
      </c>
      <c r="P322" s="499">
        <v>495</v>
      </c>
      <c r="Q322" s="501">
        <v>45607</v>
      </c>
      <c r="R322" s="501">
        <v>45615</v>
      </c>
      <c r="S322" s="188" t="s">
        <v>309</v>
      </c>
      <c r="T322" s="188">
        <v>45616</v>
      </c>
      <c r="U322" s="188">
        <v>45622</v>
      </c>
      <c r="V322" s="495" t="s">
        <v>20</v>
      </c>
      <c r="W322" s="188">
        <f t="shared" si="17"/>
        <v>45638</v>
      </c>
      <c r="X322" s="524"/>
      <c r="Y322" s="509"/>
      <c r="Z322" s="524"/>
      <c r="AA322" s="524"/>
    </row>
    <row r="323" s="178" customFormat="1" ht="14.25" customHeight="1" spans="1:27">
      <c r="A323" s="487" t="s">
        <v>3910</v>
      </c>
      <c r="B323" s="487"/>
      <c r="C323" s="487" t="s">
        <v>3952</v>
      </c>
      <c r="D323" s="487" t="s">
        <v>3953</v>
      </c>
      <c r="E323" s="488"/>
      <c r="F323" s="489"/>
      <c r="G323" s="489" t="s">
        <v>3032</v>
      </c>
      <c r="H323" s="487" t="s">
        <v>3913</v>
      </c>
      <c r="I323" s="188">
        <v>45599</v>
      </c>
      <c r="J323" s="188">
        <v>45617</v>
      </c>
      <c r="K323" s="188" t="s">
        <v>3038</v>
      </c>
      <c r="L323" s="520" t="s">
        <v>3457</v>
      </c>
      <c r="M323" s="490" t="s">
        <v>309</v>
      </c>
      <c r="N323" s="506">
        <v>1551.17</v>
      </c>
      <c r="O323" s="506">
        <v>10816.22</v>
      </c>
      <c r="P323" s="499">
        <v>495</v>
      </c>
      <c r="Q323" s="501">
        <v>45602</v>
      </c>
      <c r="R323" s="501">
        <v>45615</v>
      </c>
      <c r="S323" s="188" t="s">
        <v>309</v>
      </c>
      <c r="T323" s="188">
        <v>45616</v>
      </c>
      <c r="U323" s="188">
        <v>45623</v>
      </c>
      <c r="V323" s="495" t="s">
        <v>20</v>
      </c>
      <c r="W323" s="188">
        <f t="shared" si="17"/>
        <v>45638</v>
      </c>
      <c r="X323" s="524"/>
      <c r="Y323" s="509"/>
      <c r="Z323" s="524"/>
      <c r="AA323" s="524"/>
    </row>
    <row r="324" s="178" customFormat="1" ht="14.25" customHeight="1" spans="1:27">
      <c r="A324" s="487" t="s">
        <v>3842</v>
      </c>
      <c r="B324" s="487"/>
      <c r="C324" s="487" t="s">
        <v>3954</v>
      </c>
      <c r="D324" s="487" t="s">
        <v>3955</v>
      </c>
      <c r="E324" s="488"/>
      <c r="F324" s="489"/>
      <c r="G324" s="489" t="s">
        <v>3032</v>
      </c>
      <c r="H324" s="487" t="s">
        <v>3913</v>
      </c>
      <c r="I324" s="188">
        <v>45599</v>
      </c>
      <c r="J324" s="188">
        <v>45617</v>
      </c>
      <c r="K324" s="188" t="s">
        <v>3038</v>
      </c>
      <c r="L324" s="520" t="s">
        <v>3457</v>
      </c>
      <c r="M324" s="490" t="s">
        <v>3956</v>
      </c>
      <c r="N324" s="506">
        <v>1551.17</v>
      </c>
      <c r="O324" s="506">
        <v>9782.14</v>
      </c>
      <c r="P324" s="499">
        <v>495</v>
      </c>
      <c r="Q324" s="501">
        <v>45607</v>
      </c>
      <c r="R324" s="501">
        <v>45615</v>
      </c>
      <c r="S324" s="188" t="s">
        <v>309</v>
      </c>
      <c r="T324" s="188">
        <v>45616</v>
      </c>
      <c r="U324" s="188">
        <v>45624</v>
      </c>
      <c r="V324" s="495" t="s">
        <v>20</v>
      </c>
      <c r="W324" s="188">
        <f t="shared" si="17"/>
        <v>45638</v>
      </c>
      <c r="X324" s="524" t="s">
        <v>3957</v>
      </c>
      <c r="Y324" s="509"/>
      <c r="Z324" s="524"/>
      <c r="AA324" s="524"/>
    </row>
    <row r="325" s="178" customFormat="1" ht="14.25" customHeight="1" spans="1:27">
      <c r="A325" s="487" t="s">
        <v>3958</v>
      </c>
      <c r="B325" s="487"/>
      <c r="C325" s="487" t="s">
        <v>3959</v>
      </c>
      <c r="D325" s="487" t="s">
        <v>3960</v>
      </c>
      <c r="E325" s="488"/>
      <c r="F325" s="489"/>
      <c r="G325" s="489" t="s">
        <v>3032</v>
      </c>
      <c r="H325" s="487" t="s">
        <v>3913</v>
      </c>
      <c r="I325" s="188">
        <v>45599</v>
      </c>
      <c r="J325" s="188">
        <v>45617</v>
      </c>
      <c r="K325" s="188" t="s">
        <v>3038</v>
      </c>
      <c r="L325" s="520" t="s">
        <v>3457</v>
      </c>
      <c r="M325" s="490" t="s">
        <v>309</v>
      </c>
      <c r="N325" s="506">
        <v>1551.17</v>
      </c>
      <c r="O325" s="506">
        <v>10015.68</v>
      </c>
      <c r="P325" s="499">
        <v>495</v>
      </c>
      <c r="Q325" s="501">
        <v>45607</v>
      </c>
      <c r="R325" s="501">
        <v>45615</v>
      </c>
      <c r="S325" s="188" t="s">
        <v>309</v>
      </c>
      <c r="T325" s="188">
        <v>45616</v>
      </c>
      <c r="U325" s="188">
        <v>45622</v>
      </c>
      <c r="V325" s="495" t="s">
        <v>20</v>
      </c>
      <c r="W325" s="188">
        <f t="shared" si="17"/>
        <v>45638</v>
      </c>
      <c r="X325" s="524"/>
      <c r="Y325" s="509"/>
      <c r="Z325" s="524"/>
      <c r="AA325" s="524"/>
    </row>
    <row r="326" s="178" customFormat="1" ht="14.25" customHeight="1" spans="1:27">
      <c r="A326" s="487" t="s">
        <v>3285</v>
      </c>
      <c r="B326" s="487"/>
      <c r="C326" s="487" t="s">
        <v>3961</v>
      </c>
      <c r="D326" s="487" t="s">
        <v>3962</v>
      </c>
      <c r="E326" s="488" t="s">
        <v>309</v>
      </c>
      <c r="F326" s="489" t="s">
        <v>309</v>
      </c>
      <c r="G326" s="489" t="s">
        <v>3032</v>
      </c>
      <c r="H326" s="487" t="s">
        <v>3963</v>
      </c>
      <c r="I326" s="188">
        <v>45591</v>
      </c>
      <c r="J326" s="188">
        <v>45622</v>
      </c>
      <c r="K326" s="188" t="s">
        <v>3038</v>
      </c>
      <c r="L326" s="500" t="s">
        <v>309</v>
      </c>
      <c r="M326" s="490" t="s">
        <v>3964</v>
      </c>
      <c r="N326" s="484"/>
      <c r="O326" s="484"/>
      <c r="P326" s="499"/>
      <c r="Q326" s="490" t="s">
        <v>3965</v>
      </c>
      <c r="R326" s="501" t="s">
        <v>309</v>
      </c>
      <c r="S326" s="188" t="s">
        <v>309</v>
      </c>
      <c r="T326" s="188" t="s">
        <v>309</v>
      </c>
      <c r="U326" s="188" t="s">
        <v>309</v>
      </c>
      <c r="V326" s="495" t="s">
        <v>309</v>
      </c>
      <c r="W326" s="188">
        <f>J326+14</f>
        <v>45636</v>
      </c>
      <c r="X326" s="524"/>
      <c r="Y326" s="509"/>
      <c r="Z326" s="524"/>
      <c r="AA326" s="524"/>
    </row>
    <row r="327" s="178" customFormat="1" ht="14.25" customHeight="1" spans="1:27">
      <c r="A327" s="487" t="s">
        <v>3285</v>
      </c>
      <c r="B327" s="487"/>
      <c r="C327" s="487" t="s">
        <v>3961</v>
      </c>
      <c r="D327" s="487" t="s">
        <v>3966</v>
      </c>
      <c r="E327" s="488" t="s">
        <v>309</v>
      </c>
      <c r="F327" s="489" t="s">
        <v>309</v>
      </c>
      <c r="G327" s="489" t="s">
        <v>3032</v>
      </c>
      <c r="H327" s="487" t="s">
        <v>3963</v>
      </c>
      <c r="I327" s="188">
        <v>45591</v>
      </c>
      <c r="J327" s="188">
        <v>45622</v>
      </c>
      <c r="K327" s="188" t="s">
        <v>3038</v>
      </c>
      <c r="L327" s="500" t="s">
        <v>309</v>
      </c>
      <c r="M327" s="490" t="s">
        <v>3967</v>
      </c>
      <c r="N327" s="484"/>
      <c r="O327" s="484"/>
      <c r="P327" s="499"/>
      <c r="Q327" s="490" t="s">
        <v>3965</v>
      </c>
      <c r="R327" s="501" t="s">
        <v>309</v>
      </c>
      <c r="S327" s="188" t="s">
        <v>309</v>
      </c>
      <c r="T327" s="188" t="s">
        <v>309</v>
      </c>
      <c r="U327" s="188" t="s">
        <v>309</v>
      </c>
      <c r="V327" s="495" t="s">
        <v>309</v>
      </c>
      <c r="W327" s="188">
        <f>J327+14</f>
        <v>45636</v>
      </c>
      <c r="X327" s="524"/>
      <c r="Y327" s="509"/>
      <c r="Z327" s="524"/>
      <c r="AA327" s="524"/>
    </row>
    <row r="328" s="178" customFormat="1" ht="14.25" customHeight="1" spans="1:27">
      <c r="A328" s="487" t="s">
        <v>3285</v>
      </c>
      <c r="B328" s="487"/>
      <c r="C328" s="487" t="s">
        <v>3961</v>
      </c>
      <c r="D328" s="487" t="s">
        <v>3968</v>
      </c>
      <c r="E328" s="488" t="s">
        <v>309</v>
      </c>
      <c r="F328" s="489" t="s">
        <v>309</v>
      </c>
      <c r="G328" s="489" t="s">
        <v>3032</v>
      </c>
      <c r="H328" s="487" t="s">
        <v>3963</v>
      </c>
      <c r="I328" s="188">
        <v>45591</v>
      </c>
      <c r="J328" s="188">
        <v>45622</v>
      </c>
      <c r="K328" s="188" t="s">
        <v>3038</v>
      </c>
      <c r="L328" s="500" t="s">
        <v>309</v>
      </c>
      <c r="M328" s="490" t="s">
        <v>3969</v>
      </c>
      <c r="N328" s="484"/>
      <c r="O328" s="484"/>
      <c r="P328" s="499"/>
      <c r="Q328" s="490" t="s">
        <v>3965</v>
      </c>
      <c r="R328" s="501" t="s">
        <v>309</v>
      </c>
      <c r="S328" s="188" t="s">
        <v>309</v>
      </c>
      <c r="T328" s="188" t="s">
        <v>309</v>
      </c>
      <c r="U328" s="188" t="s">
        <v>309</v>
      </c>
      <c r="V328" s="495" t="s">
        <v>309</v>
      </c>
      <c r="W328" s="188">
        <f>J328+14</f>
        <v>45636</v>
      </c>
      <c r="X328" s="524"/>
      <c r="Y328" s="509"/>
      <c r="Z328" s="524"/>
      <c r="AA328" s="524"/>
    </row>
    <row r="329" s="178" customFormat="1" ht="14.25" customHeight="1" spans="1:27">
      <c r="A329" s="487" t="s">
        <v>3285</v>
      </c>
      <c r="B329" s="487"/>
      <c r="C329" s="487" t="s">
        <v>3961</v>
      </c>
      <c r="D329" s="487" t="s">
        <v>3970</v>
      </c>
      <c r="E329" s="488" t="s">
        <v>309</v>
      </c>
      <c r="F329" s="489" t="s">
        <v>309</v>
      </c>
      <c r="G329" s="489" t="s">
        <v>3032</v>
      </c>
      <c r="H329" s="487" t="s">
        <v>3963</v>
      </c>
      <c r="I329" s="188">
        <v>45591</v>
      </c>
      <c r="J329" s="188">
        <v>45622</v>
      </c>
      <c r="K329" s="188" t="s">
        <v>3038</v>
      </c>
      <c r="L329" s="500" t="s">
        <v>309</v>
      </c>
      <c r="M329" s="490" t="s">
        <v>3971</v>
      </c>
      <c r="N329" s="484"/>
      <c r="O329" s="484"/>
      <c r="P329" s="499"/>
      <c r="Q329" s="490" t="s">
        <v>3965</v>
      </c>
      <c r="R329" s="501" t="s">
        <v>309</v>
      </c>
      <c r="S329" s="188" t="s">
        <v>309</v>
      </c>
      <c r="T329" s="188" t="s">
        <v>309</v>
      </c>
      <c r="U329" s="188" t="s">
        <v>309</v>
      </c>
      <c r="V329" s="495" t="s">
        <v>309</v>
      </c>
      <c r="W329" s="188">
        <f>J329+14</f>
        <v>45636</v>
      </c>
      <c r="X329" s="524"/>
      <c r="Y329" s="509"/>
      <c r="Z329" s="524"/>
      <c r="AA329" s="524"/>
    </row>
    <row r="330" s="473" customFormat="1" ht="14.25" customHeight="1" spans="1:27">
      <c r="A330" s="489" t="s">
        <v>3972</v>
      </c>
      <c r="B330" s="489"/>
      <c r="C330" s="489" t="s">
        <v>3973</v>
      </c>
      <c r="D330" s="489" t="s">
        <v>3974</v>
      </c>
      <c r="E330" s="488"/>
      <c r="F330" s="489"/>
      <c r="G330" s="489" t="s">
        <v>3032</v>
      </c>
      <c r="H330" s="489" t="s">
        <v>3975</v>
      </c>
      <c r="I330" s="195">
        <v>45609</v>
      </c>
      <c r="J330" s="195">
        <v>45622</v>
      </c>
      <c r="K330" s="489" t="s">
        <v>39</v>
      </c>
      <c r="L330" s="523" t="s">
        <v>3504</v>
      </c>
      <c r="M330" s="492" t="s">
        <v>3976</v>
      </c>
      <c r="N330" s="484">
        <v>1481.1</v>
      </c>
      <c r="O330" s="484">
        <v>9885.35</v>
      </c>
      <c r="P330" s="499"/>
      <c r="Q330" s="545">
        <v>45616</v>
      </c>
      <c r="R330" s="545">
        <v>45616</v>
      </c>
      <c r="S330" s="195" t="s">
        <v>309</v>
      </c>
      <c r="T330" s="195">
        <v>45618</v>
      </c>
      <c r="U330" s="195">
        <v>45628</v>
      </c>
      <c r="V330" s="546" t="s">
        <v>20</v>
      </c>
      <c r="W330" s="195">
        <f t="shared" ref="W330:W335" si="18">J330+21</f>
        <v>45643</v>
      </c>
      <c r="X330" s="547"/>
      <c r="Y330" s="549"/>
      <c r="Z330" s="547"/>
      <c r="AA330" s="547"/>
    </row>
    <row r="331" s="473" customFormat="1" ht="15.75" customHeight="1" spans="1:27">
      <c r="A331" s="489" t="s">
        <v>3972</v>
      </c>
      <c r="B331" s="489"/>
      <c r="C331" s="489" t="s">
        <v>3977</v>
      </c>
      <c r="D331" s="489" t="s">
        <v>3978</v>
      </c>
      <c r="E331" s="488">
        <v>3200</v>
      </c>
      <c r="F331" s="489" t="s">
        <v>3979</v>
      </c>
      <c r="G331" s="492" t="s">
        <v>3146</v>
      </c>
      <c r="H331" s="489" t="s">
        <v>3980</v>
      </c>
      <c r="I331" s="195">
        <v>45595</v>
      </c>
      <c r="J331" s="195">
        <v>45628</v>
      </c>
      <c r="K331" s="195" t="s">
        <v>3038</v>
      </c>
      <c r="L331" s="559" t="s">
        <v>3457</v>
      </c>
      <c r="M331" s="492" t="s">
        <v>3981</v>
      </c>
      <c r="N331" s="484">
        <v>1550.02</v>
      </c>
      <c r="O331" s="506">
        <v>9386.43</v>
      </c>
      <c r="P331" s="499">
        <v>495</v>
      </c>
      <c r="Q331" s="545">
        <v>45602</v>
      </c>
      <c r="R331" s="562">
        <v>45629</v>
      </c>
      <c r="S331" s="195" t="s">
        <v>309</v>
      </c>
      <c r="T331" s="195">
        <v>45630</v>
      </c>
      <c r="U331" s="234">
        <v>45639</v>
      </c>
      <c r="V331" s="546" t="s">
        <v>20</v>
      </c>
      <c r="W331" s="195">
        <f t="shared" si="18"/>
        <v>45649</v>
      </c>
      <c r="X331" s="563" t="s">
        <v>3982</v>
      </c>
      <c r="Y331" s="549"/>
      <c r="Z331" s="547"/>
      <c r="AA331" s="547"/>
    </row>
    <row r="332" s="473" customFormat="1" ht="14.25" customHeight="1" spans="1:27">
      <c r="A332" s="489" t="s">
        <v>3972</v>
      </c>
      <c r="B332" s="489"/>
      <c r="C332" s="489" t="s">
        <v>3983</v>
      </c>
      <c r="D332" s="494" t="s">
        <v>3984</v>
      </c>
      <c r="E332" s="488"/>
      <c r="F332" s="489"/>
      <c r="G332" s="489" t="s">
        <v>3032</v>
      </c>
      <c r="H332" s="489" t="s">
        <v>3975</v>
      </c>
      <c r="I332" s="195">
        <v>45609</v>
      </c>
      <c r="J332" s="195">
        <v>45630</v>
      </c>
      <c r="K332" s="195" t="s">
        <v>3038</v>
      </c>
      <c r="L332" s="520" t="s">
        <v>3452</v>
      </c>
      <c r="M332" s="492" t="s">
        <v>3985</v>
      </c>
      <c r="N332" s="484">
        <v>1552.96</v>
      </c>
      <c r="O332" s="484">
        <v>9775.97</v>
      </c>
      <c r="P332" s="499"/>
      <c r="Q332" s="545">
        <v>45616</v>
      </c>
      <c r="R332" s="545">
        <v>45625</v>
      </c>
      <c r="S332" s="195" t="s">
        <v>309</v>
      </c>
      <c r="T332" s="234">
        <v>45628</v>
      </c>
      <c r="U332" s="234">
        <v>45638</v>
      </c>
      <c r="V332" s="546" t="s">
        <v>20</v>
      </c>
      <c r="W332" s="195">
        <f t="shared" si="18"/>
        <v>45651</v>
      </c>
      <c r="X332" s="564" t="s">
        <v>3986</v>
      </c>
      <c r="Y332" s="549"/>
      <c r="Z332" s="547"/>
      <c r="AA332" s="547"/>
    </row>
    <row r="333" s="473" customFormat="1" ht="14.25" customHeight="1" spans="1:27">
      <c r="A333" s="489" t="s">
        <v>3910</v>
      </c>
      <c r="B333" s="489"/>
      <c r="C333" s="489" t="s">
        <v>3987</v>
      </c>
      <c r="D333" s="489" t="s">
        <v>3988</v>
      </c>
      <c r="E333" s="488"/>
      <c r="F333" s="489"/>
      <c r="G333" s="489" t="s">
        <v>3032</v>
      </c>
      <c r="H333" s="489" t="s">
        <v>3681</v>
      </c>
      <c r="I333" s="195">
        <v>45609</v>
      </c>
      <c r="J333" s="195">
        <v>45630</v>
      </c>
      <c r="K333" s="195" t="s">
        <v>3038</v>
      </c>
      <c r="L333" s="541" t="s">
        <v>3457</v>
      </c>
      <c r="M333" s="492" t="s">
        <v>309</v>
      </c>
      <c r="N333" s="484">
        <v>1615.6</v>
      </c>
      <c r="O333" s="484">
        <v>8277.95</v>
      </c>
      <c r="P333" s="499">
        <v>495</v>
      </c>
      <c r="Q333" s="545">
        <v>45616</v>
      </c>
      <c r="R333" s="545">
        <v>45625</v>
      </c>
      <c r="S333" s="195" t="s">
        <v>309</v>
      </c>
      <c r="T333" s="234">
        <v>45628</v>
      </c>
      <c r="U333" s="234">
        <v>45637</v>
      </c>
      <c r="V333" s="546" t="s">
        <v>20</v>
      </c>
      <c r="W333" s="195">
        <f t="shared" si="18"/>
        <v>45651</v>
      </c>
      <c r="X333" s="563" t="s">
        <v>3989</v>
      </c>
      <c r="Y333" s="549"/>
      <c r="Z333" s="547"/>
      <c r="AA333" s="547"/>
    </row>
    <row r="334" s="473" customFormat="1" ht="14.25" customHeight="1" spans="1:27">
      <c r="A334" s="489" t="s">
        <v>3990</v>
      </c>
      <c r="B334" s="489"/>
      <c r="C334" s="489" t="s">
        <v>3991</v>
      </c>
      <c r="D334" s="489" t="s">
        <v>3992</v>
      </c>
      <c r="E334" s="488">
        <v>976</v>
      </c>
      <c r="F334" s="489" t="s">
        <v>3979</v>
      </c>
      <c r="G334" s="489" t="s">
        <v>3137</v>
      </c>
      <c r="H334" s="489" t="s">
        <v>3993</v>
      </c>
      <c r="I334" s="195">
        <v>45596</v>
      </c>
      <c r="J334" s="195">
        <v>45632</v>
      </c>
      <c r="K334" s="489" t="s">
        <v>39</v>
      </c>
      <c r="L334" s="523" t="s">
        <v>3994</v>
      </c>
      <c r="M334" s="492" t="s">
        <v>3042</v>
      </c>
      <c r="N334" s="484">
        <v>1523.86</v>
      </c>
      <c r="O334" s="506">
        <v>8773.18</v>
      </c>
      <c r="P334" s="499"/>
      <c r="Q334" s="545">
        <v>45607</v>
      </c>
      <c r="R334" s="545">
        <v>45625</v>
      </c>
      <c r="S334" s="195" t="s">
        <v>309</v>
      </c>
      <c r="T334" s="234">
        <v>45628</v>
      </c>
      <c r="U334" s="234">
        <v>45637</v>
      </c>
      <c r="V334" s="546" t="s">
        <v>20</v>
      </c>
      <c r="W334" s="195">
        <f t="shared" si="18"/>
        <v>45653</v>
      </c>
      <c r="X334" s="547"/>
      <c r="Y334" s="549"/>
      <c r="Z334" s="547"/>
      <c r="AA334" s="547"/>
    </row>
    <row r="335" s="473" customFormat="1" ht="14.25" customHeight="1" spans="1:27">
      <c r="A335" s="489" t="s">
        <v>3972</v>
      </c>
      <c r="B335" s="489"/>
      <c r="C335" s="489" t="s">
        <v>3995</v>
      </c>
      <c r="D335" s="489" t="s">
        <v>3996</v>
      </c>
      <c r="E335" s="488">
        <v>3200</v>
      </c>
      <c r="F335" s="489" t="s">
        <v>3979</v>
      </c>
      <c r="G335" s="492" t="s">
        <v>3146</v>
      </c>
      <c r="H335" s="489" t="s">
        <v>3980</v>
      </c>
      <c r="I335" s="195">
        <v>45595</v>
      </c>
      <c r="J335" s="195">
        <v>45638</v>
      </c>
      <c r="K335" s="489" t="s">
        <v>161</v>
      </c>
      <c r="L335" s="520" t="s">
        <v>3500</v>
      </c>
      <c r="M335" s="492" t="s">
        <v>3997</v>
      </c>
      <c r="N335" s="506">
        <v>1919.67</v>
      </c>
      <c r="O335" s="506">
        <v>9557.41</v>
      </c>
      <c r="P335" s="499"/>
      <c r="Q335" s="545">
        <v>45607</v>
      </c>
      <c r="R335" s="562">
        <v>45629</v>
      </c>
      <c r="S335" s="546" t="s">
        <v>309</v>
      </c>
      <c r="T335" s="234">
        <v>45636</v>
      </c>
      <c r="U335" s="234">
        <v>45642</v>
      </c>
      <c r="V335" s="546" t="s">
        <v>20</v>
      </c>
      <c r="W335" s="195">
        <f t="shared" si="18"/>
        <v>45659</v>
      </c>
      <c r="X335" s="565" t="s">
        <v>3998</v>
      </c>
      <c r="Y335" s="549"/>
      <c r="Z335" s="547"/>
      <c r="AA335" s="547"/>
    </row>
    <row r="336" s="473" customFormat="1" ht="12.75" customHeight="1" spans="1:27">
      <c r="A336" s="546" t="s">
        <v>3990</v>
      </c>
      <c r="B336" s="546"/>
      <c r="C336" s="546" t="s">
        <v>3999</v>
      </c>
      <c r="D336" s="546" t="s">
        <v>4000</v>
      </c>
      <c r="E336" s="550">
        <v>976</v>
      </c>
      <c r="F336" s="546" t="s">
        <v>3979</v>
      </c>
      <c r="G336" s="546" t="s">
        <v>3137</v>
      </c>
      <c r="H336" s="546" t="s">
        <v>3980</v>
      </c>
      <c r="I336" s="234">
        <v>45596</v>
      </c>
      <c r="J336" s="234">
        <v>45643</v>
      </c>
      <c r="K336" s="546" t="s">
        <v>39</v>
      </c>
      <c r="L336" s="520" t="s">
        <v>3419</v>
      </c>
      <c r="M336" s="556" t="s">
        <v>4001</v>
      </c>
      <c r="N336" s="518">
        <v>1480.96</v>
      </c>
      <c r="O336" s="506">
        <v>8851.84</v>
      </c>
      <c r="P336" s="519"/>
      <c r="Q336" s="562">
        <v>45607</v>
      </c>
      <c r="R336" s="562">
        <v>45636</v>
      </c>
      <c r="S336" s="546" t="s">
        <v>309</v>
      </c>
      <c r="T336" s="234">
        <v>45639</v>
      </c>
      <c r="U336" s="234">
        <v>45646</v>
      </c>
      <c r="V336" s="546" t="s">
        <v>20</v>
      </c>
      <c r="W336" s="234">
        <v>45664</v>
      </c>
      <c r="X336" s="563"/>
      <c r="Y336" s="567"/>
      <c r="Z336" s="563"/>
      <c r="AA336" s="563"/>
    </row>
    <row r="337" s="473" customFormat="1" ht="14.25" customHeight="1" spans="1:27">
      <c r="A337" s="546" t="s">
        <v>3990</v>
      </c>
      <c r="B337" s="546"/>
      <c r="C337" s="546" t="s">
        <v>4002</v>
      </c>
      <c r="D337" s="546" t="s">
        <v>4003</v>
      </c>
      <c r="E337" s="550">
        <v>976</v>
      </c>
      <c r="F337" s="546" t="s">
        <v>3979</v>
      </c>
      <c r="G337" s="546" t="s">
        <v>3137</v>
      </c>
      <c r="H337" s="546" t="s">
        <v>3980</v>
      </c>
      <c r="I337" s="234">
        <v>45596</v>
      </c>
      <c r="J337" s="234">
        <v>45643</v>
      </c>
      <c r="K337" s="546" t="s">
        <v>39</v>
      </c>
      <c r="L337" s="523" t="s">
        <v>3504</v>
      </c>
      <c r="M337" s="556" t="s">
        <v>4004</v>
      </c>
      <c r="N337" s="519">
        <v>1354.46</v>
      </c>
      <c r="O337" s="506">
        <v>8971.33</v>
      </c>
      <c r="P337" s="519"/>
      <c r="Q337" s="562">
        <v>45607</v>
      </c>
      <c r="R337" s="562">
        <v>45636</v>
      </c>
      <c r="S337" s="546" t="s">
        <v>309</v>
      </c>
      <c r="T337" s="234">
        <v>45639</v>
      </c>
      <c r="U337" s="234">
        <v>45646</v>
      </c>
      <c r="V337" s="546" t="s">
        <v>20</v>
      </c>
      <c r="W337" s="234">
        <v>45664</v>
      </c>
      <c r="X337" s="563" t="s">
        <v>4005</v>
      </c>
      <c r="Y337" s="567"/>
      <c r="Z337" s="563"/>
      <c r="AA337" s="563"/>
    </row>
    <row r="338" s="473" customFormat="1" ht="14.25" customHeight="1" spans="1:27">
      <c r="A338" s="546" t="s">
        <v>3972</v>
      </c>
      <c r="B338" s="546"/>
      <c r="C338" s="546" t="s">
        <v>4006</v>
      </c>
      <c r="D338" s="546" t="s">
        <v>4007</v>
      </c>
      <c r="E338" s="550">
        <v>3200</v>
      </c>
      <c r="F338" s="546" t="s">
        <v>3979</v>
      </c>
      <c r="G338" s="492" t="s">
        <v>3146</v>
      </c>
      <c r="H338" s="546" t="s">
        <v>3980</v>
      </c>
      <c r="I338" s="234">
        <v>45595</v>
      </c>
      <c r="J338" s="234">
        <v>45643</v>
      </c>
      <c r="K338" s="546" t="s">
        <v>39</v>
      </c>
      <c r="L338" s="523" t="s">
        <v>3504</v>
      </c>
      <c r="M338" s="556" t="s">
        <v>4008</v>
      </c>
      <c r="N338" s="519">
        <v>1480.01</v>
      </c>
      <c r="O338" s="506">
        <v>9075.91</v>
      </c>
      <c r="P338" s="519"/>
      <c r="Q338" s="562">
        <v>45607</v>
      </c>
      <c r="R338" s="562">
        <v>45638</v>
      </c>
      <c r="S338" s="546" t="s">
        <v>309</v>
      </c>
      <c r="T338" s="234">
        <v>45638</v>
      </c>
      <c r="U338" s="234">
        <v>45646</v>
      </c>
      <c r="V338" s="546" t="s">
        <v>20</v>
      </c>
      <c r="W338" s="234">
        <v>45664</v>
      </c>
      <c r="X338" s="563" t="s">
        <v>4005</v>
      </c>
      <c r="Y338" s="567"/>
      <c r="Z338" s="563"/>
      <c r="AA338" s="563"/>
    </row>
    <row r="339" s="473" customFormat="1" ht="14.25" customHeight="1" spans="1:27">
      <c r="A339" s="546" t="s">
        <v>3972</v>
      </c>
      <c r="B339" s="546"/>
      <c r="C339" s="546" t="s">
        <v>4009</v>
      </c>
      <c r="D339" s="546" t="s">
        <v>4010</v>
      </c>
      <c r="E339" s="550">
        <v>3200</v>
      </c>
      <c r="F339" s="546" t="s">
        <v>3979</v>
      </c>
      <c r="G339" s="492" t="s">
        <v>3146</v>
      </c>
      <c r="H339" s="546" t="s">
        <v>3980</v>
      </c>
      <c r="I339" s="234">
        <v>45595</v>
      </c>
      <c r="J339" s="234">
        <v>45643</v>
      </c>
      <c r="K339" s="546" t="s">
        <v>39</v>
      </c>
      <c r="L339" s="520" t="s">
        <v>3419</v>
      </c>
      <c r="M339" s="556" t="s">
        <v>4011</v>
      </c>
      <c r="N339" s="519">
        <v>1480.01</v>
      </c>
      <c r="O339" s="506">
        <v>10394.94</v>
      </c>
      <c r="P339" s="519"/>
      <c r="Q339" s="562">
        <v>45607</v>
      </c>
      <c r="R339" s="562">
        <v>45638</v>
      </c>
      <c r="S339" s="546" t="s">
        <v>309</v>
      </c>
      <c r="T339" s="234">
        <v>45638</v>
      </c>
      <c r="U339" s="234">
        <v>45646</v>
      </c>
      <c r="V339" s="546" t="s">
        <v>20</v>
      </c>
      <c r="W339" s="234">
        <v>45664</v>
      </c>
      <c r="X339" s="563"/>
      <c r="Y339" s="567"/>
      <c r="Z339" s="563"/>
      <c r="AA339" s="563"/>
    </row>
    <row r="340" s="473" customFormat="1" ht="14.25" customHeight="1" spans="1:27">
      <c r="A340" s="546" t="s">
        <v>13</v>
      </c>
      <c r="B340" s="546"/>
      <c r="C340" s="546" t="s">
        <v>4012</v>
      </c>
      <c r="D340" s="546" t="s">
        <v>4013</v>
      </c>
      <c r="E340" s="550">
        <v>976</v>
      </c>
      <c r="F340" s="546" t="s">
        <v>3979</v>
      </c>
      <c r="G340" s="546" t="s">
        <v>3137</v>
      </c>
      <c r="H340" s="546" t="s">
        <v>4014</v>
      </c>
      <c r="I340" s="234">
        <v>45622</v>
      </c>
      <c r="J340" s="234">
        <v>45645</v>
      </c>
      <c r="K340" s="546" t="s">
        <v>3038</v>
      </c>
      <c r="L340" s="559" t="s">
        <v>3457</v>
      </c>
      <c r="M340" s="556" t="s">
        <v>309</v>
      </c>
      <c r="N340" s="519">
        <v>1550.38</v>
      </c>
      <c r="O340" s="506">
        <v>10992.15</v>
      </c>
      <c r="P340" s="519">
        <v>495</v>
      </c>
      <c r="Q340" s="562">
        <v>45635</v>
      </c>
      <c r="R340" s="562">
        <v>45642</v>
      </c>
      <c r="S340" s="546" t="s">
        <v>309</v>
      </c>
      <c r="T340" s="234">
        <v>45643</v>
      </c>
      <c r="U340" s="234">
        <v>45649</v>
      </c>
      <c r="V340" s="546" t="s">
        <v>20</v>
      </c>
      <c r="W340" s="234">
        <v>45666</v>
      </c>
      <c r="X340" s="563"/>
      <c r="Y340" s="567"/>
      <c r="Z340" s="563"/>
      <c r="AA340" s="563"/>
    </row>
    <row r="341" s="473" customFormat="1" ht="14.25" customHeight="1" spans="1:27">
      <c r="A341" s="546" t="s">
        <v>13</v>
      </c>
      <c r="B341" s="546"/>
      <c r="C341" s="551">
        <v>712410902668</v>
      </c>
      <c r="D341" s="546" t="s">
        <v>4015</v>
      </c>
      <c r="E341" s="552"/>
      <c r="F341" s="553"/>
      <c r="G341" s="546" t="s">
        <v>3032</v>
      </c>
      <c r="H341" s="546" t="s">
        <v>3845</v>
      </c>
      <c r="I341" s="234">
        <v>45631</v>
      </c>
      <c r="J341" s="234">
        <v>45648</v>
      </c>
      <c r="K341" s="546" t="s">
        <v>3038</v>
      </c>
      <c r="L341" s="559" t="s">
        <v>3457</v>
      </c>
      <c r="M341" s="556" t="s">
        <v>309</v>
      </c>
      <c r="N341" s="519">
        <v>1673.96</v>
      </c>
      <c r="O341" s="506">
        <v>11593.66</v>
      </c>
      <c r="P341" s="519">
        <v>495</v>
      </c>
      <c r="Q341" s="562">
        <v>45635</v>
      </c>
      <c r="R341" s="562">
        <v>45644</v>
      </c>
      <c r="S341" s="546" t="s">
        <v>309</v>
      </c>
      <c r="T341" s="234">
        <v>45645</v>
      </c>
      <c r="U341" s="234">
        <v>45656</v>
      </c>
      <c r="V341" s="546" t="s">
        <v>20</v>
      </c>
      <c r="W341" s="234">
        <v>45669</v>
      </c>
      <c r="X341" s="563"/>
      <c r="Y341" s="567"/>
      <c r="Z341" s="563"/>
      <c r="AA341" s="563"/>
    </row>
    <row r="342" s="473" customFormat="1" ht="14.25" customHeight="1" spans="1:27">
      <c r="A342" s="546" t="s">
        <v>4016</v>
      </c>
      <c r="B342" s="546"/>
      <c r="C342" s="551">
        <v>712410953172</v>
      </c>
      <c r="D342" s="546" t="s">
        <v>4017</v>
      </c>
      <c r="E342" s="550">
        <v>2950</v>
      </c>
      <c r="F342" s="554" t="s">
        <v>4018</v>
      </c>
      <c r="G342" s="546" t="s">
        <v>3032</v>
      </c>
      <c r="H342" s="555" t="s">
        <v>4019</v>
      </c>
      <c r="I342" s="234">
        <v>45632</v>
      </c>
      <c r="J342" s="234">
        <v>45656</v>
      </c>
      <c r="K342" s="546" t="s">
        <v>3038</v>
      </c>
      <c r="L342" s="559" t="s">
        <v>3457</v>
      </c>
      <c r="M342" s="556" t="s">
        <v>309</v>
      </c>
      <c r="N342" s="519">
        <v>1687.49</v>
      </c>
      <c r="O342" s="506">
        <v>12582.46</v>
      </c>
      <c r="P342" s="519">
        <v>495</v>
      </c>
      <c r="Q342" s="562">
        <v>45637</v>
      </c>
      <c r="R342" s="562">
        <v>45650</v>
      </c>
      <c r="S342" s="546" t="s">
        <v>309</v>
      </c>
      <c r="T342" s="234">
        <v>45650</v>
      </c>
      <c r="U342" s="234">
        <v>45663</v>
      </c>
      <c r="V342" s="546" t="s">
        <v>20</v>
      </c>
      <c r="W342" s="234">
        <v>45677</v>
      </c>
      <c r="X342" s="563"/>
      <c r="Y342" s="567"/>
      <c r="Z342" s="563"/>
      <c r="AA342" s="563"/>
    </row>
    <row r="343" s="473" customFormat="1" ht="14.25" customHeight="1" spans="1:27">
      <c r="A343" s="546" t="s">
        <v>4016</v>
      </c>
      <c r="B343" s="546"/>
      <c r="C343" s="551">
        <v>712410953141</v>
      </c>
      <c r="D343" s="546" t="s">
        <v>4020</v>
      </c>
      <c r="E343" s="550">
        <v>2950</v>
      </c>
      <c r="F343" s="556" t="s">
        <v>4018</v>
      </c>
      <c r="G343" s="546" t="s">
        <v>3032</v>
      </c>
      <c r="H343" s="555" t="s">
        <v>4019</v>
      </c>
      <c r="I343" s="234">
        <v>45632</v>
      </c>
      <c r="J343" s="234">
        <v>45656</v>
      </c>
      <c r="K343" s="546" t="s">
        <v>3038</v>
      </c>
      <c r="L343" s="559" t="s">
        <v>3457</v>
      </c>
      <c r="M343" s="556" t="s">
        <v>309</v>
      </c>
      <c r="N343" s="518">
        <v>1684.96</v>
      </c>
      <c r="O343" s="506">
        <v>12632.84</v>
      </c>
      <c r="P343" s="519">
        <v>495</v>
      </c>
      <c r="Q343" s="562">
        <v>45637</v>
      </c>
      <c r="R343" s="562">
        <v>45650</v>
      </c>
      <c r="S343" s="546" t="s">
        <v>309</v>
      </c>
      <c r="T343" s="234">
        <v>45650</v>
      </c>
      <c r="U343" s="234">
        <v>45663</v>
      </c>
      <c r="V343" s="546" t="s">
        <v>20</v>
      </c>
      <c r="W343" s="234">
        <v>45677</v>
      </c>
      <c r="X343" s="563"/>
      <c r="Y343" s="567"/>
      <c r="Z343" s="563"/>
      <c r="AA343" s="563"/>
    </row>
    <row r="344" s="473" customFormat="1" ht="14.25" customHeight="1" spans="1:27">
      <c r="A344" s="546" t="s">
        <v>13</v>
      </c>
      <c r="B344" s="546"/>
      <c r="C344" s="546" t="s">
        <v>4021</v>
      </c>
      <c r="D344" s="546" t="s">
        <v>4022</v>
      </c>
      <c r="E344" s="550">
        <v>976</v>
      </c>
      <c r="F344" s="546" t="s">
        <v>3979</v>
      </c>
      <c r="G344" s="546" t="s">
        <v>3137</v>
      </c>
      <c r="H344" s="546" t="s">
        <v>4023</v>
      </c>
      <c r="I344" s="234">
        <v>45637</v>
      </c>
      <c r="J344" s="234">
        <v>45662</v>
      </c>
      <c r="K344" s="546" t="s">
        <v>3038</v>
      </c>
      <c r="L344" s="559" t="s">
        <v>3457</v>
      </c>
      <c r="M344" s="556" t="s">
        <v>309</v>
      </c>
      <c r="N344" s="518">
        <v>1666.36</v>
      </c>
      <c r="O344" s="518">
        <v>9372.21</v>
      </c>
      <c r="P344" s="519"/>
      <c r="Q344" s="562">
        <v>45643</v>
      </c>
      <c r="R344" s="562">
        <v>45656</v>
      </c>
      <c r="S344" s="546" t="s">
        <v>309</v>
      </c>
      <c r="T344" s="234">
        <v>45659</v>
      </c>
      <c r="U344" s="234">
        <v>45666</v>
      </c>
      <c r="V344" s="546" t="s">
        <v>20</v>
      </c>
      <c r="W344" s="234">
        <v>45683</v>
      </c>
      <c r="X344" s="563"/>
      <c r="Y344" s="567"/>
      <c r="Z344" s="563"/>
      <c r="AA344" s="563"/>
    </row>
    <row r="345" s="473" customFormat="1" ht="14.25" customHeight="1" spans="1:27">
      <c r="A345" s="546" t="s">
        <v>4024</v>
      </c>
      <c r="B345" s="546"/>
      <c r="C345" s="546" t="s">
        <v>4025</v>
      </c>
      <c r="D345" s="546" t="s">
        <v>4026</v>
      </c>
      <c r="E345" s="550">
        <v>976</v>
      </c>
      <c r="F345" s="546" t="s">
        <v>3979</v>
      </c>
      <c r="G345" s="546" t="s">
        <v>3137</v>
      </c>
      <c r="H345" s="546" t="s">
        <v>4023</v>
      </c>
      <c r="I345" s="234">
        <v>45637</v>
      </c>
      <c r="J345" s="234">
        <v>45662</v>
      </c>
      <c r="K345" s="546" t="s">
        <v>3038</v>
      </c>
      <c r="L345" s="559" t="s">
        <v>3457</v>
      </c>
      <c r="M345" s="556" t="s">
        <v>309</v>
      </c>
      <c r="N345" s="518">
        <v>1666.36</v>
      </c>
      <c r="O345" s="518">
        <v>12842.07</v>
      </c>
      <c r="P345" s="519"/>
      <c r="Q345" s="562">
        <v>45652</v>
      </c>
      <c r="R345" s="562">
        <v>45656</v>
      </c>
      <c r="S345" s="546" t="s">
        <v>309</v>
      </c>
      <c r="T345" s="234">
        <v>45663</v>
      </c>
      <c r="U345" s="234">
        <v>45666</v>
      </c>
      <c r="V345" s="546" t="s">
        <v>20</v>
      </c>
      <c r="W345" s="234">
        <v>45683</v>
      </c>
      <c r="X345" s="563"/>
      <c r="Y345" s="567"/>
      <c r="Z345" s="563"/>
      <c r="AA345" s="563"/>
    </row>
    <row r="346" s="473" customFormat="1" ht="13.5" customHeight="1" spans="1:27">
      <c r="A346" s="546" t="s">
        <v>3972</v>
      </c>
      <c r="B346" s="546"/>
      <c r="C346" s="546" t="s">
        <v>4027</v>
      </c>
      <c r="D346" s="546" t="s">
        <v>4028</v>
      </c>
      <c r="E346" s="550">
        <v>1089</v>
      </c>
      <c r="F346" s="546" t="s">
        <v>3979</v>
      </c>
      <c r="G346" s="487" t="s">
        <v>3067</v>
      </c>
      <c r="H346" s="546" t="s">
        <v>4029</v>
      </c>
      <c r="I346" s="234">
        <v>45637</v>
      </c>
      <c r="J346" s="234">
        <v>45664</v>
      </c>
      <c r="K346" s="546" t="s">
        <v>39</v>
      </c>
      <c r="L346" s="523" t="s">
        <v>3504</v>
      </c>
      <c r="M346" s="556" t="s">
        <v>4030</v>
      </c>
      <c r="N346" s="518">
        <v>1618.88</v>
      </c>
      <c r="O346" s="518">
        <v>9152.66</v>
      </c>
      <c r="P346" s="519"/>
      <c r="Q346" s="562">
        <v>45643</v>
      </c>
      <c r="R346" s="562">
        <v>45650</v>
      </c>
      <c r="S346" s="546" t="s">
        <v>309</v>
      </c>
      <c r="T346" s="234">
        <v>45660</v>
      </c>
      <c r="U346" s="234">
        <v>45670</v>
      </c>
      <c r="V346" s="546" t="s">
        <v>20</v>
      </c>
      <c r="W346" s="234">
        <v>45685</v>
      </c>
      <c r="X346" s="563"/>
      <c r="Y346" s="567"/>
      <c r="Z346" s="563"/>
      <c r="AA346" s="563"/>
    </row>
    <row r="347" s="473" customFormat="1" ht="14.25" customHeight="1" spans="1:27">
      <c r="A347" s="546" t="s">
        <v>13</v>
      </c>
      <c r="B347" s="546"/>
      <c r="C347" s="546" t="s">
        <v>4031</v>
      </c>
      <c r="D347" s="554" t="s">
        <v>4032</v>
      </c>
      <c r="E347" s="550">
        <v>1089</v>
      </c>
      <c r="F347" s="546" t="s">
        <v>3979</v>
      </c>
      <c r="G347" s="487" t="s">
        <v>3067</v>
      </c>
      <c r="H347" s="546" t="s">
        <v>4033</v>
      </c>
      <c r="I347" s="234">
        <v>45642</v>
      </c>
      <c r="J347" s="234">
        <v>45665</v>
      </c>
      <c r="K347" s="546" t="s">
        <v>3038</v>
      </c>
      <c r="L347" s="559" t="s">
        <v>3457</v>
      </c>
      <c r="M347" s="556" t="s">
        <v>309</v>
      </c>
      <c r="N347" s="518">
        <v>1663.2</v>
      </c>
      <c r="O347" s="518">
        <v>9080.4</v>
      </c>
      <c r="P347" s="560" t="s">
        <v>4034</v>
      </c>
      <c r="Q347" s="562">
        <v>45651</v>
      </c>
      <c r="R347" s="562">
        <v>45663</v>
      </c>
      <c r="S347" s="546" t="s">
        <v>309</v>
      </c>
      <c r="T347" s="234">
        <v>45665</v>
      </c>
      <c r="U347" s="234">
        <v>45671</v>
      </c>
      <c r="V347" s="546" t="s">
        <v>20</v>
      </c>
      <c r="W347" s="234">
        <v>45686</v>
      </c>
      <c r="X347" s="564" t="s">
        <v>4035</v>
      </c>
      <c r="Y347" s="567"/>
      <c r="Z347" s="563"/>
      <c r="AA347" s="563"/>
    </row>
    <row r="348" s="473" customFormat="1" ht="14.25" customHeight="1" spans="1:27">
      <c r="A348" s="546" t="s">
        <v>13</v>
      </c>
      <c r="B348" s="546"/>
      <c r="C348" s="546" t="s">
        <v>4036</v>
      </c>
      <c r="D348" s="546" t="s">
        <v>4037</v>
      </c>
      <c r="E348" s="550">
        <v>1089</v>
      </c>
      <c r="F348" s="546" t="s">
        <v>3979</v>
      </c>
      <c r="G348" s="487" t="s">
        <v>3067</v>
      </c>
      <c r="H348" s="546" t="s">
        <v>4033</v>
      </c>
      <c r="I348" s="234">
        <v>45642</v>
      </c>
      <c r="J348" s="234">
        <v>45665</v>
      </c>
      <c r="K348" s="546" t="s">
        <v>3038</v>
      </c>
      <c r="L348" s="559" t="s">
        <v>3457</v>
      </c>
      <c r="M348" s="556" t="s">
        <v>309</v>
      </c>
      <c r="N348" s="518">
        <v>1662.98</v>
      </c>
      <c r="O348" s="518">
        <v>12753.49</v>
      </c>
      <c r="P348" s="560" t="s">
        <v>4034</v>
      </c>
      <c r="Q348" s="562">
        <v>45651</v>
      </c>
      <c r="R348" s="562">
        <v>45663</v>
      </c>
      <c r="S348" s="546" t="s">
        <v>309</v>
      </c>
      <c r="T348" s="234">
        <v>45665</v>
      </c>
      <c r="U348" s="234">
        <v>45670</v>
      </c>
      <c r="V348" s="546" t="s">
        <v>20</v>
      </c>
      <c r="W348" s="234">
        <v>45686</v>
      </c>
      <c r="X348" s="563"/>
      <c r="Y348" s="567"/>
      <c r="Z348" s="563"/>
      <c r="AA348" s="563"/>
    </row>
    <row r="349" s="178" customFormat="1" ht="14.25" customHeight="1" spans="1:27">
      <c r="A349" s="527" t="s">
        <v>13</v>
      </c>
      <c r="B349" s="527"/>
      <c r="C349" s="527" t="s">
        <v>4038</v>
      </c>
      <c r="D349" s="527" t="s">
        <v>4039</v>
      </c>
      <c r="E349" s="550">
        <v>1089</v>
      </c>
      <c r="F349" s="546" t="s">
        <v>3979</v>
      </c>
      <c r="G349" s="487" t="s">
        <v>3067</v>
      </c>
      <c r="H349" s="527" t="s">
        <v>4033</v>
      </c>
      <c r="I349" s="215">
        <v>45642</v>
      </c>
      <c r="J349" s="215">
        <v>45665</v>
      </c>
      <c r="K349" s="527" t="s">
        <v>3038</v>
      </c>
      <c r="L349" s="542" t="s">
        <v>3324</v>
      </c>
      <c r="M349" s="543" t="s">
        <v>309</v>
      </c>
      <c r="N349" s="518">
        <f>136.82+1625.37-103.49</f>
        <v>1658.7</v>
      </c>
      <c r="O349" s="518"/>
      <c r="P349" s="560" t="s">
        <v>4040</v>
      </c>
      <c r="Q349" s="548">
        <v>45651</v>
      </c>
      <c r="R349" s="548">
        <v>45663</v>
      </c>
      <c r="S349" s="527" t="s">
        <v>309</v>
      </c>
      <c r="T349" s="215">
        <v>45665</v>
      </c>
      <c r="U349" s="215">
        <v>45671</v>
      </c>
      <c r="V349" s="527" t="s">
        <v>20</v>
      </c>
      <c r="W349" s="215">
        <v>45686</v>
      </c>
      <c r="X349" s="529"/>
      <c r="Y349" s="568"/>
      <c r="Z349" s="529"/>
      <c r="AA349" s="529"/>
    </row>
    <row r="350" s="178" customFormat="1" ht="14.25" customHeight="1" spans="1:27">
      <c r="A350" s="527" t="s">
        <v>13</v>
      </c>
      <c r="B350" s="527"/>
      <c r="C350" s="527" t="s">
        <v>4041</v>
      </c>
      <c r="D350" s="527" t="s">
        <v>4042</v>
      </c>
      <c r="E350" s="550">
        <v>1089</v>
      </c>
      <c r="F350" s="546" t="s">
        <v>3979</v>
      </c>
      <c r="G350" s="487" t="s">
        <v>3067</v>
      </c>
      <c r="H350" s="527" t="s">
        <v>4033</v>
      </c>
      <c r="I350" s="215">
        <v>45642</v>
      </c>
      <c r="J350" s="215">
        <v>45665</v>
      </c>
      <c r="K350" s="527" t="s">
        <v>3038</v>
      </c>
      <c r="L350" s="542" t="s">
        <v>3324</v>
      </c>
      <c r="M350" s="543" t="s">
        <v>309</v>
      </c>
      <c r="N350" s="518">
        <f>136.82+1625.37</f>
        <v>1762.19</v>
      </c>
      <c r="O350" s="518">
        <v>12753.49</v>
      </c>
      <c r="P350" s="560" t="s">
        <v>4040</v>
      </c>
      <c r="Q350" s="548">
        <v>45651</v>
      </c>
      <c r="R350" s="548">
        <v>45663</v>
      </c>
      <c r="S350" s="527" t="s">
        <v>309</v>
      </c>
      <c r="T350" s="215">
        <v>45666</v>
      </c>
      <c r="U350" s="215">
        <v>45671</v>
      </c>
      <c r="V350" s="527" t="s">
        <v>20</v>
      </c>
      <c r="W350" s="215">
        <v>45686</v>
      </c>
      <c r="X350" s="529"/>
      <c r="Y350" s="568"/>
      <c r="Z350" s="529"/>
      <c r="AA350" s="529"/>
    </row>
    <row r="351" s="178" customFormat="1" ht="14.25" customHeight="1" spans="1:27">
      <c r="A351" s="527" t="s">
        <v>3972</v>
      </c>
      <c r="B351" s="527"/>
      <c r="C351" s="527" t="s">
        <v>4043</v>
      </c>
      <c r="D351" s="527" t="s">
        <v>4044</v>
      </c>
      <c r="E351" s="550">
        <v>1008</v>
      </c>
      <c r="F351" s="546" t="s">
        <v>3979</v>
      </c>
      <c r="G351" s="546" t="s">
        <v>3079</v>
      </c>
      <c r="H351" s="527" t="s">
        <v>4045</v>
      </c>
      <c r="I351" s="215">
        <v>45645</v>
      </c>
      <c r="J351" s="215">
        <v>45674</v>
      </c>
      <c r="K351" s="527" t="s">
        <v>207</v>
      </c>
      <c r="L351" s="500" t="s">
        <v>3393</v>
      </c>
      <c r="M351" s="543" t="s">
        <v>4046</v>
      </c>
      <c r="N351" s="518">
        <v>1577.17</v>
      </c>
      <c r="O351" s="561"/>
      <c r="P351" s="519"/>
      <c r="Q351" s="548">
        <v>45651</v>
      </c>
      <c r="R351" s="543" t="s">
        <v>4047</v>
      </c>
      <c r="S351" s="527" t="s">
        <v>309</v>
      </c>
      <c r="T351" s="215">
        <v>45672</v>
      </c>
      <c r="U351" s="215">
        <v>45681</v>
      </c>
      <c r="V351" s="527" t="s">
        <v>20</v>
      </c>
      <c r="W351" s="215">
        <v>45687</v>
      </c>
      <c r="X351" s="563" t="s">
        <v>4048</v>
      </c>
      <c r="Y351" s="568"/>
      <c r="Z351" s="529"/>
      <c r="AA351" s="529"/>
    </row>
    <row r="352" s="178" customFormat="1" ht="14.25" customHeight="1" spans="1:27">
      <c r="A352" s="527" t="s">
        <v>13</v>
      </c>
      <c r="B352" s="527"/>
      <c r="C352" s="527" t="s">
        <v>4049</v>
      </c>
      <c r="D352" s="527" t="s">
        <v>4050</v>
      </c>
      <c r="E352" s="550">
        <v>1008</v>
      </c>
      <c r="F352" s="546" t="s">
        <v>3979</v>
      </c>
      <c r="G352" s="546" t="s">
        <v>3079</v>
      </c>
      <c r="H352" s="527" t="s">
        <v>4045</v>
      </c>
      <c r="I352" s="215">
        <v>45645</v>
      </c>
      <c r="J352" s="215">
        <v>45676</v>
      </c>
      <c r="K352" s="527" t="s">
        <v>207</v>
      </c>
      <c r="L352" s="542" t="s">
        <v>4051</v>
      </c>
      <c r="M352" s="543" t="s">
        <v>4052</v>
      </c>
      <c r="N352" s="518">
        <f>1619.11-16.5</f>
        <v>1602.61</v>
      </c>
      <c r="O352" s="561"/>
      <c r="P352" s="519"/>
      <c r="Q352" s="548">
        <v>45665</v>
      </c>
      <c r="R352" s="543" t="s">
        <v>4047</v>
      </c>
      <c r="S352" s="527" t="s">
        <v>309</v>
      </c>
      <c r="T352" s="215">
        <v>45672</v>
      </c>
      <c r="U352" s="215">
        <v>45680</v>
      </c>
      <c r="V352" s="527" t="s">
        <v>20</v>
      </c>
      <c r="W352" s="215">
        <v>45690</v>
      </c>
      <c r="X352" s="529" t="s">
        <v>4053</v>
      </c>
      <c r="Y352" s="569"/>
      <c r="Z352" s="570"/>
      <c r="AA352" s="570"/>
    </row>
    <row r="353" s="178" customFormat="1" ht="14.25" customHeight="1" spans="1:27">
      <c r="A353" s="527" t="s">
        <v>78</v>
      </c>
      <c r="B353" s="527"/>
      <c r="C353" s="532" t="s">
        <v>4054</v>
      </c>
      <c r="D353" s="527" t="s">
        <v>4055</v>
      </c>
      <c r="E353" s="550">
        <v>3930</v>
      </c>
      <c r="F353" s="556" t="s">
        <v>4018</v>
      </c>
      <c r="G353" s="546" t="s">
        <v>4056</v>
      </c>
      <c r="H353" s="527" t="s">
        <v>4057</v>
      </c>
      <c r="I353" s="215">
        <v>45667</v>
      </c>
      <c r="J353" s="215">
        <v>45678</v>
      </c>
      <c r="K353" s="527" t="s">
        <v>39</v>
      </c>
      <c r="L353" s="520" t="s">
        <v>3419</v>
      </c>
      <c r="M353" s="543" t="s">
        <v>4058</v>
      </c>
      <c r="N353" s="518">
        <v>2003.92</v>
      </c>
      <c r="O353" s="561"/>
      <c r="P353" s="519"/>
      <c r="Q353" s="548">
        <v>45674</v>
      </c>
      <c r="R353" s="548">
        <v>45674</v>
      </c>
      <c r="S353" s="527" t="s">
        <v>309</v>
      </c>
      <c r="T353" s="215">
        <v>45674</v>
      </c>
      <c r="U353" s="215">
        <v>45680</v>
      </c>
      <c r="V353" s="527" t="s">
        <v>20</v>
      </c>
      <c r="W353" s="215">
        <v>45699</v>
      </c>
      <c r="X353" s="529" t="s">
        <v>4059</v>
      </c>
      <c r="Y353" s="569"/>
      <c r="Z353" s="570"/>
      <c r="AA353" s="570"/>
    </row>
    <row r="354" s="178" customFormat="1" ht="14.25" customHeight="1" spans="1:27">
      <c r="A354" s="527" t="s">
        <v>13</v>
      </c>
      <c r="B354" s="527"/>
      <c r="C354" s="532">
        <v>712410969623</v>
      </c>
      <c r="D354" s="527" t="s">
        <v>4060</v>
      </c>
      <c r="E354" s="550">
        <v>2850</v>
      </c>
      <c r="F354" s="556" t="s">
        <v>4018</v>
      </c>
      <c r="G354" s="546" t="s">
        <v>3032</v>
      </c>
      <c r="H354" s="527" t="s">
        <v>4061</v>
      </c>
      <c r="I354" s="215">
        <v>45648</v>
      </c>
      <c r="J354" s="215">
        <v>45678</v>
      </c>
      <c r="K354" s="527" t="s">
        <v>39</v>
      </c>
      <c r="L354" s="542" t="s">
        <v>3437</v>
      </c>
      <c r="M354" s="543" t="s">
        <v>309</v>
      </c>
      <c r="N354" s="518">
        <v>1666.74</v>
      </c>
      <c r="O354" s="518">
        <f>9961.01+1174.56</f>
        <v>11135.57</v>
      </c>
      <c r="P354" s="519">
        <v>495</v>
      </c>
      <c r="Q354" s="548">
        <v>45665</v>
      </c>
      <c r="R354" s="548">
        <v>45667</v>
      </c>
      <c r="S354" s="527" t="s">
        <v>309</v>
      </c>
      <c r="T354" s="215">
        <v>45672</v>
      </c>
      <c r="U354" s="215">
        <v>45685</v>
      </c>
      <c r="V354" s="527" t="s">
        <v>20</v>
      </c>
      <c r="W354" s="215">
        <v>45699</v>
      </c>
      <c r="X354" s="529"/>
      <c r="Y354" s="568"/>
      <c r="Z354" s="529"/>
      <c r="AA354" s="529"/>
    </row>
    <row r="355" s="178" customFormat="1" ht="14.25" customHeight="1" spans="1:27">
      <c r="A355" s="527" t="s">
        <v>13</v>
      </c>
      <c r="B355" s="527"/>
      <c r="C355" s="532">
        <v>712411043353</v>
      </c>
      <c r="D355" s="527" t="s">
        <v>4062</v>
      </c>
      <c r="E355" s="550">
        <v>3930</v>
      </c>
      <c r="F355" s="556" t="s">
        <v>4018</v>
      </c>
      <c r="G355" s="546" t="s">
        <v>4056</v>
      </c>
      <c r="H355" s="527" t="s">
        <v>4057</v>
      </c>
      <c r="I355" s="215">
        <v>45667</v>
      </c>
      <c r="J355" s="215">
        <v>45678</v>
      </c>
      <c r="K355" s="527" t="s">
        <v>39</v>
      </c>
      <c r="L355" s="542" t="s">
        <v>4063</v>
      </c>
      <c r="M355" s="543" t="s">
        <v>4064</v>
      </c>
      <c r="N355" s="518">
        <f>1970.06-352.06</f>
        <v>1618</v>
      </c>
      <c r="O355" s="518">
        <v>9911.64</v>
      </c>
      <c r="P355" s="519"/>
      <c r="Q355" s="548">
        <v>45674</v>
      </c>
      <c r="R355" s="548">
        <v>45674</v>
      </c>
      <c r="S355" s="527" t="s">
        <v>309</v>
      </c>
      <c r="T355" s="215">
        <v>45677</v>
      </c>
      <c r="U355" s="215">
        <v>45685</v>
      </c>
      <c r="V355" s="527" t="s">
        <v>20</v>
      </c>
      <c r="W355" s="215">
        <v>45699</v>
      </c>
      <c r="X355" s="529"/>
      <c r="Y355" s="568"/>
      <c r="Z355" s="529"/>
      <c r="AA355" s="529"/>
    </row>
    <row r="356" s="178" customFormat="1" ht="14.25" customHeight="1" spans="1:27">
      <c r="A356" s="527" t="s">
        <v>127</v>
      </c>
      <c r="B356" s="527"/>
      <c r="C356" s="532">
        <v>712411043445</v>
      </c>
      <c r="D356" s="527" t="s">
        <v>4065</v>
      </c>
      <c r="E356" s="550">
        <v>3930</v>
      </c>
      <c r="F356" s="556" t="s">
        <v>4018</v>
      </c>
      <c r="G356" s="546" t="s">
        <v>4056</v>
      </c>
      <c r="H356" s="527" t="s">
        <v>4057</v>
      </c>
      <c r="I356" s="215">
        <v>45667</v>
      </c>
      <c r="J356" s="215">
        <v>45678</v>
      </c>
      <c r="K356" s="527" t="s">
        <v>39</v>
      </c>
      <c r="L356" s="523" t="s">
        <v>3504</v>
      </c>
      <c r="M356" s="543" t="s">
        <v>4066</v>
      </c>
      <c r="N356" s="518">
        <f>212.06+1628.83</f>
        <v>1840.89</v>
      </c>
      <c r="O356" s="561"/>
      <c r="P356" s="519"/>
      <c r="Q356" s="548">
        <v>45671</v>
      </c>
      <c r="R356" s="548">
        <v>45673</v>
      </c>
      <c r="S356" s="527" t="s">
        <v>309</v>
      </c>
      <c r="T356" s="215">
        <v>45674</v>
      </c>
      <c r="U356" s="215">
        <v>45681</v>
      </c>
      <c r="V356" s="527" t="s">
        <v>20</v>
      </c>
      <c r="W356" s="215">
        <v>45699</v>
      </c>
      <c r="X356" s="529" t="s">
        <v>4067</v>
      </c>
      <c r="Y356" s="568"/>
      <c r="Z356" s="529"/>
      <c r="AA356" s="529"/>
    </row>
    <row r="357" s="178" customFormat="1" ht="14.25" customHeight="1" spans="1:27">
      <c r="A357" s="527" t="s">
        <v>153</v>
      </c>
      <c r="B357" s="527"/>
      <c r="C357" s="532">
        <v>712411043865</v>
      </c>
      <c r="D357" s="527" t="s">
        <v>4068</v>
      </c>
      <c r="E357" s="550">
        <v>3930</v>
      </c>
      <c r="F357" s="556" t="s">
        <v>4018</v>
      </c>
      <c r="G357" s="546" t="s">
        <v>4056</v>
      </c>
      <c r="H357" s="527" t="s">
        <v>4057</v>
      </c>
      <c r="I357" s="215">
        <v>45667</v>
      </c>
      <c r="J357" s="215">
        <v>45678</v>
      </c>
      <c r="K357" s="527" t="s">
        <v>39</v>
      </c>
      <c r="L357" s="542" t="s">
        <v>3437</v>
      </c>
      <c r="M357" s="543" t="s">
        <v>309</v>
      </c>
      <c r="N357" s="518">
        <v>1792.24</v>
      </c>
      <c r="O357" s="518">
        <v>10611.56</v>
      </c>
      <c r="P357" s="519">
        <v>495</v>
      </c>
      <c r="Q357" s="548">
        <v>45674</v>
      </c>
      <c r="R357" s="548">
        <v>45674</v>
      </c>
      <c r="S357" s="527" t="s">
        <v>309</v>
      </c>
      <c r="T357" s="215">
        <v>45677</v>
      </c>
      <c r="U357" s="215">
        <v>45681</v>
      </c>
      <c r="V357" s="527" t="s">
        <v>20</v>
      </c>
      <c r="W357" s="215">
        <v>45699</v>
      </c>
      <c r="X357" s="529"/>
      <c r="Y357" s="568"/>
      <c r="Z357" s="529"/>
      <c r="AA357" s="529"/>
    </row>
    <row r="358" s="178" customFormat="1" ht="14.25" customHeight="1" spans="1:27">
      <c r="A358" s="527" t="s">
        <v>13</v>
      </c>
      <c r="B358" s="527"/>
      <c r="C358" s="532">
        <v>712411043414</v>
      </c>
      <c r="D358" s="527" t="s">
        <v>4069</v>
      </c>
      <c r="E358" s="550">
        <v>3930</v>
      </c>
      <c r="F358" s="556" t="s">
        <v>4018</v>
      </c>
      <c r="G358" s="546" t="s">
        <v>4056</v>
      </c>
      <c r="H358" s="527" t="s">
        <v>4057</v>
      </c>
      <c r="I358" s="215">
        <v>45667</v>
      </c>
      <c r="J358" s="215">
        <v>45678</v>
      </c>
      <c r="K358" s="527" t="s">
        <v>39</v>
      </c>
      <c r="L358" s="542" t="s">
        <v>4063</v>
      </c>
      <c r="M358" s="543" t="s">
        <v>4070</v>
      </c>
      <c r="N358" s="518">
        <f>1970.06-176.03</f>
        <v>1794.03</v>
      </c>
      <c r="O358" s="518">
        <v>9911.64</v>
      </c>
      <c r="P358" s="519"/>
      <c r="Q358" s="548">
        <v>45672</v>
      </c>
      <c r="R358" s="548">
        <v>45673</v>
      </c>
      <c r="S358" s="527" t="s">
        <v>309</v>
      </c>
      <c r="T358" s="215">
        <v>45674</v>
      </c>
      <c r="U358" s="215">
        <v>45685</v>
      </c>
      <c r="V358" s="527" t="s">
        <v>20</v>
      </c>
      <c r="W358" s="215">
        <v>45699</v>
      </c>
      <c r="X358" s="529"/>
      <c r="Y358" s="568"/>
      <c r="Z358" s="529"/>
      <c r="AA358" s="529"/>
    </row>
    <row r="359" s="178" customFormat="1" ht="14.25" customHeight="1" spans="1:27">
      <c r="A359" s="487" t="s">
        <v>3050</v>
      </c>
      <c r="B359" s="487"/>
      <c r="C359" s="487" t="s">
        <v>4071</v>
      </c>
      <c r="D359" s="487" t="s">
        <v>4072</v>
      </c>
      <c r="E359" s="488"/>
      <c r="F359" s="489"/>
      <c r="G359" s="489" t="s">
        <v>3032</v>
      </c>
      <c r="H359" s="487" t="s">
        <v>4073</v>
      </c>
      <c r="I359" s="188">
        <v>45297</v>
      </c>
      <c r="J359" s="188">
        <v>45680</v>
      </c>
      <c r="K359" s="487" t="s">
        <v>18</v>
      </c>
      <c r="L359" s="500" t="s">
        <v>3039</v>
      </c>
      <c r="M359" s="490" t="s">
        <v>309</v>
      </c>
      <c r="N359" s="484"/>
      <c r="O359" s="484"/>
      <c r="P359" s="499"/>
      <c r="Q359" s="501">
        <v>45303</v>
      </c>
      <c r="R359" s="501"/>
      <c r="S359" s="188"/>
      <c r="T359" s="188"/>
      <c r="U359" s="188">
        <v>45321</v>
      </c>
      <c r="V359" s="487" t="s">
        <v>20</v>
      </c>
      <c r="W359" s="188">
        <f>J359+14</f>
        <v>45694</v>
      </c>
      <c r="X359" s="509"/>
      <c r="Y359" s="513"/>
      <c r="Z359" s="514"/>
      <c r="AA359" s="514"/>
    </row>
    <row r="360" s="178" customFormat="1" ht="14.25" customHeight="1" spans="1:27">
      <c r="A360" s="487" t="s">
        <v>3050</v>
      </c>
      <c r="B360" s="487"/>
      <c r="C360" s="487" t="s">
        <v>4074</v>
      </c>
      <c r="D360" s="487" t="s">
        <v>4075</v>
      </c>
      <c r="E360" s="488"/>
      <c r="F360" s="489"/>
      <c r="G360" s="489" t="s">
        <v>3032</v>
      </c>
      <c r="H360" s="487" t="s">
        <v>4073</v>
      </c>
      <c r="I360" s="188">
        <v>45297</v>
      </c>
      <c r="J360" s="188">
        <v>45680</v>
      </c>
      <c r="K360" s="487" t="s">
        <v>18</v>
      </c>
      <c r="L360" s="500" t="s">
        <v>3039</v>
      </c>
      <c r="M360" s="490" t="s">
        <v>309</v>
      </c>
      <c r="N360" s="484"/>
      <c r="O360" s="484"/>
      <c r="P360" s="499"/>
      <c r="Q360" s="501">
        <v>45303</v>
      </c>
      <c r="R360" s="501"/>
      <c r="S360" s="188"/>
      <c r="T360" s="188"/>
      <c r="U360" s="188">
        <v>45321</v>
      </c>
      <c r="V360" s="487" t="s">
        <v>20</v>
      </c>
      <c r="W360" s="188">
        <f>J360+14</f>
        <v>45694</v>
      </c>
      <c r="X360" s="509"/>
      <c r="Y360" s="513"/>
      <c r="Z360" s="514"/>
      <c r="AA360" s="514"/>
    </row>
    <row r="361" s="178" customFormat="1" ht="14.25" customHeight="1" spans="1:27">
      <c r="A361" s="487" t="s">
        <v>3050</v>
      </c>
      <c r="B361" s="487"/>
      <c r="C361" s="487" t="s">
        <v>4076</v>
      </c>
      <c r="D361" s="487" t="s">
        <v>4077</v>
      </c>
      <c r="E361" s="488"/>
      <c r="F361" s="489"/>
      <c r="G361" s="489" t="s">
        <v>3032</v>
      </c>
      <c r="H361" s="487" t="s">
        <v>4073</v>
      </c>
      <c r="I361" s="188">
        <v>45297</v>
      </c>
      <c r="J361" s="188">
        <v>45680</v>
      </c>
      <c r="K361" s="487" t="s">
        <v>18</v>
      </c>
      <c r="L361" s="500" t="s">
        <v>3039</v>
      </c>
      <c r="M361" s="490" t="s">
        <v>309</v>
      </c>
      <c r="N361" s="484"/>
      <c r="O361" s="484"/>
      <c r="P361" s="499"/>
      <c r="Q361" s="501">
        <v>45303</v>
      </c>
      <c r="R361" s="501"/>
      <c r="S361" s="188"/>
      <c r="T361" s="188"/>
      <c r="U361" s="188">
        <v>45321</v>
      </c>
      <c r="V361" s="487" t="s">
        <v>20</v>
      </c>
      <c r="W361" s="188">
        <f>J361+14</f>
        <v>45694</v>
      </c>
      <c r="X361" s="509"/>
      <c r="Y361" s="513"/>
      <c r="Z361" s="514"/>
      <c r="AA361" s="514"/>
    </row>
    <row r="362" s="178" customFormat="1" ht="14.25" customHeight="1" spans="1:27">
      <c r="A362" s="487" t="s">
        <v>3050</v>
      </c>
      <c r="B362" s="487"/>
      <c r="C362" s="487" t="s">
        <v>4078</v>
      </c>
      <c r="D362" s="487" t="s">
        <v>4079</v>
      </c>
      <c r="E362" s="488"/>
      <c r="F362" s="489"/>
      <c r="G362" s="489" t="s">
        <v>3032</v>
      </c>
      <c r="H362" s="487" t="s">
        <v>4073</v>
      </c>
      <c r="I362" s="188">
        <v>45297</v>
      </c>
      <c r="J362" s="188">
        <v>45680</v>
      </c>
      <c r="K362" s="487" t="s">
        <v>18</v>
      </c>
      <c r="L362" s="500" t="s">
        <v>3039</v>
      </c>
      <c r="M362" s="490" t="s">
        <v>309</v>
      </c>
      <c r="N362" s="484"/>
      <c r="O362" s="484"/>
      <c r="P362" s="499"/>
      <c r="Q362" s="501">
        <v>45303</v>
      </c>
      <c r="R362" s="501"/>
      <c r="S362" s="188"/>
      <c r="T362" s="188"/>
      <c r="U362" s="188">
        <v>45321</v>
      </c>
      <c r="V362" s="487" t="s">
        <v>20</v>
      </c>
      <c r="W362" s="188">
        <f>J362+14</f>
        <v>45694</v>
      </c>
      <c r="X362" s="509"/>
      <c r="Y362" s="513"/>
      <c r="Z362" s="514"/>
      <c r="AA362" s="514"/>
    </row>
    <row r="363" s="178" customFormat="1" ht="14.25" customHeight="1" spans="1:27">
      <c r="A363" s="487" t="s">
        <v>3050</v>
      </c>
      <c r="B363" s="487"/>
      <c r="C363" s="487" t="s">
        <v>4080</v>
      </c>
      <c r="D363" s="487" t="s">
        <v>4081</v>
      </c>
      <c r="E363" s="557"/>
      <c r="F363" s="489"/>
      <c r="G363" s="489" t="s">
        <v>3032</v>
      </c>
      <c r="H363" s="487" t="s">
        <v>4073</v>
      </c>
      <c r="I363" s="188">
        <v>45297</v>
      </c>
      <c r="J363" s="188">
        <v>45680</v>
      </c>
      <c r="K363" s="487" t="s">
        <v>18</v>
      </c>
      <c r="L363" s="500" t="s">
        <v>3039</v>
      </c>
      <c r="M363" s="490" t="s">
        <v>309</v>
      </c>
      <c r="N363" s="484"/>
      <c r="O363" s="484"/>
      <c r="P363" s="499"/>
      <c r="Q363" s="501">
        <v>45306</v>
      </c>
      <c r="R363" s="501"/>
      <c r="S363" s="188"/>
      <c r="T363" s="188"/>
      <c r="U363" s="188">
        <v>45321</v>
      </c>
      <c r="V363" s="487" t="s">
        <v>20</v>
      </c>
      <c r="W363" s="188">
        <f>J363+14</f>
        <v>45694</v>
      </c>
      <c r="X363" s="509"/>
      <c r="Y363" s="513"/>
      <c r="Z363" s="514"/>
      <c r="AA363" s="514"/>
    </row>
    <row r="364" s="178" customFormat="1" ht="14.25" customHeight="1" spans="1:27">
      <c r="A364" s="527" t="s">
        <v>13</v>
      </c>
      <c r="B364" s="527"/>
      <c r="C364" s="527" t="s">
        <v>4082</v>
      </c>
      <c r="D364" s="527" t="s">
        <v>4083</v>
      </c>
      <c r="E364" s="550">
        <v>1008</v>
      </c>
      <c r="F364" s="546" t="s">
        <v>3979</v>
      </c>
      <c r="G364" s="546" t="s">
        <v>3079</v>
      </c>
      <c r="H364" s="527" t="s">
        <v>4084</v>
      </c>
      <c r="I364" s="215">
        <v>45651</v>
      </c>
      <c r="J364" s="215">
        <v>45681</v>
      </c>
      <c r="K364" s="527" t="s">
        <v>207</v>
      </c>
      <c r="L364" s="500" t="s">
        <v>3069</v>
      </c>
      <c r="M364" s="543" t="s">
        <v>4085</v>
      </c>
      <c r="N364" s="518">
        <v>1445.17</v>
      </c>
      <c r="O364" s="518">
        <v>8907.8</v>
      </c>
      <c r="P364" s="519"/>
      <c r="Q364" s="548">
        <v>45666</v>
      </c>
      <c r="R364" s="548">
        <v>45680</v>
      </c>
      <c r="S364" s="527" t="s">
        <v>309</v>
      </c>
      <c r="T364" s="215">
        <v>45685</v>
      </c>
      <c r="U364" s="215">
        <v>45692</v>
      </c>
      <c r="V364" s="527" t="s">
        <v>20</v>
      </c>
      <c r="W364" s="215">
        <v>45695</v>
      </c>
      <c r="X364" s="566" t="s">
        <v>4086</v>
      </c>
      <c r="Y364" s="568"/>
      <c r="Z364" s="529"/>
      <c r="AA364" s="529"/>
    </row>
    <row r="365" s="178" customFormat="1" ht="14.25" customHeight="1" spans="1:27">
      <c r="A365" s="527" t="s">
        <v>13</v>
      </c>
      <c r="B365" s="527"/>
      <c r="C365" s="527" t="s">
        <v>4087</v>
      </c>
      <c r="D365" s="527" t="s">
        <v>4088</v>
      </c>
      <c r="E365" s="550">
        <v>928</v>
      </c>
      <c r="F365" s="546" t="s">
        <v>3979</v>
      </c>
      <c r="G365" s="546" t="s">
        <v>3079</v>
      </c>
      <c r="H365" s="527" t="s">
        <v>4089</v>
      </c>
      <c r="I365" s="215">
        <v>45656</v>
      </c>
      <c r="J365" s="215">
        <v>45682</v>
      </c>
      <c r="K365" s="527" t="s">
        <v>18</v>
      </c>
      <c r="L365" s="520" t="s">
        <v>3452</v>
      </c>
      <c r="M365" s="543" t="s">
        <v>4090</v>
      </c>
      <c r="N365" s="518">
        <v>1668.21</v>
      </c>
      <c r="O365" s="518">
        <v>9632.79</v>
      </c>
      <c r="P365" s="519"/>
      <c r="Q365" s="548">
        <v>45671</v>
      </c>
      <c r="R365" s="548">
        <v>45678</v>
      </c>
      <c r="S365" s="527" t="s">
        <v>309</v>
      </c>
      <c r="T365" s="215">
        <v>45679</v>
      </c>
      <c r="U365" s="215">
        <v>45687</v>
      </c>
      <c r="V365" s="527" t="s">
        <v>20</v>
      </c>
      <c r="W365" s="215">
        <v>45703</v>
      </c>
      <c r="X365" s="529"/>
      <c r="Y365" s="568"/>
      <c r="Z365" s="529"/>
      <c r="AA365" s="529"/>
    </row>
    <row r="366" s="178" customFormat="1" ht="14.25" customHeight="1" spans="1:27">
      <c r="A366" s="527" t="s">
        <v>157</v>
      </c>
      <c r="B366" s="527"/>
      <c r="C366" s="532">
        <v>712411043858</v>
      </c>
      <c r="D366" s="527" t="s">
        <v>4091</v>
      </c>
      <c r="E366" s="550">
        <v>3930</v>
      </c>
      <c r="F366" s="556" t="s">
        <v>4018</v>
      </c>
      <c r="G366" s="546" t="s">
        <v>4056</v>
      </c>
      <c r="H366" s="527" t="s">
        <v>4092</v>
      </c>
      <c r="I366" s="215">
        <v>45667</v>
      </c>
      <c r="J366" s="215">
        <v>45683</v>
      </c>
      <c r="K366" s="527" t="s">
        <v>161</v>
      </c>
      <c r="L366" s="520" t="s">
        <v>3500</v>
      </c>
      <c r="M366" s="543" t="s">
        <v>4093</v>
      </c>
      <c r="N366" s="518">
        <v>1945.41</v>
      </c>
      <c r="O366" s="518">
        <v>9715</v>
      </c>
      <c r="P366" s="519"/>
      <c r="Q366" s="548">
        <v>45671</v>
      </c>
      <c r="R366" s="548">
        <v>45678</v>
      </c>
      <c r="S366" s="527" t="s">
        <v>309</v>
      </c>
      <c r="T366" s="215">
        <v>45678</v>
      </c>
      <c r="U366" s="215">
        <v>45688</v>
      </c>
      <c r="V366" s="527" t="s">
        <v>20</v>
      </c>
      <c r="W366" s="215">
        <v>45704</v>
      </c>
      <c r="X366" s="529"/>
      <c r="Y366" s="571"/>
      <c r="Z366" s="572"/>
      <c r="AA366" s="572"/>
    </row>
    <row r="367" s="473" customFormat="1" ht="14.25" customHeight="1" spans="1:27">
      <c r="A367" s="546" t="s">
        <v>13</v>
      </c>
      <c r="B367" s="546"/>
      <c r="C367" s="546" t="s">
        <v>4094</v>
      </c>
      <c r="D367" s="546" t="s">
        <v>4095</v>
      </c>
      <c r="E367" s="550">
        <v>928</v>
      </c>
      <c r="F367" s="546" t="s">
        <v>3979</v>
      </c>
      <c r="G367" s="546" t="s">
        <v>3079</v>
      </c>
      <c r="H367" s="546" t="s">
        <v>4096</v>
      </c>
      <c r="I367" s="234">
        <v>45653</v>
      </c>
      <c r="J367" s="234">
        <v>45683</v>
      </c>
      <c r="K367" s="546" t="s">
        <v>39</v>
      </c>
      <c r="L367" s="523" t="s">
        <v>3504</v>
      </c>
      <c r="M367" s="556" t="s">
        <v>4097</v>
      </c>
      <c r="N367" s="518">
        <v>1629.18</v>
      </c>
      <c r="O367" s="518">
        <v>9610.36</v>
      </c>
      <c r="P367" s="519"/>
      <c r="Q367" s="562">
        <v>45666</v>
      </c>
      <c r="R367" s="562">
        <v>45670</v>
      </c>
      <c r="S367" s="546" t="s">
        <v>309</v>
      </c>
      <c r="T367" s="234">
        <v>45679</v>
      </c>
      <c r="U367" s="234">
        <v>45693</v>
      </c>
      <c r="V367" s="546" t="s">
        <v>20</v>
      </c>
      <c r="W367" s="234">
        <v>45704</v>
      </c>
      <c r="X367" s="563"/>
      <c r="Y367" s="549"/>
      <c r="Z367" s="547"/>
      <c r="AA367" s="547"/>
    </row>
    <row r="368" s="178" customFormat="1" ht="14.25" customHeight="1" spans="1:27">
      <c r="A368" s="527" t="s">
        <v>78</v>
      </c>
      <c r="B368" s="527"/>
      <c r="C368" s="527" t="s">
        <v>4098</v>
      </c>
      <c r="D368" s="527" t="s">
        <v>4099</v>
      </c>
      <c r="E368" s="550" t="s">
        <v>309</v>
      </c>
      <c r="F368" s="546" t="s">
        <v>309</v>
      </c>
      <c r="G368" s="546" t="s">
        <v>3032</v>
      </c>
      <c r="H368" s="527" t="s">
        <v>4057</v>
      </c>
      <c r="I368" s="215">
        <v>45666</v>
      </c>
      <c r="J368" s="215">
        <v>45685</v>
      </c>
      <c r="K368" s="527" t="s">
        <v>3038</v>
      </c>
      <c r="L368" s="542" t="s">
        <v>309</v>
      </c>
      <c r="M368" s="543" t="s">
        <v>4100</v>
      </c>
      <c r="N368" s="518"/>
      <c r="O368" s="518"/>
      <c r="P368" s="519"/>
      <c r="Q368" s="548">
        <v>45678</v>
      </c>
      <c r="R368" s="543" t="s">
        <v>309</v>
      </c>
      <c r="S368" s="527" t="s">
        <v>309</v>
      </c>
      <c r="T368" s="527" t="s">
        <v>309</v>
      </c>
      <c r="U368" s="527" t="s">
        <v>309</v>
      </c>
      <c r="V368" s="527" t="s">
        <v>309</v>
      </c>
      <c r="W368" s="215">
        <v>45698</v>
      </c>
      <c r="X368" s="529"/>
      <c r="Y368" s="571"/>
      <c r="Z368" s="572"/>
      <c r="AA368" s="572"/>
    </row>
    <row r="369" s="178" customFormat="1" ht="14.25" customHeight="1" spans="1:27">
      <c r="A369" s="527" t="s">
        <v>72</v>
      </c>
      <c r="B369" s="527"/>
      <c r="C369" s="527" t="s">
        <v>4098</v>
      </c>
      <c r="D369" s="527" t="s">
        <v>4101</v>
      </c>
      <c r="E369" s="550" t="s">
        <v>309</v>
      </c>
      <c r="F369" s="546" t="s">
        <v>309</v>
      </c>
      <c r="G369" s="546" t="s">
        <v>3032</v>
      </c>
      <c r="H369" s="527" t="s">
        <v>4057</v>
      </c>
      <c r="I369" s="215">
        <v>45666</v>
      </c>
      <c r="J369" s="215">
        <v>45685</v>
      </c>
      <c r="K369" s="527" t="s">
        <v>3038</v>
      </c>
      <c r="L369" s="542" t="s">
        <v>309</v>
      </c>
      <c r="M369" s="543" t="s">
        <v>4102</v>
      </c>
      <c r="N369" s="518"/>
      <c r="O369" s="518"/>
      <c r="P369" s="519"/>
      <c r="Q369" s="548">
        <v>45678</v>
      </c>
      <c r="R369" s="543" t="s">
        <v>309</v>
      </c>
      <c r="S369" s="527" t="s">
        <v>309</v>
      </c>
      <c r="T369" s="527" t="s">
        <v>309</v>
      </c>
      <c r="U369" s="527" t="s">
        <v>309</v>
      </c>
      <c r="V369" s="527" t="s">
        <v>309</v>
      </c>
      <c r="W369" s="215">
        <v>45698</v>
      </c>
      <c r="X369" s="529"/>
      <c r="Y369" s="571"/>
      <c r="Z369" s="572"/>
      <c r="AA369" s="572"/>
    </row>
    <row r="370" s="178" customFormat="1" ht="14.25" customHeight="1" spans="1:27">
      <c r="A370" s="527" t="s">
        <v>78</v>
      </c>
      <c r="B370" s="527"/>
      <c r="C370" s="527" t="s">
        <v>4098</v>
      </c>
      <c r="D370" s="527" t="s">
        <v>4103</v>
      </c>
      <c r="E370" s="550" t="s">
        <v>309</v>
      </c>
      <c r="F370" s="546" t="s">
        <v>309</v>
      </c>
      <c r="G370" s="546" t="s">
        <v>3032</v>
      </c>
      <c r="H370" s="527" t="s">
        <v>4057</v>
      </c>
      <c r="I370" s="215">
        <v>45666</v>
      </c>
      <c r="J370" s="215">
        <v>45685</v>
      </c>
      <c r="K370" s="527" t="s">
        <v>3038</v>
      </c>
      <c r="L370" s="542" t="s">
        <v>309</v>
      </c>
      <c r="M370" s="543" t="s">
        <v>4104</v>
      </c>
      <c r="N370" s="518"/>
      <c r="O370" s="518"/>
      <c r="P370" s="519"/>
      <c r="Q370" s="548">
        <v>45678</v>
      </c>
      <c r="R370" s="543" t="s">
        <v>309</v>
      </c>
      <c r="S370" s="527" t="s">
        <v>309</v>
      </c>
      <c r="T370" s="527" t="s">
        <v>309</v>
      </c>
      <c r="U370" s="527" t="s">
        <v>309</v>
      </c>
      <c r="V370" s="527" t="s">
        <v>309</v>
      </c>
      <c r="W370" s="215">
        <v>45698</v>
      </c>
      <c r="X370" s="529"/>
      <c r="Y370" s="571"/>
      <c r="Z370" s="572"/>
      <c r="AA370" s="572"/>
    </row>
    <row r="371" s="178" customFormat="1" ht="14.25" customHeight="1" spans="1:27">
      <c r="A371" s="527" t="s">
        <v>72</v>
      </c>
      <c r="B371" s="527"/>
      <c r="C371" s="527" t="s">
        <v>4098</v>
      </c>
      <c r="D371" s="527" t="s">
        <v>4105</v>
      </c>
      <c r="E371" s="550" t="s">
        <v>309</v>
      </c>
      <c r="F371" s="546" t="s">
        <v>309</v>
      </c>
      <c r="G371" s="546" t="s">
        <v>3032</v>
      </c>
      <c r="H371" s="527" t="s">
        <v>4057</v>
      </c>
      <c r="I371" s="215">
        <v>45666</v>
      </c>
      <c r="J371" s="215">
        <v>45685</v>
      </c>
      <c r="K371" s="527" t="s">
        <v>3038</v>
      </c>
      <c r="L371" s="542" t="s">
        <v>309</v>
      </c>
      <c r="M371" s="543" t="s">
        <v>4106</v>
      </c>
      <c r="N371" s="518"/>
      <c r="O371" s="518"/>
      <c r="P371" s="519"/>
      <c r="Q371" s="548">
        <v>45678</v>
      </c>
      <c r="R371" s="543" t="s">
        <v>309</v>
      </c>
      <c r="S371" s="527" t="s">
        <v>309</v>
      </c>
      <c r="T371" s="527" t="s">
        <v>309</v>
      </c>
      <c r="U371" s="527" t="s">
        <v>309</v>
      </c>
      <c r="V371" s="527" t="s">
        <v>309</v>
      </c>
      <c r="W371" s="215">
        <v>45698</v>
      </c>
      <c r="X371" s="529"/>
      <c r="Y371" s="571"/>
      <c r="Z371" s="572"/>
      <c r="AA371" s="572"/>
    </row>
    <row r="372" s="178" customFormat="1" ht="14.25" customHeight="1" spans="1:27">
      <c r="A372" s="527" t="s">
        <v>13</v>
      </c>
      <c r="B372" s="527"/>
      <c r="C372" s="527" t="s">
        <v>4098</v>
      </c>
      <c r="D372" s="527" t="s">
        <v>4107</v>
      </c>
      <c r="E372" s="550" t="s">
        <v>309</v>
      </c>
      <c r="F372" s="546" t="s">
        <v>309</v>
      </c>
      <c r="G372" s="546" t="s">
        <v>3032</v>
      </c>
      <c r="H372" s="527" t="s">
        <v>4057</v>
      </c>
      <c r="I372" s="215">
        <v>45666</v>
      </c>
      <c r="J372" s="215">
        <v>45685</v>
      </c>
      <c r="K372" s="527" t="s">
        <v>3038</v>
      </c>
      <c r="L372" s="542" t="s">
        <v>309</v>
      </c>
      <c r="M372" s="543" t="s">
        <v>4108</v>
      </c>
      <c r="N372" s="518"/>
      <c r="O372" s="518"/>
      <c r="P372" s="519"/>
      <c r="Q372" s="548">
        <v>45678</v>
      </c>
      <c r="R372" s="543" t="s">
        <v>309</v>
      </c>
      <c r="S372" s="527" t="s">
        <v>309</v>
      </c>
      <c r="T372" s="527" t="s">
        <v>309</v>
      </c>
      <c r="U372" s="527" t="s">
        <v>309</v>
      </c>
      <c r="V372" s="527" t="s">
        <v>309</v>
      </c>
      <c r="W372" s="215">
        <v>45698</v>
      </c>
      <c r="X372" s="529"/>
      <c r="Y372" s="571"/>
      <c r="Z372" s="572"/>
      <c r="AA372" s="572"/>
    </row>
    <row r="373" s="178" customFormat="1" ht="14.25" customHeight="1" spans="1:27">
      <c r="A373" s="527" t="s">
        <v>13</v>
      </c>
      <c r="B373" s="527"/>
      <c r="C373" s="532">
        <v>712411043131</v>
      </c>
      <c r="D373" s="527" t="s">
        <v>4109</v>
      </c>
      <c r="E373" s="550">
        <v>3930</v>
      </c>
      <c r="F373" s="556" t="s">
        <v>4018</v>
      </c>
      <c r="G373" s="546" t="s">
        <v>4056</v>
      </c>
      <c r="H373" s="527" t="s">
        <v>4057</v>
      </c>
      <c r="I373" s="215">
        <v>45667</v>
      </c>
      <c r="J373" s="215">
        <v>45685</v>
      </c>
      <c r="K373" s="527" t="s">
        <v>3038</v>
      </c>
      <c r="L373" s="542" t="s">
        <v>3324</v>
      </c>
      <c r="M373" s="543" t="s">
        <v>309</v>
      </c>
      <c r="N373" s="518">
        <v>1659.62</v>
      </c>
      <c r="O373" s="518">
        <v>13372.7</v>
      </c>
      <c r="P373" s="519">
        <v>550</v>
      </c>
      <c r="Q373" s="548">
        <v>45672</v>
      </c>
      <c r="R373" s="548">
        <v>45679</v>
      </c>
      <c r="S373" s="527" t="s">
        <v>309</v>
      </c>
      <c r="T373" s="215">
        <v>45680</v>
      </c>
      <c r="U373" s="215">
        <v>45688</v>
      </c>
      <c r="V373" s="527" t="s">
        <v>20</v>
      </c>
      <c r="W373" s="215">
        <v>45705</v>
      </c>
      <c r="X373" s="529"/>
      <c r="Y373" s="571"/>
      <c r="Z373" s="572"/>
      <c r="AA373" s="572"/>
    </row>
    <row r="374" s="178" customFormat="1" ht="14.25" customHeight="1" spans="1:27">
      <c r="A374" s="527" t="s">
        <v>13</v>
      </c>
      <c r="B374" s="527"/>
      <c r="C374" s="532">
        <v>712411042974</v>
      </c>
      <c r="D374" s="527" t="s">
        <v>4110</v>
      </c>
      <c r="E374" s="550">
        <v>3930</v>
      </c>
      <c r="F374" s="556" t="s">
        <v>4018</v>
      </c>
      <c r="G374" s="546" t="s">
        <v>4056</v>
      </c>
      <c r="H374" s="527" t="s">
        <v>4057</v>
      </c>
      <c r="I374" s="215">
        <v>45667</v>
      </c>
      <c r="J374" s="215">
        <v>45685</v>
      </c>
      <c r="K374" s="527" t="s">
        <v>3038</v>
      </c>
      <c r="L374" s="542" t="s">
        <v>3324</v>
      </c>
      <c r="M374" s="543" t="s">
        <v>309</v>
      </c>
      <c r="N374" s="518">
        <v>1527.62</v>
      </c>
      <c r="O374" s="518">
        <v>13372.7</v>
      </c>
      <c r="P374" s="519">
        <v>550</v>
      </c>
      <c r="Q374" s="548">
        <v>45678</v>
      </c>
      <c r="R374" s="548">
        <v>45679</v>
      </c>
      <c r="S374" s="527" t="s">
        <v>309</v>
      </c>
      <c r="T374" s="215">
        <v>45680</v>
      </c>
      <c r="U374" s="215">
        <v>45688</v>
      </c>
      <c r="V374" s="527" t="s">
        <v>20</v>
      </c>
      <c r="W374" s="215">
        <v>45705</v>
      </c>
      <c r="X374" s="529"/>
      <c r="Y374" s="571"/>
      <c r="Z374" s="572"/>
      <c r="AA374" s="572"/>
    </row>
    <row r="375" s="178" customFormat="1" ht="14.25" customHeight="1" spans="1:27">
      <c r="A375" s="527" t="s">
        <v>13</v>
      </c>
      <c r="B375" s="527"/>
      <c r="C375" s="532">
        <v>712411042738</v>
      </c>
      <c r="D375" s="527" t="s">
        <v>4111</v>
      </c>
      <c r="E375" s="550">
        <v>3930</v>
      </c>
      <c r="F375" s="556" t="s">
        <v>4018</v>
      </c>
      <c r="G375" s="546" t="s">
        <v>4056</v>
      </c>
      <c r="H375" s="527" t="s">
        <v>4057</v>
      </c>
      <c r="I375" s="215">
        <v>45667</v>
      </c>
      <c r="J375" s="215">
        <v>45685</v>
      </c>
      <c r="K375" s="527" t="s">
        <v>3038</v>
      </c>
      <c r="L375" s="542" t="s">
        <v>3457</v>
      </c>
      <c r="M375" s="543" t="s">
        <v>309</v>
      </c>
      <c r="N375" s="518">
        <f>1649.78-75.83</f>
        <v>1573.95</v>
      </c>
      <c r="O375" s="518">
        <v>13718.33</v>
      </c>
      <c r="P375" s="519">
        <v>495</v>
      </c>
      <c r="Q375" s="548">
        <v>45678</v>
      </c>
      <c r="R375" s="548">
        <v>45679</v>
      </c>
      <c r="S375" s="527" t="s">
        <v>309</v>
      </c>
      <c r="T375" s="215">
        <v>45680</v>
      </c>
      <c r="U375" s="215">
        <v>45688</v>
      </c>
      <c r="V375" s="527" t="s">
        <v>20</v>
      </c>
      <c r="W375" s="215">
        <v>45705</v>
      </c>
      <c r="X375" s="529"/>
      <c r="Y375" s="571"/>
      <c r="Z375" s="572"/>
      <c r="AA375" s="572"/>
    </row>
    <row r="376" s="178" customFormat="1" ht="14.25" customHeight="1" spans="1:27">
      <c r="A376" s="527" t="s">
        <v>13</v>
      </c>
      <c r="B376" s="527"/>
      <c r="C376" s="532">
        <v>712411042783</v>
      </c>
      <c r="D376" s="527" t="s">
        <v>4112</v>
      </c>
      <c r="E376" s="550">
        <v>3930</v>
      </c>
      <c r="F376" s="556" t="s">
        <v>4018</v>
      </c>
      <c r="G376" s="546" t="s">
        <v>4056</v>
      </c>
      <c r="H376" s="527" t="s">
        <v>4057</v>
      </c>
      <c r="I376" s="215">
        <v>45667</v>
      </c>
      <c r="J376" s="215">
        <v>45685</v>
      </c>
      <c r="K376" s="527" t="s">
        <v>3038</v>
      </c>
      <c r="L376" s="542" t="s">
        <v>3457</v>
      </c>
      <c r="M376" s="543" t="s">
        <v>309</v>
      </c>
      <c r="N376" s="518">
        <f>46.41+1673.43</f>
        <v>1719.84</v>
      </c>
      <c r="O376" s="518">
        <v>13260.62</v>
      </c>
      <c r="P376" s="519">
        <v>495</v>
      </c>
      <c r="Q376" s="548">
        <v>45678</v>
      </c>
      <c r="R376" s="548">
        <v>45679</v>
      </c>
      <c r="S376" s="527" t="s">
        <v>309</v>
      </c>
      <c r="T376" s="215">
        <v>45685</v>
      </c>
      <c r="U376" s="215">
        <v>45688</v>
      </c>
      <c r="V376" s="527" t="s">
        <v>20</v>
      </c>
      <c r="W376" s="215">
        <v>45705</v>
      </c>
      <c r="X376" s="529"/>
      <c r="Y376" s="571"/>
      <c r="Z376" s="572"/>
      <c r="AA376" s="572"/>
    </row>
    <row r="377" s="178" customFormat="1" ht="14.25" customHeight="1" spans="1:27">
      <c r="A377" s="527" t="s">
        <v>2038</v>
      </c>
      <c r="B377" s="527"/>
      <c r="C377" s="532">
        <v>712411054250</v>
      </c>
      <c r="D377" s="527" t="s">
        <v>4113</v>
      </c>
      <c r="E377" s="550" t="s">
        <v>4114</v>
      </c>
      <c r="F377" s="546" t="s">
        <v>4115</v>
      </c>
      <c r="G377" s="546" t="s">
        <v>3032</v>
      </c>
      <c r="H377" s="527" t="s">
        <v>4057</v>
      </c>
      <c r="I377" s="215">
        <v>45667</v>
      </c>
      <c r="J377" s="215">
        <v>45685</v>
      </c>
      <c r="K377" s="527" t="s">
        <v>18</v>
      </c>
      <c r="L377" s="542" t="s">
        <v>3457</v>
      </c>
      <c r="M377" s="543" t="s">
        <v>654</v>
      </c>
      <c r="N377" s="518">
        <f>8037.38-54.16</f>
        <v>7983.22</v>
      </c>
      <c r="O377" s="518">
        <v>62313.72</v>
      </c>
      <c r="P377" s="519">
        <v>495</v>
      </c>
      <c r="Q377" s="548">
        <v>45677</v>
      </c>
      <c r="R377" s="548">
        <v>45679</v>
      </c>
      <c r="S377" s="527" t="s">
        <v>309</v>
      </c>
      <c r="T377" s="215">
        <v>45681</v>
      </c>
      <c r="U377" s="215">
        <v>45688</v>
      </c>
      <c r="V377" s="527" t="s">
        <v>20</v>
      </c>
      <c r="W377" s="215">
        <v>45705</v>
      </c>
      <c r="X377" s="529" t="s">
        <v>4116</v>
      </c>
      <c r="Y377" s="571"/>
      <c r="Z377" s="572"/>
      <c r="AA377" s="572"/>
    </row>
    <row r="378" s="178" customFormat="1" ht="14.25" customHeight="1" spans="1:27">
      <c r="A378" s="527" t="s">
        <v>2038</v>
      </c>
      <c r="B378" s="527"/>
      <c r="C378" s="532">
        <v>712411054250</v>
      </c>
      <c r="D378" s="558" t="s">
        <v>4117</v>
      </c>
      <c r="E378" s="550" t="s">
        <v>4114</v>
      </c>
      <c r="F378" s="546" t="s">
        <v>4115</v>
      </c>
      <c r="G378" s="546" t="s">
        <v>3032</v>
      </c>
      <c r="H378" s="527" t="s">
        <v>4057</v>
      </c>
      <c r="I378" s="215">
        <v>45667</v>
      </c>
      <c r="J378" s="215">
        <v>45685</v>
      </c>
      <c r="K378" s="527" t="s">
        <v>18</v>
      </c>
      <c r="L378" s="542" t="s">
        <v>3324</v>
      </c>
      <c r="M378" s="543" t="s">
        <v>309</v>
      </c>
      <c r="N378" s="518">
        <v>0</v>
      </c>
      <c r="O378" s="518">
        <v>0</v>
      </c>
      <c r="P378" s="519">
        <v>500</v>
      </c>
      <c r="Q378" s="548">
        <v>45677</v>
      </c>
      <c r="R378" s="548">
        <v>45679</v>
      </c>
      <c r="S378" s="527" t="s">
        <v>309</v>
      </c>
      <c r="T378" s="215">
        <v>45681</v>
      </c>
      <c r="U378" s="215">
        <v>45688</v>
      </c>
      <c r="V378" s="527" t="s">
        <v>20</v>
      </c>
      <c r="W378" s="215">
        <v>45705</v>
      </c>
      <c r="X378" s="529"/>
      <c r="Y378" s="571"/>
      <c r="Z378" s="572"/>
      <c r="AA378" s="572"/>
    </row>
    <row r="379" s="178" customFormat="1" ht="14.25" customHeight="1" spans="1:27">
      <c r="A379" s="527" t="s">
        <v>2038</v>
      </c>
      <c r="B379" s="527"/>
      <c r="C379" s="532">
        <v>712411054250</v>
      </c>
      <c r="D379" s="527" t="s">
        <v>4118</v>
      </c>
      <c r="E379" s="550" t="s">
        <v>4114</v>
      </c>
      <c r="F379" s="546" t="s">
        <v>4115</v>
      </c>
      <c r="G379" s="546" t="s">
        <v>3032</v>
      </c>
      <c r="H379" s="527" t="s">
        <v>4057</v>
      </c>
      <c r="I379" s="215">
        <v>45667</v>
      </c>
      <c r="J379" s="215">
        <v>45685</v>
      </c>
      <c r="K379" s="527" t="s">
        <v>18</v>
      </c>
      <c r="L379" s="542" t="s">
        <v>3457</v>
      </c>
      <c r="M379" s="543" t="s">
        <v>309</v>
      </c>
      <c r="N379" s="518">
        <v>0</v>
      </c>
      <c r="O379" s="518">
        <v>0</v>
      </c>
      <c r="P379" s="519">
        <v>495</v>
      </c>
      <c r="Q379" s="548">
        <v>45677</v>
      </c>
      <c r="R379" s="548">
        <v>45679</v>
      </c>
      <c r="S379" s="527" t="s">
        <v>309</v>
      </c>
      <c r="T379" s="215">
        <v>45681</v>
      </c>
      <c r="U379" s="215">
        <v>45688</v>
      </c>
      <c r="V379" s="527" t="s">
        <v>20</v>
      </c>
      <c r="W379" s="215">
        <v>45705</v>
      </c>
      <c r="X379" s="529"/>
      <c r="Y379" s="568"/>
      <c r="Z379" s="529"/>
      <c r="AA379" s="529"/>
    </row>
    <row r="380" s="178" customFormat="1" ht="14.25" customHeight="1" spans="1:27">
      <c r="A380" s="527" t="s">
        <v>13</v>
      </c>
      <c r="B380" s="527"/>
      <c r="C380" s="532">
        <v>712411043056</v>
      </c>
      <c r="D380" s="527" t="s">
        <v>4119</v>
      </c>
      <c r="E380" s="550">
        <v>3930</v>
      </c>
      <c r="F380" s="556" t="s">
        <v>4018</v>
      </c>
      <c r="G380" s="546" t="s">
        <v>4056</v>
      </c>
      <c r="H380" s="527" t="s">
        <v>4057</v>
      </c>
      <c r="I380" s="215">
        <v>45667</v>
      </c>
      <c r="J380" s="215">
        <v>45685</v>
      </c>
      <c r="K380" s="527" t="s">
        <v>3038</v>
      </c>
      <c r="L380" s="542" t="s">
        <v>3324</v>
      </c>
      <c r="M380" s="543" t="s">
        <v>309</v>
      </c>
      <c r="N380" s="518">
        <v>1527.62</v>
      </c>
      <c r="O380" s="518">
        <v>13372.7</v>
      </c>
      <c r="P380" s="519">
        <v>550</v>
      </c>
      <c r="Q380" s="548">
        <v>45679</v>
      </c>
      <c r="R380" s="548">
        <v>45679</v>
      </c>
      <c r="S380" s="527" t="s">
        <v>309</v>
      </c>
      <c r="T380" s="215">
        <v>45680</v>
      </c>
      <c r="U380" s="215">
        <v>45691</v>
      </c>
      <c r="V380" s="527" t="s">
        <v>20</v>
      </c>
      <c r="W380" s="215">
        <v>45705</v>
      </c>
      <c r="X380" s="529"/>
      <c r="Y380" s="571"/>
      <c r="Z380" s="572"/>
      <c r="AA380" s="572"/>
    </row>
    <row r="381" s="178" customFormat="1" ht="14.25" customHeight="1" spans="1:27">
      <c r="A381" s="527" t="s">
        <v>13</v>
      </c>
      <c r="B381" s="527"/>
      <c r="C381" s="532">
        <v>712411043575</v>
      </c>
      <c r="D381" s="527" t="s">
        <v>4120</v>
      </c>
      <c r="E381" s="550">
        <v>3930</v>
      </c>
      <c r="F381" s="556" t="s">
        <v>4018</v>
      </c>
      <c r="G381" s="546" t="s">
        <v>4056</v>
      </c>
      <c r="H381" s="527" t="s">
        <v>4057</v>
      </c>
      <c r="I381" s="215">
        <v>45667</v>
      </c>
      <c r="J381" s="215">
        <v>45685</v>
      </c>
      <c r="K381" s="527" t="s">
        <v>3038</v>
      </c>
      <c r="L381" s="542" t="s">
        <v>3324</v>
      </c>
      <c r="M381" s="543" t="s">
        <v>309</v>
      </c>
      <c r="N381" s="518">
        <v>1527.62</v>
      </c>
      <c r="O381" s="518">
        <v>13766.5</v>
      </c>
      <c r="P381" s="519">
        <v>550</v>
      </c>
      <c r="Q381" s="548">
        <v>45679</v>
      </c>
      <c r="R381" s="548">
        <v>45679</v>
      </c>
      <c r="S381" s="527" t="s">
        <v>309</v>
      </c>
      <c r="T381" s="215">
        <v>45680</v>
      </c>
      <c r="U381" s="215">
        <v>45691</v>
      </c>
      <c r="V381" s="527" t="s">
        <v>20</v>
      </c>
      <c r="W381" s="215">
        <v>45705</v>
      </c>
      <c r="X381" s="529"/>
      <c r="Y381" s="571"/>
      <c r="Z381" s="572"/>
      <c r="AA381" s="572"/>
    </row>
    <row r="382" s="473" customFormat="1" ht="14.25" customHeight="1" spans="1:27">
      <c r="A382" s="546" t="s">
        <v>13</v>
      </c>
      <c r="B382" s="546"/>
      <c r="C382" s="551">
        <v>712411043407</v>
      </c>
      <c r="D382" s="546" t="s">
        <v>4121</v>
      </c>
      <c r="E382" s="550">
        <v>3930</v>
      </c>
      <c r="F382" s="556" t="s">
        <v>4018</v>
      </c>
      <c r="G382" s="546" t="s">
        <v>4056</v>
      </c>
      <c r="H382" s="546" t="s">
        <v>4057</v>
      </c>
      <c r="I382" s="234">
        <v>45667</v>
      </c>
      <c r="J382" s="234">
        <v>45685</v>
      </c>
      <c r="K382" s="546" t="s">
        <v>3038</v>
      </c>
      <c r="L382" s="559" t="s">
        <v>3457</v>
      </c>
      <c r="M382" s="556" t="s">
        <v>309</v>
      </c>
      <c r="N382" s="518">
        <f>1649.78-65.67</f>
        <v>1584.11</v>
      </c>
      <c r="O382" s="518">
        <v>12419.35</v>
      </c>
      <c r="P382" s="519">
        <v>495</v>
      </c>
      <c r="Q382" s="562">
        <v>45679</v>
      </c>
      <c r="R382" s="562">
        <v>45679</v>
      </c>
      <c r="S382" s="546" t="s">
        <v>309</v>
      </c>
      <c r="T382" s="234">
        <v>45680</v>
      </c>
      <c r="U382" s="234">
        <v>45688</v>
      </c>
      <c r="V382" s="546" t="s">
        <v>20</v>
      </c>
      <c r="W382" s="234">
        <v>45705</v>
      </c>
      <c r="X382" s="563"/>
      <c r="Y382" s="549"/>
      <c r="Z382" s="547"/>
      <c r="AA382" s="547"/>
    </row>
    <row r="383" s="473" customFormat="1" ht="14.25" customHeight="1" spans="1:27">
      <c r="A383" s="546" t="s">
        <v>2038</v>
      </c>
      <c r="B383" s="546"/>
      <c r="C383" s="551">
        <v>712411054250</v>
      </c>
      <c r="D383" s="546" t="s">
        <v>4122</v>
      </c>
      <c r="E383" s="550" t="s">
        <v>4114</v>
      </c>
      <c r="F383" s="546" t="s">
        <v>4115</v>
      </c>
      <c r="G383" s="546" t="s">
        <v>3032</v>
      </c>
      <c r="H383" s="546" t="s">
        <v>4057</v>
      </c>
      <c r="I383" s="234">
        <v>45667</v>
      </c>
      <c r="J383" s="234">
        <v>45685</v>
      </c>
      <c r="K383" s="546" t="s">
        <v>18</v>
      </c>
      <c r="L383" s="559" t="s">
        <v>3457</v>
      </c>
      <c r="M383" s="556" t="s">
        <v>654</v>
      </c>
      <c r="N383" s="518">
        <v>0</v>
      </c>
      <c r="O383" s="518">
        <v>0</v>
      </c>
      <c r="P383" s="519">
        <v>495</v>
      </c>
      <c r="Q383" s="562">
        <v>45677</v>
      </c>
      <c r="R383" s="562">
        <v>45679</v>
      </c>
      <c r="S383" s="546" t="s">
        <v>309</v>
      </c>
      <c r="T383" s="234">
        <v>45681</v>
      </c>
      <c r="U383" s="234">
        <v>45691</v>
      </c>
      <c r="V383" s="546" t="s">
        <v>20</v>
      </c>
      <c r="W383" s="234">
        <v>45705</v>
      </c>
      <c r="X383" s="563" t="s">
        <v>4116</v>
      </c>
      <c r="Y383" s="549"/>
      <c r="Z383" s="547"/>
      <c r="AA383" s="547"/>
    </row>
    <row r="384" s="473" customFormat="1" ht="14.25" customHeight="1" spans="1:27">
      <c r="A384" s="546" t="s">
        <v>2038</v>
      </c>
      <c r="B384" s="546"/>
      <c r="C384" s="551">
        <v>712411054250</v>
      </c>
      <c r="D384" s="546" t="s">
        <v>4123</v>
      </c>
      <c r="E384" s="550" t="s">
        <v>4114</v>
      </c>
      <c r="F384" s="546" t="s">
        <v>4115</v>
      </c>
      <c r="G384" s="546" t="s">
        <v>3032</v>
      </c>
      <c r="H384" s="546" t="s">
        <v>4057</v>
      </c>
      <c r="I384" s="234">
        <v>45667</v>
      </c>
      <c r="J384" s="234">
        <v>45685</v>
      </c>
      <c r="K384" s="546" t="s">
        <v>18</v>
      </c>
      <c r="L384" s="559" t="s">
        <v>3457</v>
      </c>
      <c r="M384" s="556" t="s">
        <v>309</v>
      </c>
      <c r="N384" s="518">
        <v>0</v>
      </c>
      <c r="O384" s="518">
        <v>0</v>
      </c>
      <c r="P384" s="519">
        <v>495</v>
      </c>
      <c r="Q384" s="562">
        <v>45677</v>
      </c>
      <c r="R384" s="562">
        <v>45679</v>
      </c>
      <c r="S384" s="546" t="s">
        <v>309</v>
      </c>
      <c r="T384" s="234">
        <v>45681</v>
      </c>
      <c r="U384" s="234">
        <v>45691</v>
      </c>
      <c r="V384" s="546" t="s">
        <v>20</v>
      </c>
      <c r="W384" s="234">
        <v>45705</v>
      </c>
      <c r="X384" s="563"/>
      <c r="Y384" s="549"/>
      <c r="Z384" s="547"/>
      <c r="AA384" s="547"/>
    </row>
    <row r="385" s="178" customFormat="1" ht="14.25" customHeight="1" spans="1:27">
      <c r="A385" s="527" t="s">
        <v>13</v>
      </c>
      <c r="B385" s="527"/>
      <c r="C385" s="532">
        <v>712411042868</v>
      </c>
      <c r="D385" s="527" t="s">
        <v>4124</v>
      </c>
      <c r="E385" s="550">
        <v>3930</v>
      </c>
      <c r="F385" s="556" t="s">
        <v>4018</v>
      </c>
      <c r="G385" s="546" t="s">
        <v>4056</v>
      </c>
      <c r="H385" s="527" t="s">
        <v>4057</v>
      </c>
      <c r="I385" s="215">
        <v>45667</v>
      </c>
      <c r="J385" s="215">
        <v>45685</v>
      </c>
      <c r="K385" s="527" t="s">
        <v>3038</v>
      </c>
      <c r="L385" s="542" t="s">
        <v>3457</v>
      </c>
      <c r="M385" s="543" t="s">
        <v>309</v>
      </c>
      <c r="N385" s="518">
        <v>1673.43</v>
      </c>
      <c r="O385" s="518">
        <v>12286.16</v>
      </c>
      <c r="P385" s="519">
        <v>495</v>
      </c>
      <c r="Q385" s="548">
        <v>45679</v>
      </c>
      <c r="R385" s="548">
        <v>45679</v>
      </c>
      <c r="S385" s="527" t="s">
        <v>309</v>
      </c>
      <c r="T385" s="215">
        <v>45680</v>
      </c>
      <c r="U385" s="215">
        <v>45691</v>
      </c>
      <c r="V385" s="527" t="s">
        <v>20</v>
      </c>
      <c r="W385" s="215">
        <v>45705</v>
      </c>
      <c r="X385" s="529"/>
      <c r="Y385" s="571"/>
      <c r="Z385" s="572"/>
      <c r="AA385" s="572"/>
    </row>
    <row r="386" s="178" customFormat="1" ht="14.25" customHeight="1" spans="1:27">
      <c r="A386" s="527" t="s">
        <v>13</v>
      </c>
      <c r="B386" s="527"/>
      <c r="C386" s="532">
        <v>712411042905</v>
      </c>
      <c r="D386" s="527" t="s">
        <v>4125</v>
      </c>
      <c r="E386" s="550">
        <v>3930</v>
      </c>
      <c r="F386" s="556" t="s">
        <v>4018</v>
      </c>
      <c r="G386" s="546" t="s">
        <v>4056</v>
      </c>
      <c r="H386" s="527" t="s">
        <v>4057</v>
      </c>
      <c r="I386" s="215">
        <v>45667</v>
      </c>
      <c r="J386" s="215">
        <v>45685</v>
      </c>
      <c r="K386" s="527" t="s">
        <v>3038</v>
      </c>
      <c r="L386" s="542" t="s">
        <v>3457</v>
      </c>
      <c r="M386" s="543" t="s">
        <v>309</v>
      </c>
      <c r="N386" s="518">
        <v>1673.43</v>
      </c>
      <c r="O386" s="518">
        <v>12286.16</v>
      </c>
      <c r="P386" s="519">
        <v>495</v>
      </c>
      <c r="Q386" s="548">
        <v>45679</v>
      </c>
      <c r="R386" s="548">
        <v>45679</v>
      </c>
      <c r="S386" s="527" t="s">
        <v>309</v>
      </c>
      <c r="T386" s="215">
        <v>45680</v>
      </c>
      <c r="U386" s="215">
        <v>45691</v>
      </c>
      <c r="V386" s="527" t="s">
        <v>20</v>
      </c>
      <c r="W386" s="215">
        <v>45705</v>
      </c>
      <c r="X386" s="529"/>
      <c r="Y386" s="571"/>
      <c r="Z386" s="572"/>
      <c r="AA386" s="572"/>
    </row>
    <row r="387" s="178" customFormat="1" ht="14.25" customHeight="1" spans="1:27">
      <c r="A387" s="527" t="s">
        <v>13</v>
      </c>
      <c r="B387" s="527"/>
      <c r="C387" s="532">
        <v>712411042950</v>
      </c>
      <c r="D387" s="527" t="s">
        <v>4126</v>
      </c>
      <c r="E387" s="550">
        <v>3930</v>
      </c>
      <c r="F387" s="556" t="s">
        <v>4018</v>
      </c>
      <c r="G387" s="546" t="s">
        <v>4056</v>
      </c>
      <c r="H387" s="527" t="s">
        <v>4057</v>
      </c>
      <c r="I387" s="215">
        <v>45667</v>
      </c>
      <c r="J387" s="215">
        <v>45685</v>
      </c>
      <c r="K387" s="527" t="s">
        <v>3038</v>
      </c>
      <c r="L387" s="542" t="s">
        <v>3457</v>
      </c>
      <c r="M387" s="543" t="s">
        <v>309</v>
      </c>
      <c r="N387" s="518">
        <v>1673.43</v>
      </c>
      <c r="O387" s="518"/>
      <c r="P387" s="519">
        <v>495</v>
      </c>
      <c r="Q387" s="548">
        <v>45679</v>
      </c>
      <c r="R387" s="548">
        <v>45679</v>
      </c>
      <c r="S387" s="527" t="s">
        <v>309</v>
      </c>
      <c r="T387" s="215">
        <v>45680</v>
      </c>
      <c r="U387" s="215">
        <v>45688</v>
      </c>
      <c r="V387" s="527" t="s">
        <v>20</v>
      </c>
      <c r="W387" s="215">
        <v>45705</v>
      </c>
      <c r="X387" s="529"/>
      <c r="Y387" s="571"/>
      <c r="Z387" s="572"/>
      <c r="AA387" s="572"/>
    </row>
    <row r="388" s="178" customFormat="1" ht="14.25" customHeight="1" spans="1:27">
      <c r="A388" s="527" t="s">
        <v>13</v>
      </c>
      <c r="B388" s="527"/>
      <c r="C388" s="532">
        <v>712411042844</v>
      </c>
      <c r="D388" s="527" t="s">
        <v>4127</v>
      </c>
      <c r="E388" s="550">
        <v>3930</v>
      </c>
      <c r="F388" s="556" t="s">
        <v>4018</v>
      </c>
      <c r="G388" s="546" t="s">
        <v>4056</v>
      </c>
      <c r="H388" s="527" t="s">
        <v>4057</v>
      </c>
      <c r="I388" s="215">
        <v>45667</v>
      </c>
      <c r="J388" s="215">
        <v>45685</v>
      </c>
      <c r="K388" s="527" t="s">
        <v>3038</v>
      </c>
      <c r="L388" s="542" t="s">
        <v>3457</v>
      </c>
      <c r="M388" s="543" t="s">
        <v>309</v>
      </c>
      <c r="N388" s="518">
        <v>1673.43</v>
      </c>
      <c r="O388" s="518">
        <v>12944.97</v>
      </c>
      <c r="P388" s="519">
        <v>495</v>
      </c>
      <c r="Q388" s="548">
        <v>45679</v>
      </c>
      <c r="R388" s="548">
        <v>45679</v>
      </c>
      <c r="S388" s="527" t="s">
        <v>309</v>
      </c>
      <c r="T388" s="215">
        <v>45680</v>
      </c>
      <c r="U388" s="215">
        <v>45692</v>
      </c>
      <c r="V388" s="527" t="s">
        <v>20</v>
      </c>
      <c r="W388" s="215">
        <v>45705</v>
      </c>
      <c r="X388" s="529"/>
      <c r="Y388" s="571"/>
      <c r="Z388" s="572"/>
      <c r="AA388" s="572"/>
    </row>
    <row r="389" s="178" customFormat="1" ht="14.25" customHeight="1" spans="1:27">
      <c r="A389" s="527" t="s">
        <v>2038</v>
      </c>
      <c r="B389" s="527"/>
      <c r="C389" s="527" t="s">
        <v>4128</v>
      </c>
      <c r="D389" s="527" t="s">
        <v>4129</v>
      </c>
      <c r="E389" s="550" t="s">
        <v>4114</v>
      </c>
      <c r="F389" s="546" t="s">
        <v>4115</v>
      </c>
      <c r="G389" s="492" t="s">
        <v>3146</v>
      </c>
      <c r="H389" s="527" t="s">
        <v>4130</v>
      </c>
      <c r="I389" s="215">
        <v>45660</v>
      </c>
      <c r="J389" s="215">
        <v>45687</v>
      </c>
      <c r="K389" s="527" t="s">
        <v>18</v>
      </c>
      <c r="L389" s="542" t="s">
        <v>3324</v>
      </c>
      <c r="M389" s="543" t="s">
        <v>309</v>
      </c>
      <c r="N389" s="518">
        <v>0</v>
      </c>
      <c r="O389" s="518">
        <v>0</v>
      </c>
      <c r="P389" s="519">
        <v>550</v>
      </c>
      <c r="Q389" s="548">
        <v>45673</v>
      </c>
      <c r="R389" s="548">
        <v>45685</v>
      </c>
      <c r="S389" s="527" t="s">
        <v>309</v>
      </c>
      <c r="T389" s="215">
        <v>45687</v>
      </c>
      <c r="U389" s="215">
        <v>45693</v>
      </c>
      <c r="V389" s="527" t="s">
        <v>20</v>
      </c>
      <c r="W389" s="215">
        <v>45708</v>
      </c>
      <c r="X389" s="529"/>
      <c r="Y389" s="568"/>
      <c r="Z389" s="529"/>
      <c r="AA389" s="529"/>
    </row>
    <row r="390" s="178" customFormat="1" ht="14.25" customHeight="1" spans="1:27">
      <c r="A390" s="527" t="s">
        <v>2038</v>
      </c>
      <c r="B390" s="527"/>
      <c r="C390" s="527" t="s">
        <v>4128</v>
      </c>
      <c r="D390" s="527" t="s">
        <v>4131</v>
      </c>
      <c r="E390" s="550" t="s">
        <v>4114</v>
      </c>
      <c r="F390" s="546" t="s">
        <v>4115</v>
      </c>
      <c r="G390" s="492" t="s">
        <v>3146</v>
      </c>
      <c r="H390" s="527" t="s">
        <v>4130</v>
      </c>
      <c r="I390" s="215">
        <v>45660</v>
      </c>
      <c r="J390" s="215">
        <v>45687</v>
      </c>
      <c r="K390" s="527" t="s">
        <v>18</v>
      </c>
      <c r="L390" s="542" t="s">
        <v>3324</v>
      </c>
      <c r="M390" s="543" t="s">
        <v>309</v>
      </c>
      <c r="N390" s="518">
        <v>0</v>
      </c>
      <c r="O390" s="518">
        <v>0</v>
      </c>
      <c r="P390" s="519">
        <v>550</v>
      </c>
      <c r="Q390" s="548">
        <v>45673</v>
      </c>
      <c r="R390" s="548">
        <v>45685</v>
      </c>
      <c r="S390" s="527" t="s">
        <v>309</v>
      </c>
      <c r="T390" s="215">
        <v>45687</v>
      </c>
      <c r="U390" s="215">
        <v>45694</v>
      </c>
      <c r="V390" s="527" t="s">
        <v>20</v>
      </c>
      <c r="W390" s="215">
        <v>45708</v>
      </c>
      <c r="X390" s="529"/>
      <c r="Y390" s="568"/>
      <c r="Z390" s="529"/>
      <c r="AA390" s="529"/>
    </row>
    <row r="391" s="178" customFormat="1" ht="14.25" customHeight="1" spans="1:27">
      <c r="A391" s="527" t="s">
        <v>2038</v>
      </c>
      <c r="B391" s="527"/>
      <c r="C391" s="527" t="s">
        <v>4128</v>
      </c>
      <c r="D391" s="527" t="s">
        <v>4132</v>
      </c>
      <c r="E391" s="550" t="s">
        <v>4114</v>
      </c>
      <c r="F391" s="546" t="s">
        <v>4115</v>
      </c>
      <c r="G391" s="492" t="s">
        <v>3146</v>
      </c>
      <c r="H391" s="527" t="s">
        <v>4130</v>
      </c>
      <c r="I391" s="215">
        <v>45660</v>
      </c>
      <c r="J391" s="215">
        <v>45687</v>
      </c>
      <c r="K391" s="527" t="s">
        <v>18</v>
      </c>
      <c r="L391" s="542" t="s">
        <v>3457</v>
      </c>
      <c r="M391" s="543" t="s">
        <v>309</v>
      </c>
      <c r="N391" s="518">
        <f>8035.23-108.33</f>
        <v>7926.9</v>
      </c>
      <c r="O391" s="518">
        <v>63586.23</v>
      </c>
      <c r="P391" s="519">
        <v>495</v>
      </c>
      <c r="Q391" s="548">
        <v>45673</v>
      </c>
      <c r="R391" s="548">
        <v>45685</v>
      </c>
      <c r="S391" s="527" t="s">
        <v>309</v>
      </c>
      <c r="T391" s="215">
        <v>45687</v>
      </c>
      <c r="U391" s="215">
        <v>45695</v>
      </c>
      <c r="V391" s="527" t="s">
        <v>20</v>
      </c>
      <c r="W391" s="215">
        <v>45708</v>
      </c>
      <c r="X391" s="529"/>
      <c r="Y391" s="568"/>
      <c r="Z391" s="529"/>
      <c r="AA391" s="529"/>
    </row>
    <row r="392" s="178" customFormat="1" ht="14.25" customHeight="1" spans="1:27">
      <c r="A392" s="527" t="s">
        <v>2038</v>
      </c>
      <c r="B392" s="527"/>
      <c r="C392" s="527" t="s">
        <v>4128</v>
      </c>
      <c r="D392" s="527" t="s">
        <v>4133</v>
      </c>
      <c r="E392" s="550" t="s">
        <v>4114</v>
      </c>
      <c r="F392" s="546" t="s">
        <v>4115</v>
      </c>
      <c r="G392" s="492" t="s">
        <v>3146</v>
      </c>
      <c r="H392" s="527" t="s">
        <v>4130</v>
      </c>
      <c r="I392" s="215">
        <v>45660</v>
      </c>
      <c r="J392" s="215">
        <v>45687</v>
      </c>
      <c r="K392" s="527" t="s">
        <v>18</v>
      </c>
      <c r="L392" s="542" t="s">
        <v>3457</v>
      </c>
      <c r="M392" s="543" t="s">
        <v>654</v>
      </c>
      <c r="N392" s="518">
        <v>0</v>
      </c>
      <c r="O392" s="518">
        <v>0</v>
      </c>
      <c r="P392" s="519">
        <v>495</v>
      </c>
      <c r="Q392" s="548">
        <v>45673</v>
      </c>
      <c r="R392" s="548">
        <v>45685</v>
      </c>
      <c r="S392" s="527" t="s">
        <v>309</v>
      </c>
      <c r="T392" s="215">
        <v>45687</v>
      </c>
      <c r="U392" s="215">
        <v>45695</v>
      </c>
      <c r="V392" s="527" t="s">
        <v>20</v>
      </c>
      <c r="W392" s="215">
        <v>45708</v>
      </c>
      <c r="X392" s="529" t="s">
        <v>4116</v>
      </c>
      <c r="Y392" s="571"/>
      <c r="Z392" s="572"/>
      <c r="AA392" s="572"/>
    </row>
    <row r="393" s="178" customFormat="1" ht="14.25" customHeight="1" spans="1:27">
      <c r="A393" s="527" t="s">
        <v>2038</v>
      </c>
      <c r="B393" s="527"/>
      <c r="C393" s="527" t="s">
        <v>4128</v>
      </c>
      <c r="D393" s="527" t="s">
        <v>4134</v>
      </c>
      <c r="E393" s="550" t="s">
        <v>4114</v>
      </c>
      <c r="F393" s="546" t="s">
        <v>4115</v>
      </c>
      <c r="G393" s="492" t="s">
        <v>3146</v>
      </c>
      <c r="H393" s="527" t="s">
        <v>4130</v>
      </c>
      <c r="I393" s="215">
        <v>45660</v>
      </c>
      <c r="J393" s="215">
        <v>45687</v>
      </c>
      <c r="K393" s="527" t="s">
        <v>18</v>
      </c>
      <c r="L393" s="542" t="s">
        <v>3457</v>
      </c>
      <c r="M393" s="543" t="s">
        <v>309</v>
      </c>
      <c r="N393" s="518">
        <v>0</v>
      </c>
      <c r="O393" s="518">
        <v>0</v>
      </c>
      <c r="P393" s="560" t="s">
        <v>4034</v>
      </c>
      <c r="Q393" s="548">
        <v>45673</v>
      </c>
      <c r="R393" s="548">
        <v>45685</v>
      </c>
      <c r="S393" s="527" t="s">
        <v>309</v>
      </c>
      <c r="T393" s="215">
        <v>45687</v>
      </c>
      <c r="U393" s="215">
        <v>45695</v>
      </c>
      <c r="V393" s="527" t="s">
        <v>20</v>
      </c>
      <c r="W393" s="215">
        <v>45708</v>
      </c>
      <c r="X393" s="529"/>
      <c r="Y393" s="568"/>
      <c r="Z393" s="529"/>
      <c r="AA393" s="529"/>
    </row>
    <row r="394" s="178" customFormat="1" ht="14.25" customHeight="1" spans="1:27">
      <c r="A394" s="527" t="s">
        <v>13</v>
      </c>
      <c r="B394" s="527"/>
      <c r="C394" s="527" t="s">
        <v>4135</v>
      </c>
      <c r="D394" s="527" t="s">
        <v>4136</v>
      </c>
      <c r="E394" s="550">
        <v>1016</v>
      </c>
      <c r="F394" s="546" t="s">
        <v>3979</v>
      </c>
      <c r="G394" s="546" t="s">
        <v>3079</v>
      </c>
      <c r="H394" s="527" t="s">
        <v>4137</v>
      </c>
      <c r="I394" s="215">
        <v>45668</v>
      </c>
      <c r="J394" s="215">
        <v>45688</v>
      </c>
      <c r="K394" s="527" t="s">
        <v>207</v>
      </c>
      <c r="L394" s="542" t="s">
        <v>4051</v>
      </c>
      <c r="M394" s="543" t="s">
        <v>4138</v>
      </c>
      <c r="N394" s="518">
        <v>1472.92</v>
      </c>
      <c r="O394" s="518">
        <v>8832.27</v>
      </c>
      <c r="P394" s="519"/>
      <c r="Q394" s="548">
        <v>45681</v>
      </c>
      <c r="R394" s="548">
        <v>45685</v>
      </c>
      <c r="S394" s="527" t="s">
        <v>309</v>
      </c>
      <c r="T394" s="215">
        <v>45687</v>
      </c>
      <c r="U394" s="215">
        <v>45693</v>
      </c>
      <c r="V394" s="527" t="s">
        <v>20</v>
      </c>
      <c r="W394" s="215">
        <v>45702</v>
      </c>
      <c r="X394" s="529"/>
      <c r="Y394" s="568"/>
      <c r="Z394" s="529"/>
      <c r="AA394" s="529"/>
    </row>
    <row r="395" s="178" customFormat="1" ht="14.25" customHeight="1" spans="1:27">
      <c r="A395" s="527" t="s">
        <v>157</v>
      </c>
      <c r="B395" s="527"/>
      <c r="C395" s="527" t="s">
        <v>4139</v>
      </c>
      <c r="D395" s="527" t="s">
        <v>4140</v>
      </c>
      <c r="E395" s="550">
        <v>1008</v>
      </c>
      <c r="F395" s="546" t="s">
        <v>3979</v>
      </c>
      <c r="G395" s="546" t="s">
        <v>3079</v>
      </c>
      <c r="H395" s="527" t="s">
        <v>4141</v>
      </c>
      <c r="I395" s="215">
        <v>45667</v>
      </c>
      <c r="J395" s="215">
        <v>45688</v>
      </c>
      <c r="K395" s="527" t="s">
        <v>207</v>
      </c>
      <c r="L395" s="500" t="s">
        <v>3069</v>
      </c>
      <c r="M395" s="543" t="s">
        <v>4142</v>
      </c>
      <c r="N395" s="518">
        <v>1440.18</v>
      </c>
      <c r="O395" s="518">
        <v>8994.32</v>
      </c>
      <c r="P395" s="519"/>
      <c r="Q395" s="548">
        <v>45679</v>
      </c>
      <c r="R395" s="548">
        <v>45685</v>
      </c>
      <c r="S395" s="527" t="s">
        <v>309</v>
      </c>
      <c r="T395" s="215">
        <v>45687</v>
      </c>
      <c r="U395" s="215">
        <v>45699</v>
      </c>
      <c r="V395" s="527" t="s">
        <v>20</v>
      </c>
      <c r="W395" s="215">
        <v>45702</v>
      </c>
      <c r="X395" s="529" t="s">
        <v>4143</v>
      </c>
      <c r="Y395" s="571"/>
      <c r="Z395" s="572"/>
      <c r="AA395" s="572"/>
    </row>
    <row r="396" s="178" customFormat="1" ht="14.25" customHeight="1" spans="1:27">
      <c r="A396" s="527" t="s">
        <v>13</v>
      </c>
      <c r="B396" s="527"/>
      <c r="C396" s="527" t="s">
        <v>4144</v>
      </c>
      <c r="D396" s="527" t="s">
        <v>4145</v>
      </c>
      <c r="E396" s="550">
        <v>1008</v>
      </c>
      <c r="F396" s="546" t="s">
        <v>3979</v>
      </c>
      <c r="G396" s="546" t="s">
        <v>3079</v>
      </c>
      <c r="H396" s="527" t="s">
        <v>4146</v>
      </c>
      <c r="I396" s="215">
        <v>45644</v>
      </c>
      <c r="J396" s="215">
        <v>45689</v>
      </c>
      <c r="K396" s="527" t="s">
        <v>215</v>
      </c>
      <c r="L396" s="500" t="s">
        <v>3086</v>
      </c>
      <c r="M396" s="543" t="s">
        <v>4147</v>
      </c>
      <c r="N396" s="518">
        <v>1038.92</v>
      </c>
      <c r="O396" s="518">
        <v>9679.73</v>
      </c>
      <c r="P396" s="519"/>
      <c r="Q396" s="548">
        <v>45651</v>
      </c>
      <c r="R396" s="548">
        <v>45685</v>
      </c>
      <c r="S396" s="527" t="s">
        <v>309</v>
      </c>
      <c r="T396" s="215">
        <v>45687</v>
      </c>
      <c r="U396" s="215">
        <v>45694</v>
      </c>
      <c r="V396" s="527" t="s">
        <v>20</v>
      </c>
      <c r="W396" s="215">
        <v>45703</v>
      </c>
      <c r="X396" s="529"/>
      <c r="Y396" s="571"/>
      <c r="Z396" s="572"/>
      <c r="AA396" s="572"/>
    </row>
    <row r="397" s="178" customFormat="1" ht="14.25" customHeight="1" spans="1:27">
      <c r="A397" s="527" t="s">
        <v>13</v>
      </c>
      <c r="B397" s="527"/>
      <c r="C397" s="527">
        <v>712510011765</v>
      </c>
      <c r="D397" s="527" t="s">
        <v>4148</v>
      </c>
      <c r="E397" s="550">
        <v>3000</v>
      </c>
      <c r="F397" s="556" t="s">
        <v>4018</v>
      </c>
      <c r="G397" s="546" t="s">
        <v>4056</v>
      </c>
      <c r="H397" s="527" t="s">
        <v>4149</v>
      </c>
      <c r="I397" s="215">
        <v>45669</v>
      </c>
      <c r="J397" s="215">
        <v>45693</v>
      </c>
      <c r="K397" s="527" t="s">
        <v>18</v>
      </c>
      <c r="L397" s="542" t="s">
        <v>3457</v>
      </c>
      <c r="M397" s="543" t="s">
        <v>309</v>
      </c>
      <c r="N397" s="518">
        <v>1673.43</v>
      </c>
      <c r="O397" s="518">
        <v>12701.65</v>
      </c>
      <c r="P397" s="519" t="s">
        <v>4034</v>
      </c>
      <c r="Q397" s="548">
        <v>45679</v>
      </c>
      <c r="R397" s="548">
        <v>45684</v>
      </c>
      <c r="S397" s="527" t="s">
        <v>309</v>
      </c>
      <c r="T397" s="215">
        <v>45687</v>
      </c>
      <c r="U397" s="215">
        <v>45700</v>
      </c>
      <c r="V397" s="527" t="s">
        <v>20</v>
      </c>
      <c r="W397" s="215">
        <v>45714</v>
      </c>
      <c r="X397" s="529" t="s">
        <v>4150</v>
      </c>
      <c r="Y397" s="568"/>
      <c r="Z397" s="529"/>
      <c r="AA397" s="529"/>
    </row>
    <row r="398" s="178" customFormat="1" ht="14.25" customHeight="1" spans="1:27">
      <c r="A398" s="527" t="s">
        <v>13</v>
      </c>
      <c r="B398" s="527"/>
      <c r="C398" s="527">
        <v>712510011918</v>
      </c>
      <c r="D398" s="527" t="s">
        <v>4151</v>
      </c>
      <c r="E398" s="550">
        <v>3000</v>
      </c>
      <c r="F398" s="556" t="s">
        <v>4018</v>
      </c>
      <c r="G398" s="546" t="s">
        <v>4056</v>
      </c>
      <c r="H398" s="527" t="s">
        <v>4149</v>
      </c>
      <c r="I398" s="215">
        <v>45669</v>
      </c>
      <c r="J398" s="215">
        <v>45693</v>
      </c>
      <c r="K398" s="527" t="s">
        <v>18</v>
      </c>
      <c r="L398" s="542" t="s">
        <v>3324</v>
      </c>
      <c r="M398" s="543" t="s">
        <v>309</v>
      </c>
      <c r="N398" s="518">
        <f>165+1527.62</f>
        <v>1692.62</v>
      </c>
      <c r="O398" s="518">
        <v>13908.81</v>
      </c>
      <c r="P398" s="519" t="s">
        <v>4040</v>
      </c>
      <c r="Q398" s="548">
        <v>45681</v>
      </c>
      <c r="R398" s="548">
        <v>45684</v>
      </c>
      <c r="S398" s="527" t="s">
        <v>309</v>
      </c>
      <c r="T398" s="215">
        <v>45687</v>
      </c>
      <c r="U398" s="215">
        <v>45700</v>
      </c>
      <c r="V398" s="527" t="s">
        <v>20</v>
      </c>
      <c r="W398" s="215">
        <v>45714</v>
      </c>
      <c r="X398" s="529" t="s">
        <v>4152</v>
      </c>
      <c r="Y398" s="568"/>
      <c r="Z398" s="529"/>
      <c r="AA398" s="529"/>
    </row>
    <row r="399" s="178" customFormat="1" ht="14.25" customHeight="1" spans="1:27">
      <c r="A399" s="527" t="s">
        <v>13</v>
      </c>
      <c r="B399" s="527"/>
      <c r="C399" s="527" t="s">
        <v>4153</v>
      </c>
      <c r="D399" s="527" t="s">
        <v>4154</v>
      </c>
      <c r="E399" s="550">
        <v>2000</v>
      </c>
      <c r="F399" s="546" t="s">
        <v>3979</v>
      </c>
      <c r="G399" s="492" t="s">
        <v>3146</v>
      </c>
      <c r="H399" s="527" t="s">
        <v>4130</v>
      </c>
      <c r="I399" s="215">
        <v>45660</v>
      </c>
      <c r="J399" s="215">
        <v>45696</v>
      </c>
      <c r="K399" s="527" t="s">
        <v>39</v>
      </c>
      <c r="L399" s="520" t="s">
        <v>3419</v>
      </c>
      <c r="M399" s="543" t="s">
        <v>4155</v>
      </c>
      <c r="N399" s="518">
        <v>2012.2</v>
      </c>
      <c r="O399" s="518">
        <v>9707.85</v>
      </c>
      <c r="P399" s="519"/>
      <c r="Q399" s="548">
        <v>45677</v>
      </c>
      <c r="R399" s="548">
        <v>45685</v>
      </c>
      <c r="S399" s="527" t="s">
        <v>309</v>
      </c>
      <c r="T399" s="215">
        <v>45693</v>
      </c>
      <c r="U399" s="215">
        <v>45700</v>
      </c>
      <c r="V399" s="527" t="s">
        <v>20</v>
      </c>
      <c r="W399" s="215">
        <v>45717</v>
      </c>
      <c r="X399" s="529"/>
      <c r="Y399" s="568"/>
      <c r="Z399" s="529"/>
      <c r="AA399" s="529"/>
    </row>
    <row r="400" s="178" customFormat="1" ht="14.25" customHeight="1" spans="1:27">
      <c r="A400" s="527" t="s">
        <v>13</v>
      </c>
      <c r="B400" s="527"/>
      <c r="C400" s="527" t="s">
        <v>4156</v>
      </c>
      <c r="D400" s="527" t="s">
        <v>4157</v>
      </c>
      <c r="E400" s="550">
        <v>2000</v>
      </c>
      <c r="F400" s="546" t="s">
        <v>3979</v>
      </c>
      <c r="G400" s="492" t="s">
        <v>3146</v>
      </c>
      <c r="H400" s="527" t="s">
        <v>4130</v>
      </c>
      <c r="I400" s="215">
        <v>45660</v>
      </c>
      <c r="J400" s="215">
        <v>45696</v>
      </c>
      <c r="K400" s="527" t="s">
        <v>39</v>
      </c>
      <c r="L400" s="523" t="s">
        <v>3994</v>
      </c>
      <c r="M400" s="543" t="s">
        <v>4158</v>
      </c>
      <c r="N400" s="518">
        <v>1812.94</v>
      </c>
      <c r="O400" s="518">
        <v>9747.56</v>
      </c>
      <c r="P400" s="519"/>
      <c r="Q400" s="548">
        <v>45677</v>
      </c>
      <c r="R400" s="548">
        <v>45685</v>
      </c>
      <c r="S400" s="527" t="s">
        <v>309</v>
      </c>
      <c r="T400" s="215">
        <v>45693</v>
      </c>
      <c r="U400" s="215">
        <v>45701</v>
      </c>
      <c r="V400" s="527" t="s">
        <v>20</v>
      </c>
      <c r="W400" s="215">
        <v>45717</v>
      </c>
      <c r="X400" s="529"/>
      <c r="Y400" s="568"/>
      <c r="Z400" s="529"/>
      <c r="AA400" s="529"/>
    </row>
    <row r="401" s="178" customFormat="1" ht="14.25" customHeight="1" spans="1:27">
      <c r="A401" s="527" t="s">
        <v>92</v>
      </c>
      <c r="B401" s="527"/>
      <c r="C401" s="527" t="s">
        <v>4159</v>
      </c>
      <c r="D401" s="527" t="s">
        <v>4160</v>
      </c>
      <c r="E401" s="550" t="s">
        <v>309</v>
      </c>
      <c r="F401" s="546" t="s">
        <v>4161</v>
      </c>
      <c r="G401" s="527" t="s">
        <v>3075</v>
      </c>
      <c r="H401" s="527" t="s">
        <v>4162</v>
      </c>
      <c r="I401" s="215">
        <v>45666</v>
      </c>
      <c r="J401" s="215">
        <v>45698</v>
      </c>
      <c r="K401" s="527" t="s">
        <v>18</v>
      </c>
      <c r="L401" s="542" t="s">
        <v>309</v>
      </c>
      <c r="M401" s="543" t="s">
        <v>4163</v>
      </c>
      <c r="N401" s="518"/>
      <c r="O401" s="518"/>
      <c r="P401" s="519"/>
      <c r="Q401" s="548">
        <v>45685</v>
      </c>
      <c r="R401" s="543" t="s">
        <v>309</v>
      </c>
      <c r="S401" s="527" t="s">
        <v>309</v>
      </c>
      <c r="T401" s="527" t="s">
        <v>309</v>
      </c>
      <c r="U401" s="527" t="s">
        <v>309</v>
      </c>
      <c r="V401" s="527" t="s">
        <v>309</v>
      </c>
      <c r="W401" s="215">
        <v>45715</v>
      </c>
      <c r="X401" s="529"/>
      <c r="Y401" s="571"/>
      <c r="Z401" s="572"/>
      <c r="AA401" s="572"/>
    </row>
    <row r="402" s="178" customFormat="1" ht="14.25" customHeight="1" spans="1:27">
      <c r="A402" s="527" t="s">
        <v>72</v>
      </c>
      <c r="B402" s="527"/>
      <c r="C402" s="527" t="s">
        <v>4159</v>
      </c>
      <c r="D402" s="527" t="s">
        <v>4164</v>
      </c>
      <c r="E402" s="550" t="s">
        <v>309</v>
      </c>
      <c r="F402" s="546" t="s">
        <v>4161</v>
      </c>
      <c r="G402" s="527" t="s">
        <v>3075</v>
      </c>
      <c r="H402" s="527" t="s">
        <v>4162</v>
      </c>
      <c r="I402" s="215">
        <v>45666</v>
      </c>
      <c r="J402" s="215">
        <v>45698</v>
      </c>
      <c r="K402" s="527" t="s">
        <v>18</v>
      </c>
      <c r="L402" s="542" t="s">
        <v>309</v>
      </c>
      <c r="M402" s="543" t="s">
        <v>4165</v>
      </c>
      <c r="N402" s="518"/>
      <c r="O402" s="518"/>
      <c r="P402" s="519"/>
      <c r="Q402" s="548">
        <v>45685</v>
      </c>
      <c r="R402" s="543" t="s">
        <v>309</v>
      </c>
      <c r="S402" s="527" t="s">
        <v>309</v>
      </c>
      <c r="T402" s="527" t="s">
        <v>309</v>
      </c>
      <c r="U402" s="527" t="s">
        <v>309</v>
      </c>
      <c r="V402" s="527" t="s">
        <v>309</v>
      </c>
      <c r="W402" s="215">
        <v>45715</v>
      </c>
      <c r="X402" s="529"/>
      <c r="Y402" s="571"/>
      <c r="Z402" s="572"/>
      <c r="AA402" s="572"/>
    </row>
    <row r="403" s="178" customFormat="1" ht="14.25" customHeight="1" spans="1:27">
      <c r="A403" s="527" t="s">
        <v>13</v>
      </c>
      <c r="B403" s="527"/>
      <c r="C403" s="527" t="s">
        <v>4166</v>
      </c>
      <c r="D403" s="527" t="s">
        <v>4167</v>
      </c>
      <c r="E403" s="550" t="s">
        <v>309</v>
      </c>
      <c r="F403" s="546" t="s">
        <v>4161</v>
      </c>
      <c r="G403" s="527" t="s">
        <v>3075</v>
      </c>
      <c r="H403" s="527" t="s">
        <v>4168</v>
      </c>
      <c r="I403" s="215">
        <v>45668</v>
      </c>
      <c r="J403" s="215">
        <v>45698</v>
      </c>
      <c r="K403" s="527" t="s">
        <v>18</v>
      </c>
      <c r="L403" s="542" t="s">
        <v>309</v>
      </c>
      <c r="M403" s="543" t="s">
        <v>4169</v>
      </c>
      <c r="N403" s="518"/>
      <c r="O403" s="518"/>
      <c r="P403" s="519"/>
      <c r="Q403" s="548">
        <v>45685</v>
      </c>
      <c r="R403" s="543" t="s">
        <v>309</v>
      </c>
      <c r="S403" s="527" t="s">
        <v>309</v>
      </c>
      <c r="T403" s="527" t="s">
        <v>309</v>
      </c>
      <c r="U403" s="527" t="s">
        <v>309</v>
      </c>
      <c r="V403" s="527" t="s">
        <v>309</v>
      </c>
      <c r="W403" s="215">
        <v>45715</v>
      </c>
      <c r="X403" s="529"/>
      <c r="Y403" s="571"/>
      <c r="Z403" s="572"/>
      <c r="AA403" s="572"/>
    </row>
    <row r="404" s="178" customFormat="1" ht="14.25" customHeight="1" spans="1:27">
      <c r="A404" s="527" t="s">
        <v>13</v>
      </c>
      <c r="B404" s="527"/>
      <c r="C404" s="527" t="s">
        <v>4166</v>
      </c>
      <c r="D404" s="527" t="s">
        <v>4170</v>
      </c>
      <c r="E404" s="550" t="s">
        <v>309</v>
      </c>
      <c r="F404" s="546" t="s">
        <v>4161</v>
      </c>
      <c r="G404" s="527" t="s">
        <v>3075</v>
      </c>
      <c r="H404" s="527" t="s">
        <v>4168</v>
      </c>
      <c r="I404" s="215">
        <v>45668</v>
      </c>
      <c r="J404" s="215">
        <v>45698</v>
      </c>
      <c r="K404" s="527" t="s">
        <v>18</v>
      </c>
      <c r="L404" s="542" t="s">
        <v>309</v>
      </c>
      <c r="M404" s="543" t="s">
        <v>4171</v>
      </c>
      <c r="N404" s="518"/>
      <c r="O404" s="518"/>
      <c r="P404" s="519"/>
      <c r="Q404" s="548">
        <v>45685</v>
      </c>
      <c r="R404" s="543" t="s">
        <v>309</v>
      </c>
      <c r="S404" s="527" t="s">
        <v>309</v>
      </c>
      <c r="T404" s="527" t="s">
        <v>309</v>
      </c>
      <c r="U404" s="527" t="s">
        <v>309</v>
      </c>
      <c r="V404" s="527" t="s">
        <v>309</v>
      </c>
      <c r="W404" s="215">
        <v>45715</v>
      </c>
      <c r="X404" s="529"/>
      <c r="Y404" s="571"/>
      <c r="Z404" s="572"/>
      <c r="AA404" s="572"/>
    </row>
    <row r="405" s="178" customFormat="1" ht="14.25" customHeight="1" spans="1:27">
      <c r="A405" s="543" t="s">
        <v>202</v>
      </c>
      <c r="B405" s="543"/>
      <c r="C405" s="543" t="s">
        <v>4172</v>
      </c>
      <c r="D405" s="573" t="s">
        <v>4173</v>
      </c>
      <c r="E405" s="574">
        <v>1016</v>
      </c>
      <c r="F405" s="556" t="s">
        <v>3979</v>
      </c>
      <c r="G405" s="543" t="s">
        <v>3079</v>
      </c>
      <c r="H405" s="543" t="s">
        <v>4141</v>
      </c>
      <c r="I405" s="548">
        <v>45667</v>
      </c>
      <c r="J405" s="548">
        <v>45701</v>
      </c>
      <c r="K405" s="543" t="s">
        <v>215</v>
      </c>
      <c r="L405" s="500" t="s">
        <v>3086</v>
      </c>
      <c r="M405" s="543" t="s">
        <v>216</v>
      </c>
      <c r="N405" s="518">
        <f>1191.13-19.17</f>
        <v>1171.96</v>
      </c>
      <c r="O405" s="518">
        <v>9092.34</v>
      </c>
      <c r="P405" s="519"/>
      <c r="Q405" s="548">
        <v>45679</v>
      </c>
      <c r="R405" s="548">
        <v>45693</v>
      </c>
      <c r="S405" s="543" t="s">
        <v>309</v>
      </c>
      <c r="T405" s="548">
        <v>45700</v>
      </c>
      <c r="U405" s="548">
        <v>45705</v>
      </c>
      <c r="V405" s="543" t="s">
        <v>20</v>
      </c>
      <c r="W405" s="548">
        <v>45714</v>
      </c>
      <c r="X405" s="583" t="s">
        <v>4174</v>
      </c>
      <c r="Y405" s="542"/>
      <c r="Z405" s="583"/>
      <c r="AA405" s="583"/>
    </row>
    <row r="406" s="178" customFormat="1" ht="14.25" customHeight="1" spans="1:27">
      <c r="A406" s="527" t="s">
        <v>272</v>
      </c>
      <c r="B406" s="527"/>
      <c r="C406" s="575" t="s">
        <v>4175</v>
      </c>
      <c r="D406" s="527" t="s">
        <v>4176</v>
      </c>
      <c r="E406" s="550">
        <v>3000</v>
      </c>
      <c r="F406" s="556" t="s">
        <v>4018</v>
      </c>
      <c r="G406" s="527" t="s">
        <v>4056</v>
      </c>
      <c r="H406" s="527" t="s">
        <v>4177</v>
      </c>
      <c r="I406" s="215">
        <v>45685</v>
      </c>
      <c r="J406" s="215">
        <v>45701</v>
      </c>
      <c r="K406" s="527" t="s">
        <v>39</v>
      </c>
      <c r="L406" s="520" t="s">
        <v>3419</v>
      </c>
      <c r="M406" s="543" t="s">
        <v>296</v>
      </c>
      <c r="N406" s="518">
        <v>2015.1</v>
      </c>
      <c r="O406" s="518">
        <v>9956.74</v>
      </c>
      <c r="P406" s="519"/>
      <c r="Q406" s="548">
        <v>45695</v>
      </c>
      <c r="R406" s="548">
        <v>45695</v>
      </c>
      <c r="S406" s="527" t="s">
        <v>309</v>
      </c>
      <c r="T406" s="215">
        <v>45701</v>
      </c>
      <c r="U406" s="215">
        <v>45708</v>
      </c>
      <c r="V406" s="527" t="s">
        <v>20</v>
      </c>
      <c r="W406" s="215">
        <v>45722</v>
      </c>
      <c r="X406" s="529"/>
      <c r="Y406" s="568"/>
      <c r="Z406" s="529"/>
      <c r="AA406" s="529"/>
    </row>
    <row r="407" s="178" customFormat="1" ht="14.25" customHeight="1" spans="1:27">
      <c r="A407" s="527" t="s">
        <v>13</v>
      </c>
      <c r="B407" s="527"/>
      <c r="C407" s="575" t="s">
        <v>4178</v>
      </c>
      <c r="D407" s="527" t="s">
        <v>4179</v>
      </c>
      <c r="E407" s="550">
        <v>3500</v>
      </c>
      <c r="F407" s="556" t="s">
        <v>4018</v>
      </c>
      <c r="G407" s="527" t="s">
        <v>4056</v>
      </c>
      <c r="H407" s="527" t="s">
        <v>4149</v>
      </c>
      <c r="I407" s="215">
        <v>45669</v>
      </c>
      <c r="J407" s="215">
        <v>45702</v>
      </c>
      <c r="K407" s="527" t="s">
        <v>39</v>
      </c>
      <c r="L407" s="520" t="s">
        <v>3419</v>
      </c>
      <c r="M407" s="543" t="s">
        <v>4180</v>
      </c>
      <c r="N407" s="518">
        <v>2015.1</v>
      </c>
      <c r="O407" s="518">
        <v>10350.55</v>
      </c>
      <c r="P407" s="519"/>
      <c r="Q407" s="548">
        <v>45679</v>
      </c>
      <c r="R407" s="548">
        <v>45687</v>
      </c>
      <c r="S407" s="527" t="s">
        <v>309</v>
      </c>
      <c r="T407" s="215">
        <v>45690</v>
      </c>
      <c r="U407" s="215">
        <v>45707</v>
      </c>
      <c r="V407" s="527" t="s">
        <v>20</v>
      </c>
      <c r="W407" s="215">
        <v>45723</v>
      </c>
      <c r="X407" s="529"/>
      <c r="Y407" s="568"/>
      <c r="Z407" s="529"/>
      <c r="AA407" s="529"/>
    </row>
    <row r="408" s="178" customFormat="1" ht="14.25" customHeight="1" spans="1:27">
      <c r="A408" s="527" t="s">
        <v>157</v>
      </c>
      <c r="B408" s="527"/>
      <c r="C408" s="575" t="s">
        <v>4181</v>
      </c>
      <c r="D408" s="527" t="s">
        <v>4182</v>
      </c>
      <c r="E408" s="550">
        <v>3500</v>
      </c>
      <c r="F408" s="556" t="s">
        <v>4018</v>
      </c>
      <c r="G408" s="527" t="s">
        <v>4056</v>
      </c>
      <c r="H408" s="527" t="s">
        <v>4149</v>
      </c>
      <c r="I408" s="215">
        <v>45669</v>
      </c>
      <c r="J408" s="215">
        <v>45702</v>
      </c>
      <c r="K408" s="527" t="s">
        <v>39</v>
      </c>
      <c r="L408" s="520" t="s">
        <v>3419</v>
      </c>
      <c r="M408" s="543" t="s">
        <v>4183</v>
      </c>
      <c r="N408" s="518">
        <v>2015.1</v>
      </c>
      <c r="O408" s="518">
        <v>10077.71</v>
      </c>
      <c r="P408" s="519"/>
      <c r="Q408" s="548">
        <v>45679</v>
      </c>
      <c r="R408" s="548">
        <v>45687</v>
      </c>
      <c r="S408" s="527" t="s">
        <v>309</v>
      </c>
      <c r="T408" s="215">
        <v>45687</v>
      </c>
      <c r="U408" s="215">
        <v>45707</v>
      </c>
      <c r="V408" s="527" t="s">
        <v>20</v>
      </c>
      <c r="W408" s="215">
        <v>45723</v>
      </c>
      <c r="X408" s="529"/>
      <c r="Y408" s="568"/>
      <c r="Z408" s="529"/>
      <c r="AA408" s="529"/>
    </row>
    <row r="409" s="178" customFormat="1" ht="14.25" customHeight="1" spans="1:27">
      <c r="A409" s="527" t="s">
        <v>202</v>
      </c>
      <c r="B409" s="527"/>
      <c r="C409" s="575" t="s">
        <v>4184</v>
      </c>
      <c r="D409" s="527" t="s">
        <v>4185</v>
      </c>
      <c r="E409" s="550">
        <v>3500</v>
      </c>
      <c r="F409" s="556" t="s">
        <v>4018</v>
      </c>
      <c r="G409" s="527" t="s">
        <v>4056</v>
      </c>
      <c r="H409" s="527" t="s">
        <v>4149</v>
      </c>
      <c r="I409" s="215">
        <v>45669</v>
      </c>
      <c r="J409" s="215">
        <v>45702</v>
      </c>
      <c r="K409" s="527" t="s">
        <v>39</v>
      </c>
      <c r="L409" s="523" t="s">
        <v>3504</v>
      </c>
      <c r="M409" s="543" t="s">
        <v>4186</v>
      </c>
      <c r="N409" s="518">
        <f>2015.1-380.08</f>
        <v>1635.02</v>
      </c>
      <c r="O409" s="518">
        <v>10293.88</v>
      </c>
      <c r="P409" s="519"/>
      <c r="Q409" s="548">
        <v>45679</v>
      </c>
      <c r="R409" s="548">
        <v>45687</v>
      </c>
      <c r="S409" s="527" t="s">
        <v>309</v>
      </c>
      <c r="T409" s="215">
        <v>45695</v>
      </c>
      <c r="U409" s="215">
        <v>45707</v>
      </c>
      <c r="V409" s="527" t="s">
        <v>20</v>
      </c>
      <c r="W409" s="215">
        <v>45723</v>
      </c>
      <c r="X409" s="529" t="s">
        <v>4187</v>
      </c>
      <c r="Y409" s="568"/>
      <c r="Z409" s="529"/>
      <c r="AA409" s="529"/>
    </row>
    <row r="410" s="178" customFormat="1" ht="14.25" customHeight="1" spans="1:27">
      <c r="A410" s="543" t="s">
        <v>202</v>
      </c>
      <c r="B410" s="543"/>
      <c r="C410" s="576" t="s">
        <v>4188</v>
      </c>
      <c r="D410" s="543" t="s">
        <v>4189</v>
      </c>
      <c r="E410" s="574">
        <v>3500</v>
      </c>
      <c r="F410" s="556" t="s">
        <v>4018</v>
      </c>
      <c r="G410" s="543" t="s">
        <v>4056</v>
      </c>
      <c r="H410" s="543" t="s">
        <v>4149</v>
      </c>
      <c r="I410" s="548">
        <v>45669</v>
      </c>
      <c r="J410" s="548">
        <v>45702</v>
      </c>
      <c r="K410" s="543" t="s">
        <v>39</v>
      </c>
      <c r="L410" s="523" t="s">
        <v>3504</v>
      </c>
      <c r="M410" s="543" t="s">
        <v>4190</v>
      </c>
      <c r="N410" s="518">
        <v>1636.12</v>
      </c>
      <c r="O410" s="518">
        <v>10133.9</v>
      </c>
      <c r="P410" s="519"/>
      <c r="Q410" s="548">
        <v>45679</v>
      </c>
      <c r="R410" s="548">
        <v>45687</v>
      </c>
      <c r="S410" s="543" t="s">
        <v>309</v>
      </c>
      <c r="T410" s="548">
        <v>45690</v>
      </c>
      <c r="U410" s="548">
        <v>45706</v>
      </c>
      <c r="V410" s="543" t="s">
        <v>20</v>
      </c>
      <c r="W410" s="548">
        <v>45723</v>
      </c>
      <c r="X410" s="583" t="s">
        <v>4191</v>
      </c>
      <c r="Y410" s="542"/>
      <c r="Z410" s="583"/>
      <c r="AA410" s="583"/>
    </row>
    <row r="411" s="178" customFormat="1" ht="14.25" customHeight="1" spans="1:27">
      <c r="A411" s="527" t="s">
        <v>202</v>
      </c>
      <c r="B411" s="527"/>
      <c r="C411" s="575" t="s">
        <v>4192</v>
      </c>
      <c r="D411" s="527" t="s">
        <v>4193</v>
      </c>
      <c r="E411" s="550">
        <v>3000</v>
      </c>
      <c r="F411" s="556" t="s">
        <v>4018</v>
      </c>
      <c r="G411" s="527" t="s">
        <v>4056</v>
      </c>
      <c r="H411" s="527" t="s">
        <v>4177</v>
      </c>
      <c r="I411" s="215">
        <v>45685</v>
      </c>
      <c r="J411" s="215">
        <v>45704</v>
      </c>
      <c r="K411" s="527" t="s">
        <v>161</v>
      </c>
      <c r="L411" s="520" t="s">
        <v>3500</v>
      </c>
      <c r="M411" s="543" t="s">
        <v>4194</v>
      </c>
      <c r="N411" s="518">
        <v>2091.82</v>
      </c>
      <c r="O411" s="518">
        <v>10021.06</v>
      </c>
      <c r="P411" s="519"/>
      <c r="Q411" s="548">
        <v>45694</v>
      </c>
      <c r="R411" s="548">
        <v>45699</v>
      </c>
      <c r="S411" s="527" t="s">
        <v>309</v>
      </c>
      <c r="T411" s="215">
        <v>45700</v>
      </c>
      <c r="U411" s="215">
        <v>45712</v>
      </c>
      <c r="V411" s="527" t="s">
        <v>20</v>
      </c>
      <c r="W411" s="215">
        <v>45725</v>
      </c>
      <c r="X411" s="529" t="s">
        <v>4195</v>
      </c>
      <c r="Y411" s="568"/>
      <c r="Z411" s="529"/>
      <c r="AA411" s="529"/>
    </row>
    <row r="412" s="178" customFormat="1" ht="14.25" customHeight="1" spans="1:27">
      <c r="A412" s="527" t="s">
        <v>272</v>
      </c>
      <c r="B412" s="527"/>
      <c r="C412" s="575" t="s">
        <v>4196</v>
      </c>
      <c r="D412" s="527" t="s">
        <v>4197</v>
      </c>
      <c r="E412" s="550">
        <v>3000</v>
      </c>
      <c r="F412" s="556" t="s">
        <v>4018</v>
      </c>
      <c r="G412" s="527" t="s">
        <v>4056</v>
      </c>
      <c r="H412" s="527" t="s">
        <v>4177</v>
      </c>
      <c r="I412" s="215">
        <v>45685</v>
      </c>
      <c r="J412" s="215">
        <v>45704</v>
      </c>
      <c r="K412" s="527" t="s">
        <v>161</v>
      </c>
      <c r="L412" s="520" t="s">
        <v>3500</v>
      </c>
      <c r="M412" s="543" t="s">
        <v>301</v>
      </c>
      <c r="N412" s="518">
        <v>2087</v>
      </c>
      <c r="O412" s="518">
        <v>10082.01</v>
      </c>
      <c r="P412" s="519"/>
      <c r="Q412" s="548">
        <v>45698</v>
      </c>
      <c r="R412" s="548">
        <v>45699</v>
      </c>
      <c r="S412" s="527" t="s">
        <v>309</v>
      </c>
      <c r="T412" s="215">
        <v>45701</v>
      </c>
      <c r="U412" s="215">
        <v>45714</v>
      </c>
      <c r="V412" s="527" t="s">
        <v>20</v>
      </c>
      <c r="W412" s="215">
        <v>45725</v>
      </c>
      <c r="X412" s="529" t="s">
        <v>4195</v>
      </c>
      <c r="Y412" s="568"/>
      <c r="Z412" s="529"/>
      <c r="AA412" s="529"/>
    </row>
    <row r="413" s="178" customFormat="1" ht="14.25" customHeight="1" spans="1:27">
      <c r="A413" s="527" t="s">
        <v>202</v>
      </c>
      <c r="B413" s="527"/>
      <c r="C413" s="575" t="s">
        <v>4198</v>
      </c>
      <c r="D413" s="527" t="s">
        <v>4199</v>
      </c>
      <c r="E413" s="550">
        <v>3000</v>
      </c>
      <c r="F413" s="556" t="s">
        <v>4018</v>
      </c>
      <c r="G413" s="527" t="s">
        <v>4056</v>
      </c>
      <c r="H413" s="527" t="s">
        <v>4177</v>
      </c>
      <c r="I413" s="215">
        <v>45685</v>
      </c>
      <c r="J413" s="215">
        <v>45708</v>
      </c>
      <c r="K413" s="527" t="s">
        <v>18</v>
      </c>
      <c r="L413" s="542" t="s">
        <v>3457</v>
      </c>
      <c r="M413" s="543" t="s">
        <v>309</v>
      </c>
      <c r="N413" s="518">
        <v>1918.15</v>
      </c>
      <c r="O413" s="518">
        <v>13899.55</v>
      </c>
      <c r="P413" s="519">
        <v>495</v>
      </c>
      <c r="Q413" s="548">
        <v>45702</v>
      </c>
      <c r="R413" s="548">
        <v>45702</v>
      </c>
      <c r="S413" s="527" t="s">
        <v>309</v>
      </c>
      <c r="T413" s="215">
        <v>45706</v>
      </c>
      <c r="U413" s="215">
        <v>45712</v>
      </c>
      <c r="V413" s="527" t="s">
        <v>20</v>
      </c>
      <c r="W413" s="215">
        <v>45729</v>
      </c>
      <c r="X413" s="529"/>
      <c r="Y413" s="568"/>
      <c r="Z413" s="529"/>
      <c r="AA413" s="529"/>
    </row>
    <row r="414" s="178" customFormat="1" ht="14.25" customHeight="1" spans="1:27">
      <c r="A414" s="543" t="s">
        <v>477</v>
      </c>
      <c r="B414" s="543"/>
      <c r="C414" s="576" t="s">
        <v>4200</v>
      </c>
      <c r="D414" s="543" t="s">
        <v>4201</v>
      </c>
      <c r="E414" s="574" t="s">
        <v>4114</v>
      </c>
      <c r="F414" s="556" t="s">
        <v>4115</v>
      </c>
      <c r="G414" s="543" t="s">
        <v>3032</v>
      </c>
      <c r="H414" s="543" t="s">
        <v>4177</v>
      </c>
      <c r="I414" s="548">
        <v>45685</v>
      </c>
      <c r="J414" s="548">
        <v>45708</v>
      </c>
      <c r="K414" s="543" t="s">
        <v>18</v>
      </c>
      <c r="L414" s="542" t="s">
        <v>3457</v>
      </c>
      <c r="M414" s="543" t="s">
        <v>309</v>
      </c>
      <c r="N414" s="518">
        <f>4876.94-54.73</f>
        <v>4822.21</v>
      </c>
      <c r="O414" s="518">
        <v>42852.71</v>
      </c>
      <c r="P414" s="519">
        <v>495</v>
      </c>
      <c r="Q414" s="548">
        <v>45695</v>
      </c>
      <c r="R414" s="548">
        <v>45700</v>
      </c>
      <c r="S414" s="543" t="s">
        <v>309</v>
      </c>
      <c r="T414" s="548">
        <v>45702</v>
      </c>
      <c r="U414" s="548">
        <v>45713</v>
      </c>
      <c r="V414" s="543" t="s">
        <v>20</v>
      </c>
      <c r="W414" s="548">
        <v>45729</v>
      </c>
      <c r="X414" s="583"/>
      <c r="Y414" s="542"/>
      <c r="Z414" s="583"/>
      <c r="AA414" s="583"/>
    </row>
    <row r="415" s="178" customFormat="1" ht="14.25" customHeight="1" spans="1:27">
      <c r="A415" s="543" t="s">
        <v>477</v>
      </c>
      <c r="B415" s="543"/>
      <c r="C415" s="576" t="s">
        <v>4200</v>
      </c>
      <c r="D415" s="543" t="s">
        <v>4202</v>
      </c>
      <c r="E415" s="574" t="s">
        <v>4114</v>
      </c>
      <c r="F415" s="556" t="s">
        <v>4115</v>
      </c>
      <c r="G415" s="543" t="s">
        <v>3032</v>
      </c>
      <c r="H415" s="543" t="s">
        <v>4177</v>
      </c>
      <c r="I415" s="548">
        <v>45685</v>
      </c>
      <c r="J415" s="548">
        <v>45708</v>
      </c>
      <c r="K415" s="543" t="s">
        <v>18</v>
      </c>
      <c r="L415" s="542" t="s">
        <v>3457</v>
      </c>
      <c r="M415" s="543" t="s">
        <v>309</v>
      </c>
      <c r="N415" s="518">
        <v>0</v>
      </c>
      <c r="O415" s="518">
        <v>0</v>
      </c>
      <c r="P415" s="519">
        <v>495</v>
      </c>
      <c r="Q415" s="548">
        <v>45695</v>
      </c>
      <c r="R415" s="548">
        <v>45700</v>
      </c>
      <c r="S415" s="543" t="s">
        <v>309</v>
      </c>
      <c r="T415" s="548">
        <v>45702</v>
      </c>
      <c r="U415" s="548">
        <v>45714</v>
      </c>
      <c r="V415" s="543" t="s">
        <v>20</v>
      </c>
      <c r="W415" s="548">
        <v>45729</v>
      </c>
      <c r="X415" s="583"/>
      <c r="Y415" s="542"/>
      <c r="Z415" s="583"/>
      <c r="AA415" s="583"/>
    </row>
    <row r="416" s="178" customFormat="1" ht="14.25" customHeight="1" spans="1:27">
      <c r="A416" s="527" t="s">
        <v>13</v>
      </c>
      <c r="B416" s="527"/>
      <c r="C416" s="575" t="s">
        <v>4203</v>
      </c>
      <c r="D416" s="527" t="s">
        <v>4204</v>
      </c>
      <c r="E416" s="550">
        <v>3000</v>
      </c>
      <c r="F416" s="556" t="s">
        <v>4018</v>
      </c>
      <c r="G416" s="527" t="s">
        <v>4056</v>
      </c>
      <c r="H416" s="527" t="s">
        <v>4177</v>
      </c>
      <c r="I416" s="215">
        <v>45685</v>
      </c>
      <c r="J416" s="215">
        <v>45708</v>
      </c>
      <c r="K416" s="527" t="s">
        <v>18</v>
      </c>
      <c r="L416" s="542" t="s">
        <v>3457</v>
      </c>
      <c r="M416" s="543" t="s">
        <v>309</v>
      </c>
      <c r="N416" s="518">
        <v>1680.61</v>
      </c>
      <c r="O416" s="518">
        <v>12172.75</v>
      </c>
      <c r="P416" s="519">
        <v>495</v>
      </c>
      <c r="Q416" s="548">
        <v>45696</v>
      </c>
      <c r="R416" s="548">
        <v>45700</v>
      </c>
      <c r="S416" s="527" t="s">
        <v>309</v>
      </c>
      <c r="T416" s="215">
        <v>45709</v>
      </c>
      <c r="U416" s="215">
        <v>45713</v>
      </c>
      <c r="V416" s="527" t="s">
        <v>20</v>
      </c>
      <c r="W416" s="215">
        <v>45729</v>
      </c>
      <c r="X416" s="529"/>
      <c r="Y416" s="568"/>
      <c r="Z416" s="529"/>
      <c r="AA416" s="529"/>
    </row>
    <row r="417" s="178" customFormat="1" spans="1:27">
      <c r="A417" s="527" t="s">
        <v>13</v>
      </c>
      <c r="B417" s="527"/>
      <c r="C417" s="575" t="s">
        <v>4205</v>
      </c>
      <c r="D417" s="527" t="s">
        <v>4206</v>
      </c>
      <c r="E417" s="550">
        <v>3000</v>
      </c>
      <c r="F417" s="556" t="s">
        <v>4018</v>
      </c>
      <c r="G417" s="527" t="s">
        <v>4056</v>
      </c>
      <c r="H417" s="527" t="s">
        <v>4177</v>
      </c>
      <c r="I417" s="215">
        <v>45685</v>
      </c>
      <c r="J417" s="215">
        <v>45708</v>
      </c>
      <c r="K417" s="527" t="s">
        <v>18</v>
      </c>
      <c r="L417" s="542" t="s">
        <v>3457</v>
      </c>
      <c r="M417" s="543" t="s">
        <v>309</v>
      </c>
      <c r="N417" s="518">
        <v>1680.61</v>
      </c>
      <c r="O417" s="518">
        <v>11982.89</v>
      </c>
      <c r="P417" s="519">
        <v>495</v>
      </c>
      <c r="Q417" s="548">
        <v>45698</v>
      </c>
      <c r="R417" s="548">
        <v>45700</v>
      </c>
      <c r="S417" s="527" t="s">
        <v>309</v>
      </c>
      <c r="T417" s="215">
        <v>45707</v>
      </c>
      <c r="U417" s="215">
        <v>45713</v>
      </c>
      <c r="V417" s="527" t="s">
        <v>20</v>
      </c>
      <c r="W417" s="215">
        <v>45729</v>
      </c>
      <c r="X417" s="529"/>
      <c r="Y417" s="568"/>
      <c r="Z417" s="529"/>
      <c r="AA417" s="529"/>
    </row>
    <row r="418" s="178" customFormat="1" ht="14.25" customHeight="1" spans="1:27">
      <c r="A418" s="527" t="s">
        <v>477</v>
      </c>
      <c r="B418" s="527"/>
      <c r="C418" s="575" t="s">
        <v>4200</v>
      </c>
      <c r="D418" s="527" t="s">
        <v>4207</v>
      </c>
      <c r="E418" s="550" t="s">
        <v>4114</v>
      </c>
      <c r="F418" s="546" t="s">
        <v>4115</v>
      </c>
      <c r="G418" s="527" t="s">
        <v>3032</v>
      </c>
      <c r="H418" s="527" t="s">
        <v>4177</v>
      </c>
      <c r="I418" s="215">
        <v>45685</v>
      </c>
      <c r="J418" s="215">
        <v>45708</v>
      </c>
      <c r="K418" s="527" t="s">
        <v>18</v>
      </c>
      <c r="L418" s="542" t="s">
        <v>3324</v>
      </c>
      <c r="M418" s="543" t="s">
        <v>309</v>
      </c>
      <c r="N418" s="518">
        <v>0</v>
      </c>
      <c r="O418" s="518">
        <v>0</v>
      </c>
      <c r="P418" s="519">
        <v>550</v>
      </c>
      <c r="Q418" s="548">
        <v>45695</v>
      </c>
      <c r="R418" s="548">
        <v>45700</v>
      </c>
      <c r="S418" s="527" t="s">
        <v>309</v>
      </c>
      <c r="T418" s="215">
        <v>45702</v>
      </c>
      <c r="U418" s="215">
        <v>45713</v>
      </c>
      <c r="V418" s="527" t="s">
        <v>20</v>
      </c>
      <c r="W418" s="215">
        <v>45729</v>
      </c>
      <c r="X418" s="529"/>
      <c r="Y418" s="568"/>
      <c r="Z418" s="529"/>
      <c r="AA418" s="529"/>
    </row>
    <row r="419" s="178" customFormat="1" ht="14.25" customHeight="1" spans="1:27">
      <c r="A419" s="527" t="s">
        <v>202</v>
      </c>
      <c r="B419" s="527"/>
      <c r="C419" s="527" t="s">
        <v>4208</v>
      </c>
      <c r="D419" s="527" t="s">
        <v>4209</v>
      </c>
      <c r="E419" s="550">
        <v>1089</v>
      </c>
      <c r="F419" s="546" t="s">
        <v>3979</v>
      </c>
      <c r="G419" s="487" t="s">
        <v>3067</v>
      </c>
      <c r="H419" s="527" t="s">
        <v>4210</v>
      </c>
      <c r="I419" s="215">
        <v>45674</v>
      </c>
      <c r="J419" s="215">
        <v>45709</v>
      </c>
      <c r="K419" s="527" t="s">
        <v>18</v>
      </c>
      <c r="L419" s="520" t="s">
        <v>3452</v>
      </c>
      <c r="M419" s="543" t="s">
        <v>4211</v>
      </c>
      <c r="N419" s="518">
        <v>0</v>
      </c>
      <c r="O419" s="518">
        <v>0</v>
      </c>
      <c r="P419" s="519"/>
      <c r="Q419" s="548">
        <v>45687</v>
      </c>
      <c r="R419" s="548">
        <v>45701</v>
      </c>
      <c r="S419" s="527" t="s">
        <v>309</v>
      </c>
      <c r="T419" s="215">
        <v>45706</v>
      </c>
      <c r="U419" s="215">
        <v>45714</v>
      </c>
      <c r="V419" s="527" t="s">
        <v>20</v>
      </c>
      <c r="W419" s="215">
        <v>45730</v>
      </c>
      <c r="X419" s="529"/>
      <c r="Y419" s="568"/>
      <c r="Z419" s="529"/>
      <c r="AA419" s="529"/>
    </row>
    <row r="420" s="178" customFormat="1" ht="14.25" customHeight="1" spans="1:27">
      <c r="A420" s="527" t="s">
        <v>272</v>
      </c>
      <c r="B420" s="527"/>
      <c r="C420" s="527" t="s">
        <v>4212</v>
      </c>
      <c r="D420" s="527" t="s">
        <v>4213</v>
      </c>
      <c r="E420" s="550">
        <v>836</v>
      </c>
      <c r="F420" s="546" t="s">
        <v>3979</v>
      </c>
      <c r="G420" s="527" t="s">
        <v>3079</v>
      </c>
      <c r="H420" s="527" t="s">
        <v>4214</v>
      </c>
      <c r="I420" s="215">
        <v>45692</v>
      </c>
      <c r="J420" s="215">
        <v>45709</v>
      </c>
      <c r="K420" s="527" t="s">
        <v>18</v>
      </c>
      <c r="L420" s="542" t="s">
        <v>4215</v>
      </c>
      <c r="M420" s="543" t="s">
        <v>4216</v>
      </c>
      <c r="N420" s="518">
        <v>1676.05</v>
      </c>
      <c r="O420" s="518">
        <v>13493.73</v>
      </c>
      <c r="P420" s="519"/>
      <c r="Q420" s="548">
        <v>45698</v>
      </c>
      <c r="R420" s="548">
        <v>45700</v>
      </c>
      <c r="S420" s="527" t="s">
        <v>309</v>
      </c>
      <c r="T420" s="215">
        <v>45708</v>
      </c>
      <c r="U420" s="215">
        <v>45715</v>
      </c>
      <c r="V420" s="527" t="s">
        <v>20</v>
      </c>
      <c r="W420" s="215">
        <v>45729</v>
      </c>
      <c r="X420" s="529"/>
      <c r="Y420" s="568"/>
      <c r="Z420" s="529"/>
      <c r="AA420" s="529"/>
    </row>
    <row r="421" s="178" customFormat="1" ht="14.25" customHeight="1" spans="1:27">
      <c r="A421" s="527" t="s">
        <v>2038</v>
      </c>
      <c r="B421" s="527"/>
      <c r="C421" s="527" t="s">
        <v>4217</v>
      </c>
      <c r="D421" s="527" t="s">
        <v>4218</v>
      </c>
      <c r="E421" s="550" t="s">
        <v>4114</v>
      </c>
      <c r="F421" s="546" t="s">
        <v>4115</v>
      </c>
      <c r="G421" s="492" t="s">
        <v>3146</v>
      </c>
      <c r="H421" s="527" t="s">
        <v>4219</v>
      </c>
      <c r="I421" s="215">
        <v>45692</v>
      </c>
      <c r="J421" s="215">
        <v>45709</v>
      </c>
      <c r="K421" s="527" t="s">
        <v>18</v>
      </c>
      <c r="L421" s="542" t="s">
        <v>3457</v>
      </c>
      <c r="M421" s="543" t="s">
        <v>309</v>
      </c>
      <c r="N421" s="518">
        <v>1677.67</v>
      </c>
      <c r="O421" s="518">
        <v>12101.07</v>
      </c>
      <c r="P421" s="519">
        <v>495</v>
      </c>
      <c r="Q421" s="548">
        <v>45700</v>
      </c>
      <c r="R421" s="548">
        <v>45705</v>
      </c>
      <c r="S421" s="527" t="s">
        <v>309</v>
      </c>
      <c r="T421" s="215">
        <v>45707</v>
      </c>
      <c r="U421" s="215">
        <v>45715</v>
      </c>
      <c r="V421" s="527" t="s">
        <v>20</v>
      </c>
      <c r="W421" s="215">
        <v>45730</v>
      </c>
      <c r="X421" s="529"/>
      <c r="Y421" s="568"/>
      <c r="Z421" s="529"/>
      <c r="AA421" s="529"/>
    </row>
    <row r="422" s="178" customFormat="1" ht="14.25" customHeight="1" spans="1:27">
      <c r="A422" s="527" t="s">
        <v>272</v>
      </c>
      <c r="B422" s="527"/>
      <c r="C422" s="527" t="s">
        <v>4208</v>
      </c>
      <c r="D422" s="527" t="s">
        <v>4220</v>
      </c>
      <c r="E422" s="550">
        <v>1089</v>
      </c>
      <c r="F422" s="546" t="s">
        <v>3979</v>
      </c>
      <c r="G422" s="487" t="s">
        <v>3067</v>
      </c>
      <c r="H422" s="527" t="s">
        <v>4210</v>
      </c>
      <c r="I422" s="215">
        <v>45674</v>
      </c>
      <c r="J422" s="215">
        <v>45709</v>
      </c>
      <c r="K422" s="527" t="s">
        <v>18</v>
      </c>
      <c r="L422" s="520" t="s">
        <v>3452</v>
      </c>
      <c r="M422" s="543" t="s">
        <v>275</v>
      </c>
      <c r="N422" s="518">
        <v>3268.45</v>
      </c>
      <c r="O422" s="518">
        <v>17794.03</v>
      </c>
      <c r="P422" s="519"/>
      <c r="Q422" s="548">
        <v>45687</v>
      </c>
      <c r="R422" s="548">
        <v>45701</v>
      </c>
      <c r="S422" s="527" t="s">
        <v>309</v>
      </c>
      <c r="T422" s="215">
        <v>45706</v>
      </c>
      <c r="U422" s="215">
        <v>45714</v>
      </c>
      <c r="V422" s="527" t="s">
        <v>20</v>
      </c>
      <c r="W422" s="215">
        <v>45730</v>
      </c>
      <c r="X422" s="529"/>
      <c r="Y422" s="568"/>
      <c r="Z422" s="529"/>
      <c r="AA422" s="529"/>
    </row>
    <row r="423" s="178" customFormat="1" ht="14.25" customHeight="1" spans="1:27">
      <c r="A423" s="527" t="s">
        <v>13</v>
      </c>
      <c r="B423" s="527"/>
      <c r="C423" s="527" t="s">
        <v>4221</v>
      </c>
      <c r="D423" s="527" t="s">
        <v>4222</v>
      </c>
      <c r="E423" s="550">
        <v>1089</v>
      </c>
      <c r="F423" s="546" t="s">
        <v>3979</v>
      </c>
      <c r="G423" s="487" t="s">
        <v>3067</v>
      </c>
      <c r="H423" s="527" t="s">
        <v>4223</v>
      </c>
      <c r="I423" s="215">
        <v>45674</v>
      </c>
      <c r="J423" s="215">
        <v>45709</v>
      </c>
      <c r="K423" s="527" t="s">
        <v>18</v>
      </c>
      <c r="L423" s="542" t="s">
        <v>3457</v>
      </c>
      <c r="M423" s="543" t="s">
        <v>263</v>
      </c>
      <c r="N423" s="518">
        <v>1674.87</v>
      </c>
      <c r="O423" s="518">
        <v>9595.16</v>
      </c>
      <c r="P423" s="519">
        <v>495</v>
      </c>
      <c r="Q423" s="548">
        <v>45687</v>
      </c>
      <c r="R423" s="548">
        <v>45701</v>
      </c>
      <c r="S423" s="527" t="s">
        <v>309</v>
      </c>
      <c r="T423" s="215">
        <v>45706</v>
      </c>
      <c r="U423" s="215">
        <v>45719</v>
      </c>
      <c r="V423" s="527" t="s">
        <v>20</v>
      </c>
      <c r="W423" s="215">
        <v>45730</v>
      </c>
      <c r="X423" s="529" t="s">
        <v>4224</v>
      </c>
      <c r="Y423" s="568"/>
      <c r="Z423" s="529"/>
      <c r="AA423" s="529"/>
    </row>
    <row r="424" s="178" customFormat="1" ht="14.25" customHeight="1" spans="1:27">
      <c r="A424" s="527" t="s">
        <v>202</v>
      </c>
      <c r="B424" s="527"/>
      <c r="C424" s="527" t="s">
        <v>4225</v>
      </c>
      <c r="D424" s="527" t="s">
        <v>4226</v>
      </c>
      <c r="E424" s="550">
        <v>1016</v>
      </c>
      <c r="F424" s="546" t="s">
        <v>3979</v>
      </c>
      <c r="G424" s="527" t="s">
        <v>3079</v>
      </c>
      <c r="H424" s="527" t="s">
        <v>4227</v>
      </c>
      <c r="I424" s="215">
        <v>45678</v>
      </c>
      <c r="J424" s="215">
        <v>45711</v>
      </c>
      <c r="K424" s="527" t="s">
        <v>207</v>
      </c>
      <c r="L424" s="500" t="s">
        <v>3393</v>
      </c>
      <c r="M424" s="543" t="s">
        <v>4228</v>
      </c>
      <c r="N424" s="518">
        <v>1454.06</v>
      </c>
      <c r="O424" s="518">
        <v>9063.58</v>
      </c>
      <c r="P424" s="519"/>
      <c r="Q424" s="548">
        <v>45687</v>
      </c>
      <c r="R424" s="548">
        <v>45706</v>
      </c>
      <c r="S424" s="527" t="s">
        <v>309</v>
      </c>
      <c r="T424" s="215">
        <v>45708</v>
      </c>
      <c r="U424" s="215">
        <v>45715</v>
      </c>
      <c r="V424" s="527" t="s">
        <v>20</v>
      </c>
      <c r="W424" s="215">
        <v>45724</v>
      </c>
      <c r="X424" s="529" t="s">
        <v>4229</v>
      </c>
      <c r="Y424" s="568"/>
      <c r="Z424" s="529"/>
      <c r="AA424" s="529"/>
    </row>
    <row r="425" s="178" customFormat="1" customHeight="1" spans="1:27">
      <c r="A425" s="543" t="s">
        <v>13</v>
      </c>
      <c r="B425" s="543"/>
      <c r="C425" s="543" t="s">
        <v>4230</v>
      </c>
      <c r="D425" s="543" t="s">
        <v>4231</v>
      </c>
      <c r="E425" s="574">
        <v>1016</v>
      </c>
      <c r="F425" s="556" t="s">
        <v>3979</v>
      </c>
      <c r="G425" s="543" t="s">
        <v>3079</v>
      </c>
      <c r="H425" s="543" t="s">
        <v>4227</v>
      </c>
      <c r="I425" s="548">
        <v>45678</v>
      </c>
      <c r="J425" s="548">
        <v>45711</v>
      </c>
      <c r="K425" s="543" t="s">
        <v>207</v>
      </c>
      <c r="L425" s="542" t="s">
        <v>4051</v>
      </c>
      <c r="M425" s="543" t="s">
        <v>4232</v>
      </c>
      <c r="N425" s="518">
        <v>1481.43</v>
      </c>
      <c r="O425" s="518">
        <v>8828</v>
      </c>
      <c r="P425" s="519"/>
      <c r="Q425" s="548">
        <v>45687</v>
      </c>
      <c r="R425" s="548">
        <v>45706</v>
      </c>
      <c r="S425" s="543" t="s">
        <v>309</v>
      </c>
      <c r="T425" s="548">
        <v>45708</v>
      </c>
      <c r="U425" s="548">
        <v>45720</v>
      </c>
      <c r="V425" s="543" t="s">
        <v>20</v>
      </c>
      <c r="W425" s="548">
        <v>45725</v>
      </c>
      <c r="X425" s="583"/>
      <c r="Y425" s="542"/>
      <c r="Z425" s="583"/>
      <c r="AA425" s="583"/>
    </row>
    <row r="426" s="473" customFormat="1" ht="14.25" customHeight="1" spans="1:27">
      <c r="A426" s="546" t="s">
        <v>2038</v>
      </c>
      <c r="B426" s="546"/>
      <c r="C426" s="546" t="s">
        <v>4233</v>
      </c>
      <c r="D426" s="546" t="s">
        <v>4234</v>
      </c>
      <c r="E426" s="550" t="s">
        <v>4114</v>
      </c>
      <c r="F426" s="546" t="s">
        <v>4115</v>
      </c>
      <c r="G426" s="546" t="s">
        <v>4235</v>
      </c>
      <c r="H426" s="546" t="s">
        <v>4236</v>
      </c>
      <c r="I426" s="234">
        <v>45694</v>
      </c>
      <c r="J426" s="234">
        <v>45712</v>
      </c>
      <c r="K426" s="546" t="s">
        <v>18</v>
      </c>
      <c r="L426" s="559" t="s">
        <v>3324</v>
      </c>
      <c r="M426" s="556" t="s">
        <v>4237</v>
      </c>
      <c r="N426" s="518">
        <v>0</v>
      </c>
      <c r="O426" s="518">
        <v>0</v>
      </c>
      <c r="P426" s="519">
        <v>550</v>
      </c>
      <c r="Q426" s="562">
        <v>45701</v>
      </c>
      <c r="R426" s="562">
        <v>45702</v>
      </c>
      <c r="S426" s="546" t="s">
        <v>309</v>
      </c>
      <c r="T426" s="234">
        <v>45706</v>
      </c>
      <c r="U426" s="234">
        <v>45716</v>
      </c>
      <c r="V426" s="546" t="s">
        <v>20</v>
      </c>
      <c r="W426" s="234">
        <v>45733</v>
      </c>
      <c r="X426" s="563" t="s">
        <v>4116</v>
      </c>
      <c r="Y426" s="567"/>
      <c r="Z426" s="563"/>
      <c r="AA426" s="563"/>
    </row>
    <row r="427" s="178" customFormat="1" ht="14.25" customHeight="1" spans="1:27">
      <c r="A427" s="527" t="s">
        <v>2038</v>
      </c>
      <c r="B427" s="527"/>
      <c r="C427" s="527" t="s">
        <v>4233</v>
      </c>
      <c r="D427" s="527" t="s">
        <v>4238</v>
      </c>
      <c r="E427" s="550" t="s">
        <v>4114</v>
      </c>
      <c r="F427" s="546" t="s">
        <v>4115</v>
      </c>
      <c r="G427" s="527" t="s">
        <v>4235</v>
      </c>
      <c r="H427" s="527" t="s">
        <v>4236</v>
      </c>
      <c r="I427" s="215">
        <v>45694</v>
      </c>
      <c r="J427" s="215">
        <v>45712</v>
      </c>
      <c r="K427" s="527" t="s">
        <v>18</v>
      </c>
      <c r="L427" s="542" t="s">
        <v>3457</v>
      </c>
      <c r="M427" s="543" t="s">
        <v>4239</v>
      </c>
      <c r="N427" s="518">
        <v>0</v>
      </c>
      <c r="O427" s="518">
        <v>0</v>
      </c>
      <c r="P427" s="519">
        <v>495</v>
      </c>
      <c r="Q427" s="548">
        <v>45701</v>
      </c>
      <c r="R427" s="548">
        <v>45702</v>
      </c>
      <c r="S427" s="527" t="s">
        <v>309</v>
      </c>
      <c r="T427" s="215">
        <v>45706</v>
      </c>
      <c r="U427" s="215">
        <v>45716</v>
      </c>
      <c r="V427" s="527" t="s">
        <v>20</v>
      </c>
      <c r="W427" s="215">
        <v>45733</v>
      </c>
      <c r="X427" s="529" t="s">
        <v>4116</v>
      </c>
      <c r="Y427" s="568"/>
      <c r="Z427" s="529"/>
      <c r="AA427" s="529"/>
    </row>
    <row r="428" s="178" customFormat="1" ht="14.25" customHeight="1" spans="1:27">
      <c r="A428" s="527" t="s">
        <v>2038</v>
      </c>
      <c r="B428" s="527"/>
      <c r="C428" s="527" t="s">
        <v>4233</v>
      </c>
      <c r="D428" s="527" t="s">
        <v>4240</v>
      </c>
      <c r="E428" s="550" t="s">
        <v>4114</v>
      </c>
      <c r="F428" s="546" t="s">
        <v>4115</v>
      </c>
      <c r="G428" s="527" t="s">
        <v>4235</v>
      </c>
      <c r="H428" s="527" t="s">
        <v>4236</v>
      </c>
      <c r="I428" s="215">
        <v>45694</v>
      </c>
      <c r="J428" s="215">
        <v>45712</v>
      </c>
      <c r="K428" s="527" t="s">
        <v>18</v>
      </c>
      <c r="L428" s="542" t="s">
        <v>3457</v>
      </c>
      <c r="M428" s="543" t="s">
        <v>4241</v>
      </c>
      <c r="N428" s="518">
        <v>0</v>
      </c>
      <c r="O428" s="518">
        <v>0</v>
      </c>
      <c r="P428" s="519">
        <v>495</v>
      </c>
      <c r="Q428" s="548">
        <v>45701</v>
      </c>
      <c r="R428" s="548">
        <v>45702</v>
      </c>
      <c r="S428" s="527" t="s">
        <v>309</v>
      </c>
      <c r="T428" s="215">
        <v>45706</v>
      </c>
      <c r="U428" s="215">
        <v>45719</v>
      </c>
      <c r="V428" s="527" t="s">
        <v>20</v>
      </c>
      <c r="W428" s="215">
        <v>45733</v>
      </c>
      <c r="X428" s="529" t="s">
        <v>4224</v>
      </c>
      <c r="Y428" s="568"/>
      <c r="Z428" s="529"/>
      <c r="AA428" s="529"/>
    </row>
    <row r="429" s="178" customFormat="1" ht="14.25" customHeight="1" spans="1:27">
      <c r="A429" s="527" t="s">
        <v>2038</v>
      </c>
      <c r="B429" s="527"/>
      <c r="C429" s="527" t="s">
        <v>4233</v>
      </c>
      <c r="D429" s="558" t="s">
        <v>4242</v>
      </c>
      <c r="E429" s="550" t="s">
        <v>4114</v>
      </c>
      <c r="F429" s="546" t="s">
        <v>4115</v>
      </c>
      <c r="G429" s="527" t="s">
        <v>4235</v>
      </c>
      <c r="H429" s="527" t="s">
        <v>4236</v>
      </c>
      <c r="I429" s="215">
        <v>45694</v>
      </c>
      <c r="J429" s="215">
        <v>45712</v>
      </c>
      <c r="K429" s="527" t="s">
        <v>18</v>
      </c>
      <c r="L429" s="542" t="s">
        <v>3457</v>
      </c>
      <c r="M429" s="543" t="s">
        <v>4243</v>
      </c>
      <c r="N429" s="518">
        <f>6450.33-54.73</f>
        <v>6395.6</v>
      </c>
      <c r="O429" s="518">
        <v>25629.09</v>
      </c>
      <c r="P429" s="519">
        <v>495</v>
      </c>
      <c r="Q429" s="548">
        <v>45701</v>
      </c>
      <c r="R429" s="548">
        <v>45702</v>
      </c>
      <c r="S429" s="527" t="s">
        <v>309</v>
      </c>
      <c r="T429" s="215">
        <v>45706</v>
      </c>
      <c r="U429" s="215">
        <v>45719</v>
      </c>
      <c r="V429" s="527" t="s">
        <v>20</v>
      </c>
      <c r="W429" s="215">
        <v>45733</v>
      </c>
      <c r="X429" s="529" t="s">
        <v>4224</v>
      </c>
      <c r="Y429" s="568"/>
      <c r="Z429" s="529"/>
      <c r="AA429" s="529"/>
    </row>
    <row r="430" s="178" customFormat="1" ht="14.25" customHeight="1" spans="1:27">
      <c r="A430" s="527" t="s">
        <v>4244</v>
      </c>
      <c r="B430" s="527"/>
      <c r="C430" s="527" t="s">
        <v>4245</v>
      </c>
      <c r="D430" s="558" t="s">
        <v>4246</v>
      </c>
      <c r="E430" s="550" t="s">
        <v>4114</v>
      </c>
      <c r="F430" s="546" t="s">
        <v>4115</v>
      </c>
      <c r="G430" s="492" t="s">
        <v>3146</v>
      </c>
      <c r="H430" s="527" t="s">
        <v>4247</v>
      </c>
      <c r="I430" s="215">
        <v>45695</v>
      </c>
      <c r="J430" s="215">
        <v>45717</v>
      </c>
      <c r="K430" s="527" t="s">
        <v>18</v>
      </c>
      <c r="L430" s="542" t="s">
        <v>3457</v>
      </c>
      <c r="M430" s="543" t="s">
        <v>309</v>
      </c>
      <c r="N430" s="518">
        <f>8059.91-221.25</f>
        <v>7838.66</v>
      </c>
      <c r="O430" s="518">
        <v>49036.04</v>
      </c>
      <c r="P430" s="519">
        <v>495</v>
      </c>
      <c r="Q430" s="548">
        <v>45706</v>
      </c>
      <c r="R430" s="548">
        <v>45713</v>
      </c>
      <c r="S430" s="527" t="s">
        <v>309</v>
      </c>
      <c r="T430" s="215">
        <v>45716</v>
      </c>
      <c r="U430" s="215">
        <v>45722</v>
      </c>
      <c r="V430" s="527" t="s">
        <v>20</v>
      </c>
      <c r="W430" s="215">
        <v>45738</v>
      </c>
      <c r="X430" s="529"/>
      <c r="Y430" s="568"/>
      <c r="Z430" s="529"/>
      <c r="AA430" s="529"/>
    </row>
    <row r="431" s="178" customFormat="1" ht="14.25" customHeight="1" spans="1:27">
      <c r="A431" s="527" t="s">
        <v>330</v>
      </c>
      <c r="B431" s="527"/>
      <c r="C431" s="527" t="s">
        <v>4248</v>
      </c>
      <c r="D431" s="527" t="s">
        <v>4249</v>
      </c>
      <c r="E431" s="550">
        <v>932</v>
      </c>
      <c r="F431" s="546" t="s">
        <v>3979</v>
      </c>
      <c r="G431" s="527" t="s">
        <v>3137</v>
      </c>
      <c r="H431" s="527" t="s">
        <v>4250</v>
      </c>
      <c r="I431" s="215">
        <v>45695</v>
      </c>
      <c r="J431" s="215">
        <v>45717</v>
      </c>
      <c r="K431" s="527" t="s">
        <v>18</v>
      </c>
      <c r="L431" s="542" t="s">
        <v>3457</v>
      </c>
      <c r="M431" s="543" t="s">
        <v>309</v>
      </c>
      <c r="N431" s="518">
        <v>1678.03</v>
      </c>
      <c r="O431" s="518">
        <v>11206.42</v>
      </c>
      <c r="P431" s="519">
        <v>495</v>
      </c>
      <c r="Q431" s="548">
        <v>45707</v>
      </c>
      <c r="R431" s="548">
        <v>45712</v>
      </c>
      <c r="S431" s="527" t="s">
        <v>309</v>
      </c>
      <c r="T431" s="215">
        <v>45715</v>
      </c>
      <c r="U431" s="215">
        <v>45721</v>
      </c>
      <c r="V431" s="527" t="s">
        <v>20</v>
      </c>
      <c r="W431" s="215">
        <v>45738</v>
      </c>
      <c r="X431" s="529"/>
      <c r="Y431" s="568"/>
      <c r="Z431" s="529"/>
      <c r="AA431" s="529"/>
    </row>
    <row r="432" s="178" customFormat="1" ht="14.25" customHeight="1" spans="1:27">
      <c r="A432" s="543" t="s">
        <v>4244</v>
      </c>
      <c r="B432" s="543"/>
      <c r="C432" s="543" t="s">
        <v>4245</v>
      </c>
      <c r="D432" s="543" t="s">
        <v>4251</v>
      </c>
      <c r="E432" s="574" t="s">
        <v>4114</v>
      </c>
      <c r="F432" s="556" t="s">
        <v>4115</v>
      </c>
      <c r="G432" s="492" t="s">
        <v>3146</v>
      </c>
      <c r="H432" s="543" t="s">
        <v>4247</v>
      </c>
      <c r="I432" s="548">
        <v>45695</v>
      </c>
      <c r="J432" s="548">
        <v>45717</v>
      </c>
      <c r="K432" s="543" t="s">
        <v>18</v>
      </c>
      <c r="L432" s="542" t="s">
        <v>3324</v>
      </c>
      <c r="M432" s="543" t="s">
        <v>309</v>
      </c>
      <c r="N432" s="518">
        <v>0</v>
      </c>
      <c r="O432" s="518">
        <v>0</v>
      </c>
      <c r="P432" s="519"/>
      <c r="Q432" s="548">
        <v>45706</v>
      </c>
      <c r="R432" s="548">
        <v>45713</v>
      </c>
      <c r="S432" s="543" t="s">
        <v>309</v>
      </c>
      <c r="T432" s="548">
        <v>45716</v>
      </c>
      <c r="U432" s="548">
        <v>45722</v>
      </c>
      <c r="V432" s="543" t="s">
        <v>20</v>
      </c>
      <c r="W432" s="548">
        <v>45738</v>
      </c>
      <c r="X432" s="583"/>
      <c r="Y432" s="542"/>
      <c r="Z432" s="583"/>
      <c r="AA432" s="583"/>
    </row>
    <row r="433" s="178" customFormat="1" ht="14.25" customHeight="1" spans="1:27">
      <c r="A433" s="543" t="s">
        <v>4244</v>
      </c>
      <c r="B433" s="543"/>
      <c r="C433" s="543" t="s">
        <v>4245</v>
      </c>
      <c r="D433" s="543" t="s">
        <v>4252</v>
      </c>
      <c r="E433" s="574" t="s">
        <v>4114</v>
      </c>
      <c r="F433" s="556" t="s">
        <v>4115</v>
      </c>
      <c r="G433" s="492" t="s">
        <v>3146</v>
      </c>
      <c r="H433" s="543" t="s">
        <v>4247</v>
      </c>
      <c r="I433" s="548">
        <v>45695</v>
      </c>
      <c r="J433" s="548">
        <v>45717</v>
      </c>
      <c r="K433" s="543" t="s">
        <v>18</v>
      </c>
      <c r="L433" s="542" t="s">
        <v>3324</v>
      </c>
      <c r="M433" s="543" t="s">
        <v>309</v>
      </c>
      <c r="N433" s="518">
        <v>0</v>
      </c>
      <c r="O433" s="518">
        <v>0</v>
      </c>
      <c r="P433" s="519" t="s">
        <v>4040</v>
      </c>
      <c r="Q433" s="548">
        <v>45706</v>
      </c>
      <c r="R433" s="548">
        <v>45713</v>
      </c>
      <c r="S433" s="543" t="s">
        <v>309</v>
      </c>
      <c r="T433" s="548">
        <v>45716</v>
      </c>
      <c r="U433" s="548">
        <v>45727</v>
      </c>
      <c r="V433" s="543" t="s">
        <v>20</v>
      </c>
      <c r="W433" s="548">
        <v>45738</v>
      </c>
      <c r="X433" s="583"/>
      <c r="Y433" s="542"/>
      <c r="Z433" s="583"/>
      <c r="AA433" s="583"/>
    </row>
    <row r="434" s="178" customFormat="1" ht="14.25" customHeight="1" spans="1:27">
      <c r="A434" s="543" t="s">
        <v>4244</v>
      </c>
      <c r="B434" s="543"/>
      <c r="C434" s="543" t="s">
        <v>4245</v>
      </c>
      <c r="D434" s="543" t="s">
        <v>4253</v>
      </c>
      <c r="E434" s="574" t="s">
        <v>4114</v>
      </c>
      <c r="F434" s="556" t="s">
        <v>4115</v>
      </c>
      <c r="G434" s="492" t="s">
        <v>3146</v>
      </c>
      <c r="H434" s="543" t="s">
        <v>4247</v>
      </c>
      <c r="I434" s="548">
        <v>45695</v>
      </c>
      <c r="J434" s="548">
        <v>45717</v>
      </c>
      <c r="K434" s="543" t="s">
        <v>18</v>
      </c>
      <c r="L434" s="542" t="s">
        <v>3324</v>
      </c>
      <c r="M434" s="543" t="s">
        <v>309</v>
      </c>
      <c r="N434" s="518">
        <v>0</v>
      </c>
      <c r="O434" s="518">
        <v>0</v>
      </c>
      <c r="P434" s="519" t="s">
        <v>4040</v>
      </c>
      <c r="Q434" s="548">
        <v>45706</v>
      </c>
      <c r="R434" s="548">
        <v>45713</v>
      </c>
      <c r="S434" s="543" t="s">
        <v>309</v>
      </c>
      <c r="T434" s="548">
        <v>45716</v>
      </c>
      <c r="U434" s="548">
        <v>45727</v>
      </c>
      <c r="V434" s="543" t="s">
        <v>20</v>
      </c>
      <c r="W434" s="548">
        <v>45738</v>
      </c>
      <c r="X434" s="583"/>
      <c r="Y434" s="542"/>
      <c r="Z434" s="583"/>
      <c r="AA434" s="583"/>
    </row>
    <row r="435" s="178" customFormat="1" ht="14.25" customHeight="1" spans="1:27">
      <c r="A435" s="543" t="s">
        <v>4244</v>
      </c>
      <c r="B435" s="543"/>
      <c r="C435" s="543" t="s">
        <v>4245</v>
      </c>
      <c r="D435" s="543" t="s">
        <v>4254</v>
      </c>
      <c r="E435" s="574" t="s">
        <v>4114</v>
      </c>
      <c r="F435" s="556" t="s">
        <v>4115</v>
      </c>
      <c r="G435" s="492" t="s">
        <v>3146</v>
      </c>
      <c r="H435" s="543" t="s">
        <v>4247</v>
      </c>
      <c r="I435" s="548">
        <v>45695</v>
      </c>
      <c r="J435" s="548">
        <v>45717</v>
      </c>
      <c r="K435" s="543" t="s">
        <v>18</v>
      </c>
      <c r="L435" s="542" t="s">
        <v>3324</v>
      </c>
      <c r="M435" s="543" t="s">
        <v>309</v>
      </c>
      <c r="N435" s="518">
        <v>0</v>
      </c>
      <c r="O435" s="518">
        <v>0</v>
      </c>
      <c r="P435" s="519" t="s">
        <v>4040</v>
      </c>
      <c r="Q435" s="548">
        <v>45706</v>
      </c>
      <c r="R435" s="548">
        <v>45713</v>
      </c>
      <c r="S435" s="543" t="s">
        <v>309</v>
      </c>
      <c r="T435" s="548">
        <v>45716</v>
      </c>
      <c r="U435" s="548">
        <v>45723</v>
      </c>
      <c r="V435" s="543" t="s">
        <v>20</v>
      </c>
      <c r="W435" s="548">
        <v>45738</v>
      </c>
      <c r="X435" s="583" t="s">
        <v>4255</v>
      </c>
      <c r="Y435" s="542"/>
      <c r="Z435" s="583"/>
      <c r="AA435" s="583"/>
    </row>
    <row r="436" s="178" customFormat="1" ht="14.25" customHeight="1" spans="1:27">
      <c r="A436" s="543" t="s">
        <v>333</v>
      </c>
      <c r="B436" s="543"/>
      <c r="C436" s="543" t="s">
        <v>4256</v>
      </c>
      <c r="D436" s="543" t="s">
        <v>4257</v>
      </c>
      <c r="E436" s="574">
        <v>932</v>
      </c>
      <c r="F436" s="556" t="s">
        <v>3979</v>
      </c>
      <c r="G436" s="543" t="s">
        <v>3137</v>
      </c>
      <c r="H436" s="543" t="s">
        <v>4250</v>
      </c>
      <c r="I436" s="548">
        <v>45695</v>
      </c>
      <c r="J436" s="548">
        <v>45717</v>
      </c>
      <c r="K436" s="543" t="s">
        <v>18</v>
      </c>
      <c r="L436" s="520" t="s">
        <v>3452</v>
      </c>
      <c r="M436" s="543" t="s">
        <v>338</v>
      </c>
      <c r="N436" s="518">
        <v>1810.03</v>
      </c>
      <c r="O436" s="518">
        <v>9313.36</v>
      </c>
      <c r="P436" s="519"/>
      <c r="Q436" s="548">
        <v>45707</v>
      </c>
      <c r="R436" s="548">
        <v>45712</v>
      </c>
      <c r="S436" s="543" t="s">
        <v>309</v>
      </c>
      <c r="T436" s="548">
        <v>45715</v>
      </c>
      <c r="U436" s="548">
        <v>45723</v>
      </c>
      <c r="V436" s="543" t="s">
        <v>20</v>
      </c>
      <c r="W436" s="548">
        <v>45738</v>
      </c>
      <c r="X436" s="583"/>
      <c r="Y436" s="542"/>
      <c r="Z436" s="583"/>
      <c r="AA436" s="583"/>
    </row>
    <row r="437" s="474" customFormat="1" ht="14.25" customHeight="1" spans="1:27">
      <c r="A437" s="577" t="s">
        <v>343</v>
      </c>
      <c r="B437" s="577"/>
      <c r="C437" s="577" t="s">
        <v>4258</v>
      </c>
      <c r="D437" s="577" t="s">
        <v>4259</v>
      </c>
      <c r="E437" s="574">
        <v>1089</v>
      </c>
      <c r="F437" s="556" t="s">
        <v>3979</v>
      </c>
      <c r="G437" s="487" t="s">
        <v>3067</v>
      </c>
      <c r="H437" s="577" t="s">
        <v>4260</v>
      </c>
      <c r="I437" s="581">
        <v>45705</v>
      </c>
      <c r="J437" s="581">
        <v>45724</v>
      </c>
      <c r="K437" s="577" t="s">
        <v>161</v>
      </c>
      <c r="L437" s="582" t="s">
        <v>3590</v>
      </c>
      <c r="M437" s="577" t="s">
        <v>309</v>
      </c>
      <c r="N437" s="518"/>
      <c r="O437" s="518"/>
      <c r="P437" s="519">
        <v>550</v>
      </c>
      <c r="Q437" s="581">
        <v>45712</v>
      </c>
      <c r="R437" s="581">
        <v>45720</v>
      </c>
      <c r="S437" s="577" t="s">
        <v>309</v>
      </c>
      <c r="T437" s="581">
        <v>45722</v>
      </c>
      <c r="U437" s="581">
        <v>45728</v>
      </c>
      <c r="V437" s="577" t="s">
        <v>20</v>
      </c>
      <c r="W437" s="584">
        <f>J437+21</f>
        <v>45745</v>
      </c>
      <c r="X437" s="585"/>
      <c r="Y437" s="582"/>
      <c r="Z437" s="585"/>
      <c r="AA437" s="585"/>
    </row>
    <row r="438" s="473" customFormat="1" ht="14.25" customHeight="1" spans="1:27">
      <c r="A438" s="556" t="s">
        <v>343</v>
      </c>
      <c r="B438" s="556"/>
      <c r="C438" s="556" t="s">
        <v>4261</v>
      </c>
      <c r="D438" s="578" t="s">
        <v>4262</v>
      </c>
      <c r="E438" s="574">
        <v>1089</v>
      </c>
      <c r="F438" s="556" t="s">
        <v>3979</v>
      </c>
      <c r="G438" s="487" t="s">
        <v>3067</v>
      </c>
      <c r="H438" s="556" t="s">
        <v>4263</v>
      </c>
      <c r="I438" s="562">
        <v>45700</v>
      </c>
      <c r="J438" s="562">
        <v>45724</v>
      </c>
      <c r="K438" s="556" t="s">
        <v>18</v>
      </c>
      <c r="L438" s="559" t="s">
        <v>3457</v>
      </c>
      <c r="M438" s="556" t="s">
        <v>309</v>
      </c>
      <c r="N438" s="518">
        <v>1677.39</v>
      </c>
      <c r="O438" s="518">
        <v>13113.83</v>
      </c>
      <c r="P438" s="519">
        <v>495</v>
      </c>
      <c r="Q438" s="562">
        <v>45707</v>
      </c>
      <c r="R438" s="562">
        <v>45719</v>
      </c>
      <c r="S438" s="556" t="s">
        <v>309</v>
      </c>
      <c r="T438" s="562">
        <v>45721</v>
      </c>
      <c r="U438" s="562">
        <v>45729</v>
      </c>
      <c r="V438" s="556" t="s">
        <v>20</v>
      </c>
      <c r="W438" s="545">
        <f>J438+21</f>
        <v>45745</v>
      </c>
      <c r="X438" s="586"/>
      <c r="Y438" s="559"/>
      <c r="Z438" s="586"/>
      <c r="AA438" s="586"/>
    </row>
    <row r="439" s="473" customFormat="1" ht="14.25" customHeight="1" spans="1:27">
      <c r="A439" s="556" t="s">
        <v>330</v>
      </c>
      <c r="B439" s="556"/>
      <c r="C439" s="556" t="s">
        <v>4264</v>
      </c>
      <c r="D439" s="556" t="s">
        <v>4265</v>
      </c>
      <c r="E439" s="574">
        <v>1089</v>
      </c>
      <c r="F439" s="556" t="s">
        <v>3979</v>
      </c>
      <c r="G439" s="487" t="s">
        <v>3067</v>
      </c>
      <c r="H439" s="556" t="s">
        <v>4266</v>
      </c>
      <c r="I439" s="562">
        <v>45707</v>
      </c>
      <c r="J439" s="562">
        <v>45724</v>
      </c>
      <c r="K439" s="556" t="s">
        <v>18</v>
      </c>
      <c r="L439" s="559" t="s">
        <v>3457</v>
      </c>
      <c r="M439" s="556" t="s">
        <v>309</v>
      </c>
      <c r="N439" s="518">
        <v>1680.97</v>
      </c>
      <c r="O439" s="518">
        <v>9079.65</v>
      </c>
      <c r="P439" s="519">
        <v>495</v>
      </c>
      <c r="Q439" s="562">
        <v>45719</v>
      </c>
      <c r="R439" s="562">
        <v>45719</v>
      </c>
      <c r="S439" s="556" t="s">
        <v>309</v>
      </c>
      <c r="T439" s="562">
        <v>45721</v>
      </c>
      <c r="U439" s="562">
        <v>45730</v>
      </c>
      <c r="V439" s="556" t="s">
        <v>20</v>
      </c>
      <c r="W439" s="545">
        <f>J439+21</f>
        <v>45745</v>
      </c>
      <c r="X439" s="586"/>
      <c r="Y439" s="559"/>
      <c r="Z439" s="586"/>
      <c r="AA439" s="586"/>
    </row>
    <row r="440" s="475" customFormat="1" spans="1:27">
      <c r="A440" s="492" t="s">
        <v>2038</v>
      </c>
      <c r="B440" s="492"/>
      <c r="C440" s="492" t="s">
        <v>4267</v>
      </c>
      <c r="D440" s="492" t="s">
        <v>4268</v>
      </c>
      <c r="E440" s="491" t="s">
        <v>4114</v>
      </c>
      <c r="F440" s="492" t="s">
        <v>4115</v>
      </c>
      <c r="G440" s="492" t="s">
        <v>3079</v>
      </c>
      <c r="H440" s="579" t="s">
        <v>4269</v>
      </c>
      <c r="I440" s="545">
        <v>45713</v>
      </c>
      <c r="J440" s="562">
        <v>45728</v>
      </c>
      <c r="K440" s="492" t="s">
        <v>18</v>
      </c>
      <c r="L440" s="523" t="s">
        <v>3457</v>
      </c>
      <c r="M440" s="556" t="s">
        <v>309</v>
      </c>
      <c r="N440" s="484"/>
      <c r="O440" s="484">
        <v>17853.46</v>
      </c>
      <c r="P440" s="499">
        <v>450</v>
      </c>
      <c r="Q440" s="545">
        <v>45726</v>
      </c>
      <c r="R440" s="545">
        <v>45726</v>
      </c>
      <c r="S440" s="545" t="s">
        <v>309</v>
      </c>
      <c r="T440" s="545">
        <v>45727</v>
      </c>
      <c r="U440" s="562">
        <v>45734</v>
      </c>
      <c r="V440" s="587" t="s">
        <v>20</v>
      </c>
      <c r="W440" s="545">
        <f>J440+20</f>
        <v>45748</v>
      </c>
      <c r="X440" s="588" t="s">
        <v>4270</v>
      </c>
      <c r="Y440" s="523"/>
      <c r="Z440" s="588"/>
      <c r="AA440" s="588"/>
    </row>
    <row r="441" s="475" customFormat="1" spans="1:27">
      <c r="A441" s="492" t="s">
        <v>4271</v>
      </c>
      <c r="B441" s="492"/>
      <c r="C441" s="492" t="s">
        <v>4272</v>
      </c>
      <c r="D441" s="492" t="s">
        <v>4273</v>
      </c>
      <c r="E441" s="491">
        <v>936</v>
      </c>
      <c r="F441" s="492" t="s">
        <v>3979</v>
      </c>
      <c r="G441" s="492" t="s">
        <v>3079</v>
      </c>
      <c r="H441" s="492" t="s">
        <v>4269</v>
      </c>
      <c r="I441" s="545">
        <v>45705</v>
      </c>
      <c r="J441" s="545">
        <v>45728</v>
      </c>
      <c r="K441" s="492" t="s">
        <v>18</v>
      </c>
      <c r="L441" s="520" t="s">
        <v>3452</v>
      </c>
      <c r="M441" s="556" t="s">
        <v>357</v>
      </c>
      <c r="N441" s="484"/>
      <c r="O441" s="484">
        <v>9191.06</v>
      </c>
      <c r="P441" s="499"/>
      <c r="Q441" s="545">
        <v>45712</v>
      </c>
      <c r="R441" s="545">
        <v>45719</v>
      </c>
      <c r="S441" s="545" t="s">
        <v>309</v>
      </c>
      <c r="T441" s="545">
        <v>45726</v>
      </c>
      <c r="U441" s="545">
        <v>45733</v>
      </c>
      <c r="V441" s="492" t="s">
        <v>20</v>
      </c>
      <c r="W441" s="545">
        <f t="shared" ref="W441:W454" si="19">J441+21</f>
        <v>45749</v>
      </c>
      <c r="X441" s="588"/>
      <c r="Y441" s="523"/>
      <c r="Z441" s="588"/>
      <c r="AA441" s="588"/>
    </row>
    <row r="442" s="476" customFormat="1" spans="1:27">
      <c r="A442" s="492" t="s">
        <v>2038</v>
      </c>
      <c r="B442" s="492"/>
      <c r="C442" s="580" t="s">
        <v>4274</v>
      </c>
      <c r="D442" s="492" t="s">
        <v>4275</v>
      </c>
      <c r="E442" s="491" t="s">
        <v>4114</v>
      </c>
      <c r="F442" s="492" t="s">
        <v>4115</v>
      </c>
      <c r="G442" s="492" t="s">
        <v>3032</v>
      </c>
      <c r="H442" s="492" t="s">
        <v>4276</v>
      </c>
      <c r="I442" s="545">
        <v>45707</v>
      </c>
      <c r="J442" s="545">
        <v>45728</v>
      </c>
      <c r="K442" s="492" t="s">
        <v>18</v>
      </c>
      <c r="L442" s="559" t="s">
        <v>3457</v>
      </c>
      <c r="M442" s="556" t="s">
        <v>4277</v>
      </c>
      <c r="N442" s="484">
        <v>0</v>
      </c>
      <c r="O442" s="484">
        <v>0</v>
      </c>
      <c r="P442" s="499">
        <v>450</v>
      </c>
      <c r="Q442" s="545">
        <v>45709</v>
      </c>
      <c r="R442" s="545">
        <v>45722</v>
      </c>
      <c r="S442" s="545" t="s">
        <v>309</v>
      </c>
      <c r="T442" s="545">
        <v>45726</v>
      </c>
      <c r="U442" s="562">
        <v>45734</v>
      </c>
      <c r="V442" s="492" t="s">
        <v>20</v>
      </c>
      <c r="W442" s="545">
        <f t="shared" si="19"/>
        <v>45749</v>
      </c>
      <c r="X442" s="588"/>
      <c r="Y442" s="523"/>
      <c r="Z442" s="588"/>
      <c r="AA442" s="588"/>
    </row>
    <row r="443" s="476" customFormat="1" spans="1:27">
      <c r="A443" s="492" t="s">
        <v>13</v>
      </c>
      <c r="B443" s="492"/>
      <c r="C443" s="492" t="s">
        <v>4278</v>
      </c>
      <c r="D443" s="492" t="s">
        <v>4279</v>
      </c>
      <c r="E443" s="491">
        <v>1600</v>
      </c>
      <c r="F443" s="556" t="s">
        <v>4018</v>
      </c>
      <c r="G443" s="492" t="s">
        <v>3032</v>
      </c>
      <c r="H443" s="492" t="s">
        <v>4276</v>
      </c>
      <c r="I443" s="545">
        <v>45707</v>
      </c>
      <c r="J443" s="545">
        <v>45728</v>
      </c>
      <c r="K443" s="492" t="s">
        <v>18</v>
      </c>
      <c r="L443" s="523" t="s">
        <v>3457</v>
      </c>
      <c r="M443" s="556" t="s">
        <v>309</v>
      </c>
      <c r="N443" s="484">
        <f>1686.65-3.52</f>
        <v>1683.13</v>
      </c>
      <c r="O443" s="484">
        <v>11634.05</v>
      </c>
      <c r="P443" s="499">
        <v>450</v>
      </c>
      <c r="Q443" s="545">
        <v>45713</v>
      </c>
      <c r="R443" s="545">
        <v>45722</v>
      </c>
      <c r="S443" s="545" t="s">
        <v>309</v>
      </c>
      <c r="T443" s="545">
        <v>45726</v>
      </c>
      <c r="U443" s="562">
        <v>45734</v>
      </c>
      <c r="V443" s="492" t="s">
        <v>20</v>
      </c>
      <c r="W443" s="545">
        <f t="shared" si="19"/>
        <v>45749</v>
      </c>
      <c r="X443" s="588"/>
      <c r="Y443" s="523"/>
      <c r="Z443" s="588"/>
      <c r="AA443" s="588"/>
    </row>
    <row r="444" s="477" customFormat="1" customHeight="1" spans="1:27">
      <c r="A444" s="492" t="s">
        <v>2038</v>
      </c>
      <c r="B444" s="492"/>
      <c r="C444" s="492" t="s">
        <v>4280</v>
      </c>
      <c r="D444" s="492" t="s">
        <v>4281</v>
      </c>
      <c r="E444" s="491" t="s">
        <v>4114</v>
      </c>
      <c r="F444" s="492" t="s">
        <v>4115</v>
      </c>
      <c r="G444" s="492" t="s">
        <v>3032</v>
      </c>
      <c r="H444" s="492" t="s">
        <v>4276</v>
      </c>
      <c r="I444" s="545">
        <v>45707</v>
      </c>
      <c r="J444" s="545">
        <v>45728</v>
      </c>
      <c r="K444" s="492" t="s">
        <v>18</v>
      </c>
      <c r="L444" s="559" t="s">
        <v>3324</v>
      </c>
      <c r="M444" s="556" t="s">
        <v>309</v>
      </c>
      <c r="N444" s="484"/>
      <c r="O444" s="484">
        <v>0</v>
      </c>
      <c r="P444" s="499">
        <v>500</v>
      </c>
      <c r="Q444" s="545">
        <v>45709</v>
      </c>
      <c r="R444" s="545">
        <v>45722</v>
      </c>
      <c r="S444" s="545" t="s">
        <v>309</v>
      </c>
      <c r="T444" s="545">
        <v>45726</v>
      </c>
      <c r="U444" s="545">
        <v>45736</v>
      </c>
      <c r="V444" s="492" t="s">
        <v>20</v>
      </c>
      <c r="W444" s="545">
        <f t="shared" si="19"/>
        <v>45749</v>
      </c>
      <c r="X444" s="588"/>
      <c r="Y444" s="523"/>
      <c r="Z444" s="588"/>
      <c r="AA444" s="588"/>
    </row>
    <row r="445" s="476" customFormat="1" customHeight="1" spans="1:27">
      <c r="A445" s="492" t="s">
        <v>2038</v>
      </c>
      <c r="B445" s="492"/>
      <c r="C445" s="492" t="s">
        <v>4280</v>
      </c>
      <c r="D445" s="492" t="s">
        <v>4282</v>
      </c>
      <c r="E445" s="491" t="s">
        <v>4114</v>
      </c>
      <c r="F445" s="492" t="s">
        <v>4115</v>
      </c>
      <c r="G445" s="492" t="s">
        <v>3032</v>
      </c>
      <c r="H445" s="492" t="s">
        <v>4276</v>
      </c>
      <c r="I445" s="545">
        <v>45707</v>
      </c>
      <c r="J445" s="545">
        <v>45728</v>
      </c>
      <c r="K445" s="492" t="s">
        <v>18</v>
      </c>
      <c r="L445" s="559" t="s">
        <v>3324</v>
      </c>
      <c r="M445" s="556" t="s">
        <v>309</v>
      </c>
      <c r="N445" s="484"/>
      <c r="O445" s="484">
        <v>0</v>
      </c>
      <c r="P445" s="499">
        <v>500</v>
      </c>
      <c r="Q445" s="545">
        <v>45709</v>
      </c>
      <c r="R445" s="545">
        <v>45722</v>
      </c>
      <c r="S445" s="545" t="s">
        <v>309</v>
      </c>
      <c r="T445" s="545">
        <v>45726</v>
      </c>
      <c r="U445" s="545">
        <v>45736</v>
      </c>
      <c r="V445" s="492" t="s">
        <v>20</v>
      </c>
      <c r="W445" s="545">
        <f t="shared" si="19"/>
        <v>45749</v>
      </c>
      <c r="X445" s="588" t="s">
        <v>4283</v>
      </c>
      <c r="Y445" s="523"/>
      <c r="Z445" s="588"/>
      <c r="AA445" s="588"/>
    </row>
    <row r="446" s="476" customFormat="1" customHeight="1" spans="1:27">
      <c r="A446" s="489" t="s">
        <v>2038</v>
      </c>
      <c r="B446" s="489"/>
      <c r="C446" s="489" t="s">
        <v>4274</v>
      </c>
      <c r="D446" s="494" t="s">
        <v>4284</v>
      </c>
      <c r="E446" s="488" t="s">
        <v>4114</v>
      </c>
      <c r="F446" s="489" t="s">
        <v>4115</v>
      </c>
      <c r="G446" s="489" t="s">
        <v>3032</v>
      </c>
      <c r="H446" s="489" t="s">
        <v>4276</v>
      </c>
      <c r="I446" s="195">
        <v>45707</v>
      </c>
      <c r="J446" s="195">
        <v>45728</v>
      </c>
      <c r="K446" s="489" t="s">
        <v>18</v>
      </c>
      <c r="L446" s="559" t="s">
        <v>3324</v>
      </c>
      <c r="M446" s="556" t="s">
        <v>4285</v>
      </c>
      <c r="N446" s="484">
        <f>3294.57-65.66</f>
        <v>3228.91</v>
      </c>
      <c r="O446" s="484">
        <v>13830.66</v>
      </c>
      <c r="P446" s="499">
        <v>500</v>
      </c>
      <c r="Q446" s="545">
        <v>45709</v>
      </c>
      <c r="R446" s="545">
        <v>45722</v>
      </c>
      <c r="S446" s="195" t="s">
        <v>309</v>
      </c>
      <c r="T446" s="195">
        <v>45726</v>
      </c>
      <c r="U446" s="234">
        <v>45734</v>
      </c>
      <c r="V446" s="489" t="s">
        <v>20</v>
      </c>
      <c r="W446" s="195">
        <f t="shared" si="19"/>
        <v>45749</v>
      </c>
      <c r="X446" s="588"/>
      <c r="Y446" s="523"/>
      <c r="Z446" s="588"/>
      <c r="AA446" s="588"/>
    </row>
    <row r="447" s="476" customFormat="1" customHeight="1" spans="1:27">
      <c r="A447" s="489" t="s">
        <v>2038</v>
      </c>
      <c r="B447" s="489"/>
      <c r="C447" s="489" t="s">
        <v>4280</v>
      </c>
      <c r="D447" s="494" t="s">
        <v>4286</v>
      </c>
      <c r="E447" s="488" t="s">
        <v>4114</v>
      </c>
      <c r="F447" s="489" t="s">
        <v>4115</v>
      </c>
      <c r="G447" s="489" t="s">
        <v>3032</v>
      </c>
      <c r="H447" s="489" t="s">
        <v>4276</v>
      </c>
      <c r="I447" s="195">
        <v>45707</v>
      </c>
      <c r="J447" s="195">
        <v>45728</v>
      </c>
      <c r="K447" s="489" t="s">
        <v>18</v>
      </c>
      <c r="L447" s="559" t="s">
        <v>3324</v>
      </c>
      <c r="M447" s="556" t="s">
        <v>309</v>
      </c>
      <c r="N447" s="484"/>
      <c r="O447" s="484">
        <v>0</v>
      </c>
      <c r="P447" s="499">
        <v>500</v>
      </c>
      <c r="Q447" s="545">
        <v>45709</v>
      </c>
      <c r="R447" s="545">
        <v>45722</v>
      </c>
      <c r="S447" s="195" t="s">
        <v>309</v>
      </c>
      <c r="T447" s="195">
        <v>45726</v>
      </c>
      <c r="U447" s="195">
        <v>45734</v>
      </c>
      <c r="V447" s="489" t="s">
        <v>20</v>
      </c>
      <c r="W447" s="195">
        <f t="shared" si="19"/>
        <v>45749</v>
      </c>
      <c r="X447" s="588"/>
      <c r="Y447" s="523"/>
      <c r="Z447" s="588"/>
      <c r="AA447" s="588"/>
    </row>
    <row r="448" s="476" customFormat="1" customHeight="1" spans="1:27">
      <c r="A448" s="489" t="s">
        <v>2038</v>
      </c>
      <c r="B448" s="489"/>
      <c r="C448" s="489" t="s">
        <v>4280</v>
      </c>
      <c r="D448" s="494" t="s">
        <v>4287</v>
      </c>
      <c r="E448" s="488" t="s">
        <v>4114</v>
      </c>
      <c r="F448" s="489" t="s">
        <v>4115</v>
      </c>
      <c r="G448" s="489" t="s">
        <v>3032</v>
      </c>
      <c r="H448" s="489" t="s">
        <v>4276</v>
      </c>
      <c r="I448" s="195">
        <v>45707</v>
      </c>
      <c r="J448" s="195">
        <v>45728</v>
      </c>
      <c r="K448" s="489" t="s">
        <v>18</v>
      </c>
      <c r="L448" s="559" t="s">
        <v>3324</v>
      </c>
      <c r="M448" s="556" t="s">
        <v>309</v>
      </c>
      <c r="N448" s="484"/>
      <c r="O448" s="484">
        <v>0</v>
      </c>
      <c r="P448" s="499">
        <v>500</v>
      </c>
      <c r="Q448" s="545">
        <v>45709</v>
      </c>
      <c r="R448" s="545">
        <v>45722</v>
      </c>
      <c r="S448" s="195" t="s">
        <v>309</v>
      </c>
      <c r="T448" s="195">
        <v>45726</v>
      </c>
      <c r="U448" s="195">
        <v>45735</v>
      </c>
      <c r="V448" s="489" t="s">
        <v>20</v>
      </c>
      <c r="W448" s="195">
        <f t="shared" si="19"/>
        <v>45749</v>
      </c>
      <c r="X448" s="588"/>
      <c r="Y448" s="523"/>
      <c r="Z448" s="588"/>
      <c r="AA448" s="588"/>
    </row>
    <row r="449" s="476" customFormat="1" spans="1:27">
      <c r="A449" s="489" t="s">
        <v>2038</v>
      </c>
      <c r="B449" s="489"/>
      <c r="C449" s="489" t="s">
        <v>4280</v>
      </c>
      <c r="D449" s="494" t="s">
        <v>4288</v>
      </c>
      <c r="E449" s="488" t="s">
        <v>4114</v>
      </c>
      <c r="F449" s="489" t="s">
        <v>4115</v>
      </c>
      <c r="G449" s="489" t="s">
        <v>3032</v>
      </c>
      <c r="H449" s="489" t="s">
        <v>4276</v>
      </c>
      <c r="I449" s="195">
        <v>45707</v>
      </c>
      <c r="J449" s="195">
        <v>45728</v>
      </c>
      <c r="K449" s="489" t="s">
        <v>18</v>
      </c>
      <c r="L449" s="559" t="s">
        <v>3324</v>
      </c>
      <c r="M449" s="556" t="s">
        <v>309</v>
      </c>
      <c r="N449" s="484"/>
      <c r="O449" s="484">
        <v>0</v>
      </c>
      <c r="P449" s="499">
        <v>500</v>
      </c>
      <c r="Q449" s="545">
        <v>45709</v>
      </c>
      <c r="R449" s="545">
        <v>45722</v>
      </c>
      <c r="S449" s="195" t="s">
        <v>309</v>
      </c>
      <c r="T449" s="195">
        <v>45726</v>
      </c>
      <c r="U449" s="195">
        <v>45735</v>
      </c>
      <c r="V449" s="492" t="s">
        <v>20</v>
      </c>
      <c r="W449" s="195">
        <f t="shared" si="19"/>
        <v>45749</v>
      </c>
      <c r="X449" s="588"/>
      <c r="Y449" s="523"/>
      <c r="Z449" s="588"/>
      <c r="AA449" s="588"/>
    </row>
    <row r="450" s="475" customFormat="1" spans="1:27">
      <c r="A450" s="489" t="s">
        <v>2038</v>
      </c>
      <c r="B450" s="489"/>
      <c r="C450" s="589" t="s">
        <v>4280</v>
      </c>
      <c r="D450" s="494" t="s">
        <v>4289</v>
      </c>
      <c r="E450" s="488" t="s">
        <v>4114</v>
      </c>
      <c r="F450" s="489" t="s">
        <v>4115</v>
      </c>
      <c r="G450" s="489" t="s">
        <v>3032</v>
      </c>
      <c r="H450" s="489" t="s">
        <v>4276</v>
      </c>
      <c r="I450" s="195">
        <v>45707</v>
      </c>
      <c r="J450" s="195">
        <v>45728</v>
      </c>
      <c r="K450" s="489" t="s">
        <v>18</v>
      </c>
      <c r="L450" s="559" t="s">
        <v>3324</v>
      </c>
      <c r="M450" s="556" t="s">
        <v>309</v>
      </c>
      <c r="N450" s="484"/>
      <c r="O450" s="484">
        <v>0</v>
      </c>
      <c r="P450" s="499">
        <v>500</v>
      </c>
      <c r="Q450" s="545">
        <v>45709</v>
      </c>
      <c r="R450" s="545">
        <v>45722</v>
      </c>
      <c r="S450" s="195" t="s">
        <v>309</v>
      </c>
      <c r="T450" s="195">
        <v>45726</v>
      </c>
      <c r="U450" s="195">
        <v>45737</v>
      </c>
      <c r="V450" s="494" t="s">
        <v>20</v>
      </c>
      <c r="W450" s="195">
        <f t="shared" si="19"/>
        <v>45749</v>
      </c>
      <c r="X450" s="588"/>
      <c r="Y450" s="523"/>
      <c r="Z450" s="588"/>
      <c r="AA450" s="588"/>
    </row>
    <row r="451" s="475" customFormat="1" spans="1:27">
      <c r="A451" s="489" t="s">
        <v>2038</v>
      </c>
      <c r="B451" s="489"/>
      <c r="C451" s="489" t="s">
        <v>4280</v>
      </c>
      <c r="D451" s="494" t="s">
        <v>4290</v>
      </c>
      <c r="E451" s="488" t="s">
        <v>4114</v>
      </c>
      <c r="F451" s="489" t="s">
        <v>4115</v>
      </c>
      <c r="G451" s="489" t="s">
        <v>3032</v>
      </c>
      <c r="H451" s="489" t="s">
        <v>4276</v>
      </c>
      <c r="I451" s="195">
        <v>45707</v>
      </c>
      <c r="J451" s="195">
        <v>45728</v>
      </c>
      <c r="K451" s="489" t="s">
        <v>18</v>
      </c>
      <c r="L451" s="523" t="s">
        <v>3457</v>
      </c>
      <c r="M451" s="556" t="s">
        <v>309</v>
      </c>
      <c r="N451" s="484"/>
      <c r="O451" s="484">
        <v>64727.93</v>
      </c>
      <c r="P451" s="499">
        <v>450</v>
      </c>
      <c r="Q451" s="545">
        <v>45709</v>
      </c>
      <c r="R451" s="545">
        <v>45722</v>
      </c>
      <c r="S451" s="195" t="s">
        <v>309</v>
      </c>
      <c r="T451" s="195">
        <v>45726</v>
      </c>
      <c r="U451" s="195">
        <v>45735</v>
      </c>
      <c r="V451" s="494" t="s">
        <v>20</v>
      </c>
      <c r="W451" s="195">
        <f t="shared" si="19"/>
        <v>45749</v>
      </c>
      <c r="X451" s="588"/>
      <c r="Y451" s="523"/>
      <c r="Z451" s="588"/>
      <c r="AA451" s="588"/>
    </row>
    <row r="452" s="475" customFormat="1" spans="1:27">
      <c r="A452" s="489" t="s">
        <v>2038</v>
      </c>
      <c r="B452" s="489"/>
      <c r="C452" s="489" t="s">
        <v>4280</v>
      </c>
      <c r="D452" s="494" t="s">
        <v>4291</v>
      </c>
      <c r="E452" s="488" t="s">
        <v>4114</v>
      </c>
      <c r="F452" s="489" t="s">
        <v>4115</v>
      </c>
      <c r="G452" s="489" t="s">
        <v>3032</v>
      </c>
      <c r="H452" s="489" t="s">
        <v>4276</v>
      </c>
      <c r="I452" s="195">
        <v>45707</v>
      </c>
      <c r="J452" s="195">
        <v>45728</v>
      </c>
      <c r="K452" s="489" t="s">
        <v>18</v>
      </c>
      <c r="L452" s="559" t="s">
        <v>3324</v>
      </c>
      <c r="M452" s="556" t="s">
        <v>309</v>
      </c>
      <c r="N452" s="484"/>
      <c r="O452" s="484">
        <v>0</v>
      </c>
      <c r="P452" s="499">
        <v>500</v>
      </c>
      <c r="Q452" s="545">
        <v>45709</v>
      </c>
      <c r="R452" s="545">
        <v>45722</v>
      </c>
      <c r="S452" s="195" t="s">
        <v>309</v>
      </c>
      <c r="T452" s="195">
        <v>45726</v>
      </c>
      <c r="U452" s="195">
        <v>45737</v>
      </c>
      <c r="V452" s="494" t="s">
        <v>20</v>
      </c>
      <c r="W452" s="195">
        <f t="shared" si="19"/>
        <v>45749</v>
      </c>
      <c r="X452" s="588"/>
      <c r="Y452" s="523"/>
      <c r="Z452" s="588"/>
      <c r="AA452" s="588"/>
    </row>
    <row r="453" s="475" customFormat="1" spans="1:27">
      <c r="A453" s="492" t="s">
        <v>343</v>
      </c>
      <c r="B453" s="492"/>
      <c r="C453" s="492" t="s">
        <v>4292</v>
      </c>
      <c r="D453" s="492" t="s">
        <v>4293</v>
      </c>
      <c r="E453" s="491">
        <v>1089</v>
      </c>
      <c r="F453" s="492" t="s">
        <v>3979</v>
      </c>
      <c r="G453" s="487" t="s">
        <v>3067</v>
      </c>
      <c r="H453" s="492" t="s">
        <v>4294</v>
      </c>
      <c r="I453" s="545">
        <v>45698</v>
      </c>
      <c r="J453" s="562">
        <v>45731</v>
      </c>
      <c r="K453" s="492" t="s">
        <v>39</v>
      </c>
      <c r="L453" s="523" t="s">
        <v>3437</v>
      </c>
      <c r="M453" s="556" t="s">
        <v>309</v>
      </c>
      <c r="N453" s="484">
        <f>1898.78-110</f>
        <v>1788.78</v>
      </c>
      <c r="O453" s="484">
        <v>9824.49</v>
      </c>
      <c r="P453" s="499">
        <v>450</v>
      </c>
      <c r="Q453" s="545">
        <v>45700</v>
      </c>
      <c r="R453" s="545">
        <v>45719</v>
      </c>
      <c r="S453" s="545" t="s">
        <v>309</v>
      </c>
      <c r="T453" s="545">
        <v>45721</v>
      </c>
      <c r="U453" s="545">
        <v>45734</v>
      </c>
      <c r="V453" s="492" t="s">
        <v>20</v>
      </c>
      <c r="W453" s="545">
        <f t="shared" si="19"/>
        <v>45752</v>
      </c>
      <c r="X453" s="588"/>
      <c r="Y453" s="523"/>
      <c r="Z453" s="588"/>
      <c r="AA453" s="588"/>
    </row>
    <row r="454" s="475" customFormat="1" spans="1:27">
      <c r="A454" s="492" t="s">
        <v>325</v>
      </c>
      <c r="B454" s="492"/>
      <c r="C454" s="492" t="s">
        <v>4295</v>
      </c>
      <c r="D454" s="492" t="s">
        <v>4296</v>
      </c>
      <c r="E454" s="491">
        <v>932</v>
      </c>
      <c r="F454" s="492" t="s">
        <v>3979</v>
      </c>
      <c r="G454" s="492" t="s">
        <v>3137</v>
      </c>
      <c r="H454" s="492" t="s">
        <v>4250</v>
      </c>
      <c r="I454" s="545">
        <v>45695</v>
      </c>
      <c r="J454" s="545">
        <v>45731</v>
      </c>
      <c r="K454" s="492" t="s">
        <v>39</v>
      </c>
      <c r="L454" s="523" t="s">
        <v>3437</v>
      </c>
      <c r="M454" s="556" t="s">
        <v>309</v>
      </c>
      <c r="N454" s="484"/>
      <c r="O454" s="484">
        <v>10338.05</v>
      </c>
      <c r="P454" s="499">
        <v>450</v>
      </c>
      <c r="Q454" s="545">
        <v>45707</v>
      </c>
      <c r="R454" s="545">
        <v>45720</v>
      </c>
      <c r="S454" s="545" t="s">
        <v>309</v>
      </c>
      <c r="T454" s="545">
        <v>45726</v>
      </c>
      <c r="U454" s="545">
        <v>45734</v>
      </c>
      <c r="V454" s="492" t="s">
        <v>20</v>
      </c>
      <c r="W454" s="545">
        <f t="shared" si="19"/>
        <v>45752</v>
      </c>
      <c r="X454" s="588"/>
      <c r="Y454" s="523"/>
      <c r="Z454" s="588"/>
      <c r="AA454" s="588"/>
    </row>
    <row r="455" s="475" customFormat="1" spans="1:27">
      <c r="A455" s="492" t="s">
        <v>330</v>
      </c>
      <c r="B455" s="492"/>
      <c r="C455" s="492" t="s">
        <v>4297</v>
      </c>
      <c r="D455" s="492" t="s">
        <v>4298</v>
      </c>
      <c r="E455" s="491">
        <v>936</v>
      </c>
      <c r="F455" s="492" t="s">
        <v>3979</v>
      </c>
      <c r="G455" s="492" t="s">
        <v>3079</v>
      </c>
      <c r="H455" s="492" t="s">
        <v>4299</v>
      </c>
      <c r="I455" s="545">
        <v>45712</v>
      </c>
      <c r="J455" s="545">
        <v>45732</v>
      </c>
      <c r="K455" s="492" t="s">
        <v>161</v>
      </c>
      <c r="L455" s="520" t="s">
        <v>3500</v>
      </c>
      <c r="M455" s="492" t="s">
        <v>375</v>
      </c>
      <c r="N455" s="484"/>
      <c r="O455" s="484">
        <v>9111.28</v>
      </c>
      <c r="P455" s="499"/>
      <c r="Q455" s="545">
        <v>45716</v>
      </c>
      <c r="R455" s="545">
        <v>45726</v>
      </c>
      <c r="S455" s="545" t="s">
        <v>309</v>
      </c>
      <c r="T455" s="545">
        <v>45733</v>
      </c>
      <c r="U455" s="545">
        <v>45735</v>
      </c>
      <c r="V455" s="492" t="s">
        <v>20</v>
      </c>
      <c r="W455" s="545">
        <f>J455+20</f>
        <v>45752</v>
      </c>
      <c r="X455" s="590"/>
      <c r="Y455" s="523"/>
      <c r="Z455" s="588"/>
      <c r="AA455" s="588"/>
    </row>
    <row r="456" s="475" customFormat="1" customHeight="1" spans="1:27">
      <c r="A456" s="492" t="s">
        <v>376</v>
      </c>
      <c r="B456" s="587" t="s">
        <v>4300</v>
      </c>
      <c r="C456" s="492" t="s">
        <v>4301</v>
      </c>
      <c r="D456" s="587" t="s">
        <v>4302</v>
      </c>
      <c r="E456" s="491">
        <v>900</v>
      </c>
      <c r="F456" s="492" t="s">
        <v>3979</v>
      </c>
      <c r="G456" s="487" t="s">
        <v>3067</v>
      </c>
      <c r="H456" s="492" t="s">
        <v>4299</v>
      </c>
      <c r="I456" s="545">
        <v>45721</v>
      </c>
      <c r="J456" s="545">
        <v>45736</v>
      </c>
      <c r="K456" s="492" t="s">
        <v>18</v>
      </c>
      <c r="L456" s="523" t="s">
        <v>3457</v>
      </c>
      <c r="M456" s="556" t="s">
        <v>309</v>
      </c>
      <c r="N456" s="484"/>
      <c r="O456" s="484">
        <v>12625.01</v>
      </c>
      <c r="P456" s="499">
        <v>450</v>
      </c>
      <c r="Q456" s="545">
        <v>45728</v>
      </c>
      <c r="R456" s="545">
        <v>45730</v>
      </c>
      <c r="S456" s="545" t="s">
        <v>309</v>
      </c>
      <c r="T456" s="545">
        <v>45734</v>
      </c>
      <c r="U456" s="545">
        <v>45741</v>
      </c>
      <c r="V456" s="587" t="s">
        <v>20</v>
      </c>
      <c r="W456" s="545">
        <f t="shared" ref="W456:W476" si="20">J456+21</f>
        <v>45757</v>
      </c>
      <c r="X456" s="588"/>
      <c r="Y456" s="523"/>
      <c r="Z456" s="588"/>
      <c r="AA456" s="588"/>
    </row>
    <row r="457" s="475" customFormat="1" customHeight="1" spans="1:27">
      <c r="A457" s="492" t="s">
        <v>376</v>
      </c>
      <c r="B457" s="492" t="s">
        <v>4300</v>
      </c>
      <c r="C457" s="492" t="s">
        <v>4303</v>
      </c>
      <c r="D457" s="492" t="s">
        <v>4304</v>
      </c>
      <c r="E457" s="491">
        <v>900</v>
      </c>
      <c r="F457" s="492" t="s">
        <v>3979</v>
      </c>
      <c r="G457" s="487" t="s">
        <v>3067</v>
      </c>
      <c r="H457" s="492" t="s">
        <v>4299</v>
      </c>
      <c r="I457" s="545">
        <v>45721</v>
      </c>
      <c r="J457" s="545">
        <v>45736</v>
      </c>
      <c r="K457" s="492" t="s">
        <v>18</v>
      </c>
      <c r="L457" s="523" t="s">
        <v>3457</v>
      </c>
      <c r="M457" s="556" t="s">
        <v>309</v>
      </c>
      <c r="N457" s="484">
        <v>1680.91</v>
      </c>
      <c r="O457" s="484">
        <v>12625.01</v>
      </c>
      <c r="P457" s="499">
        <v>450</v>
      </c>
      <c r="Q457" s="545">
        <v>45730</v>
      </c>
      <c r="R457" s="545">
        <v>45730</v>
      </c>
      <c r="S457" s="492"/>
      <c r="T457" s="545">
        <v>45736</v>
      </c>
      <c r="U457" s="545">
        <v>45741</v>
      </c>
      <c r="V457" s="587" t="s">
        <v>20</v>
      </c>
      <c r="W457" s="545">
        <f t="shared" si="20"/>
        <v>45757</v>
      </c>
      <c r="X457" s="588"/>
      <c r="Y457" s="523"/>
      <c r="Z457" s="588"/>
      <c r="AA457" s="588"/>
    </row>
    <row r="458" s="476" customFormat="1" spans="1:27">
      <c r="A458" s="492" t="s">
        <v>394</v>
      </c>
      <c r="B458" s="492" t="s">
        <v>4300</v>
      </c>
      <c r="C458" s="492" t="s">
        <v>4305</v>
      </c>
      <c r="D458" s="492" t="s">
        <v>4306</v>
      </c>
      <c r="E458" s="491">
        <v>932</v>
      </c>
      <c r="F458" s="492" t="s">
        <v>3979</v>
      </c>
      <c r="G458" s="492" t="s">
        <v>3137</v>
      </c>
      <c r="H458" s="492" t="s">
        <v>4307</v>
      </c>
      <c r="I458" s="545">
        <v>45715</v>
      </c>
      <c r="J458" s="545">
        <v>45736</v>
      </c>
      <c r="K458" s="492" t="s">
        <v>18</v>
      </c>
      <c r="L458" s="523" t="s">
        <v>3457</v>
      </c>
      <c r="M458" s="556" t="s">
        <v>309</v>
      </c>
      <c r="N458" s="484"/>
      <c r="O458" s="484">
        <v>19995.92</v>
      </c>
      <c r="P458" s="499">
        <v>450</v>
      </c>
      <c r="Q458" s="545">
        <v>45730</v>
      </c>
      <c r="R458" s="545">
        <v>45730</v>
      </c>
      <c r="S458" s="545" t="s">
        <v>309</v>
      </c>
      <c r="T458" s="545">
        <v>45734</v>
      </c>
      <c r="U458" s="545">
        <v>45742</v>
      </c>
      <c r="V458" s="492" t="s">
        <v>20</v>
      </c>
      <c r="W458" s="545">
        <f t="shared" si="20"/>
        <v>45757</v>
      </c>
      <c r="X458" s="588"/>
      <c r="Y458" s="523"/>
      <c r="Z458" s="588"/>
      <c r="AA458" s="588"/>
    </row>
    <row r="459" s="476" customFormat="1" customHeight="1" spans="1:27">
      <c r="A459" s="492" t="s">
        <v>376</v>
      </c>
      <c r="B459" s="492" t="s">
        <v>4300</v>
      </c>
      <c r="C459" s="492" t="s">
        <v>4308</v>
      </c>
      <c r="D459" s="492" t="s">
        <v>4309</v>
      </c>
      <c r="E459" s="491">
        <v>932</v>
      </c>
      <c r="F459" s="492" t="s">
        <v>3979</v>
      </c>
      <c r="G459" s="492" t="s">
        <v>3137</v>
      </c>
      <c r="H459" s="492" t="s">
        <v>4307</v>
      </c>
      <c r="I459" s="545">
        <v>45715</v>
      </c>
      <c r="J459" s="545">
        <v>45736</v>
      </c>
      <c r="K459" s="492" t="s">
        <v>18</v>
      </c>
      <c r="L459" s="523" t="s">
        <v>3457</v>
      </c>
      <c r="M459" s="556" t="s">
        <v>309</v>
      </c>
      <c r="N459" s="484"/>
      <c r="O459" s="484">
        <v>12543.49</v>
      </c>
      <c r="P459" s="499">
        <v>450</v>
      </c>
      <c r="Q459" s="545">
        <v>45730</v>
      </c>
      <c r="R459" s="545">
        <v>45730</v>
      </c>
      <c r="S459" s="545" t="s">
        <v>309</v>
      </c>
      <c r="T459" s="545">
        <v>45733</v>
      </c>
      <c r="U459" s="545">
        <v>45742</v>
      </c>
      <c r="V459" s="492" t="s">
        <v>20</v>
      </c>
      <c r="W459" s="545">
        <f t="shared" si="20"/>
        <v>45757</v>
      </c>
      <c r="X459" s="588"/>
      <c r="Y459" s="523"/>
      <c r="Z459" s="588"/>
      <c r="AA459" s="588"/>
    </row>
    <row r="460" s="476" customFormat="1" customHeight="1" spans="1:27">
      <c r="A460" s="492" t="s">
        <v>376</v>
      </c>
      <c r="B460" s="492" t="s">
        <v>4300</v>
      </c>
      <c r="C460" s="492" t="s">
        <v>4310</v>
      </c>
      <c r="D460" s="492" t="s">
        <v>4311</v>
      </c>
      <c r="E460" s="491">
        <v>932</v>
      </c>
      <c r="F460" s="492" t="s">
        <v>3979</v>
      </c>
      <c r="G460" s="492" t="s">
        <v>3137</v>
      </c>
      <c r="H460" s="492" t="s">
        <v>4307</v>
      </c>
      <c r="I460" s="545">
        <v>45715</v>
      </c>
      <c r="J460" s="545">
        <v>45736</v>
      </c>
      <c r="K460" s="492" t="s">
        <v>18</v>
      </c>
      <c r="L460" s="523" t="s">
        <v>3457</v>
      </c>
      <c r="M460" s="556" t="s">
        <v>309</v>
      </c>
      <c r="N460" s="484"/>
      <c r="O460" s="484">
        <v>12543.49</v>
      </c>
      <c r="P460" s="499">
        <v>450</v>
      </c>
      <c r="Q460" s="545">
        <v>45730</v>
      </c>
      <c r="R460" s="545">
        <v>45730</v>
      </c>
      <c r="S460" s="545" t="s">
        <v>309</v>
      </c>
      <c r="T460" s="545">
        <v>45733</v>
      </c>
      <c r="U460" s="545">
        <v>45742</v>
      </c>
      <c r="V460" s="492" t="s">
        <v>20</v>
      </c>
      <c r="W460" s="545">
        <f t="shared" si="20"/>
        <v>45757</v>
      </c>
      <c r="X460" s="588"/>
      <c r="Y460" s="523"/>
      <c r="Z460" s="588"/>
      <c r="AA460" s="588"/>
    </row>
    <row r="461" s="476" customFormat="1" customHeight="1" spans="1:27">
      <c r="A461" s="492" t="s">
        <v>376</v>
      </c>
      <c r="B461" s="492" t="s">
        <v>4300</v>
      </c>
      <c r="C461" s="492" t="s">
        <v>4312</v>
      </c>
      <c r="D461" s="492" t="s">
        <v>4313</v>
      </c>
      <c r="E461" s="491">
        <v>932</v>
      </c>
      <c r="F461" s="492" t="s">
        <v>3979</v>
      </c>
      <c r="G461" s="492" t="s">
        <v>3137</v>
      </c>
      <c r="H461" s="492" t="s">
        <v>4307</v>
      </c>
      <c r="I461" s="545">
        <v>45715</v>
      </c>
      <c r="J461" s="545">
        <v>45736</v>
      </c>
      <c r="K461" s="492" t="s">
        <v>18</v>
      </c>
      <c r="L461" s="523" t="s">
        <v>3457</v>
      </c>
      <c r="M461" s="556" t="s">
        <v>309</v>
      </c>
      <c r="N461" s="484">
        <v>1817.86</v>
      </c>
      <c r="O461" s="484">
        <v>12543.49</v>
      </c>
      <c r="P461" s="499">
        <v>450</v>
      </c>
      <c r="Q461" s="545">
        <v>45730</v>
      </c>
      <c r="R461" s="545">
        <v>45730</v>
      </c>
      <c r="S461" s="545" t="s">
        <v>309</v>
      </c>
      <c r="T461" s="545">
        <v>45734</v>
      </c>
      <c r="U461" s="545">
        <v>45742</v>
      </c>
      <c r="V461" s="492" t="s">
        <v>20</v>
      </c>
      <c r="W461" s="545">
        <f t="shared" si="20"/>
        <v>45757</v>
      </c>
      <c r="X461" s="588"/>
      <c r="Y461" s="523"/>
      <c r="Z461" s="588"/>
      <c r="AA461" s="588"/>
    </row>
    <row r="462" s="476" customFormat="1" customHeight="1" spans="1:27">
      <c r="A462" s="492" t="s">
        <v>400</v>
      </c>
      <c r="B462" s="492" t="s">
        <v>4300</v>
      </c>
      <c r="C462" s="492" t="s">
        <v>4314</v>
      </c>
      <c r="D462" s="492" t="s">
        <v>4315</v>
      </c>
      <c r="E462" s="491">
        <v>932</v>
      </c>
      <c r="F462" s="492" t="s">
        <v>3979</v>
      </c>
      <c r="G462" s="492" t="s">
        <v>3137</v>
      </c>
      <c r="H462" s="492" t="s">
        <v>4316</v>
      </c>
      <c r="I462" s="545">
        <v>45716</v>
      </c>
      <c r="J462" s="545">
        <v>45736</v>
      </c>
      <c r="K462" s="492" t="s">
        <v>18</v>
      </c>
      <c r="L462" s="523" t="s">
        <v>3457</v>
      </c>
      <c r="M462" s="556" t="s">
        <v>309</v>
      </c>
      <c r="N462" s="484"/>
      <c r="O462" s="484">
        <v>10471.21</v>
      </c>
      <c r="P462" s="499">
        <v>450</v>
      </c>
      <c r="Q462" s="545">
        <v>45730</v>
      </c>
      <c r="R462" s="545">
        <v>45730</v>
      </c>
      <c r="S462" s="545" t="s">
        <v>309</v>
      </c>
      <c r="T462" s="545">
        <v>45734</v>
      </c>
      <c r="U462" s="545">
        <v>45743</v>
      </c>
      <c r="V462" s="492" t="s">
        <v>20</v>
      </c>
      <c r="W462" s="545">
        <f t="shared" si="20"/>
        <v>45757</v>
      </c>
      <c r="X462" s="588"/>
      <c r="Y462" s="523"/>
      <c r="Z462" s="588"/>
      <c r="AA462" s="588"/>
    </row>
    <row r="463" s="476" customFormat="1" customHeight="1" spans="1:27">
      <c r="A463" s="492" t="s">
        <v>376</v>
      </c>
      <c r="B463" s="492" t="s">
        <v>4300</v>
      </c>
      <c r="C463" s="492" t="s">
        <v>4317</v>
      </c>
      <c r="D463" s="492" t="s">
        <v>4318</v>
      </c>
      <c r="E463" s="491">
        <v>932</v>
      </c>
      <c r="F463" s="492" t="s">
        <v>3979</v>
      </c>
      <c r="G463" s="492" t="s">
        <v>3137</v>
      </c>
      <c r="H463" s="492" t="s">
        <v>4307</v>
      </c>
      <c r="I463" s="545">
        <v>45715</v>
      </c>
      <c r="J463" s="545">
        <v>45736</v>
      </c>
      <c r="K463" s="492" t="s">
        <v>18</v>
      </c>
      <c r="L463" s="523" t="s">
        <v>3797</v>
      </c>
      <c r="M463" s="556" t="s">
        <v>380</v>
      </c>
      <c r="N463" s="484">
        <v>1775.84</v>
      </c>
      <c r="O463" s="484">
        <v>12543.49</v>
      </c>
      <c r="P463" s="499"/>
      <c r="Q463" s="545">
        <v>45730</v>
      </c>
      <c r="R463" s="545">
        <v>45730</v>
      </c>
      <c r="S463" s="545" t="s">
        <v>309</v>
      </c>
      <c r="T463" s="545">
        <v>45734</v>
      </c>
      <c r="U463" s="545">
        <v>45742</v>
      </c>
      <c r="V463" s="492" t="s">
        <v>20</v>
      </c>
      <c r="W463" s="545">
        <f t="shared" si="20"/>
        <v>45757</v>
      </c>
      <c r="X463" s="588"/>
      <c r="Y463" s="523"/>
      <c r="Z463" s="588"/>
      <c r="AA463" s="588"/>
    </row>
    <row r="464" s="476" customFormat="1" customHeight="1" spans="1:27">
      <c r="A464" s="489" t="s">
        <v>376</v>
      </c>
      <c r="B464" s="492" t="s">
        <v>4300</v>
      </c>
      <c r="C464" s="494" t="s">
        <v>4319</v>
      </c>
      <c r="D464" s="494" t="s">
        <v>4320</v>
      </c>
      <c r="E464" s="488">
        <v>900</v>
      </c>
      <c r="F464" s="489" t="s">
        <v>3979</v>
      </c>
      <c r="G464" s="487" t="s">
        <v>3067</v>
      </c>
      <c r="H464" s="489" t="s">
        <v>4299</v>
      </c>
      <c r="I464" s="545">
        <v>45721</v>
      </c>
      <c r="J464" s="545">
        <v>45736</v>
      </c>
      <c r="K464" s="489" t="s">
        <v>18</v>
      </c>
      <c r="L464" s="559" t="s">
        <v>3324</v>
      </c>
      <c r="M464" s="556" t="s">
        <v>309</v>
      </c>
      <c r="N464" s="484"/>
      <c r="O464" s="484">
        <v>12625.01</v>
      </c>
      <c r="P464" s="499">
        <v>500</v>
      </c>
      <c r="Q464" s="545">
        <v>45728</v>
      </c>
      <c r="R464" s="545">
        <v>45730</v>
      </c>
      <c r="S464" s="195" t="s">
        <v>309</v>
      </c>
      <c r="T464" s="195">
        <v>45734</v>
      </c>
      <c r="U464" s="545">
        <v>45741</v>
      </c>
      <c r="V464" s="494" t="s">
        <v>20</v>
      </c>
      <c r="W464" s="195">
        <f t="shared" si="20"/>
        <v>45757</v>
      </c>
      <c r="X464" s="588"/>
      <c r="Y464" s="523"/>
      <c r="Z464" s="588"/>
      <c r="AA464" s="588"/>
    </row>
    <row r="465" s="476" customFormat="1" customHeight="1" spans="1:27">
      <c r="A465" s="489" t="s">
        <v>376</v>
      </c>
      <c r="B465" s="492" t="s">
        <v>4300</v>
      </c>
      <c r="C465" s="489" t="s">
        <v>4321</v>
      </c>
      <c r="D465" s="494" t="s">
        <v>4322</v>
      </c>
      <c r="E465" s="488">
        <v>900</v>
      </c>
      <c r="F465" s="489" t="s">
        <v>3979</v>
      </c>
      <c r="G465" s="487" t="s">
        <v>3067</v>
      </c>
      <c r="H465" s="489" t="s">
        <v>4299</v>
      </c>
      <c r="I465" s="545">
        <v>45721</v>
      </c>
      <c r="J465" s="545">
        <v>45736</v>
      </c>
      <c r="K465" s="489" t="s">
        <v>18</v>
      </c>
      <c r="L465" s="559" t="s">
        <v>3324</v>
      </c>
      <c r="M465" s="556" t="s">
        <v>309</v>
      </c>
      <c r="N465" s="484"/>
      <c r="O465" s="484">
        <v>12625.01</v>
      </c>
      <c r="P465" s="499">
        <v>500</v>
      </c>
      <c r="Q465" s="545">
        <v>45728</v>
      </c>
      <c r="R465" s="545">
        <v>45730</v>
      </c>
      <c r="S465" s="195" t="s">
        <v>309</v>
      </c>
      <c r="T465" s="195">
        <v>45734</v>
      </c>
      <c r="U465" s="545">
        <v>45741</v>
      </c>
      <c r="V465" s="492" t="s">
        <v>20</v>
      </c>
      <c r="W465" s="195">
        <f t="shared" si="20"/>
        <v>45757</v>
      </c>
      <c r="X465" s="588" t="s">
        <v>4323</v>
      </c>
      <c r="Y465" s="523"/>
      <c r="Z465" s="588"/>
      <c r="AA465" s="588"/>
    </row>
    <row r="466" s="476" customFormat="1" customHeight="1" spans="1:27">
      <c r="A466" s="492" t="s">
        <v>376</v>
      </c>
      <c r="B466" s="492" t="s">
        <v>4300</v>
      </c>
      <c r="C466" s="492" t="s">
        <v>4324</v>
      </c>
      <c r="D466" s="492" t="s">
        <v>4325</v>
      </c>
      <c r="E466" s="491">
        <v>932</v>
      </c>
      <c r="F466" s="492" t="s">
        <v>3979</v>
      </c>
      <c r="G466" s="492" t="s">
        <v>3137</v>
      </c>
      <c r="H466" s="492" t="s">
        <v>4326</v>
      </c>
      <c r="I466" s="545">
        <v>45721</v>
      </c>
      <c r="J466" s="562">
        <v>45737</v>
      </c>
      <c r="K466" s="492" t="s">
        <v>18</v>
      </c>
      <c r="L466" s="523" t="s">
        <v>3457</v>
      </c>
      <c r="M466" s="556" t="s">
        <v>309</v>
      </c>
      <c r="N466" s="484">
        <v>1680.55</v>
      </c>
      <c r="O466" s="484">
        <v>12710.22</v>
      </c>
      <c r="P466" s="499">
        <v>450</v>
      </c>
      <c r="Q466" s="545">
        <v>45728</v>
      </c>
      <c r="R466" s="545">
        <v>45731</v>
      </c>
      <c r="S466" s="545" t="s">
        <v>309</v>
      </c>
      <c r="T466" s="545">
        <v>45734</v>
      </c>
      <c r="U466" s="545">
        <v>45743</v>
      </c>
      <c r="V466" s="492" t="s">
        <v>20</v>
      </c>
      <c r="W466" s="545">
        <f t="shared" si="20"/>
        <v>45758</v>
      </c>
      <c r="X466" s="590"/>
      <c r="Y466" s="523"/>
      <c r="Z466" s="588"/>
      <c r="AA466" s="588"/>
    </row>
    <row r="467" s="476" customFormat="1" customHeight="1" spans="1:27">
      <c r="A467" s="492" t="s">
        <v>376</v>
      </c>
      <c r="B467" s="492" t="s">
        <v>4300</v>
      </c>
      <c r="C467" s="492" t="s">
        <v>4327</v>
      </c>
      <c r="D467" s="492" t="s">
        <v>4328</v>
      </c>
      <c r="E467" s="491">
        <v>932</v>
      </c>
      <c r="F467" s="492" t="s">
        <v>3979</v>
      </c>
      <c r="G467" s="492" t="s">
        <v>3137</v>
      </c>
      <c r="H467" s="492" t="s">
        <v>4326</v>
      </c>
      <c r="I467" s="545">
        <v>45721</v>
      </c>
      <c r="J467" s="562">
        <v>45737</v>
      </c>
      <c r="K467" s="492" t="s">
        <v>18</v>
      </c>
      <c r="L467" s="523" t="s">
        <v>3457</v>
      </c>
      <c r="M467" s="556" t="s">
        <v>309</v>
      </c>
      <c r="N467" s="484"/>
      <c r="O467" s="484">
        <v>12710.22</v>
      </c>
      <c r="P467" s="499">
        <v>450</v>
      </c>
      <c r="Q467" s="545">
        <v>45728</v>
      </c>
      <c r="R467" s="545">
        <v>45731</v>
      </c>
      <c r="S467" s="545" t="s">
        <v>309</v>
      </c>
      <c r="T467" s="545">
        <v>45734</v>
      </c>
      <c r="U467" s="545">
        <v>45744</v>
      </c>
      <c r="V467" s="492" t="s">
        <v>20</v>
      </c>
      <c r="W467" s="545">
        <f t="shared" si="20"/>
        <v>45758</v>
      </c>
      <c r="X467" s="590"/>
      <c r="Y467" s="523"/>
      <c r="Z467" s="588"/>
      <c r="AA467" s="588"/>
    </row>
    <row r="468" s="476" customFormat="1" customHeight="1" spans="1:27">
      <c r="A468" s="492" t="s">
        <v>2038</v>
      </c>
      <c r="B468" s="492" t="s">
        <v>4329</v>
      </c>
      <c r="C468" s="492" t="s">
        <v>4330</v>
      </c>
      <c r="D468" s="492" t="s">
        <v>4331</v>
      </c>
      <c r="E468" s="491" t="s">
        <v>4114</v>
      </c>
      <c r="F468" s="492" t="s">
        <v>4115</v>
      </c>
      <c r="G468" s="492" t="s">
        <v>3146</v>
      </c>
      <c r="H468" s="492" t="s">
        <v>4332</v>
      </c>
      <c r="I468" s="545">
        <v>45712</v>
      </c>
      <c r="J468" s="545">
        <v>45737</v>
      </c>
      <c r="K468" s="492" t="s">
        <v>18</v>
      </c>
      <c r="L468" s="523" t="s">
        <v>3457</v>
      </c>
      <c r="M468" s="556" t="s">
        <v>309</v>
      </c>
      <c r="N468" s="484">
        <v>0</v>
      </c>
      <c r="O468" s="484">
        <v>0</v>
      </c>
      <c r="P468" s="499">
        <v>450</v>
      </c>
      <c r="Q468" s="545">
        <v>45721</v>
      </c>
      <c r="R468" s="545">
        <v>45733</v>
      </c>
      <c r="S468" s="545" t="s">
        <v>309</v>
      </c>
      <c r="T468" s="545">
        <v>45735</v>
      </c>
      <c r="U468" s="545">
        <v>45744</v>
      </c>
      <c r="V468" s="492" t="s">
        <v>20</v>
      </c>
      <c r="W468" s="545">
        <f t="shared" si="20"/>
        <v>45758</v>
      </c>
      <c r="X468" s="588"/>
      <c r="Y468" s="523"/>
      <c r="Z468" s="588"/>
      <c r="AA468" s="588"/>
    </row>
    <row r="469" s="476" customFormat="1" customHeight="1" spans="1:27">
      <c r="A469" s="492" t="s">
        <v>2038</v>
      </c>
      <c r="B469" s="492" t="s">
        <v>4329</v>
      </c>
      <c r="C469" s="492" t="s">
        <v>4330</v>
      </c>
      <c r="D469" s="492" t="s">
        <v>4333</v>
      </c>
      <c r="E469" s="491" t="s">
        <v>4114</v>
      </c>
      <c r="F469" s="492" t="s">
        <v>4115</v>
      </c>
      <c r="G469" s="492" t="s">
        <v>3146</v>
      </c>
      <c r="H469" s="492" t="s">
        <v>4332</v>
      </c>
      <c r="I469" s="545">
        <v>45712</v>
      </c>
      <c r="J469" s="545">
        <v>45737</v>
      </c>
      <c r="K469" s="492" t="s">
        <v>18</v>
      </c>
      <c r="L469" s="523" t="s">
        <v>3457</v>
      </c>
      <c r="M469" s="556" t="s">
        <v>309</v>
      </c>
      <c r="N469" s="484">
        <v>0</v>
      </c>
      <c r="O469" s="484">
        <v>0</v>
      </c>
      <c r="P469" s="499">
        <v>450</v>
      </c>
      <c r="Q469" s="545">
        <v>45721</v>
      </c>
      <c r="R469" s="545">
        <v>45733</v>
      </c>
      <c r="S469" s="545" t="s">
        <v>309</v>
      </c>
      <c r="T469" s="545">
        <v>45735</v>
      </c>
      <c r="U469" s="545">
        <v>45744</v>
      </c>
      <c r="V469" s="492" t="s">
        <v>20</v>
      </c>
      <c r="W469" s="545">
        <f t="shared" si="20"/>
        <v>45758</v>
      </c>
      <c r="X469" s="588"/>
      <c r="Y469" s="523"/>
      <c r="Z469" s="588"/>
      <c r="AA469" s="588"/>
    </row>
    <row r="470" s="476" customFormat="1" customHeight="1" spans="1:27">
      <c r="A470" s="492" t="s">
        <v>376</v>
      </c>
      <c r="B470" s="492" t="s">
        <v>4300</v>
      </c>
      <c r="C470" s="492" t="s">
        <v>4334</v>
      </c>
      <c r="D470" s="492" t="s">
        <v>4335</v>
      </c>
      <c r="E470" s="491">
        <v>932</v>
      </c>
      <c r="F470" s="492" t="s">
        <v>3979</v>
      </c>
      <c r="G470" s="492" t="s">
        <v>3137</v>
      </c>
      <c r="H470" s="492" t="s">
        <v>4326</v>
      </c>
      <c r="I470" s="545">
        <v>45721</v>
      </c>
      <c r="J470" s="562">
        <v>45737</v>
      </c>
      <c r="K470" s="492" t="s">
        <v>18</v>
      </c>
      <c r="L470" s="523" t="s">
        <v>3457</v>
      </c>
      <c r="M470" s="556" t="s">
        <v>309</v>
      </c>
      <c r="N470" s="484">
        <v>1812.55</v>
      </c>
      <c r="O470" s="484">
        <v>12710.22</v>
      </c>
      <c r="P470" s="499">
        <v>450</v>
      </c>
      <c r="Q470" s="545">
        <v>45728</v>
      </c>
      <c r="R470" s="545">
        <v>45731</v>
      </c>
      <c r="S470" s="545" t="s">
        <v>309</v>
      </c>
      <c r="T470" s="545">
        <v>45734</v>
      </c>
      <c r="U470" s="545">
        <v>45743</v>
      </c>
      <c r="V470" s="492" t="s">
        <v>20</v>
      </c>
      <c r="W470" s="545">
        <f t="shared" si="20"/>
        <v>45758</v>
      </c>
      <c r="X470" s="590"/>
      <c r="Y470" s="523"/>
      <c r="Z470" s="588"/>
      <c r="AA470" s="588"/>
    </row>
    <row r="471" s="476" customFormat="1" customHeight="1" spans="1:27">
      <c r="A471" s="492" t="s">
        <v>376</v>
      </c>
      <c r="B471" s="492" t="s">
        <v>4300</v>
      </c>
      <c r="C471" s="492" t="s">
        <v>4336</v>
      </c>
      <c r="D471" s="492" t="s">
        <v>4337</v>
      </c>
      <c r="E471" s="491">
        <v>932</v>
      </c>
      <c r="F471" s="492" t="s">
        <v>3979</v>
      </c>
      <c r="G471" s="492" t="s">
        <v>3137</v>
      </c>
      <c r="H471" s="492" t="s">
        <v>4326</v>
      </c>
      <c r="I471" s="545">
        <v>45721</v>
      </c>
      <c r="J471" s="562">
        <v>45737</v>
      </c>
      <c r="K471" s="492" t="s">
        <v>18</v>
      </c>
      <c r="L471" s="523" t="s">
        <v>3457</v>
      </c>
      <c r="M471" s="556" t="s">
        <v>309</v>
      </c>
      <c r="N471" s="484"/>
      <c r="O471" s="484">
        <v>12710.22</v>
      </c>
      <c r="P471" s="499">
        <v>450</v>
      </c>
      <c r="Q471" s="545">
        <v>45730</v>
      </c>
      <c r="R471" s="545">
        <v>45731</v>
      </c>
      <c r="S471" s="545" t="s">
        <v>309</v>
      </c>
      <c r="T471" s="545">
        <v>45734</v>
      </c>
      <c r="U471" s="545">
        <v>45744</v>
      </c>
      <c r="V471" s="492" t="s">
        <v>20</v>
      </c>
      <c r="W471" s="545">
        <f t="shared" si="20"/>
        <v>45758</v>
      </c>
      <c r="X471" s="590"/>
      <c r="Y471" s="523"/>
      <c r="Z471" s="588"/>
      <c r="AA471" s="588"/>
    </row>
    <row r="472" s="476" customFormat="1" spans="1:27">
      <c r="A472" s="492" t="s">
        <v>2038</v>
      </c>
      <c r="B472" s="492" t="s">
        <v>4329</v>
      </c>
      <c r="C472" s="492" t="s">
        <v>4330</v>
      </c>
      <c r="D472" s="492" t="s">
        <v>4338</v>
      </c>
      <c r="E472" s="491" t="s">
        <v>4114</v>
      </c>
      <c r="F472" s="492" t="s">
        <v>4115</v>
      </c>
      <c r="G472" s="492" t="s">
        <v>3146</v>
      </c>
      <c r="H472" s="492" t="s">
        <v>4332</v>
      </c>
      <c r="I472" s="545">
        <v>45712</v>
      </c>
      <c r="J472" s="545">
        <v>45737</v>
      </c>
      <c r="K472" s="492" t="s">
        <v>18</v>
      </c>
      <c r="L472" s="523" t="s">
        <v>3457</v>
      </c>
      <c r="M472" s="556" t="s">
        <v>309</v>
      </c>
      <c r="N472" s="484">
        <v>9670.62</v>
      </c>
      <c r="O472" s="484">
        <v>44768.25</v>
      </c>
      <c r="P472" s="499">
        <v>450</v>
      </c>
      <c r="Q472" s="545">
        <v>45721</v>
      </c>
      <c r="R472" s="545">
        <v>45733</v>
      </c>
      <c r="S472" s="545" t="s">
        <v>309</v>
      </c>
      <c r="T472" s="545">
        <v>45735</v>
      </c>
      <c r="U472" s="545">
        <v>45744</v>
      </c>
      <c r="V472" s="492" t="s">
        <v>20</v>
      </c>
      <c r="W472" s="545">
        <f t="shared" si="20"/>
        <v>45758</v>
      </c>
      <c r="X472" s="588" t="s">
        <v>4339</v>
      </c>
      <c r="Y472" s="523"/>
      <c r="Z472" s="588"/>
      <c r="AA472" s="588"/>
    </row>
    <row r="473" s="476" customFormat="1" spans="1:27">
      <c r="A473" s="492" t="s">
        <v>2038</v>
      </c>
      <c r="B473" s="492" t="s">
        <v>4329</v>
      </c>
      <c r="C473" s="492" t="s">
        <v>4330</v>
      </c>
      <c r="D473" s="492" t="s">
        <v>4340</v>
      </c>
      <c r="E473" s="491" t="s">
        <v>4114</v>
      </c>
      <c r="F473" s="492" t="s">
        <v>4115</v>
      </c>
      <c r="G473" s="492" t="s">
        <v>3146</v>
      </c>
      <c r="H473" s="492" t="s">
        <v>4332</v>
      </c>
      <c r="I473" s="545">
        <v>45712</v>
      </c>
      <c r="J473" s="545">
        <v>45737</v>
      </c>
      <c r="K473" s="492" t="s">
        <v>18</v>
      </c>
      <c r="L473" s="523" t="s">
        <v>3457</v>
      </c>
      <c r="M473" s="556" t="s">
        <v>309</v>
      </c>
      <c r="N473" s="484">
        <v>0</v>
      </c>
      <c r="O473" s="484">
        <v>0</v>
      </c>
      <c r="P473" s="499">
        <v>450</v>
      </c>
      <c r="Q473" s="545">
        <v>45721</v>
      </c>
      <c r="R473" s="545">
        <v>45733</v>
      </c>
      <c r="S473" s="545" t="s">
        <v>309</v>
      </c>
      <c r="T473" s="545">
        <v>45735</v>
      </c>
      <c r="U473" s="545">
        <v>45744</v>
      </c>
      <c r="V473" s="492" t="s">
        <v>20</v>
      </c>
      <c r="W473" s="545">
        <f t="shared" si="20"/>
        <v>45758</v>
      </c>
      <c r="X473" s="588"/>
      <c r="Y473" s="523"/>
      <c r="Z473" s="588"/>
      <c r="AA473" s="588"/>
    </row>
    <row r="474" s="476" customFormat="1" spans="1:27">
      <c r="A474" s="492" t="s">
        <v>376</v>
      </c>
      <c r="B474" s="492" t="s">
        <v>4300</v>
      </c>
      <c r="C474" s="492" t="s">
        <v>4341</v>
      </c>
      <c r="D474" s="492" t="s">
        <v>4342</v>
      </c>
      <c r="E474" s="491">
        <v>932</v>
      </c>
      <c r="F474" s="492" t="s">
        <v>3979</v>
      </c>
      <c r="G474" s="492" t="s">
        <v>3137</v>
      </c>
      <c r="H474" s="492" t="s">
        <v>4326</v>
      </c>
      <c r="I474" s="545">
        <v>45721</v>
      </c>
      <c r="J474" s="562">
        <v>45737</v>
      </c>
      <c r="K474" s="492" t="s">
        <v>18</v>
      </c>
      <c r="L474" s="559" t="s">
        <v>3324</v>
      </c>
      <c r="M474" s="556" t="s">
        <v>309</v>
      </c>
      <c r="N474" s="484"/>
      <c r="O474" s="484">
        <v>12710.22</v>
      </c>
      <c r="P474" s="499">
        <v>500</v>
      </c>
      <c r="Q474" s="545">
        <v>45728</v>
      </c>
      <c r="R474" s="545">
        <v>45731</v>
      </c>
      <c r="S474" s="545" t="s">
        <v>309</v>
      </c>
      <c r="T474" s="545">
        <v>45734</v>
      </c>
      <c r="U474" s="545">
        <v>45744</v>
      </c>
      <c r="V474" s="492" t="s">
        <v>20</v>
      </c>
      <c r="W474" s="545">
        <f t="shared" si="20"/>
        <v>45758</v>
      </c>
      <c r="X474" s="588" t="s">
        <v>4339</v>
      </c>
      <c r="Y474" s="523"/>
      <c r="Z474" s="588"/>
      <c r="AA474" s="588"/>
    </row>
    <row r="475" s="476" customFormat="1" spans="1:27">
      <c r="A475" s="492" t="s">
        <v>376</v>
      </c>
      <c r="B475" s="492" t="s">
        <v>4300</v>
      </c>
      <c r="C475" s="492" t="s">
        <v>4343</v>
      </c>
      <c r="D475" s="492" t="s">
        <v>4344</v>
      </c>
      <c r="E475" s="491">
        <v>932</v>
      </c>
      <c r="F475" s="492" t="s">
        <v>3979</v>
      </c>
      <c r="G475" s="492" t="s">
        <v>3137</v>
      </c>
      <c r="H475" s="492" t="s">
        <v>4326</v>
      </c>
      <c r="I475" s="545">
        <v>45721</v>
      </c>
      <c r="J475" s="562">
        <v>45737</v>
      </c>
      <c r="K475" s="492" t="s">
        <v>18</v>
      </c>
      <c r="L475" s="559" t="s">
        <v>3324</v>
      </c>
      <c r="M475" s="556" t="s">
        <v>309</v>
      </c>
      <c r="N475" s="484">
        <v>1665.98</v>
      </c>
      <c r="O475" s="484">
        <v>12710.22</v>
      </c>
      <c r="P475" s="499">
        <v>500</v>
      </c>
      <c r="Q475" s="545">
        <v>45728</v>
      </c>
      <c r="R475" s="591">
        <v>45734</v>
      </c>
      <c r="S475" s="545" t="s">
        <v>309</v>
      </c>
      <c r="T475" s="545">
        <v>45737</v>
      </c>
      <c r="U475" s="545">
        <v>45744</v>
      </c>
      <c r="V475" s="492" t="s">
        <v>20</v>
      </c>
      <c r="W475" s="545">
        <f t="shared" si="20"/>
        <v>45758</v>
      </c>
      <c r="X475" s="588"/>
      <c r="Y475" s="523"/>
      <c r="Z475" s="588"/>
      <c r="AA475" s="588"/>
    </row>
    <row r="476" s="476" customFormat="1" spans="1:27">
      <c r="A476" s="492" t="s">
        <v>376</v>
      </c>
      <c r="B476" s="492" t="s">
        <v>4300</v>
      </c>
      <c r="C476" s="492" t="s">
        <v>4345</v>
      </c>
      <c r="D476" s="492" t="s">
        <v>4346</v>
      </c>
      <c r="E476" s="491">
        <v>932</v>
      </c>
      <c r="F476" s="492" t="s">
        <v>3979</v>
      </c>
      <c r="G476" s="492" t="s">
        <v>3137</v>
      </c>
      <c r="H476" s="492" t="s">
        <v>4326</v>
      </c>
      <c r="I476" s="545">
        <v>45721</v>
      </c>
      <c r="J476" s="562">
        <v>45737</v>
      </c>
      <c r="K476" s="492" t="s">
        <v>18</v>
      </c>
      <c r="L476" s="559" t="s">
        <v>3324</v>
      </c>
      <c r="M476" s="556" t="s">
        <v>309</v>
      </c>
      <c r="N476" s="484">
        <v>1533.98</v>
      </c>
      <c r="O476" s="484">
        <v>12710.22</v>
      </c>
      <c r="P476" s="499">
        <v>500</v>
      </c>
      <c r="Q476" s="545">
        <v>45728</v>
      </c>
      <c r="R476" s="545">
        <v>45731</v>
      </c>
      <c r="S476" s="545" t="s">
        <v>309</v>
      </c>
      <c r="T476" s="545">
        <v>45735</v>
      </c>
      <c r="U476" s="545">
        <v>45747</v>
      </c>
      <c r="V476" s="492" t="s">
        <v>20</v>
      </c>
      <c r="W476" s="545">
        <f t="shared" si="20"/>
        <v>45758</v>
      </c>
      <c r="X476" s="588"/>
      <c r="Y476" s="523"/>
      <c r="Z476" s="588"/>
      <c r="AA476" s="588"/>
    </row>
    <row r="477" s="476" customFormat="1" customHeight="1" spans="1:27">
      <c r="A477" s="492" t="s">
        <v>456</v>
      </c>
      <c r="B477" s="492" t="s">
        <v>4300</v>
      </c>
      <c r="C477" s="492" t="s">
        <v>4347</v>
      </c>
      <c r="D477" s="492" t="s">
        <v>4348</v>
      </c>
      <c r="E477" s="491"/>
      <c r="F477" s="492" t="s">
        <v>3979</v>
      </c>
      <c r="G477" s="492" t="s">
        <v>3079</v>
      </c>
      <c r="H477" s="492" t="s">
        <v>4349</v>
      </c>
      <c r="I477" s="545">
        <v>45724</v>
      </c>
      <c r="J477" s="545">
        <v>45737</v>
      </c>
      <c r="K477" s="492" t="s">
        <v>207</v>
      </c>
      <c r="L477" s="500" t="s">
        <v>3069</v>
      </c>
      <c r="M477" s="492" t="s">
        <v>461</v>
      </c>
      <c r="N477" s="484"/>
      <c r="O477" s="484">
        <v>9024.23</v>
      </c>
      <c r="P477" s="499"/>
      <c r="Q477" s="545">
        <v>45733</v>
      </c>
      <c r="R477" s="591">
        <v>45734</v>
      </c>
      <c r="S477" s="545" t="s">
        <v>309</v>
      </c>
      <c r="T477" s="545">
        <v>45735</v>
      </c>
      <c r="U477" s="545">
        <v>45743</v>
      </c>
      <c r="V477" s="492" t="s">
        <v>20</v>
      </c>
      <c r="W477" s="545">
        <f>J477+13</f>
        <v>45750</v>
      </c>
      <c r="X477" s="588"/>
      <c r="Y477" s="523"/>
      <c r="Z477" s="588"/>
      <c r="AA477" s="588"/>
    </row>
    <row r="478" s="476" customFormat="1" customHeight="1" spans="1:27">
      <c r="A478" s="492" t="s">
        <v>2038</v>
      </c>
      <c r="B478" s="492" t="s">
        <v>4329</v>
      </c>
      <c r="C478" s="492" t="s">
        <v>4330</v>
      </c>
      <c r="D478" s="492" t="s">
        <v>4350</v>
      </c>
      <c r="E478" s="491" t="s">
        <v>4114</v>
      </c>
      <c r="F478" s="492" t="s">
        <v>4115</v>
      </c>
      <c r="G478" s="492" t="s">
        <v>3146</v>
      </c>
      <c r="H478" s="492" t="s">
        <v>4332</v>
      </c>
      <c r="I478" s="545">
        <v>45712</v>
      </c>
      <c r="J478" s="545">
        <v>45737</v>
      </c>
      <c r="K478" s="492" t="s">
        <v>18</v>
      </c>
      <c r="L478" s="523" t="s">
        <v>3457</v>
      </c>
      <c r="M478" s="556" t="s">
        <v>309</v>
      </c>
      <c r="N478" s="484">
        <v>0</v>
      </c>
      <c r="O478" s="484">
        <v>0</v>
      </c>
      <c r="P478" s="499">
        <v>450</v>
      </c>
      <c r="Q478" s="545">
        <v>45721</v>
      </c>
      <c r="R478" s="545">
        <v>45733</v>
      </c>
      <c r="S478" s="545" t="s">
        <v>309</v>
      </c>
      <c r="T478" s="545">
        <v>45735</v>
      </c>
      <c r="U478" s="545">
        <v>45744</v>
      </c>
      <c r="V478" s="492" t="s">
        <v>20</v>
      </c>
      <c r="W478" s="545">
        <f t="shared" ref="W478:W510" si="21">J478+21</f>
        <v>45758</v>
      </c>
      <c r="X478" s="588"/>
      <c r="Y478" s="523"/>
      <c r="Z478" s="588"/>
      <c r="AA478" s="588"/>
    </row>
    <row r="479" s="476" customFormat="1" customHeight="1" spans="1:27">
      <c r="A479" s="492" t="s">
        <v>2038</v>
      </c>
      <c r="B479" s="492" t="s">
        <v>4329</v>
      </c>
      <c r="C479" s="492" t="s">
        <v>4330</v>
      </c>
      <c r="D479" s="492" t="s">
        <v>4351</v>
      </c>
      <c r="E479" s="491" t="s">
        <v>4114</v>
      </c>
      <c r="F479" s="492" t="s">
        <v>4115</v>
      </c>
      <c r="G479" s="492" t="s">
        <v>3146</v>
      </c>
      <c r="H479" s="492" t="s">
        <v>4332</v>
      </c>
      <c r="I479" s="545">
        <v>45712</v>
      </c>
      <c r="J479" s="545">
        <v>45737</v>
      </c>
      <c r="K479" s="492" t="s">
        <v>18</v>
      </c>
      <c r="L479" s="523" t="s">
        <v>3457</v>
      </c>
      <c r="M479" s="556" t="s">
        <v>309</v>
      </c>
      <c r="N479" s="484">
        <v>0</v>
      </c>
      <c r="O479" s="484">
        <v>0</v>
      </c>
      <c r="P479" s="499">
        <v>450</v>
      </c>
      <c r="Q479" s="545">
        <v>45721</v>
      </c>
      <c r="R479" s="545">
        <v>45733</v>
      </c>
      <c r="S479" s="545" t="s">
        <v>309</v>
      </c>
      <c r="T479" s="545">
        <v>45735</v>
      </c>
      <c r="U479" s="545">
        <v>45744</v>
      </c>
      <c r="V479" s="492" t="s">
        <v>20</v>
      </c>
      <c r="W479" s="545">
        <f t="shared" si="21"/>
        <v>45758</v>
      </c>
      <c r="X479" s="588"/>
      <c r="Y479" s="523"/>
      <c r="Z479" s="588"/>
      <c r="AA479" s="588"/>
    </row>
    <row r="480" s="476" customFormat="1" spans="1:27">
      <c r="A480" s="492" t="s">
        <v>4352</v>
      </c>
      <c r="B480" s="492" t="s">
        <v>4300</v>
      </c>
      <c r="C480" s="492" t="s">
        <v>4353</v>
      </c>
      <c r="D480" s="492" t="s">
        <v>4354</v>
      </c>
      <c r="E480" s="491"/>
      <c r="F480" s="492" t="s">
        <v>3979</v>
      </c>
      <c r="G480" s="487" t="s">
        <v>3067</v>
      </c>
      <c r="H480" s="492" t="s">
        <v>4355</v>
      </c>
      <c r="I480" s="545">
        <v>45729</v>
      </c>
      <c r="J480" s="545">
        <v>45741</v>
      </c>
      <c r="K480" s="492" t="s">
        <v>161</v>
      </c>
      <c r="L480" s="520" t="s">
        <v>3500</v>
      </c>
      <c r="M480" s="556" t="s">
        <v>533</v>
      </c>
      <c r="N480" s="484">
        <v>1947.16</v>
      </c>
      <c r="O480" s="484">
        <v>10399.86</v>
      </c>
      <c r="P480" s="499"/>
      <c r="Q480" s="545">
        <v>45736</v>
      </c>
      <c r="R480" s="545">
        <v>45737</v>
      </c>
      <c r="S480" s="545" t="s">
        <v>309</v>
      </c>
      <c r="T480" s="545">
        <v>45741</v>
      </c>
      <c r="U480" s="545">
        <v>45747</v>
      </c>
      <c r="V480" s="492" t="s">
        <v>20</v>
      </c>
      <c r="W480" s="545">
        <f t="shared" si="21"/>
        <v>45762</v>
      </c>
      <c r="X480" s="588"/>
      <c r="Y480" s="523"/>
      <c r="Z480" s="588"/>
      <c r="AA480" s="588"/>
    </row>
    <row r="481" s="476" customFormat="1" spans="1:27">
      <c r="A481" s="492" t="s">
        <v>400</v>
      </c>
      <c r="B481" s="492" t="s">
        <v>4300</v>
      </c>
      <c r="C481" s="492" t="s">
        <v>4356</v>
      </c>
      <c r="D481" s="492" t="s">
        <v>4357</v>
      </c>
      <c r="E481" s="491"/>
      <c r="F481" s="556" t="s">
        <v>4018</v>
      </c>
      <c r="G481" s="492" t="s">
        <v>3032</v>
      </c>
      <c r="H481" s="492" t="s">
        <v>4358</v>
      </c>
      <c r="I481" s="545">
        <v>45724</v>
      </c>
      <c r="J481" s="562">
        <v>45741</v>
      </c>
      <c r="K481" s="492" t="s">
        <v>18</v>
      </c>
      <c r="L481" s="523" t="s">
        <v>3457</v>
      </c>
      <c r="M481" s="556" t="s">
        <v>309</v>
      </c>
      <c r="N481" s="484">
        <v>1683.13</v>
      </c>
      <c r="O481" s="484">
        <v>10634.11</v>
      </c>
      <c r="P481" s="499">
        <v>450</v>
      </c>
      <c r="Q481" s="545">
        <v>45730</v>
      </c>
      <c r="R481" s="545">
        <v>45735</v>
      </c>
      <c r="S481" s="545" t="s">
        <v>309</v>
      </c>
      <c r="T481" s="545">
        <v>45736</v>
      </c>
      <c r="U481" s="545">
        <v>45747</v>
      </c>
      <c r="V481" s="492" t="s">
        <v>20</v>
      </c>
      <c r="W481" s="545">
        <f t="shared" si="21"/>
        <v>45762</v>
      </c>
      <c r="X481" s="588" t="s">
        <v>4359</v>
      </c>
      <c r="Y481" s="523"/>
      <c r="Z481" s="588"/>
      <c r="AA481" s="588"/>
    </row>
    <row r="482" s="475" customFormat="1" customHeight="1" spans="1:27">
      <c r="A482" s="492" t="s">
        <v>2038</v>
      </c>
      <c r="B482" s="492" t="s">
        <v>4329</v>
      </c>
      <c r="C482" s="492" t="s">
        <v>4360</v>
      </c>
      <c r="D482" s="492" t="s">
        <v>4361</v>
      </c>
      <c r="E482" s="491">
        <v>1200</v>
      </c>
      <c r="F482" s="556" t="s">
        <v>4018</v>
      </c>
      <c r="G482" s="492" t="s">
        <v>3032</v>
      </c>
      <c r="H482" s="492" t="s">
        <v>4358</v>
      </c>
      <c r="I482" s="545">
        <v>45724</v>
      </c>
      <c r="J482" s="562">
        <v>45741</v>
      </c>
      <c r="K482" s="492" t="s">
        <v>18</v>
      </c>
      <c r="L482" s="523" t="s">
        <v>3457</v>
      </c>
      <c r="M482" s="556" t="s">
        <v>309</v>
      </c>
      <c r="N482" s="484">
        <v>1683.13</v>
      </c>
      <c r="O482" s="484">
        <v>10197.85</v>
      </c>
      <c r="P482" s="499">
        <v>450</v>
      </c>
      <c r="Q482" s="545">
        <v>45730</v>
      </c>
      <c r="R482" s="545">
        <v>45735</v>
      </c>
      <c r="S482" s="545" t="s">
        <v>309</v>
      </c>
      <c r="T482" s="545">
        <v>45737</v>
      </c>
      <c r="U482" s="545">
        <v>45747</v>
      </c>
      <c r="V482" s="492" t="s">
        <v>20</v>
      </c>
      <c r="W482" s="545">
        <f t="shared" si="21"/>
        <v>45762</v>
      </c>
      <c r="X482" s="588" t="s">
        <v>4362</v>
      </c>
      <c r="Y482" s="523"/>
      <c r="Z482" s="588"/>
      <c r="AA482" s="588"/>
    </row>
    <row r="483" s="475" customFormat="1" customHeight="1" spans="1:27">
      <c r="A483" s="492" t="s">
        <v>4363</v>
      </c>
      <c r="B483" s="492" t="s">
        <v>4329</v>
      </c>
      <c r="C483" s="492" t="s">
        <v>4364</v>
      </c>
      <c r="D483" s="492" t="s">
        <v>4365</v>
      </c>
      <c r="E483" s="491">
        <v>900</v>
      </c>
      <c r="F483" s="556" t="s">
        <v>4018</v>
      </c>
      <c r="G483" s="492" t="s">
        <v>3032</v>
      </c>
      <c r="H483" s="492" t="s">
        <v>4358</v>
      </c>
      <c r="I483" s="545">
        <v>45724</v>
      </c>
      <c r="J483" s="562">
        <v>45741</v>
      </c>
      <c r="K483" s="492" t="s">
        <v>18</v>
      </c>
      <c r="L483" s="559" t="s">
        <v>3324</v>
      </c>
      <c r="M483" s="556" t="s">
        <v>2169</v>
      </c>
      <c r="N483" s="484"/>
      <c r="O483" s="484">
        <v>10320.61</v>
      </c>
      <c r="P483" s="499">
        <v>500</v>
      </c>
      <c r="Q483" s="545">
        <v>45734</v>
      </c>
      <c r="R483" s="545">
        <v>45735</v>
      </c>
      <c r="S483" s="545" t="s">
        <v>309</v>
      </c>
      <c r="T483" s="545">
        <v>45737</v>
      </c>
      <c r="U483" s="545">
        <v>45748</v>
      </c>
      <c r="V483" s="492" t="s">
        <v>20</v>
      </c>
      <c r="W483" s="545">
        <f t="shared" si="21"/>
        <v>45762</v>
      </c>
      <c r="X483" s="588"/>
      <c r="Y483" s="523"/>
      <c r="Z483" s="588"/>
      <c r="AA483" s="588"/>
    </row>
    <row r="484" s="475" customFormat="1" spans="1:27">
      <c r="A484" s="492" t="s">
        <v>4363</v>
      </c>
      <c r="B484" s="492" t="s">
        <v>4329</v>
      </c>
      <c r="C484" s="492" t="s">
        <v>4366</v>
      </c>
      <c r="D484" s="556" t="s">
        <v>4367</v>
      </c>
      <c r="E484" s="491">
        <v>900</v>
      </c>
      <c r="F484" s="556" t="s">
        <v>4018</v>
      </c>
      <c r="G484" s="492" t="s">
        <v>3032</v>
      </c>
      <c r="H484" s="492" t="s">
        <v>4358</v>
      </c>
      <c r="I484" s="545">
        <v>45724</v>
      </c>
      <c r="J484" s="562">
        <v>45741</v>
      </c>
      <c r="K484" s="492" t="s">
        <v>18</v>
      </c>
      <c r="L484" s="559" t="s">
        <v>3324</v>
      </c>
      <c r="M484" s="556" t="s">
        <v>2172</v>
      </c>
      <c r="N484" s="484">
        <v>1536.56</v>
      </c>
      <c r="O484" s="484">
        <v>10320.61</v>
      </c>
      <c r="P484" s="499">
        <v>500</v>
      </c>
      <c r="Q484" s="545">
        <v>45734</v>
      </c>
      <c r="R484" s="545">
        <v>45735</v>
      </c>
      <c r="S484" s="545" t="s">
        <v>309</v>
      </c>
      <c r="T484" s="545">
        <v>45737</v>
      </c>
      <c r="U484" s="545">
        <v>45748</v>
      </c>
      <c r="V484" s="587" t="s">
        <v>20</v>
      </c>
      <c r="W484" s="545">
        <f t="shared" si="21"/>
        <v>45762</v>
      </c>
      <c r="X484" s="588"/>
      <c r="Y484" s="523"/>
      <c r="Z484" s="588"/>
      <c r="AA484" s="588"/>
    </row>
    <row r="485" s="475" customFormat="1" customHeight="1" spans="1:27">
      <c r="A485" s="492" t="s">
        <v>4363</v>
      </c>
      <c r="B485" s="492" t="s">
        <v>4329</v>
      </c>
      <c r="C485" s="492" t="s">
        <v>4368</v>
      </c>
      <c r="D485" s="587" t="s">
        <v>4369</v>
      </c>
      <c r="E485" s="491">
        <v>900</v>
      </c>
      <c r="F485" s="556" t="s">
        <v>4018</v>
      </c>
      <c r="G485" s="492" t="s">
        <v>3032</v>
      </c>
      <c r="H485" s="492" t="s">
        <v>4358</v>
      </c>
      <c r="I485" s="545">
        <v>45724</v>
      </c>
      <c r="J485" s="562">
        <v>45741</v>
      </c>
      <c r="K485" s="492" t="s">
        <v>18</v>
      </c>
      <c r="L485" s="523" t="s">
        <v>3457</v>
      </c>
      <c r="M485" s="556" t="s">
        <v>309</v>
      </c>
      <c r="N485" s="484">
        <v>1683.13</v>
      </c>
      <c r="O485" s="484">
        <v>10320.61</v>
      </c>
      <c r="P485" s="499">
        <v>450</v>
      </c>
      <c r="Q485" s="545">
        <v>45734</v>
      </c>
      <c r="R485" s="545">
        <v>45735</v>
      </c>
      <c r="S485" s="545" t="s">
        <v>309</v>
      </c>
      <c r="T485" s="545">
        <v>45736</v>
      </c>
      <c r="U485" s="545">
        <v>45749</v>
      </c>
      <c r="V485" s="587" t="s">
        <v>20</v>
      </c>
      <c r="W485" s="545">
        <f t="shared" si="21"/>
        <v>45762</v>
      </c>
      <c r="X485" s="588"/>
      <c r="Y485" s="523"/>
      <c r="Z485" s="588"/>
      <c r="AA485" s="588"/>
    </row>
    <row r="486" s="475" customFormat="1" customHeight="1" spans="1:27">
      <c r="A486" s="492" t="s">
        <v>464</v>
      </c>
      <c r="B486" s="492" t="s">
        <v>4300</v>
      </c>
      <c r="C486" s="492" t="s">
        <v>4370</v>
      </c>
      <c r="D486" s="492" t="s">
        <v>4371</v>
      </c>
      <c r="E486" s="491"/>
      <c r="F486" s="556" t="s">
        <v>4018</v>
      </c>
      <c r="G486" s="492" t="s">
        <v>3032</v>
      </c>
      <c r="H486" s="492" t="s">
        <v>4358</v>
      </c>
      <c r="I486" s="545">
        <v>45724</v>
      </c>
      <c r="J486" s="562">
        <v>45741</v>
      </c>
      <c r="K486" s="492" t="s">
        <v>18</v>
      </c>
      <c r="L486" s="523" t="s">
        <v>3457</v>
      </c>
      <c r="M486" s="556" t="s">
        <v>309</v>
      </c>
      <c r="N486" s="484">
        <v>1683.13</v>
      </c>
      <c r="O486" s="484">
        <v>17084.95</v>
      </c>
      <c r="P486" s="499">
        <v>450</v>
      </c>
      <c r="Q486" s="545">
        <v>45730</v>
      </c>
      <c r="R486" s="545">
        <v>45735</v>
      </c>
      <c r="S486" s="545" t="s">
        <v>309</v>
      </c>
      <c r="T486" s="545">
        <v>45736</v>
      </c>
      <c r="U486" s="545">
        <v>45749</v>
      </c>
      <c r="V486" s="492" t="s">
        <v>20</v>
      </c>
      <c r="W486" s="545">
        <f t="shared" si="21"/>
        <v>45762</v>
      </c>
      <c r="X486" s="588"/>
      <c r="Y486" s="523"/>
      <c r="Z486" s="588"/>
      <c r="AA486" s="588"/>
    </row>
    <row r="487" s="475" customFormat="1" spans="1:27">
      <c r="A487" s="492" t="s">
        <v>2038</v>
      </c>
      <c r="B487" s="492" t="s">
        <v>4329</v>
      </c>
      <c r="C487" s="492" t="s">
        <v>4372</v>
      </c>
      <c r="D487" s="492" t="s">
        <v>4373</v>
      </c>
      <c r="E487" s="491">
        <v>1200</v>
      </c>
      <c r="F487" s="556" t="s">
        <v>4018</v>
      </c>
      <c r="G487" s="492" t="s">
        <v>3032</v>
      </c>
      <c r="H487" s="587" t="s">
        <v>4358</v>
      </c>
      <c r="I487" s="545">
        <v>45724</v>
      </c>
      <c r="J487" s="562">
        <v>45741</v>
      </c>
      <c r="K487" s="492" t="s">
        <v>18</v>
      </c>
      <c r="L487" s="523" t="s">
        <v>3457</v>
      </c>
      <c r="M487" s="556" t="s">
        <v>309</v>
      </c>
      <c r="N487" s="484">
        <v>1683.13</v>
      </c>
      <c r="O487" s="484">
        <v>10197.85</v>
      </c>
      <c r="P487" s="499">
        <v>450</v>
      </c>
      <c r="Q487" s="545">
        <v>45730</v>
      </c>
      <c r="R487" s="545">
        <v>45735</v>
      </c>
      <c r="S487" s="545" t="s">
        <v>309</v>
      </c>
      <c r="T487" s="545">
        <v>45737</v>
      </c>
      <c r="U487" s="545">
        <v>45749</v>
      </c>
      <c r="V487" s="492" t="s">
        <v>20</v>
      </c>
      <c r="W487" s="545">
        <f t="shared" si="21"/>
        <v>45762</v>
      </c>
      <c r="X487" s="588"/>
      <c r="Y487" s="523"/>
      <c r="Z487" s="588"/>
      <c r="AA487" s="588"/>
    </row>
    <row r="488" s="475" customFormat="1" spans="1:27">
      <c r="A488" s="492" t="s">
        <v>4363</v>
      </c>
      <c r="B488" s="492" t="s">
        <v>4329</v>
      </c>
      <c r="C488" s="492" t="s">
        <v>4374</v>
      </c>
      <c r="D488" s="492" t="s">
        <v>4375</v>
      </c>
      <c r="E488" s="491">
        <v>900</v>
      </c>
      <c r="F488" s="556" t="s">
        <v>4018</v>
      </c>
      <c r="G488" s="492" t="s">
        <v>3032</v>
      </c>
      <c r="H488" s="492" t="s">
        <v>4358</v>
      </c>
      <c r="I488" s="545">
        <v>45724</v>
      </c>
      <c r="J488" s="562">
        <v>45741</v>
      </c>
      <c r="K488" s="492" t="s">
        <v>18</v>
      </c>
      <c r="L488" s="523" t="s">
        <v>3457</v>
      </c>
      <c r="M488" s="556" t="s">
        <v>309</v>
      </c>
      <c r="N488" s="484">
        <v>1683.13</v>
      </c>
      <c r="O488" s="484">
        <v>13853.38</v>
      </c>
      <c r="P488" s="499">
        <v>450</v>
      </c>
      <c r="Q488" s="545">
        <v>45734</v>
      </c>
      <c r="R488" s="545">
        <v>45735</v>
      </c>
      <c r="S488" s="545" t="s">
        <v>309</v>
      </c>
      <c r="T488" s="545">
        <v>45737</v>
      </c>
      <c r="U488" s="545">
        <v>45749</v>
      </c>
      <c r="V488" s="492" t="s">
        <v>20</v>
      </c>
      <c r="W488" s="545">
        <f t="shared" si="21"/>
        <v>45762</v>
      </c>
      <c r="X488" s="588"/>
      <c r="Y488" s="523"/>
      <c r="Z488" s="588"/>
      <c r="AA488" s="588"/>
    </row>
    <row r="489" s="475" customFormat="1" spans="1:27">
      <c r="A489" s="492" t="s">
        <v>4363</v>
      </c>
      <c r="B489" s="492" t="s">
        <v>4329</v>
      </c>
      <c r="C489" s="492" t="s">
        <v>4376</v>
      </c>
      <c r="D489" s="492" t="s">
        <v>4377</v>
      </c>
      <c r="E489" s="491">
        <v>900</v>
      </c>
      <c r="F489" s="556" t="s">
        <v>4018</v>
      </c>
      <c r="G489" s="492" t="s">
        <v>3032</v>
      </c>
      <c r="H489" s="492" t="s">
        <v>4358</v>
      </c>
      <c r="I489" s="545">
        <v>45724</v>
      </c>
      <c r="J489" s="562">
        <v>45741</v>
      </c>
      <c r="K489" s="492" t="s">
        <v>18</v>
      </c>
      <c r="L489" s="523" t="s">
        <v>3457</v>
      </c>
      <c r="M489" s="556" t="s">
        <v>309</v>
      </c>
      <c r="N489" s="484">
        <v>1666.63</v>
      </c>
      <c r="O489" s="484">
        <v>10301.4</v>
      </c>
      <c r="P489" s="499">
        <v>450</v>
      </c>
      <c r="Q489" s="545">
        <v>45734</v>
      </c>
      <c r="R489" s="545">
        <v>45735</v>
      </c>
      <c r="S489" s="545" t="s">
        <v>309</v>
      </c>
      <c r="T489" s="545">
        <v>45737</v>
      </c>
      <c r="U489" s="545">
        <v>45749</v>
      </c>
      <c r="V489" s="492" t="s">
        <v>20</v>
      </c>
      <c r="W489" s="545">
        <f t="shared" si="21"/>
        <v>45762</v>
      </c>
      <c r="X489" s="588"/>
      <c r="Y489" s="523"/>
      <c r="Z489" s="588"/>
      <c r="AA489" s="588"/>
    </row>
    <row r="490" s="475" customFormat="1" customHeight="1" spans="1:27">
      <c r="A490" s="489" t="s">
        <v>2038</v>
      </c>
      <c r="B490" s="492" t="s">
        <v>4329</v>
      </c>
      <c r="C490" s="489" t="s">
        <v>4378</v>
      </c>
      <c r="D490" s="554" t="s">
        <v>4379</v>
      </c>
      <c r="E490" s="488">
        <v>1200</v>
      </c>
      <c r="F490" s="556" t="s">
        <v>4018</v>
      </c>
      <c r="G490" s="489" t="s">
        <v>3032</v>
      </c>
      <c r="H490" s="489" t="s">
        <v>4358</v>
      </c>
      <c r="I490" s="195">
        <v>45724</v>
      </c>
      <c r="J490" s="234">
        <v>45741</v>
      </c>
      <c r="K490" s="489" t="s">
        <v>18</v>
      </c>
      <c r="L490" s="559" t="s">
        <v>3324</v>
      </c>
      <c r="M490" s="556" t="s">
        <v>4380</v>
      </c>
      <c r="N490" s="484">
        <v>1536.56</v>
      </c>
      <c r="O490" s="484">
        <v>10197.85</v>
      </c>
      <c r="P490" s="499">
        <v>500</v>
      </c>
      <c r="Q490" s="545">
        <v>45730</v>
      </c>
      <c r="R490" s="545">
        <v>45735</v>
      </c>
      <c r="S490" s="195" t="s">
        <v>309</v>
      </c>
      <c r="T490" s="195">
        <v>45741</v>
      </c>
      <c r="U490" s="592">
        <v>45750</v>
      </c>
      <c r="V490" s="492" t="s">
        <v>20</v>
      </c>
      <c r="W490" s="195">
        <f t="shared" si="21"/>
        <v>45762</v>
      </c>
      <c r="X490" s="588"/>
      <c r="Y490" s="523"/>
      <c r="Z490" s="588"/>
      <c r="AA490" s="588"/>
    </row>
    <row r="491" s="475" customFormat="1" spans="1:27">
      <c r="A491" s="489" t="s">
        <v>2038</v>
      </c>
      <c r="B491" s="492" t="s">
        <v>4329</v>
      </c>
      <c r="C491" s="489" t="s">
        <v>4360</v>
      </c>
      <c r="D491" s="556" t="s">
        <v>4381</v>
      </c>
      <c r="E491" s="488">
        <v>1200</v>
      </c>
      <c r="F491" s="556" t="s">
        <v>4018</v>
      </c>
      <c r="G491" s="489" t="s">
        <v>3032</v>
      </c>
      <c r="H491" s="489" t="s">
        <v>4358</v>
      </c>
      <c r="I491" s="195">
        <v>45724</v>
      </c>
      <c r="J491" s="234">
        <v>45741</v>
      </c>
      <c r="K491" s="489" t="s">
        <v>18</v>
      </c>
      <c r="L491" s="559" t="s">
        <v>3324</v>
      </c>
      <c r="M491" s="556" t="s">
        <v>4382</v>
      </c>
      <c r="N491" s="484">
        <v>1536.56</v>
      </c>
      <c r="O491" s="484">
        <v>10197.85</v>
      </c>
      <c r="P491" s="499">
        <v>500</v>
      </c>
      <c r="Q491" s="545">
        <v>45730</v>
      </c>
      <c r="R491" s="545">
        <v>45735</v>
      </c>
      <c r="S491" s="195" t="s">
        <v>309</v>
      </c>
      <c r="T491" s="545">
        <v>45736</v>
      </c>
      <c r="U491" s="592">
        <v>45750</v>
      </c>
      <c r="V491" s="492" t="s">
        <v>20</v>
      </c>
      <c r="W491" s="195">
        <f t="shared" si="21"/>
        <v>45762</v>
      </c>
      <c r="X491" s="588"/>
      <c r="Y491" s="523"/>
      <c r="Z491" s="588"/>
      <c r="AA491" s="588"/>
    </row>
    <row r="492" s="475" customFormat="1" customHeight="1" spans="1:27">
      <c r="A492" s="489" t="s">
        <v>2038</v>
      </c>
      <c r="B492" s="492" t="s">
        <v>4329</v>
      </c>
      <c r="C492" s="489" t="s">
        <v>4383</v>
      </c>
      <c r="D492" s="554" t="s">
        <v>4384</v>
      </c>
      <c r="E492" s="488">
        <v>1200</v>
      </c>
      <c r="F492" s="556" t="s">
        <v>4018</v>
      </c>
      <c r="G492" s="489" t="s">
        <v>3032</v>
      </c>
      <c r="H492" s="489" t="s">
        <v>4358</v>
      </c>
      <c r="I492" s="195">
        <v>45724</v>
      </c>
      <c r="J492" s="234">
        <v>45741</v>
      </c>
      <c r="K492" s="489" t="s">
        <v>18</v>
      </c>
      <c r="L492" s="559" t="s">
        <v>3324</v>
      </c>
      <c r="M492" s="556" t="s">
        <v>4385</v>
      </c>
      <c r="N492" s="484">
        <v>1536.56</v>
      </c>
      <c r="O492" s="484">
        <v>10197.85</v>
      </c>
      <c r="P492" s="499">
        <v>500</v>
      </c>
      <c r="Q492" s="545">
        <v>45730</v>
      </c>
      <c r="R492" s="545">
        <v>45735</v>
      </c>
      <c r="S492" s="195" t="s">
        <v>309</v>
      </c>
      <c r="T492" s="545">
        <v>45737</v>
      </c>
      <c r="U492" s="592">
        <v>45750</v>
      </c>
      <c r="V492" s="494" t="s">
        <v>20</v>
      </c>
      <c r="W492" s="195">
        <f t="shared" si="21"/>
        <v>45762</v>
      </c>
      <c r="X492" s="588"/>
      <c r="Y492" s="523"/>
      <c r="Z492" s="588"/>
      <c r="AA492" s="588"/>
    </row>
    <row r="493" s="477" customFormat="1" spans="1:27">
      <c r="A493" s="489" t="s">
        <v>4363</v>
      </c>
      <c r="B493" s="492" t="s">
        <v>4329</v>
      </c>
      <c r="C493" s="589" t="s">
        <v>4386</v>
      </c>
      <c r="D493" s="554" t="s">
        <v>4387</v>
      </c>
      <c r="E493" s="488">
        <v>900</v>
      </c>
      <c r="F493" s="556" t="s">
        <v>4018</v>
      </c>
      <c r="G493" s="489" t="s">
        <v>3032</v>
      </c>
      <c r="H493" s="489" t="s">
        <v>4358</v>
      </c>
      <c r="I493" s="195">
        <v>45724</v>
      </c>
      <c r="J493" s="234">
        <v>45741</v>
      </c>
      <c r="K493" s="489" t="s">
        <v>18</v>
      </c>
      <c r="L493" s="559" t="s">
        <v>3324</v>
      </c>
      <c r="M493" s="556" t="s">
        <v>2166</v>
      </c>
      <c r="N493" s="484">
        <v>1536.56</v>
      </c>
      <c r="O493" s="484">
        <v>10320.61</v>
      </c>
      <c r="P493" s="499"/>
      <c r="Q493" s="545">
        <v>45734</v>
      </c>
      <c r="R493" s="545">
        <v>45735</v>
      </c>
      <c r="S493" s="195" t="s">
        <v>309</v>
      </c>
      <c r="T493" s="545">
        <v>45737</v>
      </c>
      <c r="U493" s="592">
        <v>45751</v>
      </c>
      <c r="V493" s="492" t="s">
        <v>20</v>
      </c>
      <c r="W493" s="195">
        <f t="shared" si="21"/>
        <v>45762</v>
      </c>
      <c r="X493" s="588"/>
      <c r="Y493" s="523"/>
      <c r="Z493" s="588"/>
      <c r="AA493" s="588"/>
    </row>
    <row r="494" s="477" customFormat="1" spans="1:27">
      <c r="A494" s="489" t="s">
        <v>343</v>
      </c>
      <c r="B494" s="492" t="s">
        <v>4300</v>
      </c>
      <c r="C494" s="489" t="s">
        <v>4388</v>
      </c>
      <c r="D494" s="554" t="s">
        <v>4389</v>
      </c>
      <c r="E494" s="488">
        <v>1200</v>
      </c>
      <c r="F494" s="556" t="s">
        <v>4018</v>
      </c>
      <c r="G494" s="489" t="s">
        <v>3032</v>
      </c>
      <c r="H494" s="489" t="s">
        <v>4358</v>
      </c>
      <c r="I494" s="195">
        <v>45724</v>
      </c>
      <c r="J494" s="234">
        <v>45741</v>
      </c>
      <c r="K494" s="489" t="s">
        <v>18</v>
      </c>
      <c r="L494" s="559" t="s">
        <v>3324</v>
      </c>
      <c r="M494" s="556" t="s">
        <v>309</v>
      </c>
      <c r="N494" s="484">
        <v>1683.13</v>
      </c>
      <c r="O494" s="484">
        <v>11034.72</v>
      </c>
      <c r="P494" s="499">
        <v>500</v>
      </c>
      <c r="Q494" s="545">
        <v>45728</v>
      </c>
      <c r="R494" s="545">
        <v>45735</v>
      </c>
      <c r="S494" s="195" t="s">
        <v>309</v>
      </c>
      <c r="T494" s="195">
        <v>45736</v>
      </c>
      <c r="U494" s="592">
        <v>45751</v>
      </c>
      <c r="V494" s="492" t="s">
        <v>20</v>
      </c>
      <c r="W494" s="195">
        <f t="shared" si="21"/>
        <v>45762</v>
      </c>
      <c r="X494" s="588"/>
      <c r="Y494" s="523"/>
      <c r="Z494" s="588"/>
      <c r="AA494" s="588"/>
    </row>
    <row r="495" s="475" customFormat="1" customHeight="1" spans="1:27">
      <c r="A495" s="492" t="s">
        <v>400</v>
      </c>
      <c r="B495" s="492" t="s">
        <v>4300</v>
      </c>
      <c r="C495" s="492" t="s">
        <v>4390</v>
      </c>
      <c r="D495" s="492" t="s">
        <v>4391</v>
      </c>
      <c r="E495" s="491"/>
      <c r="F495" s="492" t="s">
        <v>3979</v>
      </c>
      <c r="G495" s="487" t="s">
        <v>3067</v>
      </c>
      <c r="H495" s="492" t="s">
        <v>4355</v>
      </c>
      <c r="I495" s="545">
        <v>45729</v>
      </c>
      <c r="J495" s="545">
        <v>45745</v>
      </c>
      <c r="K495" s="492" t="s">
        <v>18</v>
      </c>
      <c r="L495" s="523" t="s">
        <v>3457</v>
      </c>
      <c r="M495" s="556" t="s">
        <v>309</v>
      </c>
      <c r="N495" s="484"/>
      <c r="O495" s="484">
        <v>10377.3</v>
      </c>
      <c r="P495" s="499"/>
      <c r="Q495" s="545">
        <v>45736</v>
      </c>
      <c r="R495" s="545">
        <v>45737</v>
      </c>
      <c r="S495" s="545" t="s">
        <v>309</v>
      </c>
      <c r="T495" s="545">
        <v>45743</v>
      </c>
      <c r="U495" s="562">
        <v>45750</v>
      </c>
      <c r="V495" s="492" t="s">
        <v>20</v>
      </c>
      <c r="W495" s="545">
        <f t="shared" si="21"/>
        <v>45766</v>
      </c>
      <c r="X495" s="588"/>
      <c r="Y495" s="523"/>
      <c r="Z495" s="588"/>
      <c r="AA495" s="588"/>
    </row>
    <row r="496" s="477" customFormat="1" customHeight="1" spans="1:27">
      <c r="A496" s="489" t="s">
        <v>400</v>
      </c>
      <c r="B496" s="492" t="s">
        <v>4300</v>
      </c>
      <c r="C496" s="494" t="s">
        <v>4392</v>
      </c>
      <c r="D496" s="494" t="s">
        <v>4393</v>
      </c>
      <c r="E496" s="488"/>
      <c r="F496" s="489" t="s">
        <v>3979</v>
      </c>
      <c r="G496" s="487" t="s">
        <v>3067</v>
      </c>
      <c r="H496" s="494" t="s">
        <v>4355</v>
      </c>
      <c r="I496" s="195">
        <v>45729</v>
      </c>
      <c r="J496" s="195">
        <v>45745</v>
      </c>
      <c r="K496" s="489" t="s">
        <v>18</v>
      </c>
      <c r="L496" s="523" t="s">
        <v>3457</v>
      </c>
      <c r="M496" s="556" t="s">
        <v>309</v>
      </c>
      <c r="N496" s="484"/>
      <c r="O496" s="484">
        <v>12626.43</v>
      </c>
      <c r="P496" s="499"/>
      <c r="Q496" s="545">
        <v>45736</v>
      </c>
      <c r="R496" s="545">
        <v>45737</v>
      </c>
      <c r="S496" s="195" t="s">
        <v>309</v>
      </c>
      <c r="T496" s="545">
        <v>45743</v>
      </c>
      <c r="U496" s="562">
        <v>45754</v>
      </c>
      <c r="V496" s="494" t="s">
        <v>20</v>
      </c>
      <c r="W496" s="195">
        <f t="shared" si="21"/>
        <v>45766</v>
      </c>
      <c r="X496" s="588"/>
      <c r="Y496" s="523"/>
      <c r="Z496" s="588"/>
      <c r="AA496" s="588"/>
    </row>
    <row r="497" s="477" customFormat="1" customHeight="1" spans="1:27">
      <c r="A497" s="489" t="s">
        <v>400</v>
      </c>
      <c r="B497" s="492" t="s">
        <v>4300</v>
      </c>
      <c r="C497" s="494" t="s">
        <v>4394</v>
      </c>
      <c r="D497" s="494" t="s">
        <v>4395</v>
      </c>
      <c r="E497" s="488"/>
      <c r="F497" s="489" t="s">
        <v>3979</v>
      </c>
      <c r="G497" s="487" t="s">
        <v>3067</v>
      </c>
      <c r="H497" s="494" t="s">
        <v>4355</v>
      </c>
      <c r="I497" s="195">
        <v>45729</v>
      </c>
      <c r="J497" s="195">
        <v>45745</v>
      </c>
      <c r="K497" s="489" t="s">
        <v>18</v>
      </c>
      <c r="L497" s="523" t="s">
        <v>3457</v>
      </c>
      <c r="M497" s="556" t="s">
        <v>309</v>
      </c>
      <c r="N497" s="484"/>
      <c r="O497" s="484">
        <v>12313.3</v>
      </c>
      <c r="P497" s="499"/>
      <c r="Q497" s="545">
        <v>45737</v>
      </c>
      <c r="R497" s="545">
        <v>45737</v>
      </c>
      <c r="S497" s="195" t="s">
        <v>309</v>
      </c>
      <c r="T497" s="545">
        <v>45743</v>
      </c>
      <c r="U497" s="562">
        <v>45754</v>
      </c>
      <c r="V497" s="492" t="s">
        <v>20</v>
      </c>
      <c r="W497" s="195">
        <f t="shared" si="21"/>
        <v>45766</v>
      </c>
      <c r="X497" s="588"/>
      <c r="Y497" s="523"/>
      <c r="Z497" s="588"/>
      <c r="AA497" s="588"/>
    </row>
    <row r="498" s="476" customFormat="1" spans="1:27">
      <c r="A498" s="492" t="s">
        <v>464</v>
      </c>
      <c r="B498" s="492" t="s">
        <v>4300</v>
      </c>
      <c r="C498" s="492" t="s">
        <v>4396</v>
      </c>
      <c r="D498" s="492" t="s">
        <v>4397</v>
      </c>
      <c r="E498" s="491"/>
      <c r="F498" s="556" t="s">
        <v>4018</v>
      </c>
      <c r="G498" s="492" t="s">
        <v>3032</v>
      </c>
      <c r="H498" s="492" t="s">
        <v>4398</v>
      </c>
      <c r="I498" s="545">
        <v>45727</v>
      </c>
      <c r="J498" s="562">
        <v>45747</v>
      </c>
      <c r="K498" s="492" t="s">
        <v>18</v>
      </c>
      <c r="L498" s="523" t="s">
        <v>3457</v>
      </c>
      <c r="M498" s="556" t="s">
        <v>309</v>
      </c>
      <c r="N498" s="484">
        <v>1683.13</v>
      </c>
      <c r="O498" s="484">
        <v>16718.47</v>
      </c>
      <c r="P498" s="499"/>
      <c r="Q498" s="545">
        <v>45733</v>
      </c>
      <c r="R498" s="545">
        <v>45742</v>
      </c>
      <c r="S498" s="545" t="s">
        <v>309</v>
      </c>
      <c r="T498" s="545">
        <v>45743</v>
      </c>
      <c r="U498" s="562">
        <v>45750</v>
      </c>
      <c r="V498" s="492" t="s">
        <v>20</v>
      </c>
      <c r="W498" s="545">
        <f t="shared" si="21"/>
        <v>45768</v>
      </c>
      <c r="X498" s="588"/>
      <c r="Y498" s="523"/>
      <c r="Z498" s="588"/>
      <c r="AA498" s="588"/>
    </row>
    <row r="499" s="476" customFormat="1" spans="1:27">
      <c r="A499" s="492" t="s">
        <v>400</v>
      </c>
      <c r="B499" s="492" t="s">
        <v>4300</v>
      </c>
      <c r="C499" s="492" t="s">
        <v>4399</v>
      </c>
      <c r="D499" s="492" t="s">
        <v>4400</v>
      </c>
      <c r="E499" s="491"/>
      <c r="F499" s="556" t="s">
        <v>4018</v>
      </c>
      <c r="G499" s="492" t="s">
        <v>3032</v>
      </c>
      <c r="H499" s="492" t="s">
        <v>4398</v>
      </c>
      <c r="I499" s="545">
        <v>45727</v>
      </c>
      <c r="J499" s="562">
        <v>45747</v>
      </c>
      <c r="K499" s="492" t="s">
        <v>18</v>
      </c>
      <c r="L499" s="523" t="s">
        <v>3457</v>
      </c>
      <c r="M499" s="556" t="s">
        <v>309</v>
      </c>
      <c r="N499" s="484">
        <v>1683.13</v>
      </c>
      <c r="O499" s="484">
        <v>10227.65</v>
      </c>
      <c r="P499" s="499"/>
      <c r="Q499" s="545">
        <v>45730</v>
      </c>
      <c r="R499" s="545">
        <v>45742</v>
      </c>
      <c r="S499" s="545" t="s">
        <v>309</v>
      </c>
      <c r="T499" s="545">
        <v>45743</v>
      </c>
      <c r="U499" s="562">
        <v>45751</v>
      </c>
      <c r="V499" s="492" t="s">
        <v>20</v>
      </c>
      <c r="W499" s="545">
        <f t="shared" si="21"/>
        <v>45768</v>
      </c>
      <c r="X499" s="588"/>
      <c r="Y499" s="523"/>
      <c r="Z499" s="588"/>
      <c r="AA499" s="588"/>
    </row>
    <row r="500" s="475" customFormat="1" customHeight="1" spans="1:27">
      <c r="A500" s="492" t="s">
        <v>400</v>
      </c>
      <c r="B500" s="492" t="s">
        <v>4300</v>
      </c>
      <c r="C500" s="492" t="s">
        <v>4401</v>
      </c>
      <c r="D500" s="492" t="s">
        <v>4402</v>
      </c>
      <c r="E500" s="491"/>
      <c r="F500" s="556" t="s">
        <v>4018</v>
      </c>
      <c r="G500" s="492" t="s">
        <v>3032</v>
      </c>
      <c r="H500" s="492" t="s">
        <v>4398</v>
      </c>
      <c r="I500" s="545">
        <v>45727</v>
      </c>
      <c r="J500" s="562">
        <v>45747</v>
      </c>
      <c r="K500" s="492" t="s">
        <v>18</v>
      </c>
      <c r="L500" s="523" t="s">
        <v>3457</v>
      </c>
      <c r="M500" s="556" t="s">
        <v>309</v>
      </c>
      <c r="N500" s="484">
        <v>1683.13</v>
      </c>
      <c r="O500" s="484">
        <v>8965.35</v>
      </c>
      <c r="P500" s="499"/>
      <c r="Q500" s="545">
        <v>45730</v>
      </c>
      <c r="R500" s="545">
        <v>45742</v>
      </c>
      <c r="S500" s="545" t="s">
        <v>309</v>
      </c>
      <c r="T500" s="545">
        <v>45743</v>
      </c>
      <c r="U500" s="562">
        <v>45751</v>
      </c>
      <c r="V500" s="492" t="s">
        <v>20</v>
      </c>
      <c r="W500" s="545">
        <f t="shared" si="21"/>
        <v>45768</v>
      </c>
      <c r="X500" s="588"/>
      <c r="Y500" s="523"/>
      <c r="Z500" s="588"/>
      <c r="AA500" s="588"/>
    </row>
    <row r="501" s="475" customFormat="1" customHeight="1" spans="1:27">
      <c r="A501" s="492" t="s">
        <v>400</v>
      </c>
      <c r="B501" s="492" t="s">
        <v>4300</v>
      </c>
      <c r="C501" s="492" t="s">
        <v>4403</v>
      </c>
      <c r="D501" s="492" t="s">
        <v>4404</v>
      </c>
      <c r="E501" s="491"/>
      <c r="F501" s="556" t="s">
        <v>4018</v>
      </c>
      <c r="G501" s="492" t="s">
        <v>3032</v>
      </c>
      <c r="H501" s="492" t="s">
        <v>4398</v>
      </c>
      <c r="I501" s="545">
        <v>45727</v>
      </c>
      <c r="J501" s="562">
        <v>45747</v>
      </c>
      <c r="K501" s="492" t="s">
        <v>18</v>
      </c>
      <c r="L501" s="523" t="s">
        <v>3457</v>
      </c>
      <c r="M501" s="556" t="s">
        <v>309</v>
      </c>
      <c r="N501" s="484"/>
      <c r="O501" s="484">
        <v>10241.45</v>
      </c>
      <c r="P501" s="499"/>
      <c r="Q501" s="545">
        <v>45730</v>
      </c>
      <c r="R501" s="545">
        <v>45742</v>
      </c>
      <c r="S501" s="545" t="s">
        <v>309</v>
      </c>
      <c r="T501" s="545">
        <v>45743</v>
      </c>
      <c r="U501" s="562">
        <v>45751</v>
      </c>
      <c r="V501" s="492" t="s">
        <v>20</v>
      </c>
      <c r="W501" s="545">
        <f t="shared" si="21"/>
        <v>45768</v>
      </c>
      <c r="X501" s="588"/>
      <c r="Y501" s="523"/>
      <c r="Z501" s="588"/>
      <c r="AA501" s="588"/>
    </row>
    <row r="502" s="475" customFormat="1" customHeight="1" spans="1:27">
      <c r="A502" s="492" t="s">
        <v>400</v>
      </c>
      <c r="B502" s="492" t="s">
        <v>4300</v>
      </c>
      <c r="C502" s="492" t="s">
        <v>4405</v>
      </c>
      <c r="D502" s="492" t="s">
        <v>4406</v>
      </c>
      <c r="E502" s="491"/>
      <c r="F502" s="556" t="s">
        <v>4018</v>
      </c>
      <c r="G502" s="492" t="s">
        <v>3032</v>
      </c>
      <c r="H502" s="492" t="s">
        <v>4398</v>
      </c>
      <c r="I502" s="545">
        <v>45727</v>
      </c>
      <c r="J502" s="562">
        <v>45747</v>
      </c>
      <c r="K502" s="492" t="s">
        <v>18</v>
      </c>
      <c r="L502" s="523" t="s">
        <v>4407</v>
      </c>
      <c r="M502" s="556" t="s">
        <v>309</v>
      </c>
      <c r="N502" s="484"/>
      <c r="O502" s="484">
        <v>9131.6</v>
      </c>
      <c r="P502" s="499">
        <v>500</v>
      </c>
      <c r="Q502" s="545">
        <v>45731</v>
      </c>
      <c r="R502" s="545">
        <v>45742</v>
      </c>
      <c r="S502" s="545" t="s">
        <v>309</v>
      </c>
      <c r="T502" s="545">
        <v>45742</v>
      </c>
      <c r="U502" s="545">
        <v>45754</v>
      </c>
      <c r="V502" s="556" t="s">
        <v>20</v>
      </c>
      <c r="W502" s="545">
        <f t="shared" si="21"/>
        <v>45768</v>
      </c>
      <c r="X502" s="588"/>
      <c r="Y502" s="523"/>
      <c r="Z502" s="588"/>
      <c r="AA502" s="588"/>
    </row>
    <row r="503" s="476" customFormat="1" spans="1:27">
      <c r="A503" s="492" t="s">
        <v>400</v>
      </c>
      <c r="B503" s="492" t="s">
        <v>4300</v>
      </c>
      <c r="C503" s="492" t="s">
        <v>4408</v>
      </c>
      <c r="D503" s="492" t="s">
        <v>4409</v>
      </c>
      <c r="E503" s="491"/>
      <c r="F503" s="556" t="s">
        <v>4018</v>
      </c>
      <c r="G503" s="492" t="s">
        <v>3032</v>
      </c>
      <c r="H503" s="492" t="s">
        <v>4398</v>
      </c>
      <c r="I503" s="545">
        <v>45727</v>
      </c>
      <c r="J503" s="562">
        <v>45747</v>
      </c>
      <c r="K503" s="492" t="s">
        <v>18</v>
      </c>
      <c r="L503" s="523" t="s">
        <v>4407</v>
      </c>
      <c r="M503" s="556" t="s">
        <v>309</v>
      </c>
      <c r="N503" s="484"/>
      <c r="O503" s="484">
        <v>12780.23</v>
      </c>
      <c r="P503" s="499">
        <v>500</v>
      </c>
      <c r="Q503" s="545">
        <v>45733</v>
      </c>
      <c r="R503" s="545">
        <v>45742</v>
      </c>
      <c r="S503" s="545" t="s">
        <v>309</v>
      </c>
      <c r="T503" s="545">
        <v>45742</v>
      </c>
      <c r="U503" s="545">
        <v>45754</v>
      </c>
      <c r="V503" s="492" t="s">
        <v>20</v>
      </c>
      <c r="W503" s="545">
        <f t="shared" si="21"/>
        <v>45768</v>
      </c>
      <c r="X503" s="588"/>
      <c r="Y503" s="523"/>
      <c r="Z503" s="588"/>
      <c r="AA503" s="588"/>
    </row>
    <row r="504" s="476" customFormat="1" customHeight="1" spans="1:27">
      <c r="A504" s="492" t="s">
        <v>400</v>
      </c>
      <c r="B504" s="492" t="s">
        <v>4300</v>
      </c>
      <c r="C504" s="492" t="s">
        <v>4410</v>
      </c>
      <c r="D504" s="492" t="s">
        <v>4411</v>
      </c>
      <c r="E504" s="491"/>
      <c r="F504" s="556" t="s">
        <v>4018</v>
      </c>
      <c r="G504" s="492" t="s">
        <v>3032</v>
      </c>
      <c r="H504" s="492" t="s">
        <v>4398</v>
      </c>
      <c r="I504" s="545">
        <v>45727</v>
      </c>
      <c r="J504" s="562">
        <v>45747</v>
      </c>
      <c r="K504" s="492" t="s">
        <v>18</v>
      </c>
      <c r="L504" s="523" t="s">
        <v>4407</v>
      </c>
      <c r="M504" s="556" t="s">
        <v>309</v>
      </c>
      <c r="N504" s="484"/>
      <c r="O504" s="484"/>
      <c r="P504" s="499">
        <v>500</v>
      </c>
      <c r="Q504" s="545">
        <v>45733</v>
      </c>
      <c r="R504" s="545">
        <v>45742</v>
      </c>
      <c r="S504" s="545" t="s">
        <v>309</v>
      </c>
      <c r="T504" s="545">
        <v>45743</v>
      </c>
      <c r="U504" s="545">
        <v>45754</v>
      </c>
      <c r="V504" s="492" t="s">
        <v>20</v>
      </c>
      <c r="W504" s="545">
        <f t="shared" si="21"/>
        <v>45768</v>
      </c>
      <c r="X504" s="588"/>
      <c r="Y504" s="523"/>
      <c r="Z504" s="588"/>
      <c r="AA504" s="588"/>
    </row>
    <row r="505" s="476" customFormat="1" spans="1:27">
      <c r="A505" s="492" t="s">
        <v>4363</v>
      </c>
      <c r="B505" s="492" t="s">
        <v>4329</v>
      </c>
      <c r="C505" s="492" t="s">
        <v>4412</v>
      </c>
      <c r="D505" s="492" t="s">
        <v>4413</v>
      </c>
      <c r="E505" s="491">
        <v>900</v>
      </c>
      <c r="F505" s="556" t="s">
        <v>4018</v>
      </c>
      <c r="G505" s="492" t="s">
        <v>3032</v>
      </c>
      <c r="H505" s="492" t="s">
        <v>4398</v>
      </c>
      <c r="I505" s="545">
        <v>45727</v>
      </c>
      <c r="J505" s="562">
        <v>45747</v>
      </c>
      <c r="K505" s="492" t="s">
        <v>18</v>
      </c>
      <c r="L505" s="523" t="s">
        <v>4407</v>
      </c>
      <c r="M505" s="556" t="s">
        <v>309</v>
      </c>
      <c r="N505" s="484">
        <v>1536.56</v>
      </c>
      <c r="O505" s="484">
        <v>13960.91</v>
      </c>
      <c r="P505" s="499">
        <v>500</v>
      </c>
      <c r="Q505" s="545">
        <v>45734</v>
      </c>
      <c r="R505" s="545">
        <v>45742</v>
      </c>
      <c r="S505" s="545" t="s">
        <v>309</v>
      </c>
      <c r="T505" s="545">
        <v>45743</v>
      </c>
      <c r="U505" s="545">
        <v>45754</v>
      </c>
      <c r="V505" s="492" t="s">
        <v>20</v>
      </c>
      <c r="W505" s="545">
        <f t="shared" si="21"/>
        <v>45768</v>
      </c>
      <c r="X505" s="588"/>
      <c r="Y505" s="523"/>
      <c r="Z505" s="588"/>
      <c r="AA505" s="588"/>
    </row>
    <row r="506" s="476" customFormat="1" spans="1:27">
      <c r="A506" s="492" t="s">
        <v>2038</v>
      </c>
      <c r="B506" s="492" t="s">
        <v>4329</v>
      </c>
      <c r="C506" s="492" t="s">
        <v>4414</v>
      </c>
      <c r="D506" s="492" t="s">
        <v>4415</v>
      </c>
      <c r="E506" s="491">
        <v>900</v>
      </c>
      <c r="F506" s="556" t="s">
        <v>4018</v>
      </c>
      <c r="G506" s="492" t="s">
        <v>3032</v>
      </c>
      <c r="H506" s="492" t="s">
        <v>4398</v>
      </c>
      <c r="I506" s="545">
        <v>45727</v>
      </c>
      <c r="J506" s="562">
        <v>45747</v>
      </c>
      <c r="K506" s="492" t="s">
        <v>18</v>
      </c>
      <c r="L506" s="523" t="s">
        <v>4407</v>
      </c>
      <c r="M506" s="556" t="s">
        <v>309</v>
      </c>
      <c r="N506" s="484">
        <v>1536.56</v>
      </c>
      <c r="O506" s="484">
        <v>10563.03</v>
      </c>
      <c r="P506" s="499">
        <v>500</v>
      </c>
      <c r="Q506" s="545">
        <v>45735</v>
      </c>
      <c r="R506" s="545">
        <v>45742</v>
      </c>
      <c r="S506" s="545" t="s">
        <v>309</v>
      </c>
      <c r="T506" s="545">
        <v>45743</v>
      </c>
      <c r="U506" s="545">
        <v>45754</v>
      </c>
      <c r="V506" s="492" t="s">
        <v>20</v>
      </c>
      <c r="W506" s="545">
        <f t="shared" si="21"/>
        <v>45768</v>
      </c>
      <c r="X506" s="588"/>
      <c r="Y506" s="523"/>
      <c r="Z506" s="588"/>
      <c r="AA506" s="588"/>
    </row>
    <row r="507" s="476" customFormat="1" spans="1:27">
      <c r="A507" s="489" t="s">
        <v>400</v>
      </c>
      <c r="B507" s="492" t="s">
        <v>4300</v>
      </c>
      <c r="C507" s="489" t="s">
        <v>4416</v>
      </c>
      <c r="D507" s="494" t="s">
        <v>4417</v>
      </c>
      <c r="E507" s="488"/>
      <c r="F507" s="554" t="s">
        <v>4018</v>
      </c>
      <c r="G507" s="494" t="s">
        <v>3032</v>
      </c>
      <c r="H507" s="489" t="s">
        <v>4398</v>
      </c>
      <c r="I507" s="195">
        <v>45727</v>
      </c>
      <c r="J507" s="562">
        <v>45747</v>
      </c>
      <c r="K507" s="489" t="s">
        <v>18</v>
      </c>
      <c r="L507" s="523" t="s">
        <v>3457</v>
      </c>
      <c r="M507" s="556" t="s">
        <v>309</v>
      </c>
      <c r="N507" s="484"/>
      <c r="O507" s="484">
        <v>16718.47</v>
      </c>
      <c r="P507" s="499"/>
      <c r="Q507" s="545">
        <v>45730</v>
      </c>
      <c r="R507" s="545">
        <v>45742</v>
      </c>
      <c r="S507" s="195" t="s">
        <v>309</v>
      </c>
      <c r="T507" s="195">
        <v>45744</v>
      </c>
      <c r="U507" s="562">
        <v>45754</v>
      </c>
      <c r="V507" s="492" t="s">
        <v>20</v>
      </c>
      <c r="W507" s="195">
        <f t="shared" si="21"/>
        <v>45768</v>
      </c>
      <c r="X507" s="588" t="s">
        <v>4418</v>
      </c>
      <c r="Y507" s="523"/>
      <c r="Z507" s="588"/>
      <c r="AA507" s="588"/>
    </row>
    <row r="508" s="476" customFormat="1" spans="1:27">
      <c r="A508" s="492" t="s">
        <v>547</v>
      </c>
      <c r="B508" s="492" t="s">
        <v>4300</v>
      </c>
      <c r="C508" s="492" t="s">
        <v>4419</v>
      </c>
      <c r="D508" s="492" t="s">
        <v>4420</v>
      </c>
      <c r="E508" s="491"/>
      <c r="F508" s="492" t="s">
        <v>3979</v>
      </c>
      <c r="G508" s="487" t="s">
        <v>3067</v>
      </c>
      <c r="H508" s="492" t="s">
        <v>4421</v>
      </c>
      <c r="I508" s="545">
        <v>45730</v>
      </c>
      <c r="J508" s="545">
        <v>45748</v>
      </c>
      <c r="K508" s="492" t="s">
        <v>39</v>
      </c>
      <c r="L508" s="523" t="s">
        <v>3437</v>
      </c>
      <c r="M508" s="556" t="s">
        <v>309</v>
      </c>
      <c r="N508" s="484"/>
      <c r="O508" s="484">
        <v>9976.01</v>
      </c>
      <c r="P508" s="499"/>
      <c r="Q508" s="545">
        <v>45737</v>
      </c>
      <c r="R508" s="545">
        <v>45742</v>
      </c>
      <c r="S508" s="545" t="s">
        <v>309</v>
      </c>
      <c r="T508" s="545">
        <v>45744</v>
      </c>
      <c r="U508" s="562">
        <v>45751</v>
      </c>
      <c r="V508" s="556" t="s">
        <v>20</v>
      </c>
      <c r="W508" s="545">
        <f t="shared" si="21"/>
        <v>45769</v>
      </c>
      <c r="X508" s="588"/>
      <c r="Y508" s="523"/>
      <c r="Z508" s="588"/>
      <c r="AA508" s="588"/>
    </row>
    <row r="509" s="476" customFormat="1" spans="1:27">
      <c r="A509" s="492" t="s">
        <v>2112</v>
      </c>
      <c r="B509" s="492" t="s">
        <v>4300</v>
      </c>
      <c r="C509" s="492" t="s">
        <v>4422</v>
      </c>
      <c r="D509" s="492" t="s">
        <v>4423</v>
      </c>
      <c r="E509" s="491"/>
      <c r="F509" s="492" t="s">
        <v>3979</v>
      </c>
      <c r="G509" s="487" t="s">
        <v>3067</v>
      </c>
      <c r="H509" s="492" t="s">
        <v>4424</v>
      </c>
      <c r="I509" s="545">
        <v>45730</v>
      </c>
      <c r="J509" s="545">
        <v>45748</v>
      </c>
      <c r="K509" s="492" t="s">
        <v>39</v>
      </c>
      <c r="L509" s="523" t="s">
        <v>3437</v>
      </c>
      <c r="M509" s="556" t="s">
        <v>309</v>
      </c>
      <c r="N509" s="484"/>
      <c r="O509" s="484">
        <v>12783.38</v>
      </c>
      <c r="P509" s="499"/>
      <c r="Q509" s="545">
        <v>45740</v>
      </c>
      <c r="R509" s="545">
        <v>45742</v>
      </c>
      <c r="S509" s="545" t="s">
        <v>309</v>
      </c>
      <c r="T509" s="545">
        <v>45744</v>
      </c>
      <c r="U509" s="562">
        <v>45751</v>
      </c>
      <c r="V509" s="556" t="s">
        <v>20</v>
      </c>
      <c r="W509" s="545">
        <f t="shared" si="21"/>
        <v>45769</v>
      </c>
      <c r="X509" s="588"/>
      <c r="Y509" s="523"/>
      <c r="Z509" s="588"/>
      <c r="AA509" s="588"/>
    </row>
    <row r="510" s="475" customFormat="1" customHeight="1" spans="1:27">
      <c r="A510" s="492" t="s">
        <v>4352</v>
      </c>
      <c r="B510" s="492" t="s">
        <v>4300</v>
      </c>
      <c r="C510" s="492" t="s">
        <v>4425</v>
      </c>
      <c r="D510" s="492" t="s">
        <v>4426</v>
      </c>
      <c r="E510" s="491"/>
      <c r="F510" s="492" t="s">
        <v>3979</v>
      </c>
      <c r="G510" s="487" t="s">
        <v>3067</v>
      </c>
      <c r="H510" s="492" t="s">
        <v>4421</v>
      </c>
      <c r="I510" s="545">
        <v>45730</v>
      </c>
      <c r="J510" s="545">
        <v>45748</v>
      </c>
      <c r="K510" s="492" t="s">
        <v>39</v>
      </c>
      <c r="L510" s="523" t="s">
        <v>3994</v>
      </c>
      <c r="M510" s="556" t="s">
        <v>546</v>
      </c>
      <c r="N510" s="484"/>
      <c r="O510" s="484">
        <v>10805.9</v>
      </c>
      <c r="P510" s="499"/>
      <c r="Q510" s="545">
        <v>45737</v>
      </c>
      <c r="R510" s="545">
        <v>45742</v>
      </c>
      <c r="S510" s="545" t="s">
        <v>309</v>
      </c>
      <c r="T510" s="545">
        <v>45744</v>
      </c>
      <c r="U510" s="562">
        <v>45751</v>
      </c>
      <c r="V510" s="492" t="s">
        <v>20</v>
      </c>
      <c r="W510" s="545">
        <f t="shared" si="21"/>
        <v>45769</v>
      </c>
      <c r="X510" s="588"/>
      <c r="Y510" s="523"/>
      <c r="Z510" s="588"/>
      <c r="AA510" s="588"/>
    </row>
    <row r="511" s="475" customFormat="1" spans="1:27">
      <c r="A511" s="492" t="s">
        <v>559</v>
      </c>
      <c r="B511" s="492" t="s">
        <v>4300</v>
      </c>
      <c r="C511" s="492" t="s">
        <v>4427</v>
      </c>
      <c r="D511" s="492" t="s">
        <v>4428</v>
      </c>
      <c r="E511" s="491"/>
      <c r="F511" s="492" t="s">
        <v>3979</v>
      </c>
      <c r="G511" s="492" t="s">
        <v>4235</v>
      </c>
      <c r="H511" s="492" t="s">
        <v>4429</v>
      </c>
      <c r="I511" s="545">
        <v>45734</v>
      </c>
      <c r="J511" s="545">
        <v>45753</v>
      </c>
      <c r="K511" s="492" t="s">
        <v>161</v>
      </c>
      <c r="L511" s="523" t="s">
        <v>4430</v>
      </c>
      <c r="M511" s="492" t="s">
        <v>309</v>
      </c>
      <c r="N511" s="484"/>
      <c r="O511" s="484">
        <v>9012.16</v>
      </c>
      <c r="P511" s="499"/>
      <c r="Q511" s="562">
        <v>45744</v>
      </c>
      <c r="R511" s="545">
        <v>45747</v>
      </c>
      <c r="S511" s="492" t="s">
        <v>309</v>
      </c>
      <c r="T511" s="545">
        <v>45749</v>
      </c>
      <c r="U511" s="545">
        <v>45757</v>
      </c>
      <c r="V511" s="492" t="s">
        <v>20</v>
      </c>
      <c r="W511" s="545">
        <f>J511+18</f>
        <v>45771</v>
      </c>
      <c r="X511" s="588" t="s">
        <v>4431</v>
      </c>
      <c r="Y511" s="523"/>
      <c r="Z511" s="588"/>
      <c r="AA511" s="588"/>
    </row>
    <row r="512" s="475" customFormat="1" spans="1:27">
      <c r="A512" s="489" t="s">
        <v>376</v>
      </c>
      <c r="B512" s="492" t="s">
        <v>4300</v>
      </c>
      <c r="C512" s="494" t="s">
        <v>4432</v>
      </c>
      <c r="D512" s="494" t="s">
        <v>4433</v>
      </c>
      <c r="E512" s="488" t="s">
        <v>309</v>
      </c>
      <c r="F512" s="489" t="s">
        <v>309</v>
      </c>
      <c r="G512" s="489" t="s">
        <v>3075</v>
      </c>
      <c r="H512" s="494" t="s">
        <v>4434</v>
      </c>
      <c r="I512" s="195">
        <v>45717</v>
      </c>
      <c r="J512" s="234">
        <v>45755</v>
      </c>
      <c r="K512" s="489" t="s">
        <v>18</v>
      </c>
      <c r="L512" s="523" t="s">
        <v>309</v>
      </c>
      <c r="M512" s="492" t="s">
        <v>412</v>
      </c>
      <c r="N512" s="484"/>
      <c r="O512" s="484"/>
      <c r="P512" s="499"/>
      <c r="Q512" s="545">
        <v>45727</v>
      </c>
      <c r="R512" s="492" t="s">
        <v>309</v>
      </c>
      <c r="S512" s="489" t="s">
        <v>309</v>
      </c>
      <c r="T512" s="489" t="s">
        <v>309</v>
      </c>
      <c r="U512" s="489" t="s">
        <v>309</v>
      </c>
      <c r="V512" s="489" t="s">
        <v>309</v>
      </c>
      <c r="W512" s="195">
        <f t="shared" ref="W512:W517" si="22">J512+14</f>
        <v>45769</v>
      </c>
      <c r="X512" s="588"/>
      <c r="Y512" s="523"/>
      <c r="Z512" s="588"/>
      <c r="AA512" s="588"/>
    </row>
    <row r="513" s="475" customFormat="1" spans="1:27">
      <c r="A513" s="489" t="s">
        <v>376</v>
      </c>
      <c r="B513" s="492" t="s">
        <v>4300</v>
      </c>
      <c r="C513" s="489" t="s">
        <v>4432</v>
      </c>
      <c r="D513" s="494" t="s">
        <v>4435</v>
      </c>
      <c r="E513" s="488" t="s">
        <v>309</v>
      </c>
      <c r="F513" s="489" t="s">
        <v>309</v>
      </c>
      <c r="G513" s="489" t="s">
        <v>3075</v>
      </c>
      <c r="H513" s="494" t="s">
        <v>4434</v>
      </c>
      <c r="I513" s="195">
        <v>45717</v>
      </c>
      <c r="J513" s="562">
        <v>45755</v>
      </c>
      <c r="K513" s="489" t="s">
        <v>18</v>
      </c>
      <c r="L513" s="523" t="s">
        <v>309</v>
      </c>
      <c r="M513" s="492" t="s">
        <v>415</v>
      </c>
      <c r="N513" s="484"/>
      <c r="O513" s="484"/>
      <c r="P513" s="499"/>
      <c r="Q513" s="545">
        <v>45727</v>
      </c>
      <c r="R513" s="492" t="s">
        <v>309</v>
      </c>
      <c r="S513" s="489" t="s">
        <v>309</v>
      </c>
      <c r="T513" s="489" t="s">
        <v>309</v>
      </c>
      <c r="U513" s="489" t="s">
        <v>309</v>
      </c>
      <c r="V513" s="492" t="s">
        <v>309</v>
      </c>
      <c r="W513" s="195">
        <f t="shared" si="22"/>
        <v>45769</v>
      </c>
      <c r="X513" s="588"/>
      <c r="Y513" s="523"/>
      <c r="Z513" s="588"/>
      <c r="AA513" s="588"/>
    </row>
    <row r="514" s="475" customFormat="1" spans="1:27">
      <c r="A514" s="489" t="s">
        <v>376</v>
      </c>
      <c r="B514" s="492" t="s">
        <v>4300</v>
      </c>
      <c r="C514" s="489" t="s">
        <v>4432</v>
      </c>
      <c r="D514" s="494" t="s">
        <v>4436</v>
      </c>
      <c r="E514" s="488" t="s">
        <v>309</v>
      </c>
      <c r="F514" s="489" t="s">
        <v>309</v>
      </c>
      <c r="G514" s="489" t="s">
        <v>3075</v>
      </c>
      <c r="H514" s="494" t="s">
        <v>4434</v>
      </c>
      <c r="I514" s="195">
        <v>45717</v>
      </c>
      <c r="J514" s="562">
        <v>45755</v>
      </c>
      <c r="K514" s="489" t="s">
        <v>18</v>
      </c>
      <c r="L514" s="523" t="s">
        <v>309</v>
      </c>
      <c r="M514" s="492" t="s">
        <v>408</v>
      </c>
      <c r="N514" s="484"/>
      <c r="O514" s="484"/>
      <c r="P514" s="499"/>
      <c r="Q514" s="545">
        <v>45727</v>
      </c>
      <c r="R514" s="492" t="s">
        <v>309</v>
      </c>
      <c r="S514" s="489" t="s">
        <v>309</v>
      </c>
      <c r="T514" s="489" t="s">
        <v>309</v>
      </c>
      <c r="U514" s="489" t="s">
        <v>309</v>
      </c>
      <c r="V514" s="492" t="s">
        <v>309</v>
      </c>
      <c r="W514" s="195">
        <f t="shared" si="22"/>
        <v>45769</v>
      </c>
      <c r="X514" s="588"/>
      <c r="Y514" s="523"/>
      <c r="Z514" s="588"/>
      <c r="AA514" s="588"/>
    </row>
    <row r="515" s="473" customFormat="1" ht="15.75" customHeight="1" spans="1:27">
      <c r="A515" s="489" t="s">
        <v>376</v>
      </c>
      <c r="B515" s="492" t="s">
        <v>4300</v>
      </c>
      <c r="C515" s="489" t="s">
        <v>4432</v>
      </c>
      <c r="D515" s="494" t="s">
        <v>4437</v>
      </c>
      <c r="E515" s="488" t="s">
        <v>309</v>
      </c>
      <c r="F515" s="489" t="s">
        <v>309</v>
      </c>
      <c r="G515" s="489" t="s">
        <v>3075</v>
      </c>
      <c r="H515" s="494" t="s">
        <v>4434</v>
      </c>
      <c r="I515" s="195">
        <v>45717</v>
      </c>
      <c r="J515" s="562">
        <v>45755</v>
      </c>
      <c r="K515" s="489" t="s">
        <v>18</v>
      </c>
      <c r="L515" s="523" t="s">
        <v>309</v>
      </c>
      <c r="M515" s="492" t="s">
        <v>419</v>
      </c>
      <c r="N515" s="484"/>
      <c r="O515" s="484"/>
      <c r="P515" s="499"/>
      <c r="Q515" s="545">
        <v>45727</v>
      </c>
      <c r="R515" s="492" t="s">
        <v>309</v>
      </c>
      <c r="S515" s="489" t="s">
        <v>309</v>
      </c>
      <c r="T515" s="489" t="s">
        <v>309</v>
      </c>
      <c r="U515" s="489" t="s">
        <v>309</v>
      </c>
      <c r="V515" s="492" t="s">
        <v>309</v>
      </c>
      <c r="W515" s="195">
        <f t="shared" si="22"/>
        <v>45769</v>
      </c>
      <c r="X515" s="588"/>
      <c r="Y515" s="523"/>
      <c r="Z515" s="588"/>
      <c r="AA515" s="588"/>
    </row>
    <row r="516" s="478" customFormat="1" ht="15.75" customHeight="1" spans="1:27">
      <c r="A516" s="489" t="s">
        <v>2038</v>
      </c>
      <c r="B516" s="492" t="s">
        <v>4329</v>
      </c>
      <c r="C516" s="494" t="s">
        <v>4438</v>
      </c>
      <c r="D516" s="554" t="s">
        <v>4439</v>
      </c>
      <c r="E516" s="557"/>
      <c r="F516" s="554" t="s">
        <v>4018</v>
      </c>
      <c r="G516" s="489" t="s">
        <v>4440</v>
      </c>
      <c r="H516" s="494" t="s">
        <v>4441</v>
      </c>
      <c r="I516" s="545">
        <v>45736</v>
      </c>
      <c r="J516" s="545">
        <v>45756</v>
      </c>
      <c r="K516" s="489" t="s">
        <v>18</v>
      </c>
      <c r="L516" s="523" t="s">
        <v>4407</v>
      </c>
      <c r="M516" s="556" t="s">
        <v>309</v>
      </c>
      <c r="N516" s="484"/>
      <c r="O516" s="484">
        <v>10059.95</v>
      </c>
      <c r="P516" s="499">
        <v>500</v>
      </c>
      <c r="Q516" s="562">
        <v>45744</v>
      </c>
      <c r="R516" s="545">
        <v>45749</v>
      </c>
      <c r="S516" s="489" t="s">
        <v>309</v>
      </c>
      <c r="T516" s="545">
        <v>45751</v>
      </c>
      <c r="U516" s="195">
        <v>45761</v>
      </c>
      <c r="V516" s="489" t="s">
        <v>20</v>
      </c>
      <c r="W516" s="195">
        <f t="shared" si="22"/>
        <v>45770</v>
      </c>
      <c r="X516" s="588"/>
      <c r="Y516" s="523"/>
      <c r="Z516" s="588"/>
      <c r="AA516" s="588"/>
    </row>
    <row r="517" s="476" customFormat="1" customHeight="1" spans="1:27">
      <c r="A517" s="489" t="s">
        <v>2038</v>
      </c>
      <c r="B517" s="492" t="s">
        <v>4329</v>
      </c>
      <c r="C517" s="494" t="s">
        <v>4442</v>
      </c>
      <c r="D517" s="494" t="s">
        <v>4443</v>
      </c>
      <c r="E517" s="557"/>
      <c r="F517" s="556" t="s">
        <v>4018</v>
      </c>
      <c r="G517" s="489" t="s">
        <v>4440</v>
      </c>
      <c r="H517" s="494" t="s">
        <v>4441</v>
      </c>
      <c r="I517" s="545">
        <v>45736</v>
      </c>
      <c r="J517" s="545">
        <v>45756</v>
      </c>
      <c r="K517" s="489" t="s">
        <v>18</v>
      </c>
      <c r="L517" s="523" t="s">
        <v>4407</v>
      </c>
      <c r="M517" s="556" t="s">
        <v>309</v>
      </c>
      <c r="N517" s="484"/>
      <c r="O517" s="484">
        <v>10059.95</v>
      </c>
      <c r="P517" s="499">
        <v>500</v>
      </c>
      <c r="Q517" s="562">
        <v>45744</v>
      </c>
      <c r="R517" s="545">
        <v>45749</v>
      </c>
      <c r="S517" s="489" t="s">
        <v>309</v>
      </c>
      <c r="T517" s="195">
        <v>45751</v>
      </c>
      <c r="U517" s="545">
        <v>45761</v>
      </c>
      <c r="V517" s="489" t="s">
        <v>20</v>
      </c>
      <c r="W517" s="195">
        <f t="shared" si="22"/>
        <v>45770</v>
      </c>
      <c r="X517" s="588"/>
      <c r="Y517" s="523"/>
      <c r="Z517" s="588"/>
      <c r="AA517" s="588"/>
    </row>
    <row r="518" s="478" customFormat="1" ht="15.75" customHeight="1" spans="1:27">
      <c r="A518" s="492" t="s">
        <v>579</v>
      </c>
      <c r="B518" s="492" t="s">
        <v>4300</v>
      </c>
      <c r="C518" s="492" t="s">
        <v>4444</v>
      </c>
      <c r="D518" s="492" t="s">
        <v>4445</v>
      </c>
      <c r="E518" s="491"/>
      <c r="F518" s="492" t="s">
        <v>3979</v>
      </c>
      <c r="G518" s="492" t="s">
        <v>4235</v>
      </c>
      <c r="H518" s="492" t="s">
        <v>4429</v>
      </c>
      <c r="I518" s="545">
        <v>45733</v>
      </c>
      <c r="J518" s="545">
        <v>45757</v>
      </c>
      <c r="K518" s="492" t="s">
        <v>18</v>
      </c>
      <c r="L518" s="523" t="s">
        <v>4407</v>
      </c>
      <c r="M518" s="492" t="s">
        <v>309</v>
      </c>
      <c r="N518" s="484"/>
      <c r="O518" s="484">
        <v>12039.06</v>
      </c>
      <c r="P518" s="499">
        <v>500</v>
      </c>
      <c r="Q518" s="545">
        <v>45744</v>
      </c>
      <c r="R518" s="545">
        <v>45754</v>
      </c>
      <c r="S518" s="492"/>
      <c r="T518" s="562">
        <v>45761</v>
      </c>
      <c r="U518" s="545">
        <v>45763</v>
      </c>
      <c r="V518" s="492" t="s">
        <v>20</v>
      </c>
      <c r="W518" s="545">
        <f t="shared" ref="W518:W527" si="23">J518+18</f>
        <v>45775</v>
      </c>
      <c r="X518" s="588"/>
      <c r="Y518" s="523"/>
      <c r="Z518" s="588"/>
      <c r="AA518" s="588"/>
    </row>
    <row r="519" s="478" customFormat="1" ht="15.75" customHeight="1" spans="1:27">
      <c r="A519" s="489" t="s">
        <v>579</v>
      </c>
      <c r="B519" s="492" t="s">
        <v>4300</v>
      </c>
      <c r="C519" s="494" t="s">
        <v>4446</v>
      </c>
      <c r="D519" s="494" t="s">
        <v>4447</v>
      </c>
      <c r="E519" s="488"/>
      <c r="F519" s="489" t="s">
        <v>3979</v>
      </c>
      <c r="G519" s="489" t="s">
        <v>4235</v>
      </c>
      <c r="H519" s="494" t="s">
        <v>4429</v>
      </c>
      <c r="I519" s="195">
        <v>45734</v>
      </c>
      <c r="J519" s="545">
        <v>45757</v>
      </c>
      <c r="K519" s="489" t="s">
        <v>18</v>
      </c>
      <c r="L519" s="523" t="s">
        <v>4407</v>
      </c>
      <c r="M519" s="556" t="s">
        <v>309</v>
      </c>
      <c r="N519" s="484"/>
      <c r="O519" s="484">
        <v>12367.1</v>
      </c>
      <c r="P519" s="499">
        <v>500</v>
      </c>
      <c r="Q519" s="545">
        <v>45744</v>
      </c>
      <c r="R519" s="545">
        <v>45748</v>
      </c>
      <c r="S519" s="489" t="s">
        <v>309</v>
      </c>
      <c r="T519" s="195">
        <v>45754</v>
      </c>
      <c r="U519" s="545">
        <v>45764</v>
      </c>
      <c r="V519" s="492" t="s">
        <v>20</v>
      </c>
      <c r="W519" s="195">
        <f t="shared" si="23"/>
        <v>45775</v>
      </c>
      <c r="X519" s="588" t="s">
        <v>4448</v>
      </c>
      <c r="Y519" s="523"/>
      <c r="Z519" s="588"/>
      <c r="AA519" s="588"/>
    </row>
    <row r="520" s="475" customFormat="1" spans="1:27">
      <c r="A520" s="489" t="s">
        <v>394</v>
      </c>
      <c r="B520" s="492" t="s">
        <v>4300</v>
      </c>
      <c r="C520" s="494" t="s">
        <v>4449</v>
      </c>
      <c r="D520" s="494" t="s">
        <v>4450</v>
      </c>
      <c r="E520" s="488"/>
      <c r="F520" s="489" t="s">
        <v>3979</v>
      </c>
      <c r="G520" s="489" t="s">
        <v>4235</v>
      </c>
      <c r="H520" s="494" t="s">
        <v>4429</v>
      </c>
      <c r="I520" s="195">
        <v>45734</v>
      </c>
      <c r="J520" s="195">
        <v>45757</v>
      </c>
      <c r="K520" s="489" t="s">
        <v>18</v>
      </c>
      <c r="L520" s="523" t="s">
        <v>4407</v>
      </c>
      <c r="M520" s="492" t="s">
        <v>309</v>
      </c>
      <c r="N520" s="484"/>
      <c r="O520" s="484">
        <v>15017.19</v>
      </c>
      <c r="P520" s="499">
        <v>500</v>
      </c>
      <c r="Q520" s="545">
        <v>45749</v>
      </c>
      <c r="R520" s="545">
        <v>45754</v>
      </c>
      <c r="S520" s="489"/>
      <c r="T520" s="234">
        <v>45761</v>
      </c>
      <c r="U520" s="545">
        <v>45764</v>
      </c>
      <c r="V520" s="492" t="s">
        <v>20</v>
      </c>
      <c r="W520" s="195">
        <f t="shared" si="23"/>
        <v>45775</v>
      </c>
      <c r="X520" s="588" t="s">
        <v>4448</v>
      </c>
      <c r="Y520" s="523"/>
      <c r="Z520" s="588"/>
      <c r="AA520" s="588"/>
    </row>
    <row r="521" s="475" customFormat="1" spans="1:27">
      <c r="A521" s="489" t="s">
        <v>394</v>
      </c>
      <c r="B521" s="492" t="s">
        <v>4300</v>
      </c>
      <c r="C521" s="494" t="s">
        <v>4451</v>
      </c>
      <c r="D521" s="494" t="s">
        <v>4452</v>
      </c>
      <c r="E521" s="488"/>
      <c r="F521" s="489" t="s">
        <v>3979</v>
      </c>
      <c r="G521" s="489" t="s">
        <v>4235</v>
      </c>
      <c r="H521" s="494" t="s">
        <v>4429</v>
      </c>
      <c r="I521" s="195">
        <v>45734</v>
      </c>
      <c r="J521" s="195">
        <v>45757</v>
      </c>
      <c r="K521" s="489" t="s">
        <v>18</v>
      </c>
      <c r="L521" s="523" t="s">
        <v>4407</v>
      </c>
      <c r="M521" s="492" t="s">
        <v>309</v>
      </c>
      <c r="N521" s="484"/>
      <c r="O521" s="484">
        <v>15017.19</v>
      </c>
      <c r="P521" s="499">
        <v>500</v>
      </c>
      <c r="Q521" s="545">
        <v>45749</v>
      </c>
      <c r="R521" s="545">
        <v>45754</v>
      </c>
      <c r="S521" s="489"/>
      <c r="T521" s="234">
        <v>45761</v>
      </c>
      <c r="U521" s="545">
        <v>45764</v>
      </c>
      <c r="V521" s="492" t="s">
        <v>20</v>
      </c>
      <c r="W521" s="195">
        <f t="shared" si="23"/>
        <v>45775</v>
      </c>
      <c r="X521" s="588" t="s">
        <v>4448</v>
      </c>
      <c r="Y521" s="523"/>
      <c r="Z521" s="588"/>
      <c r="AA521" s="588"/>
    </row>
    <row r="522" s="476" customFormat="1" customHeight="1" spans="1:27">
      <c r="A522" s="489" t="s">
        <v>394</v>
      </c>
      <c r="B522" s="492" t="s">
        <v>4300</v>
      </c>
      <c r="C522" s="494" t="s">
        <v>4453</v>
      </c>
      <c r="D522" s="494" t="s">
        <v>4454</v>
      </c>
      <c r="E522" s="488"/>
      <c r="F522" s="489" t="s">
        <v>3979</v>
      </c>
      <c r="G522" s="489" t="s">
        <v>4235</v>
      </c>
      <c r="H522" s="494" t="s">
        <v>4429</v>
      </c>
      <c r="I522" s="195">
        <v>45734</v>
      </c>
      <c r="J522" s="195">
        <v>45757</v>
      </c>
      <c r="K522" s="489" t="s">
        <v>18</v>
      </c>
      <c r="L522" s="523" t="s">
        <v>4407</v>
      </c>
      <c r="M522" s="492" t="s">
        <v>309</v>
      </c>
      <c r="N522" s="484"/>
      <c r="O522" s="484">
        <v>15017.19</v>
      </c>
      <c r="P522" s="499">
        <v>500</v>
      </c>
      <c r="Q522" s="545">
        <v>45749</v>
      </c>
      <c r="R522" s="545">
        <v>45754</v>
      </c>
      <c r="S522" s="489"/>
      <c r="T522" s="234">
        <v>45761</v>
      </c>
      <c r="U522" s="545">
        <v>45764</v>
      </c>
      <c r="V522" s="492" t="s">
        <v>20</v>
      </c>
      <c r="W522" s="195">
        <f t="shared" si="23"/>
        <v>45775</v>
      </c>
      <c r="X522" s="588" t="s">
        <v>4448</v>
      </c>
      <c r="Y522" s="523"/>
      <c r="Z522" s="588"/>
      <c r="AA522" s="588"/>
    </row>
    <row r="523" s="475" customFormat="1" spans="1:27">
      <c r="A523" s="492" t="s">
        <v>579</v>
      </c>
      <c r="B523" s="492" t="s">
        <v>4300</v>
      </c>
      <c r="C523" s="494" t="s">
        <v>4455</v>
      </c>
      <c r="D523" s="492" t="s">
        <v>4456</v>
      </c>
      <c r="E523" s="557"/>
      <c r="F523" s="489" t="s">
        <v>3979</v>
      </c>
      <c r="G523" s="489" t="s">
        <v>4235</v>
      </c>
      <c r="H523" s="494" t="s">
        <v>4457</v>
      </c>
      <c r="I523" s="545">
        <v>45729</v>
      </c>
      <c r="J523" s="195">
        <v>45757</v>
      </c>
      <c r="K523" s="489" t="s">
        <v>18</v>
      </c>
      <c r="L523" s="523" t="s">
        <v>4407</v>
      </c>
      <c r="M523" s="492" t="s">
        <v>309</v>
      </c>
      <c r="N523" s="484"/>
      <c r="O523" s="484">
        <v>12437.14</v>
      </c>
      <c r="P523" s="499">
        <v>500</v>
      </c>
      <c r="Q523" s="545">
        <v>45743</v>
      </c>
      <c r="R523" s="545">
        <v>45754</v>
      </c>
      <c r="S523" s="489"/>
      <c r="T523" s="234">
        <v>45761</v>
      </c>
      <c r="U523" s="545">
        <v>45764</v>
      </c>
      <c r="V523" s="492" t="s">
        <v>20</v>
      </c>
      <c r="W523" s="195">
        <f t="shared" si="23"/>
        <v>45775</v>
      </c>
      <c r="X523" s="588" t="s">
        <v>4448</v>
      </c>
      <c r="Y523" s="523"/>
      <c r="Z523" s="588"/>
      <c r="AA523" s="588"/>
    </row>
    <row r="524" s="475" customFormat="1" customHeight="1" spans="1:27">
      <c r="A524" s="492" t="s">
        <v>464</v>
      </c>
      <c r="B524" s="492" t="s">
        <v>4300</v>
      </c>
      <c r="C524" s="492" t="s">
        <v>4458</v>
      </c>
      <c r="D524" s="492" t="s">
        <v>4459</v>
      </c>
      <c r="E524" s="491"/>
      <c r="F524" s="492" t="s">
        <v>3979</v>
      </c>
      <c r="G524" s="492" t="s">
        <v>4235</v>
      </c>
      <c r="H524" s="492" t="s">
        <v>4429</v>
      </c>
      <c r="I524" s="545">
        <v>45734</v>
      </c>
      <c r="J524" s="545">
        <v>45757</v>
      </c>
      <c r="K524" s="492" t="s">
        <v>18</v>
      </c>
      <c r="L524" s="523" t="s">
        <v>3457</v>
      </c>
      <c r="M524" s="492" t="s">
        <v>309</v>
      </c>
      <c r="N524" s="484"/>
      <c r="O524" s="484">
        <v>11094.49</v>
      </c>
      <c r="P524" s="499">
        <v>450</v>
      </c>
      <c r="Q524" s="545">
        <v>45749</v>
      </c>
      <c r="R524" s="545">
        <v>45754</v>
      </c>
      <c r="S524" s="492"/>
      <c r="T524" s="562">
        <v>45761</v>
      </c>
      <c r="U524" s="545">
        <v>45763</v>
      </c>
      <c r="V524" s="492" t="s">
        <v>20</v>
      </c>
      <c r="W524" s="545">
        <f t="shared" si="23"/>
        <v>45775</v>
      </c>
      <c r="X524" s="588"/>
      <c r="Y524" s="523"/>
      <c r="Z524" s="588"/>
      <c r="AA524" s="588"/>
    </row>
    <row r="525" s="475" customFormat="1" customHeight="1" spans="1:27">
      <c r="A525" s="489" t="s">
        <v>13</v>
      </c>
      <c r="B525" s="492" t="s">
        <v>4300</v>
      </c>
      <c r="C525" s="494" t="s">
        <v>4460</v>
      </c>
      <c r="D525" s="494" t="s">
        <v>4461</v>
      </c>
      <c r="E525" s="488"/>
      <c r="F525" s="489" t="s">
        <v>3979</v>
      </c>
      <c r="G525" s="489" t="s">
        <v>4235</v>
      </c>
      <c r="H525" s="494" t="s">
        <v>4429</v>
      </c>
      <c r="I525" s="195">
        <v>45735</v>
      </c>
      <c r="J525" s="195">
        <v>45757</v>
      </c>
      <c r="K525" s="489" t="s">
        <v>18</v>
      </c>
      <c r="L525" s="523" t="s">
        <v>4407</v>
      </c>
      <c r="M525" s="492" t="s">
        <v>309</v>
      </c>
      <c r="N525" s="484"/>
      <c r="O525" s="484">
        <v>10496.3</v>
      </c>
      <c r="P525" s="499">
        <v>500</v>
      </c>
      <c r="Q525" s="545">
        <v>45744</v>
      </c>
      <c r="R525" s="545">
        <v>45754</v>
      </c>
      <c r="S525" s="489"/>
      <c r="T525" s="234">
        <v>45761</v>
      </c>
      <c r="U525" s="545">
        <v>45763</v>
      </c>
      <c r="V525" s="492" t="s">
        <v>20</v>
      </c>
      <c r="W525" s="195">
        <f t="shared" si="23"/>
        <v>45775</v>
      </c>
      <c r="X525" s="588"/>
      <c r="Y525" s="523"/>
      <c r="Z525" s="588"/>
      <c r="AA525" s="588"/>
    </row>
    <row r="526" s="475" customFormat="1" customHeight="1" spans="1:27">
      <c r="A526" s="489" t="s">
        <v>394</v>
      </c>
      <c r="B526" s="492" t="s">
        <v>4300</v>
      </c>
      <c r="C526" s="494" t="s">
        <v>4462</v>
      </c>
      <c r="D526" s="494" t="s">
        <v>4463</v>
      </c>
      <c r="E526" s="488"/>
      <c r="F526" s="489" t="s">
        <v>3979</v>
      </c>
      <c r="G526" s="489" t="s">
        <v>4235</v>
      </c>
      <c r="H526" s="494" t="s">
        <v>4429</v>
      </c>
      <c r="I526" s="195">
        <v>45734</v>
      </c>
      <c r="J526" s="195">
        <v>45757</v>
      </c>
      <c r="K526" s="489" t="s">
        <v>18</v>
      </c>
      <c r="L526" s="523" t="s">
        <v>4407</v>
      </c>
      <c r="M526" s="492" t="s">
        <v>309</v>
      </c>
      <c r="N526" s="484"/>
      <c r="O526" s="484">
        <v>15017.19</v>
      </c>
      <c r="P526" s="499">
        <v>500</v>
      </c>
      <c r="Q526" s="545">
        <v>45749</v>
      </c>
      <c r="R526" s="545">
        <v>45756</v>
      </c>
      <c r="S526" s="489"/>
      <c r="T526" s="562">
        <v>45761</v>
      </c>
      <c r="U526" s="545">
        <v>45769</v>
      </c>
      <c r="V526" s="249" t="s">
        <v>20</v>
      </c>
      <c r="W526" s="195">
        <f t="shared" si="23"/>
        <v>45775</v>
      </c>
      <c r="X526" s="588" t="s">
        <v>4464</v>
      </c>
      <c r="Y526" s="523"/>
      <c r="Z526" s="588"/>
      <c r="AA526" s="588"/>
    </row>
    <row r="527" s="475" customFormat="1" customHeight="1" spans="1:27">
      <c r="A527" s="489" t="s">
        <v>394</v>
      </c>
      <c r="B527" s="492" t="s">
        <v>4300</v>
      </c>
      <c r="C527" s="494" t="s">
        <v>4465</v>
      </c>
      <c r="D527" s="494" t="s">
        <v>4466</v>
      </c>
      <c r="E527" s="488"/>
      <c r="F527" s="489" t="s">
        <v>3979</v>
      </c>
      <c r="G527" s="489" t="s">
        <v>4235</v>
      </c>
      <c r="H527" s="494" t="s">
        <v>4429</v>
      </c>
      <c r="I527" s="195">
        <v>45734</v>
      </c>
      <c r="J527" s="195">
        <v>45757</v>
      </c>
      <c r="K527" s="489" t="s">
        <v>18</v>
      </c>
      <c r="L527" s="523" t="s">
        <v>4407</v>
      </c>
      <c r="M527" s="492" t="s">
        <v>309</v>
      </c>
      <c r="N527" s="484"/>
      <c r="O527" s="484">
        <v>15017.19</v>
      </c>
      <c r="P527" s="499">
        <v>500</v>
      </c>
      <c r="Q527" s="545">
        <v>45749</v>
      </c>
      <c r="R527" s="545">
        <v>45754</v>
      </c>
      <c r="S527" s="489"/>
      <c r="T527" s="234">
        <v>45761</v>
      </c>
      <c r="U527" s="545">
        <v>45769</v>
      </c>
      <c r="V527" s="249" t="s">
        <v>20</v>
      </c>
      <c r="W527" s="195">
        <f t="shared" si="23"/>
        <v>45775</v>
      </c>
      <c r="X527" s="588" t="s">
        <v>4464</v>
      </c>
      <c r="Y527" s="523"/>
      <c r="Z527" s="588"/>
      <c r="AA527" s="588"/>
    </row>
    <row r="528" s="473" customFormat="1" customHeight="1" spans="1:27">
      <c r="A528" s="489" t="s">
        <v>579</v>
      </c>
      <c r="B528" s="492" t="s">
        <v>4300</v>
      </c>
      <c r="C528" s="494" t="s">
        <v>4467</v>
      </c>
      <c r="D528" s="554" t="s">
        <v>4468</v>
      </c>
      <c r="E528" s="488"/>
      <c r="F528" s="489" t="s">
        <v>3979</v>
      </c>
      <c r="G528" s="489" t="s">
        <v>4235</v>
      </c>
      <c r="H528" s="494" t="s">
        <v>4429</v>
      </c>
      <c r="I528" s="195">
        <v>45734</v>
      </c>
      <c r="J528" s="195">
        <v>45757</v>
      </c>
      <c r="K528" s="489" t="s">
        <v>18</v>
      </c>
      <c r="L528" s="559" t="s">
        <v>4469</v>
      </c>
      <c r="M528" s="492" t="s">
        <v>4470</v>
      </c>
      <c r="N528" s="484"/>
      <c r="O528" s="484">
        <v>12028.17</v>
      </c>
      <c r="P528" s="484"/>
      <c r="Q528" s="545">
        <v>45749</v>
      </c>
      <c r="R528" s="545">
        <v>45754</v>
      </c>
      <c r="S528" s="489"/>
      <c r="T528" s="234">
        <v>45761</v>
      </c>
      <c r="U528" s="562">
        <v>45769</v>
      </c>
      <c r="V528" s="492" t="s">
        <v>20</v>
      </c>
      <c r="W528" s="234">
        <f>J528+14</f>
        <v>45771</v>
      </c>
      <c r="X528" s="588" t="s">
        <v>4471</v>
      </c>
      <c r="Y528" s="523"/>
      <c r="Z528" s="588"/>
      <c r="AA528" s="588"/>
    </row>
    <row r="529" s="476" customFormat="1" customHeight="1" spans="1:27">
      <c r="A529" s="489" t="s">
        <v>456</v>
      </c>
      <c r="B529" s="492" t="s">
        <v>4300</v>
      </c>
      <c r="C529" s="494" t="s">
        <v>4472</v>
      </c>
      <c r="D529" s="494" t="s">
        <v>4473</v>
      </c>
      <c r="E529" s="488"/>
      <c r="F529" s="489" t="s">
        <v>3979</v>
      </c>
      <c r="G529" s="489" t="s">
        <v>3079</v>
      </c>
      <c r="H529" s="489" t="s">
        <v>4349</v>
      </c>
      <c r="I529" s="195">
        <v>45720</v>
      </c>
      <c r="J529" s="195">
        <v>45760</v>
      </c>
      <c r="K529" s="489" t="s">
        <v>215</v>
      </c>
      <c r="L529" s="523" t="s">
        <v>3086</v>
      </c>
      <c r="M529" s="492" t="s">
        <v>572</v>
      </c>
      <c r="N529" s="484"/>
      <c r="O529" s="484">
        <v>9671.39</v>
      </c>
      <c r="P529" s="499"/>
      <c r="Q529" s="545">
        <v>45735</v>
      </c>
      <c r="R529" s="545">
        <v>45744</v>
      </c>
      <c r="S529" s="489"/>
      <c r="T529" s="234">
        <v>45757</v>
      </c>
      <c r="U529" s="195">
        <v>45763</v>
      </c>
      <c r="V529" s="492" t="s">
        <v>20</v>
      </c>
      <c r="W529" s="195">
        <f>J529+14</f>
        <v>45774</v>
      </c>
      <c r="X529" s="588"/>
      <c r="Y529" s="523"/>
      <c r="Z529" s="588"/>
      <c r="AA529" s="588"/>
    </row>
    <row r="530" s="478" customFormat="1" ht="15.75" customHeight="1" spans="1:27">
      <c r="A530" s="494" t="s">
        <v>376</v>
      </c>
      <c r="B530" s="492" t="s">
        <v>4300</v>
      </c>
      <c r="C530" s="494" t="s">
        <v>4474</v>
      </c>
      <c r="D530" s="494" t="s">
        <v>4475</v>
      </c>
      <c r="E530" s="488"/>
      <c r="F530" s="489" t="s">
        <v>3979</v>
      </c>
      <c r="G530" s="492" t="s">
        <v>3067</v>
      </c>
      <c r="H530" s="494" t="s">
        <v>4476</v>
      </c>
      <c r="I530" s="593">
        <v>45745</v>
      </c>
      <c r="J530" s="593">
        <v>45760</v>
      </c>
      <c r="K530" s="492" t="s">
        <v>18</v>
      </c>
      <c r="L530" s="596" t="s">
        <v>4407</v>
      </c>
      <c r="M530" s="492" t="s">
        <v>309</v>
      </c>
      <c r="N530" s="484"/>
      <c r="O530" s="484">
        <v>5523.71</v>
      </c>
      <c r="P530" s="499">
        <v>500</v>
      </c>
      <c r="Q530" s="545">
        <v>45754</v>
      </c>
      <c r="R530" s="545">
        <v>45755</v>
      </c>
      <c r="S530" s="489"/>
      <c r="T530" s="234">
        <v>45758</v>
      </c>
      <c r="U530" s="545">
        <v>45769</v>
      </c>
      <c r="V530" s="599" t="s">
        <v>20</v>
      </c>
      <c r="W530" s="195">
        <f>J530+21</f>
        <v>45781</v>
      </c>
      <c r="X530" s="588" t="s">
        <v>4464</v>
      </c>
      <c r="Y530" s="523"/>
      <c r="Z530" s="588"/>
      <c r="AA530" s="588"/>
    </row>
    <row r="531" s="478" customFormat="1" ht="15.75" customHeight="1" spans="1:27">
      <c r="A531" s="492" t="s">
        <v>394</v>
      </c>
      <c r="B531" s="492" t="s">
        <v>4300</v>
      </c>
      <c r="C531" s="492" t="s">
        <v>4477</v>
      </c>
      <c r="D531" s="494" t="s">
        <v>4478</v>
      </c>
      <c r="E531" s="488"/>
      <c r="F531" s="489" t="s">
        <v>3979</v>
      </c>
      <c r="G531" s="492" t="s">
        <v>3067</v>
      </c>
      <c r="H531" s="492" t="s">
        <v>4476</v>
      </c>
      <c r="I531" s="545">
        <v>45745</v>
      </c>
      <c r="J531" s="593">
        <v>45760</v>
      </c>
      <c r="K531" s="492" t="s">
        <v>18</v>
      </c>
      <c r="L531" s="596" t="s">
        <v>4407</v>
      </c>
      <c r="M531" s="492" t="s">
        <v>4479</v>
      </c>
      <c r="N531" s="484"/>
      <c r="O531" s="484">
        <v>6167.66</v>
      </c>
      <c r="P531" s="499">
        <v>500</v>
      </c>
      <c r="Q531" s="545">
        <v>45754</v>
      </c>
      <c r="R531" s="545">
        <v>45755</v>
      </c>
      <c r="S531" s="489"/>
      <c r="T531" s="234">
        <v>45757</v>
      </c>
      <c r="U531" s="545">
        <v>45770</v>
      </c>
      <c r="V531" s="599" t="s">
        <v>20</v>
      </c>
      <c r="W531" s="195">
        <f>J531+21</f>
        <v>45781</v>
      </c>
      <c r="X531" s="588" t="s">
        <v>4480</v>
      </c>
      <c r="Y531" s="523"/>
      <c r="Z531" s="588"/>
      <c r="AA531" s="588"/>
    </row>
    <row r="532" s="475" customFormat="1" customHeight="1" spans="1:27">
      <c r="A532" s="494" t="s">
        <v>394</v>
      </c>
      <c r="B532" s="492" t="s">
        <v>4300</v>
      </c>
      <c r="C532" s="494" t="s">
        <v>4481</v>
      </c>
      <c r="D532" s="494" t="s">
        <v>4482</v>
      </c>
      <c r="E532" s="488"/>
      <c r="F532" s="489" t="s">
        <v>3979</v>
      </c>
      <c r="G532" s="492" t="s">
        <v>3067</v>
      </c>
      <c r="H532" s="494" t="s">
        <v>4476</v>
      </c>
      <c r="I532" s="195">
        <v>45745</v>
      </c>
      <c r="J532" s="593">
        <v>45760</v>
      </c>
      <c r="K532" s="492" t="s">
        <v>18</v>
      </c>
      <c r="L532" s="596" t="s">
        <v>4407</v>
      </c>
      <c r="M532" s="492" t="s">
        <v>4483</v>
      </c>
      <c r="N532" s="484"/>
      <c r="O532" s="484">
        <v>6167.66</v>
      </c>
      <c r="P532" s="499">
        <v>500</v>
      </c>
      <c r="Q532" s="545">
        <v>45754</v>
      </c>
      <c r="R532" s="545">
        <v>45755</v>
      </c>
      <c r="S532" s="489"/>
      <c r="T532" s="562">
        <v>45757</v>
      </c>
      <c r="U532" s="545">
        <v>45771</v>
      </c>
      <c r="V532" s="249" t="s">
        <v>20</v>
      </c>
      <c r="W532" s="195">
        <f>J532+21</f>
        <v>45781</v>
      </c>
      <c r="X532" s="588" t="s">
        <v>4484</v>
      </c>
      <c r="Y532" s="523"/>
      <c r="Z532" s="588"/>
      <c r="AA532" s="588"/>
    </row>
    <row r="533" s="475" customFormat="1" customHeight="1" spans="1:27">
      <c r="A533" s="492" t="s">
        <v>635</v>
      </c>
      <c r="B533" s="492" t="s">
        <v>4300</v>
      </c>
      <c r="C533" s="492" t="s">
        <v>4485</v>
      </c>
      <c r="D533" s="492" t="s">
        <v>4486</v>
      </c>
      <c r="E533" s="491" t="s">
        <v>309</v>
      </c>
      <c r="F533" s="492" t="s">
        <v>309</v>
      </c>
      <c r="G533" s="492" t="s">
        <v>3032</v>
      </c>
      <c r="H533" s="492" t="s">
        <v>4487</v>
      </c>
      <c r="I533" s="545">
        <v>45740</v>
      </c>
      <c r="J533" s="545">
        <v>45762</v>
      </c>
      <c r="K533" s="492" t="s">
        <v>18</v>
      </c>
      <c r="L533" s="523" t="s">
        <v>309</v>
      </c>
      <c r="M533" s="492" t="s">
        <v>4488</v>
      </c>
      <c r="N533" s="484"/>
      <c r="O533" s="484"/>
      <c r="P533" s="499"/>
      <c r="Q533" s="545">
        <v>45747</v>
      </c>
      <c r="R533" s="492" t="s">
        <v>309</v>
      </c>
      <c r="S533" s="492" t="s">
        <v>309</v>
      </c>
      <c r="T533" s="492" t="s">
        <v>309</v>
      </c>
      <c r="U533" s="492" t="s">
        <v>309</v>
      </c>
      <c r="V533" s="492" t="s">
        <v>309</v>
      </c>
      <c r="W533" s="545">
        <f>J533+14</f>
        <v>45776</v>
      </c>
      <c r="X533" s="588"/>
      <c r="Y533" s="523"/>
      <c r="Z533" s="588"/>
      <c r="AA533" s="588"/>
    </row>
    <row r="534" s="475" customFormat="1" spans="1:27">
      <c r="A534" s="492" t="s">
        <v>635</v>
      </c>
      <c r="B534" s="492" t="s">
        <v>4300</v>
      </c>
      <c r="C534" s="492" t="s">
        <v>4485</v>
      </c>
      <c r="D534" s="492" t="s">
        <v>4489</v>
      </c>
      <c r="E534" s="491" t="s">
        <v>309</v>
      </c>
      <c r="F534" s="492" t="s">
        <v>309</v>
      </c>
      <c r="G534" s="593" t="s">
        <v>3032</v>
      </c>
      <c r="H534" s="492" t="s">
        <v>4487</v>
      </c>
      <c r="I534" s="545">
        <v>45740</v>
      </c>
      <c r="J534" s="545">
        <v>45762</v>
      </c>
      <c r="K534" s="492" t="s">
        <v>18</v>
      </c>
      <c r="L534" s="523" t="s">
        <v>309</v>
      </c>
      <c r="M534" s="492" t="s">
        <v>4490</v>
      </c>
      <c r="N534" s="484"/>
      <c r="O534" s="484"/>
      <c r="P534" s="499"/>
      <c r="Q534" s="545">
        <v>45747</v>
      </c>
      <c r="R534" s="492" t="s">
        <v>309</v>
      </c>
      <c r="S534" s="492" t="s">
        <v>309</v>
      </c>
      <c r="T534" s="492" t="s">
        <v>309</v>
      </c>
      <c r="U534" s="492" t="s">
        <v>309</v>
      </c>
      <c r="V534" s="492" t="s">
        <v>309</v>
      </c>
      <c r="W534" s="545">
        <f>J534+14</f>
        <v>45776</v>
      </c>
      <c r="X534" s="588"/>
      <c r="Y534" s="523"/>
      <c r="Z534" s="588"/>
      <c r="AA534" s="588"/>
    </row>
    <row r="535" s="473" customFormat="1" ht="15.75" customHeight="1" spans="1:27">
      <c r="A535" s="492" t="s">
        <v>635</v>
      </c>
      <c r="B535" s="492" t="s">
        <v>4300</v>
      </c>
      <c r="C535" s="492" t="s">
        <v>4485</v>
      </c>
      <c r="D535" s="492" t="s">
        <v>4491</v>
      </c>
      <c r="E535" s="491" t="s">
        <v>309</v>
      </c>
      <c r="F535" s="492" t="s">
        <v>309</v>
      </c>
      <c r="G535" s="593" t="s">
        <v>3032</v>
      </c>
      <c r="H535" s="492" t="s">
        <v>4487</v>
      </c>
      <c r="I535" s="545">
        <v>45740</v>
      </c>
      <c r="J535" s="545">
        <v>45762</v>
      </c>
      <c r="K535" s="492" t="s">
        <v>18</v>
      </c>
      <c r="L535" s="523" t="s">
        <v>309</v>
      </c>
      <c r="M535" s="492" t="s">
        <v>4492</v>
      </c>
      <c r="N535" s="484"/>
      <c r="O535" s="484"/>
      <c r="P535" s="499"/>
      <c r="Q535" s="545">
        <v>45747</v>
      </c>
      <c r="R535" s="492" t="s">
        <v>309</v>
      </c>
      <c r="S535" s="492" t="s">
        <v>309</v>
      </c>
      <c r="T535" s="492" t="s">
        <v>309</v>
      </c>
      <c r="U535" s="492" t="s">
        <v>309</v>
      </c>
      <c r="V535" s="492" t="s">
        <v>309</v>
      </c>
      <c r="W535" s="545">
        <f>J535+14</f>
        <v>45776</v>
      </c>
      <c r="X535" s="588"/>
      <c r="Y535" s="523"/>
      <c r="Z535" s="588"/>
      <c r="AA535" s="588"/>
    </row>
    <row r="536" s="473" customFormat="1" ht="15.75" customHeight="1" spans="1:27">
      <c r="A536" s="494" t="s">
        <v>4493</v>
      </c>
      <c r="B536" s="492" t="s">
        <v>4300</v>
      </c>
      <c r="C536" s="492" t="s">
        <v>4494</v>
      </c>
      <c r="D536" s="494" t="s">
        <v>4495</v>
      </c>
      <c r="E536" s="488"/>
      <c r="F536" s="489" t="s">
        <v>3979</v>
      </c>
      <c r="G536" s="492" t="s">
        <v>3137</v>
      </c>
      <c r="H536" s="492" t="s">
        <v>4496</v>
      </c>
      <c r="I536" s="545">
        <v>45737</v>
      </c>
      <c r="J536" s="545">
        <v>45762</v>
      </c>
      <c r="K536" s="489" t="s">
        <v>18</v>
      </c>
      <c r="L536" s="523" t="s">
        <v>4407</v>
      </c>
      <c r="M536" s="492" t="s">
        <v>309</v>
      </c>
      <c r="N536" s="484"/>
      <c r="O536" s="484">
        <v>15138.74</v>
      </c>
      <c r="P536" s="499">
        <v>500</v>
      </c>
      <c r="Q536" s="545">
        <v>45749</v>
      </c>
      <c r="R536" s="562">
        <v>45756</v>
      </c>
      <c r="S536" s="494" t="s">
        <v>309</v>
      </c>
      <c r="T536" s="234">
        <v>45757</v>
      </c>
      <c r="U536" s="592">
        <v>45770</v>
      </c>
      <c r="V536" s="249" t="s">
        <v>20</v>
      </c>
      <c r="W536" s="195">
        <f t="shared" ref="W536:W542" si="24">J536+21</f>
        <v>45783</v>
      </c>
      <c r="X536" s="588"/>
      <c r="Y536" s="523"/>
      <c r="Z536" s="588"/>
      <c r="AA536" s="588"/>
    </row>
    <row r="537" s="476" customFormat="1" customHeight="1" spans="1:27">
      <c r="A537" s="494" t="s">
        <v>4493</v>
      </c>
      <c r="B537" s="492" t="s">
        <v>4300</v>
      </c>
      <c r="C537" s="492" t="s">
        <v>4497</v>
      </c>
      <c r="D537" s="492" t="s">
        <v>4498</v>
      </c>
      <c r="E537" s="488"/>
      <c r="F537" s="489" t="s">
        <v>3979</v>
      </c>
      <c r="G537" s="593" t="s">
        <v>3137</v>
      </c>
      <c r="H537" s="492" t="s">
        <v>4496</v>
      </c>
      <c r="I537" s="593">
        <v>45737</v>
      </c>
      <c r="J537" s="593">
        <v>45762</v>
      </c>
      <c r="K537" s="492" t="s">
        <v>18</v>
      </c>
      <c r="L537" s="523" t="s">
        <v>4407</v>
      </c>
      <c r="M537" s="492" t="s">
        <v>309</v>
      </c>
      <c r="N537" s="484"/>
      <c r="O537" s="484">
        <v>15183.72</v>
      </c>
      <c r="P537" s="499">
        <v>500</v>
      </c>
      <c r="Q537" s="545">
        <v>45749</v>
      </c>
      <c r="R537" s="562">
        <v>45756</v>
      </c>
      <c r="S537" s="489"/>
      <c r="T537" s="234">
        <v>45761</v>
      </c>
      <c r="U537" s="592">
        <v>45770</v>
      </c>
      <c r="V537" s="599" t="s">
        <v>20</v>
      </c>
      <c r="W537" s="195">
        <f t="shared" si="24"/>
        <v>45783</v>
      </c>
      <c r="X537" s="588"/>
      <c r="Y537" s="523"/>
      <c r="Z537" s="588"/>
      <c r="AA537" s="588"/>
    </row>
    <row r="538" s="476" customFormat="1" customHeight="1" spans="1:27">
      <c r="A538" s="494" t="s">
        <v>705</v>
      </c>
      <c r="B538" s="492" t="s">
        <v>4300</v>
      </c>
      <c r="C538" s="492" t="s">
        <v>4499</v>
      </c>
      <c r="D538" s="494" t="s">
        <v>4500</v>
      </c>
      <c r="E538" s="488"/>
      <c r="F538" s="489" t="s">
        <v>3979</v>
      </c>
      <c r="G538" s="492" t="s">
        <v>3137</v>
      </c>
      <c r="H538" s="492" t="s">
        <v>4501</v>
      </c>
      <c r="I538" s="195">
        <v>45747</v>
      </c>
      <c r="J538" s="545">
        <v>45762</v>
      </c>
      <c r="K538" s="492" t="s">
        <v>18</v>
      </c>
      <c r="L538" s="596" t="s">
        <v>4407</v>
      </c>
      <c r="M538" s="492" t="s">
        <v>309</v>
      </c>
      <c r="N538" s="484"/>
      <c r="O538" s="484">
        <v>8910.39</v>
      </c>
      <c r="P538" s="499">
        <v>500</v>
      </c>
      <c r="Q538" s="545">
        <v>45754</v>
      </c>
      <c r="R538" s="562">
        <v>45756</v>
      </c>
      <c r="S538" s="494" t="s">
        <v>309</v>
      </c>
      <c r="T538" s="234">
        <v>45758</v>
      </c>
      <c r="U538" s="600">
        <v>45770</v>
      </c>
      <c r="V538" s="601" t="s">
        <v>20</v>
      </c>
      <c r="W538" s="195">
        <f t="shared" si="24"/>
        <v>45783</v>
      </c>
      <c r="X538" s="588"/>
      <c r="Y538" s="523"/>
      <c r="Z538" s="588"/>
      <c r="AA538" s="588"/>
    </row>
    <row r="539" s="475" customFormat="1" customHeight="1" spans="1:27">
      <c r="A539" s="492" t="s">
        <v>579</v>
      </c>
      <c r="B539" s="492" t="s">
        <v>4300</v>
      </c>
      <c r="C539" s="492" t="s">
        <v>4502</v>
      </c>
      <c r="D539" s="492" t="s">
        <v>4503</v>
      </c>
      <c r="E539" s="491"/>
      <c r="F539" s="492" t="s">
        <v>3979</v>
      </c>
      <c r="G539" s="593" t="s">
        <v>3137</v>
      </c>
      <c r="H539" s="593" t="s">
        <v>4496</v>
      </c>
      <c r="I539" s="593">
        <v>45737</v>
      </c>
      <c r="J539" s="593">
        <v>45762</v>
      </c>
      <c r="K539" s="492" t="s">
        <v>18</v>
      </c>
      <c r="L539" s="559" t="s">
        <v>4469</v>
      </c>
      <c r="M539" s="492" t="s">
        <v>4504</v>
      </c>
      <c r="N539" s="484"/>
      <c r="O539" s="484">
        <v>12478.71</v>
      </c>
      <c r="P539" s="499"/>
      <c r="Q539" s="545">
        <v>45748</v>
      </c>
      <c r="R539" s="562">
        <v>45756</v>
      </c>
      <c r="S539" s="492" t="s">
        <v>309</v>
      </c>
      <c r="T539" s="562">
        <v>45757</v>
      </c>
      <c r="U539" s="592">
        <v>45775</v>
      </c>
      <c r="V539" s="249" t="s">
        <v>20</v>
      </c>
      <c r="W539" s="545">
        <f t="shared" si="24"/>
        <v>45783</v>
      </c>
      <c r="X539" s="588" t="s">
        <v>4505</v>
      </c>
      <c r="Y539" s="523"/>
      <c r="Z539" s="588"/>
      <c r="AA539" s="588"/>
    </row>
    <row r="540" s="478" customFormat="1" ht="15.75" customHeight="1" spans="1:27">
      <c r="A540" s="492" t="s">
        <v>559</v>
      </c>
      <c r="B540" s="492" t="s">
        <v>4300</v>
      </c>
      <c r="C540" s="580" t="s">
        <v>4506</v>
      </c>
      <c r="D540" s="492" t="s">
        <v>4507</v>
      </c>
      <c r="E540" s="491"/>
      <c r="F540" s="556" t="s">
        <v>4018</v>
      </c>
      <c r="G540" s="492" t="s">
        <v>3032</v>
      </c>
      <c r="H540" s="492" t="s">
        <v>4508</v>
      </c>
      <c r="I540" s="545">
        <v>45750</v>
      </c>
      <c r="J540" s="597">
        <v>45763</v>
      </c>
      <c r="K540" s="492" t="s">
        <v>39</v>
      </c>
      <c r="L540" s="523" t="s">
        <v>3437</v>
      </c>
      <c r="M540" s="492" t="s">
        <v>309</v>
      </c>
      <c r="N540" s="484"/>
      <c r="O540" s="484"/>
      <c r="P540" s="499"/>
      <c r="Q540" s="545">
        <v>45754</v>
      </c>
      <c r="R540" s="545">
        <v>45758</v>
      </c>
      <c r="S540" s="492"/>
      <c r="T540" s="545">
        <v>45762</v>
      </c>
      <c r="U540" s="545">
        <v>45769</v>
      </c>
      <c r="V540" s="249" t="s">
        <v>20</v>
      </c>
      <c r="W540" s="545">
        <f t="shared" si="24"/>
        <v>45784</v>
      </c>
      <c r="X540" s="602"/>
      <c r="Y540" s="523"/>
      <c r="Z540" s="588"/>
      <c r="AA540" s="588"/>
    </row>
    <row r="541" s="478" customFormat="1" ht="15.75" customHeight="1" spans="1:27">
      <c r="A541" s="492" t="s">
        <v>559</v>
      </c>
      <c r="B541" s="492" t="s">
        <v>4300</v>
      </c>
      <c r="C541" s="580" t="s">
        <v>4509</v>
      </c>
      <c r="D541" s="492" t="s">
        <v>4510</v>
      </c>
      <c r="E541" s="491"/>
      <c r="F541" s="556" t="s">
        <v>4018</v>
      </c>
      <c r="G541" s="492" t="s">
        <v>3032</v>
      </c>
      <c r="H541" s="492" t="s">
        <v>4508</v>
      </c>
      <c r="I541" s="545">
        <v>45750</v>
      </c>
      <c r="J541" s="597">
        <v>45763</v>
      </c>
      <c r="K541" s="492" t="s">
        <v>39</v>
      </c>
      <c r="L541" s="523" t="s">
        <v>3437</v>
      </c>
      <c r="M541" s="492" t="s">
        <v>309</v>
      </c>
      <c r="N541" s="484"/>
      <c r="O541" s="484"/>
      <c r="P541" s="499"/>
      <c r="Q541" s="545">
        <v>45754</v>
      </c>
      <c r="R541" s="545">
        <v>45758</v>
      </c>
      <c r="S541" s="492"/>
      <c r="T541" s="545">
        <v>45762</v>
      </c>
      <c r="U541" s="545">
        <v>45769</v>
      </c>
      <c r="V541" s="249" t="s">
        <v>20</v>
      </c>
      <c r="W541" s="545">
        <f t="shared" si="24"/>
        <v>45784</v>
      </c>
      <c r="X541" s="602"/>
      <c r="Y541" s="523"/>
      <c r="Z541" s="588"/>
      <c r="AA541" s="588"/>
    </row>
    <row r="542" s="478" customFormat="1" customHeight="1" spans="1:27">
      <c r="A542" s="492" t="s">
        <v>376</v>
      </c>
      <c r="B542" s="492" t="s">
        <v>4300</v>
      </c>
      <c r="C542" s="492" t="s">
        <v>309</v>
      </c>
      <c r="D542" s="556" t="s">
        <v>4511</v>
      </c>
      <c r="E542" s="491"/>
      <c r="F542" s="492" t="s">
        <v>309</v>
      </c>
      <c r="G542" s="492" t="s">
        <v>3067</v>
      </c>
      <c r="H542" s="492" t="s">
        <v>309</v>
      </c>
      <c r="I542" s="545">
        <v>45723</v>
      </c>
      <c r="J542" s="593">
        <v>45764</v>
      </c>
      <c r="K542" s="492" t="s">
        <v>18</v>
      </c>
      <c r="L542" s="523" t="s">
        <v>309</v>
      </c>
      <c r="M542" s="492" t="s">
        <v>4512</v>
      </c>
      <c r="N542" s="484"/>
      <c r="O542" s="484"/>
      <c r="P542" s="499"/>
      <c r="Q542" s="545">
        <v>45736</v>
      </c>
      <c r="R542" s="492" t="s">
        <v>309</v>
      </c>
      <c r="S542" s="492" t="s">
        <v>309</v>
      </c>
      <c r="T542" s="492" t="s">
        <v>309</v>
      </c>
      <c r="U542" s="492" t="s">
        <v>309</v>
      </c>
      <c r="V542" s="492" t="s">
        <v>309</v>
      </c>
      <c r="W542" s="545">
        <f t="shared" si="24"/>
        <v>45785</v>
      </c>
      <c r="X542" s="588"/>
      <c r="Y542" s="523"/>
      <c r="Z542" s="588"/>
      <c r="AA542" s="588"/>
    </row>
    <row r="543" s="478" customFormat="1" customHeight="1" spans="1:27">
      <c r="A543" s="492" t="s">
        <v>2038</v>
      </c>
      <c r="B543" s="492" t="s">
        <v>4329</v>
      </c>
      <c r="C543" s="492" t="s">
        <v>4513</v>
      </c>
      <c r="D543" s="492" t="s">
        <v>4514</v>
      </c>
      <c r="E543" s="491"/>
      <c r="F543" s="556" t="s">
        <v>4018</v>
      </c>
      <c r="G543" s="492" t="s">
        <v>4440</v>
      </c>
      <c r="H543" s="492" t="s">
        <v>4515</v>
      </c>
      <c r="I543" s="545">
        <v>45744</v>
      </c>
      <c r="J543" s="545">
        <v>45764</v>
      </c>
      <c r="K543" s="492" t="s">
        <v>18</v>
      </c>
      <c r="L543" s="523" t="s">
        <v>4407</v>
      </c>
      <c r="M543" s="556" t="s">
        <v>2248</v>
      </c>
      <c r="N543" s="484"/>
      <c r="O543" s="484">
        <v>10100.86</v>
      </c>
      <c r="P543" s="499">
        <v>500</v>
      </c>
      <c r="Q543" s="562">
        <v>45750</v>
      </c>
      <c r="R543" s="545">
        <v>45756</v>
      </c>
      <c r="S543" s="492"/>
      <c r="T543" s="545">
        <v>45762</v>
      </c>
      <c r="U543" s="545">
        <v>45771</v>
      </c>
      <c r="V543" s="249" t="s">
        <v>20</v>
      </c>
      <c r="W543" s="545">
        <f t="shared" ref="W543:W548" si="25">J543+14</f>
        <v>45778</v>
      </c>
      <c r="X543" s="596" t="s">
        <v>4516</v>
      </c>
      <c r="Y543" s="523"/>
      <c r="Z543" s="588"/>
      <c r="AA543" s="588"/>
    </row>
    <row r="544" s="478" customFormat="1" ht="15.75" customHeight="1" spans="1:27">
      <c r="A544" s="492" t="s">
        <v>2038</v>
      </c>
      <c r="B544" s="492" t="s">
        <v>4329</v>
      </c>
      <c r="C544" s="492" t="s">
        <v>4517</v>
      </c>
      <c r="D544" s="492" t="s">
        <v>4518</v>
      </c>
      <c r="E544" s="491"/>
      <c r="F544" s="556" t="s">
        <v>4018</v>
      </c>
      <c r="G544" s="492" t="s">
        <v>3075</v>
      </c>
      <c r="H544" s="492" t="s">
        <v>4519</v>
      </c>
      <c r="I544" s="545">
        <v>45744</v>
      </c>
      <c r="J544" s="562">
        <v>45765</v>
      </c>
      <c r="K544" s="492" t="s">
        <v>18</v>
      </c>
      <c r="L544" s="523" t="s">
        <v>4407</v>
      </c>
      <c r="M544" s="556" t="s">
        <v>4520</v>
      </c>
      <c r="N544" s="484"/>
      <c r="O544" s="484"/>
      <c r="P544" s="499">
        <v>500</v>
      </c>
      <c r="Q544" s="562">
        <v>45748</v>
      </c>
      <c r="R544" s="545">
        <v>45758</v>
      </c>
      <c r="S544" s="492"/>
      <c r="T544" s="545">
        <v>45763</v>
      </c>
      <c r="U544" s="545">
        <v>45771</v>
      </c>
      <c r="V544" s="594" t="s">
        <v>20</v>
      </c>
      <c r="W544" s="545">
        <f t="shared" si="25"/>
        <v>45779</v>
      </c>
      <c r="X544" s="603"/>
      <c r="Y544" s="523"/>
      <c r="Z544" s="588"/>
      <c r="AA544" s="588"/>
    </row>
    <row r="545" s="478" customFormat="1" ht="15.75" customHeight="1" spans="1:27">
      <c r="A545" s="492" t="s">
        <v>2038</v>
      </c>
      <c r="B545" s="492" t="s">
        <v>4329</v>
      </c>
      <c r="C545" s="492" t="s">
        <v>4521</v>
      </c>
      <c r="D545" s="492" t="s">
        <v>4522</v>
      </c>
      <c r="E545" s="491"/>
      <c r="F545" s="556" t="s">
        <v>4018</v>
      </c>
      <c r="G545" s="492" t="s">
        <v>3075</v>
      </c>
      <c r="H545" s="492" t="s">
        <v>4519</v>
      </c>
      <c r="I545" s="545">
        <v>45744</v>
      </c>
      <c r="J545" s="562">
        <v>45765</v>
      </c>
      <c r="K545" s="492" t="s">
        <v>18</v>
      </c>
      <c r="L545" s="523" t="s">
        <v>4407</v>
      </c>
      <c r="M545" s="556" t="s">
        <v>309</v>
      </c>
      <c r="N545" s="484"/>
      <c r="O545" s="484"/>
      <c r="P545" s="499">
        <v>500</v>
      </c>
      <c r="Q545" s="562">
        <v>45748</v>
      </c>
      <c r="R545" s="545">
        <v>45758</v>
      </c>
      <c r="S545" s="492"/>
      <c r="T545" s="545">
        <v>45763</v>
      </c>
      <c r="U545" s="592">
        <v>45771</v>
      </c>
      <c r="V545" s="594" t="s">
        <v>20</v>
      </c>
      <c r="W545" s="545">
        <f t="shared" si="25"/>
        <v>45779</v>
      </c>
      <c r="X545" s="603"/>
      <c r="Y545" s="523"/>
      <c r="Z545" s="588"/>
      <c r="AA545" s="588"/>
    </row>
    <row r="546" s="475" customFormat="1" customHeight="1" spans="1:27">
      <c r="A546" s="489" t="s">
        <v>2112</v>
      </c>
      <c r="B546" s="492" t="s">
        <v>4329</v>
      </c>
      <c r="C546" s="492" t="s">
        <v>4523</v>
      </c>
      <c r="D546" s="556" t="s">
        <v>4524</v>
      </c>
      <c r="E546" s="488"/>
      <c r="F546" s="556" t="s">
        <v>4018</v>
      </c>
      <c r="G546" s="489" t="s">
        <v>3024</v>
      </c>
      <c r="H546" s="492" t="s">
        <v>4525</v>
      </c>
      <c r="I546" s="545">
        <v>45746</v>
      </c>
      <c r="J546" s="545">
        <v>45765</v>
      </c>
      <c r="K546" s="489" t="s">
        <v>18</v>
      </c>
      <c r="L546" s="523" t="s">
        <v>3457</v>
      </c>
      <c r="M546" s="492" t="s">
        <v>309</v>
      </c>
      <c r="N546" s="484"/>
      <c r="O546" s="484">
        <v>15528.17</v>
      </c>
      <c r="P546" s="499">
        <v>450</v>
      </c>
      <c r="Q546" s="562">
        <v>45754</v>
      </c>
      <c r="R546" s="545">
        <v>45754</v>
      </c>
      <c r="S546" s="489"/>
      <c r="T546" s="195">
        <v>45399</v>
      </c>
      <c r="U546" s="592">
        <v>45771</v>
      </c>
      <c r="V546" s="249" t="s">
        <v>20</v>
      </c>
      <c r="W546" s="195">
        <f t="shared" si="25"/>
        <v>45779</v>
      </c>
      <c r="X546" s="596" t="s">
        <v>4526</v>
      </c>
      <c r="Y546" s="523"/>
      <c r="Z546" s="605"/>
      <c r="AA546" s="588"/>
    </row>
    <row r="547" s="475" customFormat="1" customHeight="1" spans="1:27">
      <c r="A547" s="489" t="s">
        <v>2038</v>
      </c>
      <c r="B547" s="492" t="s">
        <v>4329</v>
      </c>
      <c r="C547" s="494" t="s">
        <v>4527</v>
      </c>
      <c r="D547" s="494" t="s">
        <v>4528</v>
      </c>
      <c r="E547" s="488"/>
      <c r="F547" s="556" t="s">
        <v>4018</v>
      </c>
      <c r="G547" s="489" t="s">
        <v>3075</v>
      </c>
      <c r="H547" s="492" t="s">
        <v>4519</v>
      </c>
      <c r="I547" s="545">
        <v>45744</v>
      </c>
      <c r="J547" s="562">
        <v>45765</v>
      </c>
      <c r="K547" s="489" t="s">
        <v>18</v>
      </c>
      <c r="L547" s="523" t="s">
        <v>4407</v>
      </c>
      <c r="M547" s="556" t="s">
        <v>4529</v>
      </c>
      <c r="N547" s="484"/>
      <c r="O547" s="484"/>
      <c r="P547" s="499">
        <v>500</v>
      </c>
      <c r="Q547" s="562">
        <v>45748</v>
      </c>
      <c r="R547" s="545">
        <v>45758</v>
      </c>
      <c r="S547" s="489"/>
      <c r="T547" s="545">
        <v>45763</v>
      </c>
      <c r="U547" s="592">
        <v>45771</v>
      </c>
      <c r="V547" s="594" t="s">
        <v>20</v>
      </c>
      <c r="W547" s="195">
        <f t="shared" si="25"/>
        <v>45779</v>
      </c>
      <c r="X547" s="588"/>
      <c r="Y547" s="523"/>
      <c r="Z547" s="588"/>
      <c r="AA547" s="588"/>
    </row>
    <row r="548" s="473" customFormat="1" ht="15.75" customHeight="1" spans="1:27">
      <c r="A548" s="489" t="s">
        <v>2038</v>
      </c>
      <c r="B548" s="492" t="s">
        <v>4329</v>
      </c>
      <c r="C548" s="494" t="s">
        <v>4530</v>
      </c>
      <c r="D548" s="494" t="s">
        <v>4531</v>
      </c>
      <c r="E548" s="488"/>
      <c r="F548" s="556" t="s">
        <v>4018</v>
      </c>
      <c r="G548" s="489" t="s">
        <v>3075</v>
      </c>
      <c r="H548" s="492" t="s">
        <v>4519</v>
      </c>
      <c r="I548" s="545">
        <v>45744</v>
      </c>
      <c r="J548" s="562">
        <v>45765</v>
      </c>
      <c r="K548" s="489" t="s">
        <v>18</v>
      </c>
      <c r="L548" s="523" t="s">
        <v>4407</v>
      </c>
      <c r="M548" s="556" t="s">
        <v>4532</v>
      </c>
      <c r="N548" s="484"/>
      <c r="O548" s="484"/>
      <c r="P548" s="499">
        <v>500</v>
      </c>
      <c r="Q548" s="562">
        <v>45748</v>
      </c>
      <c r="R548" s="545">
        <v>45758</v>
      </c>
      <c r="S548" s="489"/>
      <c r="T548" s="545">
        <v>45763</v>
      </c>
      <c r="U548" s="592">
        <v>45771</v>
      </c>
      <c r="V548" s="249" t="s">
        <v>20</v>
      </c>
      <c r="W548" s="195">
        <f t="shared" si="25"/>
        <v>45779</v>
      </c>
      <c r="X548" s="588"/>
      <c r="Y548" s="523"/>
      <c r="Z548" s="588"/>
      <c r="AA548" s="588"/>
    </row>
    <row r="549" s="475" customFormat="1" customHeight="1" spans="1:27">
      <c r="A549" s="489" t="s">
        <v>400</v>
      </c>
      <c r="B549" s="492" t="s">
        <v>4329</v>
      </c>
      <c r="C549" s="589" t="s">
        <v>4533</v>
      </c>
      <c r="D549" s="556" t="s">
        <v>4534</v>
      </c>
      <c r="E549" s="550"/>
      <c r="F549" s="556" t="s">
        <v>4018</v>
      </c>
      <c r="G549" s="546" t="s">
        <v>3032</v>
      </c>
      <c r="H549" s="556" t="s">
        <v>4519</v>
      </c>
      <c r="I549" s="562">
        <v>45744</v>
      </c>
      <c r="J549" s="562">
        <v>45765</v>
      </c>
      <c r="K549" s="489" t="s">
        <v>18</v>
      </c>
      <c r="L549" s="523" t="s">
        <v>4407</v>
      </c>
      <c r="M549" s="556" t="s">
        <v>309</v>
      </c>
      <c r="N549" s="484"/>
      <c r="O549" s="484">
        <v>13392.12</v>
      </c>
      <c r="P549" s="499">
        <v>500</v>
      </c>
      <c r="Q549" s="562">
        <v>45748</v>
      </c>
      <c r="R549" s="545">
        <v>45757</v>
      </c>
      <c r="S549" s="494" t="s">
        <v>309</v>
      </c>
      <c r="T549" s="562">
        <v>45758</v>
      </c>
      <c r="U549" s="592">
        <v>45771</v>
      </c>
      <c r="V549" s="249" t="s">
        <v>20</v>
      </c>
      <c r="W549" s="195">
        <f t="shared" ref="W549:W583" si="26">J549+21</f>
        <v>45786</v>
      </c>
      <c r="X549" s="588"/>
      <c r="Y549" s="523"/>
      <c r="Z549" s="588"/>
      <c r="AA549" s="588"/>
    </row>
    <row r="550" s="473" customFormat="1" ht="15.75" customHeight="1" spans="1:27">
      <c r="A550" s="489" t="s">
        <v>2038</v>
      </c>
      <c r="B550" s="492" t="s">
        <v>4329</v>
      </c>
      <c r="C550" s="589" t="s">
        <v>4535</v>
      </c>
      <c r="D550" s="492" t="s">
        <v>4536</v>
      </c>
      <c r="E550" s="488"/>
      <c r="F550" s="556" t="s">
        <v>4018</v>
      </c>
      <c r="G550" s="489" t="s">
        <v>3032</v>
      </c>
      <c r="H550" s="492" t="s">
        <v>4519</v>
      </c>
      <c r="I550" s="545">
        <v>45744</v>
      </c>
      <c r="J550" s="562">
        <v>45765</v>
      </c>
      <c r="K550" s="489" t="s">
        <v>18</v>
      </c>
      <c r="L550" s="523" t="s">
        <v>4407</v>
      </c>
      <c r="M550" s="556" t="s">
        <v>4537</v>
      </c>
      <c r="N550" s="484"/>
      <c r="O550" s="484">
        <v>9797.68</v>
      </c>
      <c r="P550" s="499">
        <v>500</v>
      </c>
      <c r="Q550" s="562">
        <v>45748</v>
      </c>
      <c r="R550" s="545">
        <v>45757</v>
      </c>
      <c r="S550" s="494" t="s">
        <v>309</v>
      </c>
      <c r="T550" s="545">
        <v>45757</v>
      </c>
      <c r="U550" s="592">
        <v>45772</v>
      </c>
      <c r="V550" s="604" t="s">
        <v>20</v>
      </c>
      <c r="W550" s="195">
        <f t="shared" si="26"/>
        <v>45786</v>
      </c>
      <c r="X550" s="588" t="s">
        <v>4538</v>
      </c>
      <c r="Y550" s="523"/>
      <c r="Z550" s="588"/>
      <c r="AA550" s="588"/>
    </row>
    <row r="551" s="473" customFormat="1" ht="15.75" customHeight="1" spans="1:27">
      <c r="A551" s="489" t="s">
        <v>2038</v>
      </c>
      <c r="B551" s="492" t="s">
        <v>4329</v>
      </c>
      <c r="C551" s="489" t="s">
        <v>4539</v>
      </c>
      <c r="D551" s="554" t="s">
        <v>4540</v>
      </c>
      <c r="E551" s="550"/>
      <c r="F551" s="556" t="s">
        <v>4018</v>
      </c>
      <c r="G551" s="546" t="s">
        <v>3032</v>
      </c>
      <c r="H551" s="556" t="s">
        <v>4519</v>
      </c>
      <c r="I551" s="562">
        <v>45744</v>
      </c>
      <c r="J551" s="562">
        <v>45765</v>
      </c>
      <c r="K551" s="489" t="s">
        <v>18</v>
      </c>
      <c r="L551" s="523" t="s">
        <v>4407</v>
      </c>
      <c r="M551" s="556" t="s">
        <v>2211</v>
      </c>
      <c r="N551" s="484"/>
      <c r="O551" s="484">
        <v>10199.86</v>
      </c>
      <c r="P551" s="499">
        <v>500</v>
      </c>
      <c r="Q551" s="562">
        <v>45748</v>
      </c>
      <c r="R551" s="545">
        <v>45757</v>
      </c>
      <c r="S551" s="494" t="s">
        <v>309</v>
      </c>
      <c r="T551" s="545">
        <v>45757</v>
      </c>
      <c r="U551" s="592">
        <v>45772</v>
      </c>
      <c r="V551" s="249" t="s">
        <v>20</v>
      </c>
      <c r="W551" s="195">
        <f t="shared" si="26"/>
        <v>45786</v>
      </c>
      <c r="X551" s="588" t="s">
        <v>4538</v>
      </c>
      <c r="Y551" s="523"/>
      <c r="Z551" s="588"/>
      <c r="AA551" s="588"/>
    </row>
    <row r="552" s="473" customFormat="1" ht="15.75" customHeight="1" spans="1:27">
      <c r="A552" s="489" t="s">
        <v>400</v>
      </c>
      <c r="B552" s="492" t="s">
        <v>4329</v>
      </c>
      <c r="C552" s="589" t="s">
        <v>4541</v>
      </c>
      <c r="D552" s="554" t="s">
        <v>4542</v>
      </c>
      <c r="E552" s="550"/>
      <c r="F552" s="556" t="s">
        <v>4018</v>
      </c>
      <c r="G552" s="546" t="s">
        <v>3032</v>
      </c>
      <c r="H552" s="556" t="s">
        <v>4519</v>
      </c>
      <c r="I552" s="562">
        <v>45744</v>
      </c>
      <c r="J552" s="562">
        <v>45765</v>
      </c>
      <c r="K552" s="489" t="s">
        <v>18</v>
      </c>
      <c r="L552" s="523" t="s">
        <v>4407</v>
      </c>
      <c r="M552" s="556" t="s">
        <v>309</v>
      </c>
      <c r="N552" s="484"/>
      <c r="O552" s="484">
        <v>13392.12</v>
      </c>
      <c r="P552" s="499">
        <v>500</v>
      </c>
      <c r="Q552" s="562">
        <v>45748</v>
      </c>
      <c r="R552" s="545">
        <v>45757</v>
      </c>
      <c r="S552" s="494" t="s">
        <v>309</v>
      </c>
      <c r="T552" s="545">
        <v>45757</v>
      </c>
      <c r="U552" s="592">
        <v>45772</v>
      </c>
      <c r="V552" s="249" t="s">
        <v>20</v>
      </c>
      <c r="W552" s="195">
        <f t="shared" si="26"/>
        <v>45786</v>
      </c>
      <c r="X552" s="588" t="s">
        <v>4538</v>
      </c>
      <c r="Y552" s="523"/>
      <c r="Z552" s="588"/>
      <c r="AA552" s="588"/>
    </row>
    <row r="553" s="473" customFormat="1" ht="15.75" customHeight="1" spans="1:27">
      <c r="A553" s="489" t="s">
        <v>400</v>
      </c>
      <c r="B553" s="492" t="s">
        <v>4329</v>
      </c>
      <c r="C553" s="589" t="s">
        <v>4543</v>
      </c>
      <c r="D553" s="554" t="s">
        <v>4544</v>
      </c>
      <c r="E553" s="550"/>
      <c r="F553" s="556" t="s">
        <v>4018</v>
      </c>
      <c r="G553" s="546" t="s">
        <v>3032</v>
      </c>
      <c r="H553" s="556" t="s">
        <v>4519</v>
      </c>
      <c r="I553" s="562">
        <v>45744</v>
      </c>
      <c r="J553" s="562">
        <v>45765</v>
      </c>
      <c r="K553" s="489" t="s">
        <v>18</v>
      </c>
      <c r="L553" s="523" t="s">
        <v>4407</v>
      </c>
      <c r="M553" s="556" t="s">
        <v>309</v>
      </c>
      <c r="N553" s="484"/>
      <c r="O553" s="484">
        <v>13392.12</v>
      </c>
      <c r="P553" s="499">
        <v>500</v>
      </c>
      <c r="Q553" s="562">
        <v>45748</v>
      </c>
      <c r="R553" s="545">
        <v>45757</v>
      </c>
      <c r="S553" s="494" t="s">
        <v>309</v>
      </c>
      <c r="T553" s="562">
        <v>45758</v>
      </c>
      <c r="U553" s="592">
        <v>45772</v>
      </c>
      <c r="V553" s="249" t="s">
        <v>20</v>
      </c>
      <c r="W553" s="545">
        <f t="shared" si="26"/>
        <v>45786</v>
      </c>
      <c r="X553" s="588" t="s">
        <v>4538</v>
      </c>
      <c r="Y553" s="523"/>
      <c r="Z553" s="588"/>
      <c r="AA553" s="588"/>
    </row>
    <row r="554" s="473" customFormat="1" ht="15.75" customHeight="1" spans="1:27">
      <c r="A554" s="489" t="s">
        <v>400</v>
      </c>
      <c r="B554" s="492" t="s">
        <v>4329</v>
      </c>
      <c r="C554" s="589" t="s">
        <v>4545</v>
      </c>
      <c r="D554" s="554" t="s">
        <v>4546</v>
      </c>
      <c r="E554" s="550"/>
      <c r="F554" s="556" t="s">
        <v>4018</v>
      </c>
      <c r="G554" s="546" t="s">
        <v>3032</v>
      </c>
      <c r="H554" s="556" t="s">
        <v>4519</v>
      </c>
      <c r="I554" s="562">
        <v>45744</v>
      </c>
      <c r="J554" s="562">
        <v>45765</v>
      </c>
      <c r="K554" s="489" t="s">
        <v>18</v>
      </c>
      <c r="L554" s="523" t="s">
        <v>4407</v>
      </c>
      <c r="M554" s="556" t="s">
        <v>309</v>
      </c>
      <c r="N554" s="484"/>
      <c r="O554" s="484">
        <v>13392.12</v>
      </c>
      <c r="P554" s="499">
        <v>500</v>
      </c>
      <c r="Q554" s="562">
        <v>45748</v>
      </c>
      <c r="R554" s="545">
        <v>45757</v>
      </c>
      <c r="S554" s="494" t="s">
        <v>309</v>
      </c>
      <c r="T554" s="545">
        <v>45757</v>
      </c>
      <c r="U554" s="592">
        <v>45772</v>
      </c>
      <c r="V554" s="249" t="s">
        <v>20</v>
      </c>
      <c r="W554" s="195">
        <f t="shared" si="26"/>
        <v>45786</v>
      </c>
      <c r="X554" s="588" t="s">
        <v>4538</v>
      </c>
      <c r="Y554" s="523"/>
      <c r="Z554" s="588"/>
      <c r="AA554" s="588"/>
    </row>
    <row r="555" s="473" customFormat="1" ht="15.75" customHeight="1" spans="1:27">
      <c r="A555" s="489" t="s">
        <v>400</v>
      </c>
      <c r="B555" s="492" t="s">
        <v>4329</v>
      </c>
      <c r="C555" s="580" t="s">
        <v>4547</v>
      </c>
      <c r="D555" s="556" t="s">
        <v>4548</v>
      </c>
      <c r="E555" s="550"/>
      <c r="F555" s="556" t="s">
        <v>4018</v>
      </c>
      <c r="G555" s="546" t="s">
        <v>3032</v>
      </c>
      <c r="H555" s="556" t="s">
        <v>4519</v>
      </c>
      <c r="I555" s="562">
        <v>45744</v>
      </c>
      <c r="J555" s="562">
        <v>45765</v>
      </c>
      <c r="K555" s="489" t="s">
        <v>18</v>
      </c>
      <c r="L555" s="523" t="s">
        <v>4407</v>
      </c>
      <c r="M555" s="556" t="s">
        <v>309</v>
      </c>
      <c r="N555" s="484"/>
      <c r="O555" s="484">
        <v>13392.12</v>
      </c>
      <c r="P555" s="499">
        <v>500</v>
      </c>
      <c r="Q555" s="562">
        <v>45748</v>
      </c>
      <c r="R555" s="545">
        <v>45757</v>
      </c>
      <c r="S555" s="494" t="s">
        <v>309</v>
      </c>
      <c r="T555" s="562">
        <v>45758</v>
      </c>
      <c r="U555" s="592">
        <v>45772</v>
      </c>
      <c r="V555" s="249" t="s">
        <v>20</v>
      </c>
      <c r="W555" s="195">
        <f t="shared" si="26"/>
        <v>45786</v>
      </c>
      <c r="X555" s="588" t="s">
        <v>4538</v>
      </c>
      <c r="Y555" s="523"/>
      <c r="Z555" s="588"/>
      <c r="AA555" s="588"/>
    </row>
    <row r="556" s="473" customFormat="1" ht="15.75" customHeight="1" spans="1:27">
      <c r="A556" s="489" t="s">
        <v>400</v>
      </c>
      <c r="B556" s="492" t="s">
        <v>4329</v>
      </c>
      <c r="C556" s="589" t="s">
        <v>4549</v>
      </c>
      <c r="D556" s="556" t="s">
        <v>4550</v>
      </c>
      <c r="E556" s="550"/>
      <c r="F556" s="556" t="s">
        <v>4018</v>
      </c>
      <c r="G556" s="546" t="s">
        <v>3032</v>
      </c>
      <c r="H556" s="556" t="s">
        <v>4519</v>
      </c>
      <c r="I556" s="562">
        <v>45744</v>
      </c>
      <c r="J556" s="562">
        <v>45765</v>
      </c>
      <c r="K556" s="489" t="s">
        <v>18</v>
      </c>
      <c r="L556" s="523" t="s">
        <v>4407</v>
      </c>
      <c r="M556" s="556" t="s">
        <v>309</v>
      </c>
      <c r="N556" s="484"/>
      <c r="O556" s="484">
        <v>12981.98</v>
      </c>
      <c r="P556" s="499">
        <v>500</v>
      </c>
      <c r="Q556" s="562">
        <v>45748</v>
      </c>
      <c r="R556" s="545">
        <v>45757</v>
      </c>
      <c r="S556" s="494" t="s">
        <v>309</v>
      </c>
      <c r="T556" s="562">
        <v>45758</v>
      </c>
      <c r="U556" s="592">
        <v>45772</v>
      </c>
      <c r="V556" s="249" t="s">
        <v>20</v>
      </c>
      <c r="W556" s="195">
        <f t="shared" si="26"/>
        <v>45786</v>
      </c>
      <c r="X556" s="588" t="s">
        <v>4538</v>
      </c>
      <c r="Y556" s="523"/>
      <c r="Z556" s="588"/>
      <c r="AA556" s="588"/>
    </row>
    <row r="557" s="473" customFormat="1" ht="15.75" customHeight="1" spans="1:27">
      <c r="A557" s="489" t="s">
        <v>400</v>
      </c>
      <c r="B557" s="492" t="s">
        <v>4329</v>
      </c>
      <c r="C557" s="589" t="s">
        <v>4551</v>
      </c>
      <c r="D557" s="594" t="s">
        <v>4552</v>
      </c>
      <c r="E557" s="550"/>
      <c r="F557" s="556" t="s">
        <v>4018</v>
      </c>
      <c r="G557" s="546" t="s">
        <v>3032</v>
      </c>
      <c r="H557" s="556" t="s">
        <v>4519</v>
      </c>
      <c r="I557" s="562">
        <v>45744</v>
      </c>
      <c r="J557" s="562">
        <v>45765</v>
      </c>
      <c r="K557" s="489" t="s">
        <v>18</v>
      </c>
      <c r="L557" s="523" t="s">
        <v>4407</v>
      </c>
      <c r="M557" s="556" t="s">
        <v>309</v>
      </c>
      <c r="N557" s="484"/>
      <c r="O557" s="484">
        <v>13392.12</v>
      </c>
      <c r="P557" s="499">
        <v>500</v>
      </c>
      <c r="Q557" s="562">
        <v>45748</v>
      </c>
      <c r="R557" s="545">
        <v>45757</v>
      </c>
      <c r="S557" s="494" t="s">
        <v>309</v>
      </c>
      <c r="T557" s="545">
        <v>45757</v>
      </c>
      <c r="U557" s="592">
        <v>45772</v>
      </c>
      <c r="V557" s="249" t="s">
        <v>20</v>
      </c>
      <c r="W557" s="195">
        <f t="shared" si="26"/>
        <v>45786</v>
      </c>
      <c r="X557" s="588" t="s">
        <v>4538</v>
      </c>
      <c r="Y557" s="523"/>
      <c r="Z557" s="588"/>
      <c r="AA557" s="588"/>
    </row>
    <row r="558" s="473" customFormat="1" ht="15.75" customHeight="1" spans="1:27">
      <c r="A558" s="489" t="s">
        <v>400</v>
      </c>
      <c r="B558" s="492" t="s">
        <v>4329</v>
      </c>
      <c r="C558" s="589" t="s">
        <v>4553</v>
      </c>
      <c r="D558" s="556" t="s">
        <v>4554</v>
      </c>
      <c r="E558" s="550"/>
      <c r="F558" s="556" t="s">
        <v>4018</v>
      </c>
      <c r="G558" s="546" t="s">
        <v>3032</v>
      </c>
      <c r="H558" s="556" t="s">
        <v>4519</v>
      </c>
      <c r="I558" s="562">
        <v>45744</v>
      </c>
      <c r="J558" s="562">
        <v>45765</v>
      </c>
      <c r="K558" s="489" t="s">
        <v>18</v>
      </c>
      <c r="L558" s="523" t="s">
        <v>4407</v>
      </c>
      <c r="M558" s="556" t="s">
        <v>309</v>
      </c>
      <c r="N558" s="484"/>
      <c r="O558" s="484">
        <v>13251</v>
      </c>
      <c r="P558" s="499">
        <v>500</v>
      </c>
      <c r="Q558" s="562">
        <v>45748</v>
      </c>
      <c r="R558" s="545">
        <v>45757</v>
      </c>
      <c r="S558" s="494" t="s">
        <v>309</v>
      </c>
      <c r="T558" s="562">
        <v>45758</v>
      </c>
      <c r="U558" s="592">
        <v>45775</v>
      </c>
      <c r="V558" s="249" t="s">
        <v>20</v>
      </c>
      <c r="W558" s="195">
        <f t="shared" si="26"/>
        <v>45786</v>
      </c>
      <c r="X558" s="588"/>
      <c r="Y558" s="523"/>
      <c r="Z558" s="588"/>
      <c r="AA558" s="588"/>
    </row>
    <row r="559" s="473" customFormat="1" ht="15.75" customHeight="1" spans="1:27">
      <c r="A559" s="492" t="s">
        <v>2038</v>
      </c>
      <c r="B559" s="492" t="s">
        <v>4329</v>
      </c>
      <c r="C559" s="580" t="s">
        <v>4555</v>
      </c>
      <c r="D559" s="578" t="s">
        <v>4556</v>
      </c>
      <c r="E559" s="574"/>
      <c r="F559" s="556" t="s">
        <v>4018</v>
      </c>
      <c r="G559" s="556" t="s">
        <v>3032</v>
      </c>
      <c r="H559" s="556" t="s">
        <v>4519</v>
      </c>
      <c r="I559" s="562">
        <v>45744</v>
      </c>
      <c r="J559" s="562">
        <v>45765</v>
      </c>
      <c r="K559" s="492" t="s">
        <v>18</v>
      </c>
      <c r="L559" s="523" t="s">
        <v>4407</v>
      </c>
      <c r="M559" s="556" t="s">
        <v>309</v>
      </c>
      <c r="N559" s="484"/>
      <c r="O559" s="484">
        <v>9363.16</v>
      </c>
      <c r="P559" s="499">
        <v>500</v>
      </c>
      <c r="Q559" s="562">
        <v>45748</v>
      </c>
      <c r="R559" s="545">
        <v>45757</v>
      </c>
      <c r="S559" s="587" t="s">
        <v>309</v>
      </c>
      <c r="T559" s="545">
        <v>45757</v>
      </c>
      <c r="U559" s="592">
        <v>45775</v>
      </c>
      <c r="V559" s="249" t="s">
        <v>20</v>
      </c>
      <c r="W559" s="545">
        <f t="shared" si="26"/>
        <v>45786</v>
      </c>
      <c r="X559" s="588"/>
      <c r="Y559" s="523"/>
      <c r="Z559" s="588"/>
      <c r="AA559" s="588"/>
    </row>
    <row r="560" s="473" customFormat="1" ht="15.75" customHeight="1" spans="1:27">
      <c r="A560" s="489" t="s">
        <v>400</v>
      </c>
      <c r="B560" s="492" t="s">
        <v>4329</v>
      </c>
      <c r="C560" s="589" t="s">
        <v>4557</v>
      </c>
      <c r="D560" s="556" t="s">
        <v>4558</v>
      </c>
      <c r="E560" s="550"/>
      <c r="F560" s="556" t="s">
        <v>4018</v>
      </c>
      <c r="G560" s="554" t="s">
        <v>3032</v>
      </c>
      <c r="H560" s="556" t="s">
        <v>4519</v>
      </c>
      <c r="I560" s="562">
        <v>45744</v>
      </c>
      <c r="J560" s="562">
        <v>45765</v>
      </c>
      <c r="K560" s="489" t="s">
        <v>18</v>
      </c>
      <c r="L560" s="523" t="s">
        <v>4407</v>
      </c>
      <c r="M560" s="556" t="s">
        <v>309</v>
      </c>
      <c r="N560" s="484"/>
      <c r="O560" s="484"/>
      <c r="P560" s="499">
        <v>500</v>
      </c>
      <c r="Q560" s="562">
        <v>45748</v>
      </c>
      <c r="R560" s="545">
        <v>45757</v>
      </c>
      <c r="S560" s="489"/>
      <c r="T560" s="545">
        <v>45764</v>
      </c>
      <c r="U560" s="592">
        <v>45775</v>
      </c>
      <c r="V560" s="249" t="s">
        <v>20</v>
      </c>
      <c r="W560" s="195">
        <f t="shared" si="26"/>
        <v>45786</v>
      </c>
      <c r="X560" s="588"/>
      <c r="Y560" s="523"/>
      <c r="Z560" s="588"/>
      <c r="AA560" s="588"/>
    </row>
    <row r="561" s="473" customFormat="1" ht="15.75" customHeight="1" spans="1:27">
      <c r="A561" s="494" t="s">
        <v>674</v>
      </c>
      <c r="B561" s="492" t="s">
        <v>4300</v>
      </c>
      <c r="C561" s="494" t="s">
        <v>4559</v>
      </c>
      <c r="D561" s="556" t="s">
        <v>4560</v>
      </c>
      <c r="E561" s="488"/>
      <c r="F561" s="489" t="s">
        <v>3979</v>
      </c>
      <c r="G561" s="494" t="s">
        <v>3137</v>
      </c>
      <c r="H561" s="494" t="s">
        <v>4496</v>
      </c>
      <c r="I561" s="195">
        <v>45737</v>
      </c>
      <c r="J561" s="562">
        <v>45766</v>
      </c>
      <c r="K561" s="494" t="s">
        <v>161</v>
      </c>
      <c r="L561" s="541" t="s">
        <v>3500</v>
      </c>
      <c r="M561" s="492" t="s">
        <v>679</v>
      </c>
      <c r="N561" s="484"/>
      <c r="O561" s="484">
        <v>9930.32</v>
      </c>
      <c r="P561" s="499"/>
      <c r="Q561" s="545">
        <v>45748</v>
      </c>
      <c r="R561" s="545">
        <v>45761</v>
      </c>
      <c r="S561" s="489"/>
      <c r="T561" s="545">
        <v>45762</v>
      </c>
      <c r="U561" s="592">
        <v>45776</v>
      </c>
      <c r="V561" s="249" t="s">
        <v>20</v>
      </c>
      <c r="W561" s="195">
        <f t="shared" si="26"/>
        <v>45787</v>
      </c>
      <c r="X561" s="588" t="s">
        <v>4561</v>
      </c>
      <c r="Y561" s="523"/>
      <c r="Z561" s="588"/>
      <c r="AA561" s="588"/>
    </row>
    <row r="562" s="473" customFormat="1" ht="15.75" customHeight="1" spans="1:27">
      <c r="A562" s="494" t="s">
        <v>559</v>
      </c>
      <c r="B562" s="492" t="s">
        <v>4300</v>
      </c>
      <c r="C562" s="494" t="s">
        <v>4562</v>
      </c>
      <c r="D562" s="492" t="s">
        <v>4563</v>
      </c>
      <c r="E562" s="488"/>
      <c r="F562" s="489" t="s">
        <v>3979</v>
      </c>
      <c r="G562" s="492" t="s">
        <v>3137</v>
      </c>
      <c r="H562" s="494" t="s">
        <v>4496</v>
      </c>
      <c r="I562" s="545">
        <v>45737</v>
      </c>
      <c r="J562" s="562">
        <v>45766</v>
      </c>
      <c r="K562" s="492" t="s">
        <v>161</v>
      </c>
      <c r="L562" s="523" t="s">
        <v>4430</v>
      </c>
      <c r="M562" s="492" t="s">
        <v>309</v>
      </c>
      <c r="N562" s="484"/>
      <c r="O562" s="484"/>
      <c r="P562" s="499"/>
      <c r="Q562" s="545">
        <v>45748</v>
      </c>
      <c r="R562" s="545">
        <v>45761</v>
      </c>
      <c r="S562" s="195">
        <v>45762</v>
      </c>
      <c r="T562" s="545">
        <v>45762</v>
      </c>
      <c r="U562" s="592">
        <v>45771</v>
      </c>
      <c r="V562" s="249" t="s">
        <v>20</v>
      </c>
      <c r="W562" s="195">
        <f t="shared" si="26"/>
        <v>45787</v>
      </c>
      <c r="X562" s="588" t="s">
        <v>4564</v>
      </c>
      <c r="Y562" s="523"/>
      <c r="Z562" s="588"/>
      <c r="AA562" s="588"/>
    </row>
    <row r="563" s="473" customFormat="1" ht="15.75" customHeight="1" spans="1:27">
      <c r="A563" s="587" t="s">
        <v>559</v>
      </c>
      <c r="B563" s="492" t="s">
        <v>4300</v>
      </c>
      <c r="C563" s="587" t="s">
        <v>4565</v>
      </c>
      <c r="D563" s="492" t="s">
        <v>4566</v>
      </c>
      <c r="E563" s="491"/>
      <c r="F563" s="492" t="s">
        <v>3979</v>
      </c>
      <c r="G563" s="587" t="s">
        <v>3079</v>
      </c>
      <c r="H563" s="587" t="s">
        <v>4567</v>
      </c>
      <c r="I563" s="545">
        <v>45757</v>
      </c>
      <c r="J563" s="562">
        <v>45768</v>
      </c>
      <c r="K563" s="492" t="s">
        <v>161</v>
      </c>
      <c r="L563" s="523" t="s">
        <v>4430</v>
      </c>
      <c r="M563" s="492" t="s">
        <v>309</v>
      </c>
      <c r="N563" s="484"/>
      <c r="O563" s="484"/>
      <c r="P563" s="499"/>
      <c r="Q563" s="545">
        <v>45763</v>
      </c>
      <c r="R563" s="545">
        <v>45763</v>
      </c>
      <c r="S563" s="492"/>
      <c r="T563" s="545">
        <v>45765</v>
      </c>
      <c r="U563" s="562">
        <v>45782</v>
      </c>
      <c r="V563" s="249" t="s">
        <v>20</v>
      </c>
      <c r="W563" s="545">
        <f t="shared" si="26"/>
        <v>45789</v>
      </c>
      <c r="X563" s="588" t="s">
        <v>4568</v>
      </c>
      <c r="Y563" s="523"/>
      <c r="Z563" s="588"/>
      <c r="AA563" s="588"/>
    </row>
    <row r="564" s="473" customFormat="1" ht="15.75" customHeight="1" spans="1:27">
      <c r="A564" s="492" t="s">
        <v>376</v>
      </c>
      <c r="B564" s="492" t="s">
        <v>4300</v>
      </c>
      <c r="C564" s="587" t="s">
        <v>4569</v>
      </c>
      <c r="D564" s="492" t="s">
        <v>4570</v>
      </c>
      <c r="E564" s="491"/>
      <c r="F564" s="492" t="s">
        <v>3979</v>
      </c>
      <c r="G564" s="492" t="s">
        <v>3067</v>
      </c>
      <c r="H564" s="587" t="s">
        <v>4571</v>
      </c>
      <c r="I564" s="593">
        <v>45745</v>
      </c>
      <c r="J564" s="593">
        <v>45768</v>
      </c>
      <c r="K564" s="492" t="s">
        <v>18</v>
      </c>
      <c r="L564" s="598" t="s">
        <v>4572</v>
      </c>
      <c r="M564" s="492" t="s">
        <v>4573</v>
      </c>
      <c r="N564" s="484"/>
      <c r="O564" s="484"/>
      <c r="P564" s="499">
        <v>500</v>
      </c>
      <c r="Q564" s="545">
        <v>45754</v>
      </c>
      <c r="R564" s="545">
        <v>45762</v>
      </c>
      <c r="S564" s="492"/>
      <c r="T564" s="545">
        <v>45764</v>
      </c>
      <c r="U564" s="592">
        <v>45775</v>
      </c>
      <c r="V564" s="249" t="s">
        <v>20</v>
      </c>
      <c r="W564" s="195">
        <f t="shared" si="26"/>
        <v>45789</v>
      </c>
      <c r="X564" s="588"/>
      <c r="Y564" s="523"/>
      <c r="Z564" s="588"/>
      <c r="AA564" s="588"/>
    </row>
    <row r="565" s="473" customFormat="1" ht="15.75" customHeight="1" spans="1:27">
      <c r="A565" s="492" t="s">
        <v>394</v>
      </c>
      <c r="B565" s="492" t="s">
        <v>4300</v>
      </c>
      <c r="C565" s="492" t="s">
        <v>4574</v>
      </c>
      <c r="D565" s="492" t="s">
        <v>4575</v>
      </c>
      <c r="E565" s="491"/>
      <c r="F565" s="492" t="s">
        <v>3979</v>
      </c>
      <c r="G565" s="492" t="s">
        <v>3067</v>
      </c>
      <c r="H565" s="492" t="s">
        <v>4571</v>
      </c>
      <c r="I565" s="545">
        <v>45745</v>
      </c>
      <c r="J565" s="593">
        <v>45768</v>
      </c>
      <c r="K565" s="492" t="s">
        <v>18</v>
      </c>
      <c r="L565" s="598" t="s">
        <v>4572</v>
      </c>
      <c r="M565" s="492" t="s">
        <v>4576</v>
      </c>
      <c r="N565" s="484"/>
      <c r="O565" s="484"/>
      <c r="P565" s="499">
        <v>500</v>
      </c>
      <c r="Q565" s="545">
        <v>45757</v>
      </c>
      <c r="R565" s="545">
        <v>45762</v>
      </c>
      <c r="S565" s="492"/>
      <c r="T565" s="545">
        <v>45769</v>
      </c>
      <c r="U565" s="592">
        <v>45776</v>
      </c>
      <c r="V565" s="249" t="s">
        <v>20</v>
      </c>
      <c r="W565" s="195">
        <f t="shared" si="26"/>
        <v>45789</v>
      </c>
      <c r="X565" s="588" t="s">
        <v>4577</v>
      </c>
      <c r="Y565" s="523"/>
      <c r="Z565" s="588"/>
      <c r="AA565" s="588"/>
    </row>
    <row r="566" s="473" customFormat="1" ht="15.75" customHeight="1" spans="1:27">
      <c r="A566" s="492" t="s">
        <v>376</v>
      </c>
      <c r="B566" s="492" t="s">
        <v>4300</v>
      </c>
      <c r="C566" s="587" t="s">
        <v>4578</v>
      </c>
      <c r="D566" s="492" t="s">
        <v>4579</v>
      </c>
      <c r="E566" s="491"/>
      <c r="F566" s="492" t="s">
        <v>3979</v>
      </c>
      <c r="G566" s="492" t="s">
        <v>3067</v>
      </c>
      <c r="H566" s="587" t="s">
        <v>4571</v>
      </c>
      <c r="I566" s="593">
        <v>45745</v>
      </c>
      <c r="J566" s="593">
        <v>45768</v>
      </c>
      <c r="K566" s="492" t="s">
        <v>18</v>
      </c>
      <c r="L566" s="523" t="s">
        <v>4572</v>
      </c>
      <c r="M566" s="492" t="s">
        <v>309</v>
      </c>
      <c r="N566" s="484"/>
      <c r="O566" s="484"/>
      <c r="P566" s="499">
        <v>500</v>
      </c>
      <c r="Q566" s="545">
        <v>45754</v>
      </c>
      <c r="R566" s="545">
        <v>45762</v>
      </c>
      <c r="S566" s="492"/>
      <c r="T566" s="545">
        <v>45764</v>
      </c>
      <c r="U566" s="592">
        <v>45775</v>
      </c>
      <c r="V566" s="249" t="s">
        <v>20</v>
      </c>
      <c r="W566" s="195">
        <f t="shared" si="26"/>
        <v>45789</v>
      </c>
      <c r="X566" s="588"/>
      <c r="Y566" s="523"/>
      <c r="Z566" s="588"/>
      <c r="AA566" s="588"/>
    </row>
    <row r="567" s="473" customFormat="1" ht="15.75" customHeight="1" spans="1:27">
      <c r="A567" s="492" t="s">
        <v>376</v>
      </c>
      <c r="B567" s="492" t="s">
        <v>4300</v>
      </c>
      <c r="C567" s="587" t="s">
        <v>4580</v>
      </c>
      <c r="D567" s="492" t="s">
        <v>4581</v>
      </c>
      <c r="E567" s="491"/>
      <c r="F567" s="492" t="s">
        <v>3979</v>
      </c>
      <c r="G567" s="492" t="s">
        <v>3067</v>
      </c>
      <c r="H567" s="587" t="s">
        <v>4571</v>
      </c>
      <c r="I567" s="593">
        <v>45745</v>
      </c>
      <c r="J567" s="593">
        <v>45768</v>
      </c>
      <c r="K567" s="492" t="s">
        <v>18</v>
      </c>
      <c r="L567" s="523" t="s">
        <v>4572</v>
      </c>
      <c r="M567" s="492" t="s">
        <v>309</v>
      </c>
      <c r="N567" s="484"/>
      <c r="O567" s="484"/>
      <c r="P567" s="499">
        <v>500</v>
      </c>
      <c r="Q567" s="545">
        <v>45757</v>
      </c>
      <c r="R567" s="545">
        <v>45762</v>
      </c>
      <c r="S567" s="492"/>
      <c r="T567" s="545">
        <v>45764</v>
      </c>
      <c r="U567" s="592">
        <v>45775</v>
      </c>
      <c r="V567" s="249" t="s">
        <v>20</v>
      </c>
      <c r="W567" s="195">
        <f t="shared" si="26"/>
        <v>45789</v>
      </c>
      <c r="X567" s="588"/>
      <c r="Y567" s="523"/>
      <c r="Z567" s="588"/>
      <c r="AA567" s="588"/>
    </row>
    <row r="568" s="473" customFormat="1" ht="15.75" customHeight="1" spans="1:27">
      <c r="A568" s="492" t="s">
        <v>579</v>
      </c>
      <c r="B568" s="492" t="s">
        <v>4300</v>
      </c>
      <c r="C568" s="587" t="s">
        <v>4582</v>
      </c>
      <c r="D568" s="594" t="s">
        <v>4583</v>
      </c>
      <c r="E568" s="491"/>
      <c r="F568" s="492" t="s">
        <v>3979</v>
      </c>
      <c r="G568" s="492" t="s">
        <v>3067</v>
      </c>
      <c r="H568" s="492" t="s">
        <v>4584</v>
      </c>
      <c r="I568" s="545">
        <v>45752</v>
      </c>
      <c r="J568" s="562">
        <v>45769</v>
      </c>
      <c r="K568" s="492" t="s">
        <v>18</v>
      </c>
      <c r="L568" s="559" t="s">
        <v>4407</v>
      </c>
      <c r="M568" s="492" t="s">
        <v>309</v>
      </c>
      <c r="N568" s="484"/>
      <c r="O568" s="484"/>
      <c r="P568" s="499">
        <v>500</v>
      </c>
      <c r="Q568" s="545">
        <v>45757</v>
      </c>
      <c r="R568" s="545">
        <v>45761</v>
      </c>
      <c r="S568" s="492"/>
      <c r="T568" s="545">
        <v>45764</v>
      </c>
      <c r="U568" s="545">
        <v>45777</v>
      </c>
      <c r="V568" s="249" t="s">
        <v>20</v>
      </c>
      <c r="W568" s="545">
        <f t="shared" si="26"/>
        <v>45790</v>
      </c>
      <c r="X568" s="588"/>
      <c r="Y568" s="523"/>
      <c r="Z568" s="588"/>
      <c r="AA568" s="588"/>
    </row>
    <row r="569" s="475" customFormat="1" customHeight="1" spans="1:27">
      <c r="A569" s="587" t="s">
        <v>2038</v>
      </c>
      <c r="B569" s="492" t="s">
        <v>4329</v>
      </c>
      <c r="C569" s="580" t="s">
        <v>4585</v>
      </c>
      <c r="D569" s="556" t="s">
        <v>4586</v>
      </c>
      <c r="E569" s="574"/>
      <c r="F569" s="556" t="s">
        <v>4018</v>
      </c>
      <c r="G569" s="556" t="s">
        <v>3032</v>
      </c>
      <c r="H569" s="556" t="s">
        <v>4508</v>
      </c>
      <c r="I569" s="597">
        <v>45750</v>
      </c>
      <c r="J569" s="597">
        <v>45770</v>
      </c>
      <c r="K569" s="492" t="s">
        <v>18</v>
      </c>
      <c r="L569" s="596" t="s">
        <v>4407</v>
      </c>
      <c r="M569" s="492" t="s">
        <v>309</v>
      </c>
      <c r="N569" s="484"/>
      <c r="O569" s="484"/>
      <c r="P569" s="499">
        <v>500</v>
      </c>
      <c r="Q569" s="545">
        <v>45755</v>
      </c>
      <c r="R569" s="562">
        <v>45764</v>
      </c>
      <c r="S569" s="492"/>
      <c r="T569" s="545">
        <v>45769</v>
      </c>
      <c r="U569" s="545">
        <v>45777</v>
      </c>
      <c r="V569" s="492" t="s">
        <v>20</v>
      </c>
      <c r="W569" s="545">
        <f t="shared" si="26"/>
        <v>45791</v>
      </c>
      <c r="X569" s="588"/>
      <c r="Y569" s="523"/>
      <c r="Z569" s="588"/>
      <c r="AA569" s="588"/>
    </row>
    <row r="570" s="477" customFormat="1" customHeight="1" spans="1:27">
      <c r="A570" s="492" t="s">
        <v>400</v>
      </c>
      <c r="B570" s="492" t="s">
        <v>4329</v>
      </c>
      <c r="C570" s="595" t="s">
        <v>4587</v>
      </c>
      <c r="D570" s="556" t="s">
        <v>4588</v>
      </c>
      <c r="E570" s="574"/>
      <c r="F570" s="556" t="s">
        <v>4018</v>
      </c>
      <c r="G570" s="556" t="s">
        <v>3032</v>
      </c>
      <c r="H570" s="556" t="s">
        <v>4508</v>
      </c>
      <c r="I570" s="597">
        <v>45750</v>
      </c>
      <c r="J570" s="597">
        <v>45770</v>
      </c>
      <c r="K570" s="492" t="s">
        <v>18</v>
      </c>
      <c r="L570" s="596" t="s">
        <v>4407</v>
      </c>
      <c r="M570" s="492" t="s">
        <v>309</v>
      </c>
      <c r="N570" s="484"/>
      <c r="O570" s="484"/>
      <c r="P570" s="499">
        <v>500</v>
      </c>
      <c r="Q570" s="545">
        <v>45755</v>
      </c>
      <c r="R570" s="562">
        <v>45764</v>
      </c>
      <c r="S570" s="492"/>
      <c r="T570" s="545">
        <v>45769</v>
      </c>
      <c r="U570" s="545">
        <v>45777</v>
      </c>
      <c r="V570" s="492" t="s">
        <v>20</v>
      </c>
      <c r="W570" s="545">
        <f t="shared" si="26"/>
        <v>45791</v>
      </c>
      <c r="X570" s="588"/>
      <c r="Y570" s="523"/>
      <c r="Z570" s="588"/>
      <c r="AA570" s="588"/>
    </row>
    <row r="571" s="475" customFormat="1" customHeight="1" spans="1:27">
      <c r="A571" s="492" t="s">
        <v>400</v>
      </c>
      <c r="B571" s="492" t="s">
        <v>4329</v>
      </c>
      <c r="C571" s="580" t="s">
        <v>4589</v>
      </c>
      <c r="D571" s="556" t="s">
        <v>4590</v>
      </c>
      <c r="E571" s="574"/>
      <c r="F571" s="556" t="s">
        <v>4018</v>
      </c>
      <c r="G571" s="556" t="s">
        <v>3032</v>
      </c>
      <c r="H571" s="556" t="s">
        <v>4508</v>
      </c>
      <c r="I571" s="597">
        <v>45750</v>
      </c>
      <c r="J571" s="597">
        <v>45770</v>
      </c>
      <c r="K571" s="492" t="s">
        <v>18</v>
      </c>
      <c r="L571" s="596" t="s">
        <v>4407</v>
      </c>
      <c r="M571" s="492" t="s">
        <v>309</v>
      </c>
      <c r="N571" s="484"/>
      <c r="O571" s="484"/>
      <c r="P571" s="499">
        <v>500</v>
      </c>
      <c r="Q571" s="545">
        <v>45755</v>
      </c>
      <c r="R571" s="562">
        <v>45764</v>
      </c>
      <c r="S571" s="492"/>
      <c r="T571" s="545">
        <v>45769</v>
      </c>
      <c r="U571" s="545">
        <v>45777</v>
      </c>
      <c r="V571" s="492" t="s">
        <v>20</v>
      </c>
      <c r="W571" s="545">
        <f t="shared" si="26"/>
        <v>45791</v>
      </c>
      <c r="X571" s="588"/>
      <c r="Y571" s="523"/>
      <c r="Z571" s="588"/>
      <c r="AA571" s="588"/>
    </row>
    <row r="572" s="475" customFormat="1" customHeight="1" spans="1:27">
      <c r="A572" s="492" t="s">
        <v>656</v>
      </c>
      <c r="B572" s="492" t="s">
        <v>4300</v>
      </c>
      <c r="C572" s="580" t="s">
        <v>4591</v>
      </c>
      <c r="D572" s="492" t="s">
        <v>4592</v>
      </c>
      <c r="E572" s="491"/>
      <c r="F572" s="556" t="s">
        <v>4018</v>
      </c>
      <c r="G572" s="492" t="s">
        <v>3032</v>
      </c>
      <c r="H572" s="556" t="s">
        <v>4508</v>
      </c>
      <c r="I572" s="593">
        <v>45750</v>
      </c>
      <c r="J572" s="597">
        <v>45770</v>
      </c>
      <c r="K572" s="492" t="s">
        <v>18</v>
      </c>
      <c r="L572" s="596" t="s">
        <v>3457</v>
      </c>
      <c r="M572" s="492" t="s">
        <v>309</v>
      </c>
      <c r="N572" s="484"/>
      <c r="O572" s="484"/>
      <c r="P572" s="499">
        <v>450</v>
      </c>
      <c r="Q572" s="545">
        <v>45756</v>
      </c>
      <c r="R572" s="562">
        <v>45764</v>
      </c>
      <c r="S572" s="492"/>
      <c r="T572" s="545">
        <v>45769</v>
      </c>
      <c r="U572" s="545">
        <v>45777</v>
      </c>
      <c r="V572" s="492" t="s">
        <v>20</v>
      </c>
      <c r="W572" s="545">
        <f t="shared" si="26"/>
        <v>45791</v>
      </c>
      <c r="X572" s="588"/>
      <c r="Y572" s="523"/>
      <c r="Z572" s="588"/>
      <c r="AA572" s="588"/>
    </row>
    <row r="573" s="475" customFormat="1" customHeight="1" spans="1:27">
      <c r="A573" s="492" t="s">
        <v>656</v>
      </c>
      <c r="B573" s="492" t="s">
        <v>4300</v>
      </c>
      <c r="C573" s="580" t="s">
        <v>4593</v>
      </c>
      <c r="D573" s="492" t="s">
        <v>4594</v>
      </c>
      <c r="E573" s="491"/>
      <c r="F573" s="556" t="s">
        <v>4018</v>
      </c>
      <c r="G573" s="492" t="s">
        <v>3032</v>
      </c>
      <c r="H573" s="556" t="s">
        <v>4508</v>
      </c>
      <c r="I573" s="593">
        <v>45750</v>
      </c>
      <c r="J573" s="597">
        <v>45770</v>
      </c>
      <c r="K573" s="492" t="s">
        <v>18</v>
      </c>
      <c r="L573" s="596" t="s">
        <v>3457</v>
      </c>
      <c r="M573" s="492" t="s">
        <v>309</v>
      </c>
      <c r="N573" s="484"/>
      <c r="O573" s="484"/>
      <c r="P573" s="499">
        <v>450</v>
      </c>
      <c r="Q573" s="545">
        <v>45756</v>
      </c>
      <c r="R573" s="562">
        <v>45764</v>
      </c>
      <c r="S573" s="492"/>
      <c r="T573" s="545">
        <v>45769</v>
      </c>
      <c r="U573" s="545">
        <v>45777</v>
      </c>
      <c r="V573" s="492" t="s">
        <v>20</v>
      </c>
      <c r="W573" s="545">
        <f t="shared" si="26"/>
        <v>45791</v>
      </c>
      <c r="X573" s="588"/>
      <c r="Y573" s="523"/>
      <c r="Z573" s="588"/>
      <c r="AA573" s="588"/>
    </row>
    <row r="574" s="475" customFormat="1" customHeight="1" spans="1:27">
      <c r="A574" s="587" t="s">
        <v>656</v>
      </c>
      <c r="B574" s="492" t="s">
        <v>4300</v>
      </c>
      <c r="C574" s="580" t="s">
        <v>4595</v>
      </c>
      <c r="D574" s="492" t="s">
        <v>4596</v>
      </c>
      <c r="E574" s="491"/>
      <c r="F574" s="556" t="s">
        <v>4018</v>
      </c>
      <c r="G574" s="587" t="s">
        <v>3032</v>
      </c>
      <c r="H574" s="556" t="s">
        <v>4508</v>
      </c>
      <c r="I574" s="593">
        <v>45750</v>
      </c>
      <c r="J574" s="597">
        <v>45770</v>
      </c>
      <c r="K574" s="492" t="s">
        <v>18</v>
      </c>
      <c r="L574" s="596" t="s">
        <v>4407</v>
      </c>
      <c r="M574" s="492" t="s">
        <v>309</v>
      </c>
      <c r="N574" s="484"/>
      <c r="O574" s="484"/>
      <c r="P574" s="499">
        <v>500</v>
      </c>
      <c r="Q574" s="545">
        <v>45756</v>
      </c>
      <c r="R574" s="562">
        <v>45764</v>
      </c>
      <c r="S574" s="492"/>
      <c r="T574" s="545">
        <v>45769</v>
      </c>
      <c r="U574" s="545">
        <v>45779</v>
      </c>
      <c r="V574" s="492" t="s">
        <v>20</v>
      </c>
      <c r="W574" s="545">
        <f t="shared" si="26"/>
        <v>45791</v>
      </c>
      <c r="X574" s="588"/>
      <c r="Y574" s="523"/>
      <c r="Z574" s="588"/>
      <c r="AA574" s="588"/>
    </row>
    <row r="575" s="475" customFormat="1" customHeight="1" spans="1:27">
      <c r="A575" s="587" t="s">
        <v>400</v>
      </c>
      <c r="B575" s="492" t="s">
        <v>4329</v>
      </c>
      <c r="C575" s="580" t="s">
        <v>4597</v>
      </c>
      <c r="D575" s="556" t="s">
        <v>4598</v>
      </c>
      <c r="E575" s="574"/>
      <c r="F575" s="556" t="s">
        <v>4018</v>
      </c>
      <c r="G575" s="556" t="s">
        <v>3032</v>
      </c>
      <c r="H575" s="556" t="s">
        <v>4508</v>
      </c>
      <c r="I575" s="597">
        <v>45750</v>
      </c>
      <c r="J575" s="597">
        <v>45770</v>
      </c>
      <c r="K575" s="492" t="s">
        <v>18</v>
      </c>
      <c r="L575" s="596" t="s">
        <v>4407</v>
      </c>
      <c r="M575" s="492" t="s">
        <v>309</v>
      </c>
      <c r="N575" s="484"/>
      <c r="O575" s="484"/>
      <c r="P575" s="499">
        <v>500</v>
      </c>
      <c r="Q575" s="545">
        <v>45755</v>
      </c>
      <c r="R575" s="562">
        <v>45764</v>
      </c>
      <c r="S575" s="492"/>
      <c r="T575" s="545">
        <v>45769</v>
      </c>
      <c r="U575" s="545">
        <v>45779</v>
      </c>
      <c r="V575" s="492" t="s">
        <v>20</v>
      </c>
      <c r="W575" s="545">
        <f t="shared" si="26"/>
        <v>45791</v>
      </c>
      <c r="X575" s="588"/>
      <c r="Y575" s="523"/>
      <c r="Z575" s="588"/>
      <c r="AA575" s="588"/>
    </row>
    <row r="576" s="475" customFormat="1" customHeight="1" spans="1:27">
      <c r="A576" s="587" t="s">
        <v>4363</v>
      </c>
      <c r="B576" s="492" t="s">
        <v>4329</v>
      </c>
      <c r="C576" s="580" t="s">
        <v>4599</v>
      </c>
      <c r="D576" s="556" t="s">
        <v>4600</v>
      </c>
      <c r="E576" s="574"/>
      <c r="F576" s="556" t="s">
        <v>4018</v>
      </c>
      <c r="G576" s="556" t="s">
        <v>3032</v>
      </c>
      <c r="H576" s="578" t="s">
        <v>4508</v>
      </c>
      <c r="I576" s="597">
        <v>45750</v>
      </c>
      <c r="J576" s="597">
        <v>45770</v>
      </c>
      <c r="K576" s="492" t="s">
        <v>18</v>
      </c>
      <c r="L576" s="596" t="s">
        <v>4407</v>
      </c>
      <c r="M576" s="492" t="s">
        <v>309</v>
      </c>
      <c r="N576" s="484"/>
      <c r="O576" s="484"/>
      <c r="P576" s="499">
        <v>500</v>
      </c>
      <c r="Q576" s="545">
        <v>45755</v>
      </c>
      <c r="R576" s="562">
        <v>45764</v>
      </c>
      <c r="S576" s="492"/>
      <c r="T576" s="545">
        <v>45769</v>
      </c>
      <c r="U576" s="545">
        <v>45779</v>
      </c>
      <c r="V576" s="492" t="s">
        <v>20</v>
      </c>
      <c r="W576" s="545">
        <f t="shared" si="26"/>
        <v>45791</v>
      </c>
      <c r="X576" s="588"/>
      <c r="Y576" s="523"/>
      <c r="Z576" s="588"/>
      <c r="AA576" s="588"/>
    </row>
    <row r="577" s="475" customFormat="1" customHeight="1" spans="1:27">
      <c r="A577" s="492" t="s">
        <v>400</v>
      </c>
      <c r="B577" s="492" t="s">
        <v>4329</v>
      </c>
      <c r="C577" s="580" t="s">
        <v>4601</v>
      </c>
      <c r="D577" s="556" t="s">
        <v>4602</v>
      </c>
      <c r="E577" s="574"/>
      <c r="F577" s="556" t="s">
        <v>4018</v>
      </c>
      <c r="G577" s="556" t="s">
        <v>3032</v>
      </c>
      <c r="H577" s="556" t="s">
        <v>4508</v>
      </c>
      <c r="I577" s="597">
        <v>45750</v>
      </c>
      <c r="J577" s="597">
        <v>45770</v>
      </c>
      <c r="K577" s="492" t="s">
        <v>18</v>
      </c>
      <c r="L577" s="596" t="s">
        <v>4407</v>
      </c>
      <c r="M577" s="492" t="s">
        <v>309</v>
      </c>
      <c r="N577" s="484"/>
      <c r="O577" s="484"/>
      <c r="P577" s="499">
        <v>500</v>
      </c>
      <c r="Q577" s="545">
        <v>45755</v>
      </c>
      <c r="R577" s="562">
        <v>45764</v>
      </c>
      <c r="S577" s="492"/>
      <c r="T577" s="545">
        <v>45769</v>
      </c>
      <c r="U577" s="545">
        <v>45779</v>
      </c>
      <c r="V577" s="492" t="s">
        <v>20</v>
      </c>
      <c r="W577" s="545">
        <f t="shared" si="26"/>
        <v>45791</v>
      </c>
      <c r="X577" s="588"/>
      <c r="Y577" s="523"/>
      <c r="Z577" s="588"/>
      <c r="AA577" s="588"/>
    </row>
    <row r="578" s="475" customFormat="1" customHeight="1" spans="1:27">
      <c r="A578" s="492" t="s">
        <v>400</v>
      </c>
      <c r="B578" s="492" t="s">
        <v>4329</v>
      </c>
      <c r="C578" s="580" t="s">
        <v>4603</v>
      </c>
      <c r="D578" s="556" t="s">
        <v>4604</v>
      </c>
      <c r="E578" s="574"/>
      <c r="F578" s="556" t="s">
        <v>4018</v>
      </c>
      <c r="G578" s="556" t="s">
        <v>3032</v>
      </c>
      <c r="H578" s="556" t="s">
        <v>4508</v>
      </c>
      <c r="I578" s="597">
        <v>45750</v>
      </c>
      <c r="J578" s="597">
        <v>45770</v>
      </c>
      <c r="K578" s="492" t="s">
        <v>18</v>
      </c>
      <c r="L578" s="596" t="s">
        <v>4407</v>
      </c>
      <c r="M578" s="492" t="s">
        <v>309</v>
      </c>
      <c r="N578" s="484"/>
      <c r="O578" s="484"/>
      <c r="P578" s="499">
        <v>500</v>
      </c>
      <c r="Q578" s="545">
        <v>45755</v>
      </c>
      <c r="R578" s="562">
        <v>45764</v>
      </c>
      <c r="S578" s="492"/>
      <c r="T578" s="545">
        <v>45769</v>
      </c>
      <c r="U578" s="545">
        <v>45779</v>
      </c>
      <c r="V578" s="492" t="s">
        <v>20</v>
      </c>
      <c r="W578" s="545">
        <f t="shared" si="26"/>
        <v>45791</v>
      </c>
      <c r="X578" s="588"/>
      <c r="Y578" s="523"/>
      <c r="Z578" s="588"/>
      <c r="AA578" s="588"/>
    </row>
    <row r="579" s="475" customFormat="1" customHeight="1" spans="1:27">
      <c r="A579" s="492" t="s">
        <v>400</v>
      </c>
      <c r="B579" s="492" t="s">
        <v>4329</v>
      </c>
      <c r="C579" s="580" t="s">
        <v>4605</v>
      </c>
      <c r="D579" s="492" t="s">
        <v>4606</v>
      </c>
      <c r="E579" s="491"/>
      <c r="F579" s="556" t="s">
        <v>4018</v>
      </c>
      <c r="G579" s="492" t="s">
        <v>3032</v>
      </c>
      <c r="H579" s="556" t="s">
        <v>4508</v>
      </c>
      <c r="I579" s="593">
        <v>45750</v>
      </c>
      <c r="J579" s="597">
        <v>45770</v>
      </c>
      <c r="K579" s="492" t="s">
        <v>18</v>
      </c>
      <c r="L579" s="596" t="s">
        <v>4407</v>
      </c>
      <c r="M579" s="492" t="s">
        <v>309</v>
      </c>
      <c r="N579" s="484"/>
      <c r="O579" s="484"/>
      <c r="P579" s="499">
        <v>500</v>
      </c>
      <c r="Q579" s="545">
        <v>45755</v>
      </c>
      <c r="R579" s="562">
        <v>45764</v>
      </c>
      <c r="S579" s="492"/>
      <c r="T579" s="545">
        <v>45769</v>
      </c>
      <c r="U579" s="545">
        <v>45779</v>
      </c>
      <c r="V579" s="492" t="s">
        <v>20</v>
      </c>
      <c r="W579" s="545">
        <f t="shared" si="26"/>
        <v>45791</v>
      </c>
      <c r="X579" s="588"/>
      <c r="Y579" s="523"/>
      <c r="Z579" s="588"/>
      <c r="AA579" s="588"/>
    </row>
    <row r="580" s="473" customFormat="1" ht="15.75" customHeight="1" spans="1:27">
      <c r="A580" s="587" t="s">
        <v>400</v>
      </c>
      <c r="B580" s="587" t="s">
        <v>4329</v>
      </c>
      <c r="C580" s="580" t="s">
        <v>4607</v>
      </c>
      <c r="D580" s="492" t="s">
        <v>4608</v>
      </c>
      <c r="E580" s="491"/>
      <c r="F580" s="556" t="s">
        <v>4018</v>
      </c>
      <c r="G580" s="492" t="s">
        <v>3032</v>
      </c>
      <c r="H580" s="556" t="s">
        <v>4508</v>
      </c>
      <c r="I580" s="593">
        <v>45750</v>
      </c>
      <c r="J580" s="597">
        <v>45770</v>
      </c>
      <c r="K580" s="492" t="s">
        <v>18</v>
      </c>
      <c r="L580" s="596" t="s">
        <v>4407</v>
      </c>
      <c r="M580" s="492" t="s">
        <v>309</v>
      </c>
      <c r="N580" s="484"/>
      <c r="O580" s="484"/>
      <c r="P580" s="499">
        <v>500</v>
      </c>
      <c r="Q580" s="545">
        <v>45755</v>
      </c>
      <c r="R580" s="562">
        <v>45764</v>
      </c>
      <c r="S580" s="492"/>
      <c r="T580" s="545">
        <v>45769</v>
      </c>
      <c r="U580" s="545">
        <v>45779</v>
      </c>
      <c r="V580" s="492" t="s">
        <v>20</v>
      </c>
      <c r="W580" s="545">
        <f t="shared" si="26"/>
        <v>45791</v>
      </c>
      <c r="X580" s="588"/>
      <c r="Y580" s="523"/>
      <c r="Z580" s="588"/>
      <c r="AA580" s="588"/>
    </row>
    <row r="581" s="475" customFormat="1" customHeight="1" spans="1:27">
      <c r="A581" s="492" t="s">
        <v>400</v>
      </c>
      <c r="B581" s="492" t="s">
        <v>4329</v>
      </c>
      <c r="C581" s="595" t="s">
        <v>4609</v>
      </c>
      <c r="D581" s="492" t="s">
        <v>4610</v>
      </c>
      <c r="E581" s="491"/>
      <c r="F581" s="556" t="s">
        <v>4018</v>
      </c>
      <c r="G581" s="593" t="s">
        <v>3032</v>
      </c>
      <c r="H581" s="556" t="s">
        <v>4508</v>
      </c>
      <c r="I581" s="597">
        <v>45750</v>
      </c>
      <c r="J581" s="597">
        <v>45770</v>
      </c>
      <c r="K581" s="492" t="s">
        <v>18</v>
      </c>
      <c r="L581" s="596" t="s">
        <v>4407</v>
      </c>
      <c r="M581" s="492" t="s">
        <v>309</v>
      </c>
      <c r="N581" s="484"/>
      <c r="O581" s="484"/>
      <c r="P581" s="499">
        <v>500</v>
      </c>
      <c r="Q581" s="545">
        <v>45756</v>
      </c>
      <c r="R581" s="562">
        <v>45764</v>
      </c>
      <c r="S581" s="492"/>
      <c r="T581" s="545">
        <v>45769</v>
      </c>
      <c r="U581" s="545">
        <v>45782</v>
      </c>
      <c r="V581" s="492" t="s">
        <v>20</v>
      </c>
      <c r="W581" s="545">
        <f t="shared" si="26"/>
        <v>45791</v>
      </c>
      <c r="X581" s="588"/>
      <c r="Y581" s="523"/>
      <c r="Z581" s="588"/>
      <c r="AA581" s="588"/>
    </row>
    <row r="582" s="475" customFormat="1" customHeight="1" spans="1:27">
      <c r="A582" s="492" t="s">
        <v>400</v>
      </c>
      <c r="B582" s="492" t="s">
        <v>4329</v>
      </c>
      <c r="C582" s="580" t="s">
        <v>4611</v>
      </c>
      <c r="D582" s="492" t="s">
        <v>4612</v>
      </c>
      <c r="E582" s="491"/>
      <c r="F582" s="556" t="s">
        <v>4018</v>
      </c>
      <c r="G582" s="492" t="s">
        <v>3032</v>
      </c>
      <c r="H582" s="556" t="s">
        <v>4508</v>
      </c>
      <c r="I582" s="593">
        <v>45750</v>
      </c>
      <c r="J582" s="597">
        <v>45770</v>
      </c>
      <c r="K582" s="492" t="s">
        <v>18</v>
      </c>
      <c r="L582" s="596" t="s">
        <v>4407</v>
      </c>
      <c r="M582" s="492" t="s">
        <v>309</v>
      </c>
      <c r="N582" s="484"/>
      <c r="O582" s="484"/>
      <c r="P582" s="499">
        <v>500</v>
      </c>
      <c r="Q582" s="545">
        <v>45755</v>
      </c>
      <c r="R582" s="562">
        <v>45764</v>
      </c>
      <c r="S582" s="492"/>
      <c r="T582" s="545">
        <v>45769</v>
      </c>
      <c r="U582" s="545">
        <v>45782</v>
      </c>
      <c r="V582" s="492" t="s">
        <v>20</v>
      </c>
      <c r="W582" s="545">
        <f t="shared" si="26"/>
        <v>45791</v>
      </c>
      <c r="X582" s="588"/>
      <c r="Y582" s="523"/>
      <c r="Z582" s="588"/>
      <c r="AA582" s="588"/>
    </row>
    <row r="583" s="473" customFormat="1" ht="15.75" customHeight="1" spans="1:27">
      <c r="A583" s="492" t="s">
        <v>400</v>
      </c>
      <c r="B583" s="492" t="s">
        <v>4329</v>
      </c>
      <c r="C583" s="595" t="s">
        <v>4613</v>
      </c>
      <c r="D583" s="492" t="s">
        <v>4614</v>
      </c>
      <c r="E583" s="491"/>
      <c r="F583" s="556" t="s">
        <v>4018</v>
      </c>
      <c r="G583" s="492" t="s">
        <v>3032</v>
      </c>
      <c r="H583" s="556" t="s">
        <v>4508</v>
      </c>
      <c r="I583" s="597">
        <v>45750</v>
      </c>
      <c r="J583" s="597">
        <v>45770</v>
      </c>
      <c r="K583" s="492" t="s">
        <v>18</v>
      </c>
      <c r="L583" s="596" t="s">
        <v>4407</v>
      </c>
      <c r="M583" s="492" t="s">
        <v>309</v>
      </c>
      <c r="N583" s="484"/>
      <c r="O583" s="484"/>
      <c r="P583" s="499">
        <v>500</v>
      </c>
      <c r="Q583" s="545">
        <v>45756</v>
      </c>
      <c r="R583" s="562">
        <v>45764</v>
      </c>
      <c r="S583" s="492"/>
      <c r="T583" s="545">
        <v>45769</v>
      </c>
      <c r="U583" s="545">
        <v>45782</v>
      </c>
      <c r="V583" s="492" t="s">
        <v>20</v>
      </c>
      <c r="W583" s="545">
        <f t="shared" si="26"/>
        <v>45791</v>
      </c>
      <c r="X583" s="588"/>
      <c r="Y583" s="523"/>
      <c r="Z583" s="588"/>
      <c r="AA583" s="588"/>
    </row>
    <row r="584" s="473" customFormat="1" ht="15.75" customHeight="1" spans="1:27">
      <c r="A584" s="492" t="s">
        <v>736</v>
      </c>
      <c r="B584" s="492" t="s">
        <v>4300</v>
      </c>
      <c r="C584" s="492" t="s">
        <v>4615</v>
      </c>
      <c r="D584" s="492" t="s">
        <v>4616</v>
      </c>
      <c r="E584" s="491"/>
      <c r="F584" s="492" t="s">
        <v>3979</v>
      </c>
      <c r="G584" s="492" t="s">
        <v>3079</v>
      </c>
      <c r="H584" s="606" t="s">
        <v>4617</v>
      </c>
      <c r="I584" s="545">
        <v>45748</v>
      </c>
      <c r="J584" s="562">
        <v>45770</v>
      </c>
      <c r="K584" s="492" t="s">
        <v>207</v>
      </c>
      <c r="L584" s="559" t="s">
        <v>4051</v>
      </c>
      <c r="M584" s="492" t="s">
        <v>4618</v>
      </c>
      <c r="N584" s="484"/>
      <c r="O584" s="484"/>
      <c r="P584" s="499"/>
      <c r="Q584" s="545">
        <v>45757</v>
      </c>
      <c r="R584" s="562">
        <v>45764</v>
      </c>
      <c r="S584" s="492"/>
      <c r="T584" s="545">
        <v>45769</v>
      </c>
      <c r="U584" s="545">
        <v>45776</v>
      </c>
      <c r="V584" s="492" t="s">
        <v>20</v>
      </c>
      <c r="W584" s="545">
        <f>J584+14</f>
        <v>45784</v>
      </c>
      <c r="X584" s="588" t="s">
        <v>4619</v>
      </c>
      <c r="Y584" s="523"/>
      <c r="Z584" s="588"/>
      <c r="AA584" s="588"/>
    </row>
    <row r="585" s="473" customFormat="1" ht="15.75" customHeight="1" spans="1:27">
      <c r="A585" s="587" t="s">
        <v>656</v>
      </c>
      <c r="B585" s="492" t="s">
        <v>4300</v>
      </c>
      <c r="C585" s="587" t="s">
        <v>4620</v>
      </c>
      <c r="D585" s="594" t="s">
        <v>4621</v>
      </c>
      <c r="E585" s="491"/>
      <c r="F585" s="492" t="s">
        <v>3979</v>
      </c>
      <c r="G585" s="587" t="s">
        <v>3137</v>
      </c>
      <c r="H585" s="587" t="s">
        <v>4622</v>
      </c>
      <c r="I585" s="545">
        <v>45744</v>
      </c>
      <c r="J585" s="597">
        <v>45771</v>
      </c>
      <c r="K585" s="492" t="s">
        <v>18</v>
      </c>
      <c r="L585" s="586" t="s">
        <v>4407</v>
      </c>
      <c r="M585" s="492" t="s">
        <v>4623</v>
      </c>
      <c r="N585" s="484"/>
      <c r="O585" s="484"/>
      <c r="P585" s="499">
        <v>500</v>
      </c>
      <c r="Q585" s="545">
        <v>45757</v>
      </c>
      <c r="R585" s="545">
        <v>45764</v>
      </c>
      <c r="S585" s="492"/>
      <c r="T585" s="545">
        <v>45769</v>
      </c>
      <c r="U585" s="545">
        <v>45777</v>
      </c>
      <c r="V585" s="492" t="s">
        <v>20</v>
      </c>
      <c r="W585" s="545">
        <f>J585+21</f>
        <v>45792</v>
      </c>
      <c r="X585" s="588" t="s">
        <v>4624</v>
      </c>
      <c r="Y585" s="523"/>
      <c r="Z585" s="588"/>
      <c r="AA585" s="588"/>
    </row>
    <row r="586" s="473" customFormat="1" ht="15.75" customHeight="1" spans="1:27">
      <c r="A586" s="492" t="s">
        <v>656</v>
      </c>
      <c r="B586" s="492" t="s">
        <v>4300</v>
      </c>
      <c r="C586" s="587" t="s">
        <v>4625</v>
      </c>
      <c r="D586" s="492" t="s">
        <v>4626</v>
      </c>
      <c r="E586" s="491"/>
      <c r="F586" s="492" t="s">
        <v>3979</v>
      </c>
      <c r="G586" s="587" t="s">
        <v>3137</v>
      </c>
      <c r="H586" s="587" t="s">
        <v>4622</v>
      </c>
      <c r="I586" s="545">
        <v>45744</v>
      </c>
      <c r="J586" s="597">
        <v>45771</v>
      </c>
      <c r="K586" s="492" t="s">
        <v>18</v>
      </c>
      <c r="L586" s="586" t="s">
        <v>4407</v>
      </c>
      <c r="M586" s="492" t="s">
        <v>309</v>
      </c>
      <c r="N586" s="497"/>
      <c r="O586" s="497"/>
      <c r="P586" s="608">
        <v>500</v>
      </c>
      <c r="Q586" s="545">
        <v>45763</v>
      </c>
      <c r="R586" s="545">
        <v>45764</v>
      </c>
      <c r="S586" s="492"/>
      <c r="T586" s="545">
        <v>45769</v>
      </c>
      <c r="U586" s="545">
        <v>45777</v>
      </c>
      <c r="V586" s="492" t="s">
        <v>20</v>
      </c>
      <c r="W586" s="545">
        <f>J586+21</f>
        <v>45792</v>
      </c>
      <c r="X586" s="588" t="s">
        <v>4624</v>
      </c>
      <c r="Y586" s="523"/>
      <c r="Z586" s="588"/>
      <c r="AA586" s="588"/>
    </row>
    <row r="587" s="473" customFormat="1" ht="15.75" customHeight="1" spans="1:27">
      <c r="A587" s="587" t="s">
        <v>710</v>
      </c>
      <c r="B587" s="492" t="s">
        <v>4300</v>
      </c>
      <c r="C587" s="587" t="s">
        <v>4627</v>
      </c>
      <c r="D587" s="492" t="s">
        <v>4628</v>
      </c>
      <c r="E587" s="491"/>
      <c r="F587" s="492" t="s">
        <v>3979</v>
      </c>
      <c r="G587" s="587" t="s">
        <v>3137</v>
      </c>
      <c r="H587" s="587" t="s">
        <v>4627</v>
      </c>
      <c r="I587" s="545">
        <v>45744</v>
      </c>
      <c r="J587" s="597">
        <v>45771</v>
      </c>
      <c r="K587" s="492" t="s">
        <v>18</v>
      </c>
      <c r="L587" s="559" t="s">
        <v>4407</v>
      </c>
      <c r="M587" s="492" t="s">
        <v>4629</v>
      </c>
      <c r="N587" s="497"/>
      <c r="O587" s="497"/>
      <c r="P587" s="608">
        <v>500</v>
      </c>
      <c r="Q587" s="545">
        <v>45757</v>
      </c>
      <c r="R587" s="545">
        <v>45764</v>
      </c>
      <c r="S587" s="492"/>
      <c r="T587" s="545">
        <v>45769</v>
      </c>
      <c r="U587" s="545">
        <v>45777</v>
      </c>
      <c r="V587" s="492" t="s">
        <v>20</v>
      </c>
      <c r="W587" s="545">
        <f>J587+21</f>
        <v>45792</v>
      </c>
      <c r="X587" s="588" t="s">
        <v>4630</v>
      </c>
      <c r="Y587" s="523"/>
      <c r="Z587" s="588"/>
      <c r="AA587" s="588"/>
    </row>
    <row r="588" s="473" customFormat="1" ht="15.75" customHeight="1" spans="1:27">
      <c r="A588" s="492" t="s">
        <v>736</v>
      </c>
      <c r="B588" s="492" t="s">
        <v>4300</v>
      </c>
      <c r="C588" s="494" t="s">
        <v>4631</v>
      </c>
      <c r="D588" s="492" t="s">
        <v>4632</v>
      </c>
      <c r="E588" s="488"/>
      <c r="F588" s="489" t="s">
        <v>3979</v>
      </c>
      <c r="G588" s="494" t="s">
        <v>3079</v>
      </c>
      <c r="H588" s="556" t="s">
        <v>4633</v>
      </c>
      <c r="I588" s="545">
        <v>45750</v>
      </c>
      <c r="J588" s="562">
        <v>45772</v>
      </c>
      <c r="K588" s="492" t="s">
        <v>207</v>
      </c>
      <c r="L588" s="559" t="s">
        <v>4634</v>
      </c>
      <c r="M588" s="556" t="s">
        <v>4635</v>
      </c>
      <c r="N588" s="497"/>
      <c r="O588" s="497"/>
      <c r="P588" s="608"/>
      <c r="Q588" s="545">
        <v>45757</v>
      </c>
      <c r="R588" s="545">
        <v>45768</v>
      </c>
      <c r="S588" s="489"/>
      <c r="T588" s="545">
        <v>45769</v>
      </c>
      <c r="U588" s="562">
        <v>45793</v>
      </c>
      <c r="V588" s="556" t="s">
        <v>20</v>
      </c>
      <c r="W588" s="545">
        <v>45785</v>
      </c>
      <c r="X588" s="588" t="s">
        <v>4636</v>
      </c>
      <c r="Y588" s="523"/>
      <c r="Z588" s="588"/>
      <c r="AA588" s="588"/>
    </row>
    <row r="589" s="473" customFormat="1" ht="15.75" customHeight="1" spans="1:27">
      <c r="A589" s="494" t="s">
        <v>736</v>
      </c>
      <c r="B589" s="494" t="s">
        <v>4300</v>
      </c>
      <c r="C589" s="494" t="s">
        <v>4637</v>
      </c>
      <c r="D589" s="492" t="s">
        <v>4638</v>
      </c>
      <c r="E589" s="488"/>
      <c r="F589" s="489" t="s">
        <v>3979</v>
      </c>
      <c r="G589" s="494" t="s">
        <v>3079</v>
      </c>
      <c r="H589" s="554" t="s">
        <v>4633</v>
      </c>
      <c r="I589" s="195">
        <v>45750</v>
      </c>
      <c r="J589" s="562">
        <v>45772</v>
      </c>
      <c r="K589" s="492" t="s">
        <v>207</v>
      </c>
      <c r="L589" s="559" t="s">
        <v>4634</v>
      </c>
      <c r="M589" s="556" t="s">
        <v>4639</v>
      </c>
      <c r="N589" s="497"/>
      <c r="O589" s="497"/>
      <c r="P589" s="608"/>
      <c r="Q589" s="545">
        <v>45757</v>
      </c>
      <c r="R589" s="545">
        <v>45768</v>
      </c>
      <c r="S589" s="489"/>
      <c r="T589" s="195">
        <v>45769</v>
      </c>
      <c r="U589" s="562">
        <v>45793</v>
      </c>
      <c r="V589" s="556" t="s">
        <v>20</v>
      </c>
      <c r="W589" s="545">
        <v>45785</v>
      </c>
      <c r="X589" s="588" t="s">
        <v>4640</v>
      </c>
      <c r="Y589" s="523"/>
      <c r="Z589" s="588"/>
      <c r="AA589" s="588"/>
    </row>
    <row r="590" s="473" customFormat="1" ht="15.75" customHeight="1" spans="1:27">
      <c r="A590" s="492" t="s">
        <v>656</v>
      </c>
      <c r="B590" s="492" t="s">
        <v>4300</v>
      </c>
      <c r="C590" s="494" t="s">
        <v>4641</v>
      </c>
      <c r="D590" s="492" t="s">
        <v>4642</v>
      </c>
      <c r="E590" s="488"/>
      <c r="F590" s="489" t="s">
        <v>3979</v>
      </c>
      <c r="G590" s="492" t="s">
        <v>3067</v>
      </c>
      <c r="H590" s="494" t="s">
        <v>4567</v>
      </c>
      <c r="I590" s="545">
        <v>45757</v>
      </c>
      <c r="J590" s="597">
        <v>45772</v>
      </c>
      <c r="K590" s="492" t="s">
        <v>18</v>
      </c>
      <c r="L590" s="559" t="s">
        <v>4407</v>
      </c>
      <c r="M590" s="492" t="s">
        <v>309</v>
      </c>
      <c r="N590" s="497"/>
      <c r="O590" s="497"/>
      <c r="P590" s="608">
        <v>500</v>
      </c>
      <c r="Q590" s="545">
        <v>45764</v>
      </c>
      <c r="R590" s="562">
        <v>45764</v>
      </c>
      <c r="S590" s="489"/>
      <c r="T590" s="545">
        <v>45770</v>
      </c>
      <c r="U590" s="545">
        <v>45779</v>
      </c>
      <c r="V590" s="492" t="s">
        <v>20</v>
      </c>
      <c r="W590" s="545">
        <f>J590+21</f>
        <v>45793</v>
      </c>
      <c r="X590" s="588"/>
      <c r="Y590" s="523"/>
      <c r="Z590" s="588"/>
      <c r="AA590" s="588"/>
    </row>
    <row r="591" s="473" customFormat="1" ht="15.75" customHeight="1" spans="1:27">
      <c r="A591" s="494" t="s">
        <v>852</v>
      </c>
      <c r="B591" s="492" t="s">
        <v>4300</v>
      </c>
      <c r="C591" s="494" t="s">
        <v>4643</v>
      </c>
      <c r="D591" s="556" t="s">
        <v>4644</v>
      </c>
      <c r="E591" s="488"/>
      <c r="F591" s="489" t="s">
        <v>3979</v>
      </c>
      <c r="G591" s="492" t="s">
        <v>3079</v>
      </c>
      <c r="H591" s="494" t="s">
        <v>4567</v>
      </c>
      <c r="I591" s="545">
        <v>45757</v>
      </c>
      <c r="J591" s="562">
        <v>45772</v>
      </c>
      <c r="K591" s="492" t="s">
        <v>18</v>
      </c>
      <c r="L591" s="541" t="s">
        <v>3452</v>
      </c>
      <c r="M591" s="492" t="s">
        <v>858</v>
      </c>
      <c r="N591" s="497"/>
      <c r="O591" s="497"/>
      <c r="P591" s="608"/>
      <c r="Q591" s="545">
        <v>45763</v>
      </c>
      <c r="R591" s="545">
        <v>45763</v>
      </c>
      <c r="S591" s="489"/>
      <c r="T591" s="545">
        <v>45769</v>
      </c>
      <c r="U591" s="562">
        <v>45779</v>
      </c>
      <c r="V591" s="492" t="s">
        <v>20</v>
      </c>
      <c r="W591" s="545">
        <f>J591+21</f>
        <v>45793</v>
      </c>
      <c r="X591" s="588" t="s">
        <v>4645</v>
      </c>
      <c r="Y591" s="523"/>
      <c r="Z591" s="588"/>
      <c r="AA591" s="588"/>
    </row>
    <row r="592" s="473" customFormat="1" ht="15.75" customHeight="1" spans="1:27">
      <c r="A592" s="494" t="s">
        <v>400</v>
      </c>
      <c r="B592" s="492" t="s">
        <v>4300</v>
      </c>
      <c r="C592" s="494" t="s">
        <v>4646</v>
      </c>
      <c r="D592" s="492" t="s">
        <v>4647</v>
      </c>
      <c r="E592" s="488"/>
      <c r="F592" s="489" t="s">
        <v>3979</v>
      </c>
      <c r="G592" s="494" t="s">
        <v>3079</v>
      </c>
      <c r="H592" s="554" t="s">
        <v>4633</v>
      </c>
      <c r="I592" s="195">
        <v>45750</v>
      </c>
      <c r="J592" s="562">
        <v>45773</v>
      </c>
      <c r="K592" s="492" t="s">
        <v>207</v>
      </c>
      <c r="L592" s="559" t="s">
        <v>3069</v>
      </c>
      <c r="M592" s="492" t="s">
        <v>783</v>
      </c>
      <c r="N592" s="497"/>
      <c r="O592" s="497"/>
      <c r="P592" s="608"/>
      <c r="Q592" s="545">
        <v>45757</v>
      </c>
      <c r="R592" s="545">
        <v>45768</v>
      </c>
      <c r="S592" s="489"/>
      <c r="T592" s="195">
        <v>45769</v>
      </c>
      <c r="U592" s="545">
        <v>45778</v>
      </c>
      <c r="V592" s="492" t="s">
        <v>20</v>
      </c>
      <c r="W592" s="545">
        <v>45786</v>
      </c>
      <c r="X592" s="588"/>
      <c r="Y592" s="523"/>
      <c r="Z592" s="588"/>
      <c r="AA592" s="588"/>
    </row>
    <row r="593" s="473" customFormat="1" ht="15.75" customHeight="1" spans="1:27">
      <c r="A593" s="587" t="s">
        <v>778</v>
      </c>
      <c r="B593" s="492" t="s">
        <v>4300</v>
      </c>
      <c r="C593" s="587" t="s">
        <v>4648</v>
      </c>
      <c r="D593" s="492" t="s">
        <v>4649</v>
      </c>
      <c r="E593" s="491"/>
      <c r="F593" s="492" t="s">
        <v>3979</v>
      </c>
      <c r="G593" s="587" t="s">
        <v>4235</v>
      </c>
      <c r="H593" s="578" t="s">
        <v>4650</v>
      </c>
      <c r="I593" s="545">
        <v>45754</v>
      </c>
      <c r="J593" s="562">
        <v>45773</v>
      </c>
      <c r="K593" s="492" t="s">
        <v>161</v>
      </c>
      <c r="L593" s="523" t="s">
        <v>4430</v>
      </c>
      <c r="M593" s="492" t="s">
        <v>309</v>
      </c>
      <c r="N593" s="497"/>
      <c r="O593" s="497"/>
      <c r="P593" s="608"/>
      <c r="Q593" s="545">
        <v>45768</v>
      </c>
      <c r="R593" s="545">
        <v>45768</v>
      </c>
      <c r="S593" s="492"/>
      <c r="T593" s="545">
        <v>45770</v>
      </c>
      <c r="U593" s="562">
        <v>45784</v>
      </c>
      <c r="V593" s="492" t="s">
        <v>20</v>
      </c>
      <c r="W593" s="545">
        <f t="shared" ref="W593:W637" si="27">J593+21</f>
        <v>45794</v>
      </c>
      <c r="X593" s="586" t="s">
        <v>4651</v>
      </c>
      <c r="Y593" s="523"/>
      <c r="Z593" s="588"/>
      <c r="AA593" s="588"/>
    </row>
    <row r="594" s="473" customFormat="1" ht="15.75" customHeight="1" spans="1:27">
      <c r="A594" s="587" t="s">
        <v>674</v>
      </c>
      <c r="B594" s="492" t="s">
        <v>4300</v>
      </c>
      <c r="C594" s="587" t="s">
        <v>4652</v>
      </c>
      <c r="D594" s="492" t="s">
        <v>4653</v>
      </c>
      <c r="E594" s="491"/>
      <c r="F594" s="492" t="s">
        <v>3979</v>
      </c>
      <c r="G594" s="587" t="s">
        <v>3137</v>
      </c>
      <c r="H594" s="587" t="s">
        <v>4622</v>
      </c>
      <c r="I594" s="545">
        <v>45744</v>
      </c>
      <c r="J594" s="609">
        <v>45777</v>
      </c>
      <c r="K594" s="556" t="s">
        <v>161</v>
      </c>
      <c r="L594" s="541" t="s">
        <v>3500</v>
      </c>
      <c r="M594" s="492" t="s">
        <v>728</v>
      </c>
      <c r="N594" s="497"/>
      <c r="O594" s="497"/>
      <c r="P594" s="608"/>
      <c r="Q594" s="545">
        <v>45757</v>
      </c>
      <c r="R594" s="562">
        <v>45764</v>
      </c>
      <c r="S594" s="492"/>
      <c r="T594" s="545">
        <v>45769</v>
      </c>
      <c r="U594" s="545">
        <v>45784</v>
      </c>
      <c r="V594" s="492" t="s">
        <v>20</v>
      </c>
      <c r="W594" s="545">
        <f t="shared" si="27"/>
        <v>45798</v>
      </c>
      <c r="X594" s="588" t="s">
        <v>4654</v>
      </c>
      <c r="Y594" s="523"/>
      <c r="Z594" s="588"/>
      <c r="AA594" s="588"/>
    </row>
    <row r="595" s="473" customFormat="1" ht="15.75" customHeight="1" spans="1:27">
      <c r="A595" s="492" t="s">
        <v>579</v>
      </c>
      <c r="B595" s="492" t="s">
        <v>4300</v>
      </c>
      <c r="C595" s="580" t="s">
        <v>4655</v>
      </c>
      <c r="D595" s="492" t="s">
        <v>4656</v>
      </c>
      <c r="E595" s="486"/>
      <c r="F595" s="587" t="s">
        <v>309</v>
      </c>
      <c r="G595" s="587" t="s">
        <v>3032</v>
      </c>
      <c r="H595" s="578" t="s">
        <v>4657</v>
      </c>
      <c r="I595" s="545">
        <v>45754</v>
      </c>
      <c r="J595" s="562">
        <v>45777</v>
      </c>
      <c r="K595" s="492" t="s">
        <v>18</v>
      </c>
      <c r="L595" s="559" t="s">
        <v>309</v>
      </c>
      <c r="M595" s="492" t="s">
        <v>4658</v>
      </c>
      <c r="N595" s="497"/>
      <c r="O595" s="497"/>
      <c r="P595" s="608"/>
      <c r="Q595" s="545">
        <v>45764</v>
      </c>
      <c r="R595" s="492" t="s">
        <v>309</v>
      </c>
      <c r="S595" s="587" t="s">
        <v>309</v>
      </c>
      <c r="T595" s="587" t="s">
        <v>309</v>
      </c>
      <c r="U595" s="587" t="s">
        <v>309</v>
      </c>
      <c r="V595" s="587" t="s">
        <v>309</v>
      </c>
      <c r="W595" s="545">
        <f t="shared" si="27"/>
        <v>45798</v>
      </c>
      <c r="X595" s="588"/>
      <c r="Y595" s="523"/>
      <c r="Z595" s="588"/>
      <c r="AA595" s="588"/>
    </row>
    <row r="596" s="473" customFormat="1" ht="15.75" customHeight="1" spans="1:27">
      <c r="A596" s="492" t="s">
        <v>579</v>
      </c>
      <c r="B596" s="492" t="s">
        <v>4300</v>
      </c>
      <c r="C596" s="580" t="s">
        <v>4655</v>
      </c>
      <c r="D596" s="492" t="s">
        <v>4659</v>
      </c>
      <c r="E596" s="486"/>
      <c r="F596" s="587" t="s">
        <v>309</v>
      </c>
      <c r="G596" s="492" t="s">
        <v>3032</v>
      </c>
      <c r="H596" s="556" t="s">
        <v>4657</v>
      </c>
      <c r="I596" s="545">
        <v>45754</v>
      </c>
      <c r="J596" s="562">
        <v>45777</v>
      </c>
      <c r="K596" s="492" t="s">
        <v>18</v>
      </c>
      <c r="L596" s="559" t="s">
        <v>309</v>
      </c>
      <c r="M596" s="492" t="s">
        <v>4660</v>
      </c>
      <c r="N596" s="497"/>
      <c r="O596" s="497"/>
      <c r="P596" s="608"/>
      <c r="Q596" s="545">
        <v>45764</v>
      </c>
      <c r="R596" s="492" t="s">
        <v>309</v>
      </c>
      <c r="S596" s="587" t="s">
        <v>309</v>
      </c>
      <c r="T596" s="587" t="s">
        <v>309</v>
      </c>
      <c r="U596" s="587" t="s">
        <v>309</v>
      </c>
      <c r="V596" s="587" t="s">
        <v>309</v>
      </c>
      <c r="W596" s="545">
        <f t="shared" si="27"/>
        <v>45798</v>
      </c>
      <c r="X596" s="588"/>
      <c r="Y596" s="523"/>
      <c r="Z596" s="588"/>
      <c r="AA596" s="588"/>
    </row>
    <row r="597" s="473" customFormat="1" ht="15.75" customHeight="1" spans="1:27">
      <c r="A597" s="492" t="s">
        <v>656</v>
      </c>
      <c r="B597" s="492" t="s">
        <v>4300</v>
      </c>
      <c r="C597" s="587" t="s">
        <v>4661</v>
      </c>
      <c r="D597" s="492" t="s">
        <v>4662</v>
      </c>
      <c r="E597" s="491"/>
      <c r="F597" s="492" t="s">
        <v>3979</v>
      </c>
      <c r="G597" s="587" t="s">
        <v>4235</v>
      </c>
      <c r="H597" s="578" t="s">
        <v>4663</v>
      </c>
      <c r="I597" s="545">
        <v>45760</v>
      </c>
      <c r="J597" s="545">
        <v>45778</v>
      </c>
      <c r="K597" s="492" t="s">
        <v>18</v>
      </c>
      <c r="L597" s="559" t="s">
        <v>3457</v>
      </c>
      <c r="M597" s="492" t="s">
        <v>309</v>
      </c>
      <c r="N597" s="497"/>
      <c r="O597" s="497"/>
      <c r="P597" s="608"/>
      <c r="Q597" s="562">
        <v>45774</v>
      </c>
      <c r="R597" s="545">
        <v>45775</v>
      </c>
      <c r="S597" s="492"/>
      <c r="T597" s="545">
        <v>45777</v>
      </c>
      <c r="U597" s="545">
        <v>45783</v>
      </c>
      <c r="V597" s="492" t="s">
        <v>20</v>
      </c>
      <c r="W597" s="545">
        <f t="shared" si="27"/>
        <v>45799</v>
      </c>
      <c r="X597" s="588"/>
      <c r="Y597" s="523"/>
      <c r="Z597" s="588"/>
      <c r="AA597" s="588"/>
    </row>
    <row r="598" s="473" customFormat="1" ht="15.75" customHeight="1" spans="1:27">
      <c r="A598" s="587" t="s">
        <v>874</v>
      </c>
      <c r="B598" s="492" t="s">
        <v>4300</v>
      </c>
      <c r="C598" s="587" t="s">
        <v>4664</v>
      </c>
      <c r="D598" s="492" t="s">
        <v>4665</v>
      </c>
      <c r="E598" s="491"/>
      <c r="F598" s="492" t="s">
        <v>3979</v>
      </c>
      <c r="G598" s="492" t="s">
        <v>4235</v>
      </c>
      <c r="H598" s="554" t="s">
        <v>4663</v>
      </c>
      <c r="I598" s="545">
        <v>45760</v>
      </c>
      <c r="J598" s="545">
        <v>45778</v>
      </c>
      <c r="K598" s="492" t="s">
        <v>18</v>
      </c>
      <c r="L598" s="586" t="s">
        <v>3457</v>
      </c>
      <c r="M598" s="556" t="s">
        <v>4666</v>
      </c>
      <c r="N598" s="497"/>
      <c r="O598" s="497"/>
      <c r="P598" s="608"/>
      <c r="Q598" s="545">
        <v>45769</v>
      </c>
      <c r="R598" s="545">
        <v>45770</v>
      </c>
      <c r="S598" s="492"/>
      <c r="T598" s="545">
        <v>45776</v>
      </c>
      <c r="U598" s="545">
        <v>45783</v>
      </c>
      <c r="V598" s="492" t="s">
        <v>20</v>
      </c>
      <c r="W598" s="545">
        <f t="shared" si="27"/>
        <v>45799</v>
      </c>
      <c r="X598" s="588"/>
      <c r="Y598" s="523"/>
      <c r="Z598" s="588"/>
      <c r="AA598" s="588"/>
    </row>
    <row r="599" s="473" customFormat="1" ht="15.75" customHeight="1" spans="1:27">
      <c r="A599" s="492" t="s">
        <v>910</v>
      </c>
      <c r="B599" s="587" t="s">
        <v>4329</v>
      </c>
      <c r="C599" s="587" t="s">
        <v>4667</v>
      </c>
      <c r="D599" s="492" t="s">
        <v>4668</v>
      </c>
      <c r="E599" s="491"/>
      <c r="F599" s="587" t="s">
        <v>4115</v>
      </c>
      <c r="G599" s="587" t="s">
        <v>4235</v>
      </c>
      <c r="H599" s="587" t="s">
        <v>4663</v>
      </c>
      <c r="I599" s="545">
        <v>45760</v>
      </c>
      <c r="J599" s="545">
        <v>45778</v>
      </c>
      <c r="K599" s="492" t="s">
        <v>18</v>
      </c>
      <c r="L599" s="559" t="s">
        <v>4407</v>
      </c>
      <c r="M599" s="492" t="s">
        <v>309</v>
      </c>
      <c r="N599" s="497"/>
      <c r="O599" s="497"/>
      <c r="P599" s="608">
        <v>500</v>
      </c>
      <c r="Q599" s="545">
        <v>45761</v>
      </c>
      <c r="R599" s="545">
        <v>45770</v>
      </c>
      <c r="S599" s="492"/>
      <c r="T599" s="545">
        <v>45772</v>
      </c>
      <c r="U599" s="545">
        <v>45783</v>
      </c>
      <c r="V599" s="492" t="s">
        <v>20</v>
      </c>
      <c r="W599" s="545">
        <f t="shared" si="27"/>
        <v>45799</v>
      </c>
      <c r="X599" s="588"/>
      <c r="Y599" s="523"/>
      <c r="Z599" s="588"/>
      <c r="AA599" s="588"/>
    </row>
    <row r="600" s="473" customFormat="1" ht="15.75" customHeight="1" spans="1:27">
      <c r="A600" s="492" t="s">
        <v>910</v>
      </c>
      <c r="B600" s="587" t="s">
        <v>4329</v>
      </c>
      <c r="C600" s="587" t="s">
        <v>4667</v>
      </c>
      <c r="D600" s="492" t="s">
        <v>4669</v>
      </c>
      <c r="E600" s="491"/>
      <c r="F600" s="587" t="s">
        <v>4115</v>
      </c>
      <c r="G600" s="587" t="s">
        <v>4235</v>
      </c>
      <c r="H600" s="587" t="s">
        <v>4663</v>
      </c>
      <c r="I600" s="545">
        <v>45760</v>
      </c>
      <c r="J600" s="545">
        <v>45778</v>
      </c>
      <c r="K600" s="492" t="s">
        <v>18</v>
      </c>
      <c r="L600" s="559" t="s">
        <v>4407</v>
      </c>
      <c r="M600" s="492" t="s">
        <v>309</v>
      </c>
      <c r="N600" s="497"/>
      <c r="O600" s="497"/>
      <c r="P600" s="608">
        <v>500</v>
      </c>
      <c r="Q600" s="545">
        <v>45761</v>
      </c>
      <c r="R600" s="545">
        <v>45770</v>
      </c>
      <c r="S600" s="492"/>
      <c r="T600" s="545">
        <v>45772</v>
      </c>
      <c r="U600" s="545">
        <v>45783</v>
      </c>
      <c r="V600" s="492" t="s">
        <v>20</v>
      </c>
      <c r="W600" s="545">
        <f t="shared" si="27"/>
        <v>45799</v>
      </c>
      <c r="X600" s="588"/>
      <c r="Y600" s="523"/>
      <c r="Z600" s="588"/>
      <c r="AA600" s="588"/>
    </row>
    <row r="601" s="473" customFormat="1" ht="15.75" customHeight="1" spans="1:27">
      <c r="A601" s="492" t="s">
        <v>464</v>
      </c>
      <c r="B601" s="492" t="s">
        <v>4300</v>
      </c>
      <c r="C601" s="587" t="s">
        <v>4670</v>
      </c>
      <c r="D601" s="492" t="s">
        <v>4671</v>
      </c>
      <c r="E601" s="491"/>
      <c r="F601" s="492" t="s">
        <v>3979</v>
      </c>
      <c r="G601" s="492" t="s">
        <v>4235</v>
      </c>
      <c r="H601" s="578" t="s">
        <v>4663</v>
      </c>
      <c r="I601" s="545">
        <v>45760</v>
      </c>
      <c r="J601" s="545">
        <v>45778</v>
      </c>
      <c r="K601" s="492" t="s">
        <v>18</v>
      </c>
      <c r="L601" s="610" t="s">
        <v>3452</v>
      </c>
      <c r="M601" s="556" t="s">
        <v>865</v>
      </c>
      <c r="N601" s="497"/>
      <c r="O601" s="497"/>
      <c r="P601" s="608"/>
      <c r="Q601" s="545">
        <v>45769</v>
      </c>
      <c r="R601" s="545">
        <v>45770</v>
      </c>
      <c r="S601" s="492"/>
      <c r="T601" s="545">
        <v>45776</v>
      </c>
      <c r="U601" s="545">
        <v>45786</v>
      </c>
      <c r="V601" s="492" t="s">
        <v>20</v>
      </c>
      <c r="W601" s="545">
        <f t="shared" si="27"/>
        <v>45799</v>
      </c>
      <c r="X601" s="588" t="s">
        <v>4672</v>
      </c>
      <c r="Y601" s="523"/>
      <c r="Z601" s="588"/>
      <c r="AA601" s="588"/>
    </row>
    <row r="602" s="473" customFormat="1" ht="15.75" customHeight="1" spans="1:27">
      <c r="A602" s="492" t="s">
        <v>656</v>
      </c>
      <c r="B602" s="492" t="s">
        <v>4300</v>
      </c>
      <c r="C602" s="587" t="s">
        <v>4673</v>
      </c>
      <c r="D602" s="492" t="s">
        <v>4674</v>
      </c>
      <c r="E602" s="491"/>
      <c r="F602" s="492" t="s">
        <v>3979</v>
      </c>
      <c r="G602" s="492" t="s">
        <v>4235</v>
      </c>
      <c r="H602" s="578" t="s">
        <v>4675</v>
      </c>
      <c r="I602" s="545">
        <v>45756</v>
      </c>
      <c r="J602" s="545">
        <v>45778</v>
      </c>
      <c r="K602" s="492" t="s">
        <v>18</v>
      </c>
      <c r="L602" s="559" t="s">
        <v>4407</v>
      </c>
      <c r="M602" s="492" t="s">
        <v>309</v>
      </c>
      <c r="N602" s="497"/>
      <c r="O602" s="497"/>
      <c r="P602" s="608"/>
      <c r="Q602" s="562">
        <v>45774</v>
      </c>
      <c r="R602" s="545">
        <v>45775</v>
      </c>
      <c r="S602" s="492"/>
      <c r="T602" s="545">
        <v>45777</v>
      </c>
      <c r="U602" s="545">
        <v>45784</v>
      </c>
      <c r="V602" s="492" t="s">
        <v>20</v>
      </c>
      <c r="W602" s="545">
        <f t="shared" si="27"/>
        <v>45799</v>
      </c>
      <c r="X602" s="588"/>
      <c r="Y602" s="523"/>
      <c r="Z602" s="588"/>
      <c r="AA602" s="588"/>
    </row>
    <row r="603" s="473" customFormat="1" ht="15.75" customHeight="1" spans="1:27">
      <c r="A603" s="587" t="s">
        <v>910</v>
      </c>
      <c r="B603" s="587" t="s">
        <v>4329</v>
      </c>
      <c r="C603" s="587" t="s">
        <v>4667</v>
      </c>
      <c r="D603" s="492" t="s">
        <v>4676</v>
      </c>
      <c r="E603" s="491"/>
      <c r="F603" s="587" t="s">
        <v>4115</v>
      </c>
      <c r="G603" s="587" t="s">
        <v>4235</v>
      </c>
      <c r="H603" s="587" t="s">
        <v>4663</v>
      </c>
      <c r="I603" s="545">
        <v>45760</v>
      </c>
      <c r="J603" s="545">
        <v>45778</v>
      </c>
      <c r="K603" s="492" t="s">
        <v>18</v>
      </c>
      <c r="L603" s="559" t="s">
        <v>4407</v>
      </c>
      <c r="M603" s="492" t="s">
        <v>309</v>
      </c>
      <c r="N603" s="497"/>
      <c r="O603" s="497"/>
      <c r="P603" s="608">
        <v>500</v>
      </c>
      <c r="Q603" s="545">
        <v>45761</v>
      </c>
      <c r="R603" s="545">
        <v>45770</v>
      </c>
      <c r="S603" s="492"/>
      <c r="T603" s="545">
        <v>45772</v>
      </c>
      <c r="U603" s="545">
        <v>45784</v>
      </c>
      <c r="V603" s="492" t="s">
        <v>20</v>
      </c>
      <c r="W603" s="545">
        <f t="shared" si="27"/>
        <v>45799</v>
      </c>
      <c r="X603" s="588"/>
      <c r="Y603" s="523"/>
      <c r="Z603" s="588"/>
      <c r="AA603" s="588"/>
    </row>
    <row r="604" s="473" customFormat="1" ht="15.75" customHeight="1" spans="1:27">
      <c r="A604" s="492" t="s">
        <v>656</v>
      </c>
      <c r="B604" s="492" t="s">
        <v>4300</v>
      </c>
      <c r="C604" s="494" t="s">
        <v>4677</v>
      </c>
      <c r="D604" s="492" t="s">
        <v>4678</v>
      </c>
      <c r="E604" s="488"/>
      <c r="F604" s="489" t="s">
        <v>3979</v>
      </c>
      <c r="G604" s="492" t="s">
        <v>4235</v>
      </c>
      <c r="H604" s="554" t="s">
        <v>4663</v>
      </c>
      <c r="I604" s="545">
        <v>45760</v>
      </c>
      <c r="J604" s="545">
        <v>45778</v>
      </c>
      <c r="K604" s="492" t="s">
        <v>18</v>
      </c>
      <c r="L604" s="586" t="s">
        <v>3457</v>
      </c>
      <c r="M604" s="492" t="s">
        <v>309</v>
      </c>
      <c r="N604" s="497"/>
      <c r="O604" s="497"/>
      <c r="P604" s="608"/>
      <c r="Q604" s="562">
        <v>45774</v>
      </c>
      <c r="R604" s="545">
        <v>45775</v>
      </c>
      <c r="S604" s="489"/>
      <c r="T604" s="545">
        <v>45777</v>
      </c>
      <c r="U604" s="545">
        <v>45784</v>
      </c>
      <c r="V604" s="492" t="s">
        <v>20</v>
      </c>
      <c r="W604" s="545">
        <f t="shared" si="27"/>
        <v>45799</v>
      </c>
      <c r="X604" s="588"/>
      <c r="Y604" s="523"/>
      <c r="Z604" s="588"/>
      <c r="AA604" s="588"/>
    </row>
    <row r="605" s="473" customFormat="1" ht="15.75" customHeight="1" spans="1:27">
      <c r="A605" s="587" t="s">
        <v>910</v>
      </c>
      <c r="B605" s="587" t="s">
        <v>4329</v>
      </c>
      <c r="C605" s="580" t="s">
        <v>4679</v>
      </c>
      <c r="D605" s="492" t="s">
        <v>4680</v>
      </c>
      <c r="E605" s="491"/>
      <c r="F605" s="556" t="s">
        <v>4018</v>
      </c>
      <c r="G605" s="556" t="s">
        <v>3032</v>
      </c>
      <c r="H605" s="587" t="s">
        <v>4681</v>
      </c>
      <c r="I605" s="545">
        <v>45762</v>
      </c>
      <c r="J605" s="562">
        <v>45778</v>
      </c>
      <c r="K605" s="492" t="s">
        <v>18</v>
      </c>
      <c r="L605" s="559" t="s">
        <v>4407</v>
      </c>
      <c r="M605" s="492" t="s">
        <v>309</v>
      </c>
      <c r="N605" s="497"/>
      <c r="O605" s="497"/>
      <c r="P605" s="608"/>
      <c r="Q605" s="545">
        <v>45768</v>
      </c>
      <c r="R605" s="545">
        <v>45774</v>
      </c>
      <c r="S605" s="492"/>
      <c r="T605" s="545">
        <v>45775</v>
      </c>
      <c r="U605" s="545">
        <v>45784</v>
      </c>
      <c r="V605" s="492" t="s">
        <v>20</v>
      </c>
      <c r="W605" s="545">
        <f t="shared" si="27"/>
        <v>45799</v>
      </c>
      <c r="X605" s="588"/>
      <c r="Y605" s="523"/>
      <c r="Z605" s="588"/>
      <c r="AA605" s="588"/>
    </row>
    <row r="606" s="473" customFormat="1" ht="15.75" customHeight="1" spans="1:27">
      <c r="A606" s="492" t="s">
        <v>910</v>
      </c>
      <c r="B606" s="587" t="s">
        <v>4329</v>
      </c>
      <c r="C606" s="580" t="s">
        <v>4682</v>
      </c>
      <c r="D606" s="492" t="s">
        <v>4683</v>
      </c>
      <c r="E606" s="491"/>
      <c r="F606" s="556" t="s">
        <v>4018</v>
      </c>
      <c r="G606" s="578" t="s">
        <v>3032</v>
      </c>
      <c r="H606" s="587" t="s">
        <v>4681</v>
      </c>
      <c r="I606" s="545">
        <v>45762</v>
      </c>
      <c r="J606" s="562">
        <v>45778</v>
      </c>
      <c r="K606" s="492" t="s">
        <v>18</v>
      </c>
      <c r="L606" s="559" t="s">
        <v>4407</v>
      </c>
      <c r="M606" s="492" t="s">
        <v>309</v>
      </c>
      <c r="N606" s="497"/>
      <c r="O606" s="497"/>
      <c r="P606" s="608"/>
      <c r="Q606" s="545">
        <v>45768</v>
      </c>
      <c r="R606" s="545">
        <v>45774</v>
      </c>
      <c r="S606" s="492"/>
      <c r="T606" s="545">
        <v>45775</v>
      </c>
      <c r="U606" s="545">
        <v>45784</v>
      </c>
      <c r="V606" s="492" t="s">
        <v>20</v>
      </c>
      <c r="W606" s="545">
        <f t="shared" si="27"/>
        <v>45799</v>
      </c>
      <c r="X606" s="588"/>
      <c r="Y606" s="523"/>
      <c r="Z606" s="588"/>
      <c r="AA606" s="588"/>
    </row>
    <row r="607" s="473" customFormat="1" ht="15.75" customHeight="1" spans="1:27">
      <c r="A607" s="492" t="s">
        <v>656</v>
      </c>
      <c r="B607" s="492" t="s">
        <v>4300</v>
      </c>
      <c r="C607" s="494" t="s">
        <v>4684</v>
      </c>
      <c r="D607" s="556" t="s">
        <v>4685</v>
      </c>
      <c r="E607" s="488"/>
      <c r="F607" s="489" t="s">
        <v>3979</v>
      </c>
      <c r="G607" s="492" t="s">
        <v>4235</v>
      </c>
      <c r="H607" s="554" t="s">
        <v>4663</v>
      </c>
      <c r="I607" s="545">
        <v>45760</v>
      </c>
      <c r="J607" s="545">
        <v>45778</v>
      </c>
      <c r="K607" s="492" t="s">
        <v>18</v>
      </c>
      <c r="L607" s="559" t="s">
        <v>4407</v>
      </c>
      <c r="M607" s="492" t="s">
        <v>309</v>
      </c>
      <c r="N607" s="497"/>
      <c r="O607" s="497"/>
      <c r="P607" s="608"/>
      <c r="Q607" s="562">
        <v>45774</v>
      </c>
      <c r="R607" s="545">
        <v>45775</v>
      </c>
      <c r="S607" s="489"/>
      <c r="T607" s="545">
        <v>45777</v>
      </c>
      <c r="U607" s="545">
        <v>45785</v>
      </c>
      <c r="V607" s="492" t="s">
        <v>20</v>
      </c>
      <c r="W607" s="545">
        <f t="shared" si="27"/>
        <v>45799</v>
      </c>
      <c r="X607" s="588"/>
      <c r="Y607" s="523"/>
      <c r="Z607" s="588"/>
      <c r="AA607" s="588"/>
    </row>
    <row r="608" s="473" customFormat="1" ht="15.75" customHeight="1" spans="1:27">
      <c r="A608" s="492" t="s">
        <v>579</v>
      </c>
      <c r="B608" s="492" t="s">
        <v>4300</v>
      </c>
      <c r="C608" s="587" t="s">
        <v>4686</v>
      </c>
      <c r="D608" s="556" t="s">
        <v>4687</v>
      </c>
      <c r="E608" s="491"/>
      <c r="F608" s="492" t="s">
        <v>3979</v>
      </c>
      <c r="G608" s="492" t="s">
        <v>4235</v>
      </c>
      <c r="H608" s="578" t="s">
        <v>4663</v>
      </c>
      <c r="I608" s="545">
        <v>45760</v>
      </c>
      <c r="J608" s="545">
        <v>45778</v>
      </c>
      <c r="K608" s="492" t="s">
        <v>18</v>
      </c>
      <c r="L608" s="559" t="s">
        <v>4407</v>
      </c>
      <c r="M608" s="492" t="s">
        <v>309</v>
      </c>
      <c r="N608" s="497"/>
      <c r="O608" s="497"/>
      <c r="P608" s="608"/>
      <c r="Q608" s="545">
        <v>45769</v>
      </c>
      <c r="R608" s="545">
        <v>45770</v>
      </c>
      <c r="S608" s="492"/>
      <c r="T608" s="545">
        <v>45776</v>
      </c>
      <c r="U608" s="545">
        <v>45785</v>
      </c>
      <c r="V608" s="492" t="s">
        <v>20</v>
      </c>
      <c r="W608" s="545">
        <f t="shared" si="27"/>
        <v>45799</v>
      </c>
      <c r="X608" s="588"/>
      <c r="Y608" s="523"/>
      <c r="Z608" s="588"/>
      <c r="AA608" s="588"/>
    </row>
    <row r="609" s="473" customFormat="1" ht="15.75" customHeight="1" spans="1:27">
      <c r="A609" s="492" t="s">
        <v>656</v>
      </c>
      <c r="B609" s="492" t="s">
        <v>4300</v>
      </c>
      <c r="C609" s="580" t="s">
        <v>4688</v>
      </c>
      <c r="D609" s="556" t="s">
        <v>4689</v>
      </c>
      <c r="E609" s="491"/>
      <c r="F609" s="556" t="s">
        <v>4018</v>
      </c>
      <c r="G609" s="587" t="s">
        <v>3032</v>
      </c>
      <c r="H609" s="587" t="s">
        <v>4681</v>
      </c>
      <c r="I609" s="545">
        <v>45762</v>
      </c>
      <c r="J609" s="562">
        <v>45778</v>
      </c>
      <c r="K609" s="492" t="s">
        <v>18</v>
      </c>
      <c r="L609" s="559" t="s">
        <v>4407</v>
      </c>
      <c r="M609" s="492" t="s">
        <v>309</v>
      </c>
      <c r="N609" s="497"/>
      <c r="O609" s="497"/>
      <c r="P609" s="608"/>
      <c r="Q609" s="592">
        <v>45768</v>
      </c>
      <c r="R609" s="545">
        <v>45772</v>
      </c>
      <c r="S609" s="492"/>
      <c r="T609" s="545">
        <v>45775</v>
      </c>
      <c r="U609" s="545">
        <v>45785</v>
      </c>
      <c r="V609" s="492" t="s">
        <v>20</v>
      </c>
      <c r="W609" s="545">
        <f t="shared" si="27"/>
        <v>45799</v>
      </c>
      <c r="X609" s="588" t="s">
        <v>4690</v>
      </c>
      <c r="Y609" s="523"/>
      <c r="Z609" s="588"/>
      <c r="AA609" s="588"/>
    </row>
    <row r="610" s="473" customFormat="1" ht="15.75" customHeight="1" spans="1:27">
      <c r="A610" s="492" t="s">
        <v>559</v>
      </c>
      <c r="B610" s="492" t="s">
        <v>4300</v>
      </c>
      <c r="C610" s="587" t="s">
        <v>4691</v>
      </c>
      <c r="D610" s="556" t="s">
        <v>4692</v>
      </c>
      <c r="E610" s="491"/>
      <c r="F610" s="492" t="s">
        <v>3979</v>
      </c>
      <c r="G610" s="492" t="s">
        <v>3079</v>
      </c>
      <c r="H610" s="578" t="s">
        <v>4567</v>
      </c>
      <c r="I610" s="545">
        <v>45757</v>
      </c>
      <c r="J610" s="545">
        <v>45778</v>
      </c>
      <c r="K610" s="587" t="s">
        <v>39</v>
      </c>
      <c r="L610" s="559" t="s">
        <v>3437</v>
      </c>
      <c r="M610" s="492" t="s">
        <v>309</v>
      </c>
      <c r="N610" s="497"/>
      <c r="O610" s="497"/>
      <c r="P610" s="608"/>
      <c r="Q610" s="545">
        <v>45763</v>
      </c>
      <c r="R610" s="545">
        <v>45763</v>
      </c>
      <c r="S610" s="492"/>
      <c r="T610" s="545">
        <v>45775</v>
      </c>
      <c r="U610" s="545">
        <v>45785</v>
      </c>
      <c r="V610" s="492" t="s">
        <v>20</v>
      </c>
      <c r="W610" s="545">
        <f t="shared" si="27"/>
        <v>45799</v>
      </c>
      <c r="X610" s="588"/>
      <c r="Y610" s="523"/>
      <c r="Z610" s="588"/>
      <c r="AA610" s="588"/>
    </row>
    <row r="611" s="473" customFormat="1" ht="15.75" customHeight="1" spans="1:27">
      <c r="A611" s="492" t="s">
        <v>656</v>
      </c>
      <c r="B611" s="492" t="s">
        <v>4300</v>
      </c>
      <c r="C611" s="587" t="s">
        <v>4693</v>
      </c>
      <c r="D611" s="556" t="s">
        <v>4694</v>
      </c>
      <c r="E611" s="491"/>
      <c r="F611" s="492" t="s">
        <v>3979</v>
      </c>
      <c r="G611" s="492" t="s">
        <v>3067</v>
      </c>
      <c r="H611" s="607" t="s">
        <v>4695</v>
      </c>
      <c r="I611" s="545">
        <v>45762</v>
      </c>
      <c r="J611" s="545">
        <v>45779</v>
      </c>
      <c r="K611" s="492" t="s">
        <v>18</v>
      </c>
      <c r="L611" s="559" t="s">
        <v>4407</v>
      </c>
      <c r="M611" s="492" t="s">
        <v>309</v>
      </c>
      <c r="N611" s="497"/>
      <c r="O611" s="497"/>
      <c r="P611" s="608"/>
      <c r="Q611" s="562">
        <v>45774</v>
      </c>
      <c r="R611" s="545">
        <v>45774</v>
      </c>
      <c r="S611" s="492"/>
      <c r="T611" s="545">
        <v>45777</v>
      </c>
      <c r="U611" s="545">
        <v>45784</v>
      </c>
      <c r="V611" s="492" t="s">
        <v>20</v>
      </c>
      <c r="W611" s="545">
        <f t="shared" si="27"/>
        <v>45800</v>
      </c>
      <c r="X611" s="588"/>
      <c r="Y611" s="523"/>
      <c r="Z611" s="588"/>
      <c r="AA611" s="588"/>
    </row>
    <row r="612" s="473" customFormat="1" ht="15.75" customHeight="1" spans="1:27">
      <c r="A612" s="492" t="s">
        <v>579</v>
      </c>
      <c r="B612" s="492" t="s">
        <v>4300</v>
      </c>
      <c r="C612" s="587" t="s">
        <v>4696</v>
      </c>
      <c r="D612" s="556" t="s">
        <v>4697</v>
      </c>
      <c r="E612" s="491"/>
      <c r="F612" s="492" t="s">
        <v>3979</v>
      </c>
      <c r="G612" s="492" t="s">
        <v>3067</v>
      </c>
      <c r="H612" s="587" t="s">
        <v>4695</v>
      </c>
      <c r="I612" s="545">
        <v>45762</v>
      </c>
      <c r="J612" s="545">
        <v>45779</v>
      </c>
      <c r="K612" s="492" t="s">
        <v>18</v>
      </c>
      <c r="L612" s="559" t="s">
        <v>4407</v>
      </c>
      <c r="M612" s="492" t="s">
        <v>309</v>
      </c>
      <c r="N612" s="497"/>
      <c r="O612" s="497"/>
      <c r="P612" s="608"/>
      <c r="Q612" s="562">
        <v>45769</v>
      </c>
      <c r="R612" s="545">
        <v>45772</v>
      </c>
      <c r="S612" s="492"/>
      <c r="T612" s="545">
        <v>45777</v>
      </c>
      <c r="U612" s="545">
        <v>45785</v>
      </c>
      <c r="V612" s="492" t="s">
        <v>20</v>
      </c>
      <c r="W612" s="545">
        <f t="shared" si="27"/>
        <v>45800</v>
      </c>
      <c r="X612" s="588"/>
      <c r="Y612" s="523"/>
      <c r="Z612" s="588"/>
      <c r="AA612" s="588"/>
    </row>
    <row r="613" s="473" customFormat="1" ht="15.75" customHeight="1" spans="1:27">
      <c r="A613" s="492" t="s">
        <v>579</v>
      </c>
      <c r="B613" s="492" t="s">
        <v>4300</v>
      </c>
      <c r="C613" s="492" t="s">
        <v>4698</v>
      </c>
      <c r="D613" s="556" t="s">
        <v>4699</v>
      </c>
      <c r="E613" s="491"/>
      <c r="F613" s="492" t="s">
        <v>3979</v>
      </c>
      <c r="G613" s="492" t="s">
        <v>3067</v>
      </c>
      <c r="H613" s="492" t="s">
        <v>4695</v>
      </c>
      <c r="I613" s="545">
        <v>45762</v>
      </c>
      <c r="J613" s="545">
        <v>45779</v>
      </c>
      <c r="K613" s="492" t="s">
        <v>18</v>
      </c>
      <c r="L613" s="559" t="s">
        <v>4407</v>
      </c>
      <c r="M613" s="492" t="s">
        <v>309</v>
      </c>
      <c r="N613" s="497"/>
      <c r="O613" s="497"/>
      <c r="P613" s="608"/>
      <c r="Q613" s="562">
        <v>45769</v>
      </c>
      <c r="R613" s="562">
        <v>45770</v>
      </c>
      <c r="S613" s="492"/>
      <c r="T613" s="545">
        <v>45777</v>
      </c>
      <c r="U613" s="545">
        <v>45785</v>
      </c>
      <c r="V613" s="492" t="s">
        <v>20</v>
      </c>
      <c r="W613" s="545">
        <f t="shared" si="27"/>
        <v>45800</v>
      </c>
      <c r="X613" s="588"/>
      <c r="Y613" s="523"/>
      <c r="Z613" s="588"/>
      <c r="AA613" s="588"/>
    </row>
    <row r="614" s="473" customFormat="1" ht="15.75" customHeight="1" spans="1:27">
      <c r="A614" s="492" t="s">
        <v>579</v>
      </c>
      <c r="B614" s="492" t="s">
        <v>4300</v>
      </c>
      <c r="C614" s="587" t="s">
        <v>4700</v>
      </c>
      <c r="D614" s="556" t="s">
        <v>4701</v>
      </c>
      <c r="E614" s="491"/>
      <c r="F614" s="492" t="s">
        <v>3979</v>
      </c>
      <c r="G614" s="492" t="s">
        <v>3067</v>
      </c>
      <c r="H614" s="587" t="s">
        <v>4695</v>
      </c>
      <c r="I614" s="545">
        <v>45762</v>
      </c>
      <c r="J614" s="545">
        <v>45779</v>
      </c>
      <c r="K614" s="492" t="s">
        <v>18</v>
      </c>
      <c r="L614" s="559" t="s">
        <v>4407</v>
      </c>
      <c r="M614" s="492" t="s">
        <v>309</v>
      </c>
      <c r="N614" s="497"/>
      <c r="O614" s="497"/>
      <c r="P614" s="608"/>
      <c r="Q614" s="562">
        <v>45769</v>
      </c>
      <c r="R614" s="562">
        <v>45770</v>
      </c>
      <c r="S614" s="492"/>
      <c r="T614" s="545">
        <v>45777</v>
      </c>
      <c r="U614" s="545">
        <v>45785</v>
      </c>
      <c r="V614" s="492" t="s">
        <v>20</v>
      </c>
      <c r="W614" s="545">
        <f t="shared" si="27"/>
        <v>45800</v>
      </c>
      <c r="X614" s="588"/>
      <c r="Y614" s="523"/>
      <c r="Z614" s="588"/>
      <c r="AA614" s="588"/>
    </row>
    <row r="615" s="473" customFormat="1" ht="15.75" customHeight="1" spans="1:27">
      <c r="A615" s="492" t="s">
        <v>874</v>
      </c>
      <c r="B615" s="492" t="s">
        <v>4300</v>
      </c>
      <c r="C615" s="587" t="s">
        <v>4702</v>
      </c>
      <c r="D615" s="492" t="s">
        <v>4703</v>
      </c>
      <c r="E615" s="491"/>
      <c r="F615" s="492" t="s">
        <v>3979</v>
      </c>
      <c r="G615" s="492" t="s">
        <v>3067</v>
      </c>
      <c r="H615" s="587" t="s">
        <v>4695</v>
      </c>
      <c r="I615" s="545">
        <v>45762</v>
      </c>
      <c r="J615" s="545">
        <v>45779</v>
      </c>
      <c r="K615" s="492" t="s">
        <v>18</v>
      </c>
      <c r="L615" s="559" t="s">
        <v>3457</v>
      </c>
      <c r="M615" s="492" t="s">
        <v>309</v>
      </c>
      <c r="N615" s="497"/>
      <c r="O615" s="497"/>
      <c r="P615" s="608"/>
      <c r="Q615" s="562">
        <v>45769</v>
      </c>
      <c r="R615" s="545">
        <v>45772</v>
      </c>
      <c r="S615" s="492"/>
      <c r="T615" s="545">
        <v>45777</v>
      </c>
      <c r="U615" s="545">
        <v>45785</v>
      </c>
      <c r="V615" s="492" t="s">
        <v>20</v>
      </c>
      <c r="W615" s="545">
        <f t="shared" si="27"/>
        <v>45800</v>
      </c>
      <c r="X615" s="588"/>
      <c r="Y615" s="523"/>
      <c r="Z615" s="588"/>
      <c r="AA615" s="588"/>
    </row>
    <row r="616" s="473" customFormat="1" ht="15.75" customHeight="1" spans="1:27">
      <c r="A616" s="587" t="s">
        <v>579</v>
      </c>
      <c r="B616" s="492" t="s">
        <v>4300</v>
      </c>
      <c r="C616" s="492" t="s">
        <v>4704</v>
      </c>
      <c r="D616" s="492" t="s">
        <v>4705</v>
      </c>
      <c r="E616" s="491"/>
      <c r="F616" s="492" t="s">
        <v>3979</v>
      </c>
      <c r="G616" s="587" t="s">
        <v>3079</v>
      </c>
      <c r="H616" s="556" t="s">
        <v>4695</v>
      </c>
      <c r="I616" s="545">
        <v>45754</v>
      </c>
      <c r="J616" s="562">
        <v>45780</v>
      </c>
      <c r="K616" s="492" t="s">
        <v>18</v>
      </c>
      <c r="L616" s="559" t="s">
        <v>4407</v>
      </c>
      <c r="M616" s="492" t="s">
        <v>309</v>
      </c>
      <c r="N616" s="497"/>
      <c r="O616" s="497"/>
      <c r="P616" s="608">
        <v>500</v>
      </c>
      <c r="Q616" s="562">
        <v>45769</v>
      </c>
      <c r="R616" s="562">
        <v>45770</v>
      </c>
      <c r="S616" s="492"/>
      <c r="T616" s="545">
        <v>45777</v>
      </c>
      <c r="U616" s="545">
        <v>45783</v>
      </c>
      <c r="V616" s="492" t="s">
        <v>20</v>
      </c>
      <c r="W616" s="545">
        <f t="shared" si="27"/>
        <v>45801</v>
      </c>
      <c r="X616" s="588"/>
      <c r="Y616" s="523"/>
      <c r="Z616" s="588"/>
      <c r="AA616" s="588"/>
    </row>
    <row r="617" s="473" customFormat="1" ht="15.75" customHeight="1" spans="1:27">
      <c r="A617" s="492" t="s">
        <v>579</v>
      </c>
      <c r="B617" s="492" t="s">
        <v>4300</v>
      </c>
      <c r="C617" s="492" t="s">
        <v>4706</v>
      </c>
      <c r="D617" s="492" t="s">
        <v>4707</v>
      </c>
      <c r="E617" s="491"/>
      <c r="F617" s="492" t="s">
        <v>3979</v>
      </c>
      <c r="G617" s="587" t="s">
        <v>3079</v>
      </c>
      <c r="H617" s="556" t="s">
        <v>4695</v>
      </c>
      <c r="I617" s="545">
        <v>45756</v>
      </c>
      <c r="J617" s="562">
        <v>45780</v>
      </c>
      <c r="K617" s="492" t="s">
        <v>18</v>
      </c>
      <c r="L617" s="559" t="s">
        <v>4407</v>
      </c>
      <c r="M617" s="492" t="s">
        <v>309</v>
      </c>
      <c r="N617" s="497"/>
      <c r="O617" s="497"/>
      <c r="P617" s="608">
        <v>500</v>
      </c>
      <c r="Q617" s="562">
        <v>45769</v>
      </c>
      <c r="R617" s="562">
        <v>45770</v>
      </c>
      <c r="S617" s="492"/>
      <c r="T617" s="545">
        <v>45777</v>
      </c>
      <c r="U617" s="545">
        <v>45783</v>
      </c>
      <c r="V617" s="492" t="s">
        <v>20</v>
      </c>
      <c r="W617" s="545">
        <f t="shared" si="27"/>
        <v>45801</v>
      </c>
      <c r="X617" s="588"/>
      <c r="Y617" s="523"/>
      <c r="Z617" s="588"/>
      <c r="AA617" s="588"/>
    </row>
    <row r="618" s="473" customFormat="1" ht="15.75" customHeight="1" spans="1:27">
      <c r="A618" s="587" t="s">
        <v>656</v>
      </c>
      <c r="B618" s="492" t="s">
        <v>4300</v>
      </c>
      <c r="C618" s="587" t="s">
        <v>4708</v>
      </c>
      <c r="D618" s="492" t="s">
        <v>4709</v>
      </c>
      <c r="E618" s="491"/>
      <c r="F618" s="492" t="s">
        <v>3979</v>
      </c>
      <c r="G618" s="587" t="s">
        <v>3079</v>
      </c>
      <c r="H618" s="556" t="s">
        <v>4695</v>
      </c>
      <c r="I618" s="545">
        <v>45754</v>
      </c>
      <c r="J618" s="562">
        <v>45780</v>
      </c>
      <c r="K618" s="492" t="s">
        <v>18</v>
      </c>
      <c r="L618" s="586" t="s">
        <v>3457</v>
      </c>
      <c r="M618" s="492" t="s">
        <v>309</v>
      </c>
      <c r="N618" s="497"/>
      <c r="O618" s="497"/>
      <c r="P618" s="608"/>
      <c r="Q618" s="562">
        <v>45774</v>
      </c>
      <c r="R618" s="545">
        <v>45775</v>
      </c>
      <c r="S618" s="492"/>
      <c r="T618" s="545">
        <v>45777</v>
      </c>
      <c r="U618" s="545">
        <v>45786</v>
      </c>
      <c r="V618" s="492" t="s">
        <v>20</v>
      </c>
      <c r="W618" s="545">
        <f t="shared" si="27"/>
        <v>45801</v>
      </c>
      <c r="X618" s="588"/>
      <c r="Y618" s="523"/>
      <c r="Z618" s="588"/>
      <c r="AA618" s="588"/>
    </row>
    <row r="619" s="473" customFormat="1" ht="15.75" customHeight="1" spans="1:27">
      <c r="A619" s="492" t="s">
        <v>547</v>
      </c>
      <c r="B619" s="492" t="s">
        <v>4300</v>
      </c>
      <c r="C619" s="492" t="s">
        <v>4710</v>
      </c>
      <c r="D619" s="556" t="s">
        <v>4711</v>
      </c>
      <c r="E619" s="491"/>
      <c r="F619" s="492" t="s">
        <v>3979</v>
      </c>
      <c r="G619" s="492" t="s">
        <v>3137</v>
      </c>
      <c r="H619" s="492" t="s">
        <v>4622</v>
      </c>
      <c r="I619" s="545">
        <v>45744</v>
      </c>
      <c r="J619" s="597">
        <v>45781</v>
      </c>
      <c r="K619" s="492" t="s">
        <v>39</v>
      </c>
      <c r="L619" s="559" t="s">
        <v>3437</v>
      </c>
      <c r="M619" s="492" t="s">
        <v>309</v>
      </c>
      <c r="N619" s="497"/>
      <c r="O619" s="497"/>
      <c r="P619" s="608"/>
      <c r="Q619" s="545">
        <v>45757</v>
      </c>
      <c r="R619" s="562">
        <v>45772</v>
      </c>
      <c r="S619" s="492"/>
      <c r="T619" s="545">
        <v>45776</v>
      </c>
      <c r="U619" s="545">
        <v>45784</v>
      </c>
      <c r="V619" s="492" t="s">
        <v>20</v>
      </c>
      <c r="W619" s="545">
        <f t="shared" si="27"/>
        <v>45802</v>
      </c>
      <c r="X619" s="588"/>
      <c r="Y619" s="523"/>
      <c r="Z619" s="588"/>
      <c r="AA619" s="588"/>
    </row>
    <row r="620" s="473" customFormat="1" ht="15.75" customHeight="1" spans="1:27">
      <c r="A620" s="587" t="s">
        <v>656</v>
      </c>
      <c r="B620" s="587" t="s">
        <v>4300</v>
      </c>
      <c r="C620" s="492" t="s">
        <v>4712</v>
      </c>
      <c r="D620" s="492" t="s">
        <v>4713</v>
      </c>
      <c r="E620" s="491"/>
      <c r="F620" s="492" t="s">
        <v>3979</v>
      </c>
      <c r="G620" s="587" t="s">
        <v>4235</v>
      </c>
      <c r="H620" s="578" t="s">
        <v>4663</v>
      </c>
      <c r="I620" s="545">
        <v>45760</v>
      </c>
      <c r="J620" s="545">
        <v>45783</v>
      </c>
      <c r="K620" s="587" t="s">
        <v>39</v>
      </c>
      <c r="L620" s="559" t="s">
        <v>3504</v>
      </c>
      <c r="M620" s="556" t="s">
        <v>895</v>
      </c>
      <c r="N620" s="497"/>
      <c r="O620" s="497"/>
      <c r="P620" s="608"/>
      <c r="Q620" s="562">
        <v>45774</v>
      </c>
      <c r="R620" s="545">
        <v>45775</v>
      </c>
      <c r="S620" s="492"/>
      <c r="T620" s="545">
        <v>45777</v>
      </c>
      <c r="U620" s="545">
        <v>45786</v>
      </c>
      <c r="V620" s="492" t="s">
        <v>20</v>
      </c>
      <c r="W620" s="545">
        <f t="shared" si="27"/>
        <v>45804</v>
      </c>
      <c r="X620" s="588"/>
      <c r="Y620" s="523"/>
      <c r="Z620" s="588"/>
      <c r="AA620" s="588"/>
    </row>
    <row r="621" s="473" customFormat="1" ht="15.75" customHeight="1" spans="1:27">
      <c r="A621" s="587" t="s">
        <v>778</v>
      </c>
      <c r="B621" s="492" t="s">
        <v>4300</v>
      </c>
      <c r="C621" s="587" t="s">
        <v>4714</v>
      </c>
      <c r="D621" s="556" t="s">
        <v>4715</v>
      </c>
      <c r="E621" s="491"/>
      <c r="F621" s="492" t="s">
        <v>3979</v>
      </c>
      <c r="G621" s="587" t="s">
        <v>4235</v>
      </c>
      <c r="H621" s="578" t="s">
        <v>4663</v>
      </c>
      <c r="I621" s="545">
        <v>45756</v>
      </c>
      <c r="J621" s="545">
        <v>45783</v>
      </c>
      <c r="K621" s="587" t="s">
        <v>39</v>
      </c>
      <c r="L621" s="559" t="s">
        <v>3437</v>
      </c>
      <c r="M621" s="492" t="s">
        <v>309</v>
      </c>
      <c r="N621" s="497"/>
      <c r="O621" s="497"/>
      <c r="P621" s="608"/>
      <c r="Q621" s="545">
        <v>45769</v>
      </c>
      <c r="R621" s="545">
        <v>45775</v>
      </c>
      <c r="S621" s="545">
        <v>45778</v>
      </c>
      <c r="T621" s="545">
        <v>45779</v>
      </c>
      <c r="U621" s="545">
        <v>45786</v>
      </c>
      <c r="V621" s="492" t="s">
        <v>20</v>
      </c>
      <c r="W621" s="545">
        <f t="shared" si="27"/>
        <v>45804</v>
      </c>
      <c r="X621" s="588"/>
      <c r="Y621" s="523"/>
      <c r="Z621" s="588"/>
      <c r="AA621" s="588"/>
    </row>
    <row r="622" s="473" customFormat="1" ht="15.75" customHeight="1" spans="1:27">
      <c r="A622" s="587" t="s">
        <v>2038</v>
      </c>
      <c r="B622" s="587" t="s">
        <v>4329</v>
      </c>
      <c r="C622" s="587" t="s">
        <v>4716</v>
      </c>
      <c r="D622" s="492" t="s">
        <v>4717</v>
      </c>
      <c r="E622" s="491"/>
      <c r="F622" s="587" t="s">
        <v>4115</v>
      </c>
      <c r="G622" s="587" t="s">
        <v>4235</v>
      </c>
      <c r="H622" s="587" t="s">
        <v>4718</v>
      </c>
      <c r="I622" s="545">
        <v>45750</v>
      </c>
      <c r="J622" s="562">
        <v>45783</v>
      </c>
      <c r="K622" s="492" t="s">
        <v>18</v>
      </c>
      <c r="L622" s="559" t="s">
        <v>4572</v>
      </c>
      <c r="M622" s="492" t="s">
        <v>309</v>
      </c>
      <c r="N622" s="497"/>
      <c r="O622" s="497"/>
      <c r="P622" s="608"/>
      <c r="Q622" s="545">
        <v>45765</v>
      </c>
      <c r="R622" s="545">
        <v>45771</v>
      </c>
      <c r="S622" s="492"/>
      <c r="T622" s="545">
        <v>45776</v>
      </c>
      <c r="U622" s="545">
        <v>45786</v>
      </c>
      <c r="V622" s="492" t="s">
        <v>20</v>
      </c>
      <c r="W622" s="545">
        <f t="shared" si="27"/>
        <v>45804</v>
      </c>
      <c r="X622" s="588"/>
      <c r="Y622" s="523"/>
      <c r="Z622" s="588"/>
      <c r="AA622" s="588"/>
    </row>
    <row r="623" s="473" customFormat="1" ht="15.75" customHeight="1" spans="1:27">
      <c r="A623" s="492" t="s">
        <v>910</v>
      </c>
      <c r="B623" s="492" t="s">
        <v>4300</v>
      </c>
      <c r="C623" s="494" t="s">
        <v>4719</v>
      </c>
      <c r="D623" s="492" t="s">
        <v>4720</v>
      </c>
      <c r="E623" s="488"/>
      <c r="F623" s="489" t="s">
        <v>3979</v>
      </c>
      <c r="G623" s="494" t="s">
        <v>3146</v>
      </c>
      <c r="H623" s="494" t="s">
        <v>4721</v>
      </c>
      <c r="I623" s="195">
        <v>45761</v>
      </c>
      <c r="J623" s="545">
        <v>45784</v>
      </c>
      <c r="K623" s="492" t="s">
        <v>18</v>
      </c>
      <c r="L623" s="559" t="s">
        <v>3457</v>
      </c>
      <c r="M623" s="492" t="s">
        <v>309</v>
      </c>
      <c r="N623" s="497"/>
      <c r="O623" s="497"/>
      <c r="P623" s="608"/>
      <c r="Q623" s="545">
        <v>45772</v>
      </c>
      <c r="R623" s="545">
        <v>45783</v>
      </c>
      <c r="S623" s="195">
        <v>45779</v>
      </c>
      <c r="T623" s="195">
        <v>45784</v>
      </c>
      <c r="U623" s="545">
        <v>45790</v>
      </c>
      <c r="V623" s="492" t="s">
        <v>20</v>
      </c>
      <c r="W623" s="545">
        <f t="shared" si="27"/>
        <v>45805</v>
      </c>
      <c r="X623" s="588" t="s">
        <v>4722</v>
      </c>
      <c r="Y623" s="523"/>
      <c r="Z623" s="588"/>
      <c r="AA623" s="588"/>
    </row>
    <row r="624" s="473" customFormat="1" ht="15.75" customHeight="1" spans="1:27">
      <c r="A624" s="492" t="s">
        <v>910</v>
      </c>
      <c r="B624" s="492" t="s">
        <v>4300</v>
      </c>
      <c r="C624" s="494" t="s">
        <v>4723</v>
      </c>
      <c r="D624" s="492" t="s">
        <v>4724</v>
      </c>
      <c r="E624" s="488"/>
      <c r="F624" s="489" t="s">
        <v>3979</v>
      </c>
      <c r="G624" s="492" t="s">
        <v>3146</v>
      </c>
      <c r="H624" s="494" t="s">
        <v>4721</v>
      </c>
      <c r="I624" s="545">
        <v>45761</v>
      </c>
      <c r="J624" s="545">
        <v>45784</v>
      </c>
      <c r="K624" s="492" t="s">
        <v>18</v>
      </c>
      <c r="L624" s="559" t="s">
        <v>4572</v>
      </c>
      <c r="M624" s="492" t="s">
        <v>309</v>
      </c>
      <c r="N624" s="497"/>
      <c r="O624" s="497"/>
      <c r="P624" s="608"/>
      <c r="Q624" s="545">
        <v>45769</v>
      </c>
      <c r="R624" s="545">
        <v>45783</v>
      </c>
      <c r="S624" s="489"/>
      <c r="T624" s="545">
        <v>45783</v>
      </c>
      <c r="U624" s="545">
        <v>45790</v>
      </c>
      <c r="V624" s="492" t="s">
        <v>20</v>
      </c>
      <c r="W624" s="545">
        <f t="shared" si="27"/>
        <v>45805</v>
      </c>
      <c r="X624" s="588"/>
      <c r="Y624" s="523"/>
      <c r="Z624" s="588"/>
      <c r="AA624" s="588"/>
    </row>
    <row r="625" s="473" customFormat="1" ht="15.75" customHeight="1" spans="1:27">
      <c r="A625" s="492" t="s">
        <v>910</v>
      </c>
      <c r="B625" s="492" t="s">
        <v>4300</v>
      </c>
      <c r="C625" s="494" t="s">
        <v>4725</v>
      </c>
      <c r="D625" s="492" t="s">
        <v>4726</v>
      </c>
      <c r="E625" s="488"/>
      <c r="F625" s="489" t="s">
        <v>3979</v>
      </c>
      <c r="G625" s="492" t="s">
        <v>3146</v>
      </c>
      <c r="H625" s="494" t="s">
        <v>4721</v>
      </c>
      <c r="I625" s="545">
        <v>45761</v>
      </c>
      <c r="J625" s="545">
        <v>45784</v>
      </c>
      <c r="K625" s="492" t="s">
        <v>18</v>
      </c>
      <c r="L625" s="559" t="s">
        <v>4572</v>
      </c>
      <c r="M625" s="492" t="s">
        <v>309</v>
      </c>
      <c r="N625" s="497"/>
      <c r="O625" s="497"/>
      <c r="P625" s="608"/>
      <c r="Q625" s="545">
        <v>45772</v>
      </c>
      <c r="R625" s="545">
        <v>45783</v>
      </c>
      <c r="S625" s="195">
        <v>45779</v>
      </c>
      <c r="T625" s="195">
        <v>45784</v>
      </c>
      <c r="U625" s="545">
        <v>45789</v>
      </c>
      <c r="V625" s="492" t="s">
        <v>20</v>
      </c>
      <c r="W625" s="545">
        <f t="shared" si="27"/>
        <v>45805</v>
      </c>
      <c r="X625" s="588" t="s">
        <v>4722</v>
      </c>
      <c r="Y625" s="523"/>
      <c r="Z625" s="588"/>
      <c r="AA625" s="588"/>
    </row>
    <row r="626" s="473" customFormat="1" ht="15.75" customHeight="1" spans="1:27">
      <c r="A626" s="492" t="s">
        <v>910</v>
      </c>
      <c r="B626" s="492" t="s">
        <v>4300</v>
      </c>
      <c r="C626" s="494" t="s">
        <v>4727</v>
      </c>
      <c r="D626" s="556" t="s">
        <v>4728</v>
      </c>
      <c r="E626" s="488"/>
      <c r="F626" s="489" t="s">
        <v>3979</v>
      </c>
      <c r="G626" s="492" t="s">
        <v>3146</v>
      </c>
      <c r="H626" s="494" t="s">
        <v>4721</v>
      </c>
      <c r="I626" s="545">
        <v>45761</v>
      </c>
      <c r="J626" s="545">
        <v>45784</v>
      </c>
      <c r="K626" s="492" t="s">
        <v>18</v>
      </c>
      <c r="L626" s="559" t="s">
        <v>4572</v>
      </c>
      <c r="M626" s="492" t="s">
        <v>309</v>
      </c>
      <c r="N626" s="497"/>
      <c r="O626" s="497"/>
      <c r="P626" s="608"/>
      <c r="Q626" s="545">
        <v>45772</v>
      </c>
      <c r="R626" s="545">
        <v>45783</v>
      </c>
      <c r="S626" s="195">
        <v>45779</v>
      </c>
      <c r="T626" s="545">
        <v>45783</v>
      </c>
      <c r="U626" s="545">
        <v>45790</v>
      </c>
      <c r="V626" s="556" t="s">
        <v>20</v>
      </c>
      <c r="W626" s="545">
        <f t="shared" si="27"/>
        <v>45805</v>
      </c>
      <c r="X626" s="588" t="s">
        <v>4722</v>
      </c>
      <c r="Y626" s="523"/>
      <c r="Z626" s="588"/>
      <c r="AA626" s="588"/>
    </row>
    <row r="627" s="473" customFormat="1" ht="15.75" customHeight="1" spans="1:27">
      <c r="A627" s="492" t="s">
        <v>910</v>
      </c>
      <c r="B627" s="492" t="s">
        <v>4300</v>
      </c>
      <c r="C627" s="494" t="s">
        <v>4729</v>
      </c>
      <c r="D627" s="556" t="s">
        <v>4730</v>
      </c>
      <c r="E627" s="488"/>
      <c r="F627" s="489" t="s">
        <v>3979</v>
      </c>
      <c r="G627" s="492" t="s">
        <v>3146</v>
      </c>
      <c r="H627" s="494" t="s">
        <v>4721</v>
      </c>
      <c r="I627" s="545">
        <v>45761</v>
      </c>
      <c r="J627" s="545">
        <v>45784</v>
      </c>
      <c r="K627" s="492" t="s">
        <v>18</v>
      </c>
      <c r="L627" s="559" t="s">
        <v>3457</v>
      </c>
      <c r="M627" s="492" t="s">
        <v>309</v>
      </c>
      <c r="N627" s="497"/>
      <c r="O627" s="497"/>
      <c r="P627" s="608"/>
      <c r="Q627" s="545">
        <v>45769</v>
      </c>
      <c r="R627" s="545">
        <v>45783</v>
      </c>
      <c r="S627" s="489"/>
      <c r="T627" s="545">
        <v>45783</v>
      </c>
      <c r="U627" s="545">
        <v>45791</v>
      </c>
      <c r="V627" s="492" t="s">
        <v>20</v>
      </c>
      <c r="W627" s="545">
        <f t="shared" si="27"/>
        <v>45805</v>
      </c>
      <c r="X627" s="588"/>
      <c r="Y627" s="523"/>
      <c r="Z627" s="588"/>
      <c r="AA627" s="588"/>
    </row>
    <row r="628" s="473" customFormat="1" ht="15.75" customHeight="1" spans="1:27">
      <c r="A628" s="492" t="s">
        <v>656</v>
      </c>
      <c r="B628" s="492" t="s">
        <v>4300</v>
      </c>
      <c r="C628" s="494" t="s">
        <v>4731</v>
      </c>
      <c r="D628" s="556" t="s">
        <v>4732</v>
      </c>
      <c r="E628" s="488"/>
      <c r="F628" s="489" t="s">
        <v>3979</v>
      </c>
      <c r="G628" s="492" t="s">
        <v>3146</v>
      </c>
      <c r="H628" s="494" t="s">
        <v>4721</v>
      </c>
      <c r="I628" s="545">
        <v>45761</v>
      </c>
      <c r="J628" s="545">
        <v>45784</v>
      </c>
      <c r="K628" s="492" t="s">
        <v>18</v>
      </c>
      <c r="L628" s="559" t="s">
        <v>4572</v>
      </c>
      <c r="M628" s="492" t="s">
        <v>309</v>
      </c>
      <c r="N628" s="497"/>
      <c r="O628" s="497"/>
      <c r="P628" s="608"/>
      <c r="Q628" s="545">
        <v>45775</v>
      </c>
      <c r="R628" s="545">
        <v>45783</v>
      </c>
      <c r="S628" s="195">
        <v>45779</v>
      </c>
      <c r="T628" s="545">
        <v>45783</v>
      </c>
      <c r="U628" s="545">
        <v>45790</v>
      </c>
      <c r="V628" s="492" t="s">
        <v>20</v>
      </c>
      <c r="W628" s="545">
        <f t="shared" si="27"/>
        <v>45805</v>
      </c>
      <c r="X628" s="588" t="s">
        <v>4722</v>
      </c>
      <c r="Y628" s="523"/>
      <c r="Z628" s="588"/>
      <c r="AA628" s="588"/>
    </row>
    <row r="629" s="473" customFormat="1" ht="15.75" customHeight="1" spans="1:27">
      <c r="A629" s="492" t="s">
        <v>910</v>
      </c>
      <c r="B629" s="492" t="s">
        <v>4300</v>
      </c>
      <c r="C629" s="494" t="s">
        <v>4733</v>
      </c>
      <c r="D629" s="556" t="s">
        <v>4734</v>
      </c>
      <c r="E629" s="488"/>
      <c r="F629" s="492" t="s">
        <v>3979</v>
      </c>
      <c r="G629" s="492" t="s">
        <v>3146</v>
      </c>
      <c r="H629" s="494" t="s">
        <v>4735</v>
      </c>
      <c r="I629" s="545">
        <v>45765</v>
      </c>
      <c r="J629" s="545">
        <v>45786</v>
      </c>
      <c r="K629" s="492" t="s">
        <v>18</v>
      </c>
      <c r="L629" s="559" t="s">
        <v>3457</v>
      </c>
      <c r="M629" s="492" t="s">
        <v>309</v>
      </c>
      <c r="N629" s="497"/>
      <c r="O629" s="497"/>
      <c r="P629" s="608"/>
      <c r="Q629" s="545">
        <v>45772</v>
      </c>
      <c r="R629" s="545">
        <v>45779</v>
      </c>
      <c r="S629" s="489"/>
      <c r="T629" s="545">
        <v>45783</v>
      </c>
      <c r="U629" s="545">
        <v>45791</v>
      </c>
      <c r="V629" s="492" t="s">
        <v>20</v>
      </c>
      <c r="W629" s="545">
        <f t="shared" si="27"/>
        <v>45807</v>
      </c>
      <c r="X629" s="588"/>
      <c r="Y629" s="523"/>
      <c r="Z629" s="588"/>
      <c r="AA629" s="588"/>
    </row>
    <row r="630" s="473" customFormat="1" ht="15.75" customHeight="1" spans="1:27">
      <c r="A630" s="492" t="s">
        <v>910</v>
      </c>
      <c r="B630" s="492" t="s">
        <v>4300</v>
      </c>
      <c r="C630" s="494" t="s">
        <v>4736</v>
      </c>
      <c r="D630" s="556" t="s">
        <v>4737</v>
      </c>
      <c r="E630" s="488"/>
      <c r="F630" s="492" t="s">
        <v>3979</v>
      </c>
      <c r="G630" s="492" t="s">
        <v>3146</v>
      </c>
      <c r="H630" s="494" t="s">
        <v>4735</v>
      </c>
      <c r="I630" s="545">
        <v>45765</v>
      </c>
      <c r="J630" s="545">
        <v>45786</v>
      </c>
      <c r="K630" s="492" t="s">
        <v>18</v>
      </c>
      <c r="L630" s="611" t="s">
        <v>4572</v>
      </c>
      <c r="M630" s="492" t="s">
        <v>309</v>
      </c>
      <c r="N630" s="497"/>
      <c r="O630" s="497"/>
      <c r="P630" s="608"/>
      <c r="Q630" s="545">
        <v>45772</v>
      </c>
      <c r="R630" s="545">
        <v>45779</v>
      </c>
      <c r="S630" s="489"/>
      <c r="T630" s="195">
        <v>45784</v>
      </c>
      <c r="U630" s="545">
        <v>45791</v>
      </c>
      <c r="V630" s="492" t="s">
        <v>20</v>
      </c>
      <c r="W630" s="545">
        <f t="shared" si="27"/>
        <v>45807</v>
      </c>
      <c r="X630" s="588"/>
      <c r="Y630" s="523"/>
      <c r="Z630" s="588"/>
      <c r="AA630" s="588"/>
    </row>
    <row r="631" s="473" customFormat="1" ht="15.75" customHeight="1" spans="1:27">
      <c r="A631" s="492" t="s">
        <v>910</v>
      </c>
      <c r="B631" s="492" t="s">
        <v>4300</v>
      </c>
      <c r="C631" s="494" t="s">
        <v>4738</v>
      </c>
      <c r="D631" s="556" t="s">
        <v>4739</v>
      </c>
      <c r="E631" s="488"/>
      <c r="F631" s="492" t="s">
        <v>3979</v>
      </c>
      <c r="G631" s="492" t="s">
        <v>3146</v>
      </c>
      <c r="H631" s="494" t="s">
        <v>4735</v>
      </c>
      <c r="I631" s="545">
        <v>45765</v>
      </c>
      <c r="J631" s="545">
        <v>45786</v>
      </c>
      <c r="K631" s="492" t="s">
        <v>18</v>
      </c>
      <c r="L631" s="611" t="s">
        <v>4572</v>
      </c>
      <c r="M631" s="492" t="s">
        <v>309</v>
      </c>
      <c r="N631" s="497"/>
      <c r="O631" s="497"/>
      <c r="P631" s="608"/>
      <c r="Q631" s="545">
        <v>45772</v>
      </c>
      <c r="R631" s="545">
        <v>45779</v>
      </c>
      <c r="S631" s="489"/>
      <c r="T631" s="545">
        <v>45783</v>
      </c>
      <c r="U631" s="545">
        <v>45791</v>
      </c>
      <c r="V631" s="492" t="s">
        <v>20</v>
      </c>
      <c r="W631" s="545">
        <f t="shared" si="27"/>
        <v>45807</v>
      </c>
      <c r="X631" s="588"/>
      <c r="Y631" s="523"/>
      <c r="Z631" s="588"/>
      <c r="AA631" s="588"/>
    </row>
    <row r="632" s="473" customFormat="1" ht="15.75" customHeight="1" spans="1:27">
      <c r="A632" s="492" t="s">
        <v>910</v>
      </c>
      <c r="B632" s="492" t="s">
        <v>4300</v>
      </c>
      <c r="C632" s="494" t="s">
        <v>4740</v>
      </c>
      <c r="D632" s="556" t="s">
        <v>4741</v>
      </c>
      <c r="E632" s="488"/>
      <c r="F632" s="492" t="s">
        <v>3979</v>
      </c>
      <c r="G632" s="492" t="s">
        <v>3146</v>
      </c>
      <c r="H632" s="494" t="s">
        <v>4735</v>
      </c>
      <c r="I632" s="545">
        <v>45765</v>
      </c>
      <c r="J632" s="545">
        <v>45786</v>
      </c>
      <c r="K632" s="492" t="s">
        <v>18</v>
      </c>
      <c r="L632" s="611" t="s">
        <v>4572</v>
      </c>
      <c r="M632" s="492" t="s">
        <v>309</v>
      </c>
      <c r="N632" s="497"/>
      <c r="O632" s="497"/>
      <c r="P632" s="608"/>
      <c r="Q632" s="545">
        <v>45772</v>
      </c>
      <c r="R632" s="545">
        <v>45779</v>
      </c>
      <c r="S632" s="489"/>
      <c r="T632" s="545">
        <v>45783</v>
      </c>
      <c r="U632" s="545">
        <v>45792</v>
      </c>
      <c r="V632" s="492" t="s">
        <v>20</v>
      </c>
      <c r="W632" s="545">
        <f t="shared" si="27"/>
        <v>45807</v>
      </c>
      <c r="X632" s="588"/>
      <c r="Y632" s="523"/>
      <c r="Z632" s="588"/>
      <c r="AA632" s="588"/>
    </row>
    <row r="633" s="473" customFormat="1" ht="15.75" customHeight="1" spans="1:27">
      <c r="A633" s="492" t="s">
        <v>910</v>
      </c>
      <c r="B633" s="492" t="s">
        <v>4300</v>
      </c>
      <c r="C633" s="494" t="s">
        <v>4742</v>
      </c>
      <c r="D633" s="556" t="s">
        <v>4743</v>
      </c>
      <c r="E633" s="488"/>
      <c r="F633" s="492" t="s">
        <v>3979</v>
      </c>
      <c r="G633" s="492" t="s">
        <v>3146</v>
      </c>
      <c r="H633" s="494" t="s">
        <v>4735</v>
      </c>
      <c r="I633" s="545">
        <v>45765</v>
      </c>
      <c r="J633" s="545">
        <v>45786</v>
      </c>
      <c r="K633" s="492" t="s">
        <v>18</v>
      </c>
      <c r="L633" s="611" t="s">
        <v>4572</v>
      </c>
      <c r="M633" s="492" t="s">
        <v>309</v>
      </c>
      <c r="N633" s="497"/>
      <c r="O633" s="497"/>
      <c r="P633" s="608"/>
      <c r="Q633" s="545">
        <v>45779</v>
      </c>
      <c r="R633" s="545">
        <v>45779</v>
      </c>
      <c r="S633" s="545">
        <v>45784</v>
      </c>
      <c r="T633" s="545">
        <v>45785</v>
      </c>
      <c r="U633" s="545">
        <v>45791</v>
      </c>
      <c r="V633" s="492" t="s">
        <v>20</v>
      </c>
      <c r="W633" s="545">
        <f t="shared" si="27"/>
        <v>45807</v>
      </c>
      <c r="X633" s="588"/>
      <c r="Y633" s="523"/>
      <c r="Z633" s="588"/>
      <c r="AA633" s="588"/>
    </row>
    <row r="634" s="473" customFormat="1" ht="15.75" customHeight="1" spans="1:27">
      <c r="A634" s="492" t="s">
        <v>579</v>
      </c>
      <c r="B634" s="492" t="s">
        <v>4300</v>
      </c>
      <c r="C634" s="494" t="s">
        <v>4744</v>
      </c>
      <c r="D634" s="556" t="s">
        <v>4745</v>
      </c>
      <c r="E634" s="488"/>
      <c r="F634" s="492" t="s">
        <v>3979</v>
      </c>
      <c r="G634" s="492" t="s">
        <v>3146</v>
      </c>
      <c r="H634" s="494" t="s">
        <v>4735</v>
      </c>
      <c r="I634" s="545">
        <v>45765</v>
      </c>
      <c r="J634" s="545">
        <v>45786</v>
      </c>
      <c r="K634" s="492" t="s">
        <v>18</v>
      </c>
      <c r="L634" s="559" t="s">
        <v>4572</v>
      </c>
      <c r="M634" s="492" t="s">
        <v>309</v>
      </c>
      <c r="N634" s="497"/>
      <c r="O634" s="497"/>
      <c r="P634" s="608"/>
      <c r="Q634" s="545">
        <v>45779</v>
      </c>
      <c r="R634" s="545">
        <v>45779</v>
      </c>
      <c r="S634" s="545">
        <v>45784</v>
      </c>
      <c r="T634" s="545">
        <v>45785</v>
      </c>
      <c r="U634" s="545">
        <v>45792</v>
      </c>
      <c r="V634" s="492" t="s">
        <v>20</v>
      </c>
      <c r="W634" s="545">
        <f t="shared" si="27"/>
        <v>45807</v>
      </c>
      <c r="X634" s="588"/>
      <c r="Y634" s="523"/>
      <c r="Z634" s="588"/>
      <c r="AA634" s="588"/>
    </row>
    <row r="635" s="473" customFormat="1" ht="15.75" customHeight="1" spans="1:27">
      <c r="A635" s="492" t="s">
        <v>910</v>
      </c>
      <c r="B635" s="492" t="s">
        <v>4300</v>
      </c>
      <c r="C635" s="494" t="s">
        <v>4746</v>
      </c>
      <c r="D635" s="556" t="s">
        <v>4747</v>
      </c>
      <c r="E635" s="488"/>
      <c r="F635" s="492" t="s">
        <v>3979</v>
      </c>
      <c r="G635" s="492" t="s">
        <v>3146</v>
      </c>
      <c r="H635" s="494" t="s">
        <v>4735</v>
      </c>
      <c r="I635" s="545">
        <v>45765</v>
      </c>
      <c r="J635" s="545">
        <v>45786</v>
      </c>
      <c r="K635" s="492" t="s">
        <v>18</v>
      </c>
      <c r="L635" s="559" t="s">
        <v>4572</v>
      </c>
      <c r="M635" s="492" t="s">
        <v>309</v>
      </c>
      <c r="N635" s="497"/>
      <c r="O635" s="497"/>
      <c r="P635" s="608"/>
      <c r="Q635" s="545">
        <v>45779</v>
      </c>
      <c r="R635" s="545">
        <v>45779</v>
      </c>
      <c r="S635" s="545">
        <v>45784</v>
      </c>
      <c r="T635" s="195">
        <v>45785</v>
      </c>
      <c r="U635" s="545">
        <v>45791</v>
      </c>
      <c r="V635" s="492" t="s">
        <v>20</v>
      </c>
      <c r="W635" s="545">
        <f t="shared" si="27"/>
        <v>45807</v>
      </c>
      <c r="X635" s="588"/>
      <c r="Y635" s="523"/>
      <c r="Z635" s="588"/>
      <c r="AA635" s="588"/>
    </row>
    <row r="636" s="473" customFormat="1" ht="15.75" customHeight="1" spans="1:27">
      <c r="A636" s="492" t="s">
        <v>910</v>
      </c>
      <c r="B636" s="492" t="s">
        <v>4300</v>
      </c>
      <c r="C636" s="492" t="s">
        <v>4748</v>
      </c>
      <c r="D636" s="556" t="s">
        <v>4749</v>
      </c>
      <c r="E636" s="491"/>
      <c r="F636" s="492" t="s">
        <v>3979</v>
      </c>
      <c r="G636" s="492" t="s">
        <v>3146</v>
      </c>
      <c r="H636" s="587" t="s">
        <v>4750</v>
      </c>
      <c r="I636" s="545">
        <v>45768</v>
      </c>
      <c r="J636" s="545">
        <v>45786</v>
      </c>
      <c r="K636" s="492" t="s">
        <v>18</v>
      </c>
      <c r="L636" s="559" t="s">
        <v>3457</v>
      </c>
      <c r="M636" s="492" t="s">
        <v>309</v>
      </c>
      <c r="N636" s="497"/>
      <c r="O636" s="497"/>
      <c r="P636" s="608"/>
      <c r="Q636" s="545">
        <v>45779</v>
      </c>
      <c r="R636" s="545">
        <v>45779</v>
      </c>
      <c r="S636" s="545">
        <v>45784</v>
      </c>
      <c r="T636" s="545">
        <v>45785</v>
      </c>
      <c r="U636" s="545">
        <v>45792</v>
      </c>
      <c r="V636" s="492" t="s">
        <v>20</v>
      </c>
      <c r="W636" s="545">
        <f t="shared" si="27"/>
        <v>45807</v>
      </c>
      <c r="X636" s="588"/>
      <c r="Y636" s="523"/>
      <c r="Z636" s="588"/>
      <c r="AA636" s="588"/>
    </row>
    <row r="637" s="473" customFormat="1" ht="15.75" customHeight="1" spans="1:27">
      <c r="A637" s="492" t="s">
        <v>910</v>
      </c>
      <c r="B637" s="492" t="s">
        <v>4300</v>
      </c>
      <c r="C637" s="492" t="s">
        <v>4751</v>
      </c>
      <c r="D637" s="556" t="s">
        <v>4752</v>
      </c>
      <c r="E637" s="491"/>
      <c r="F637" s="492" t="s">
        <v>3979</v>
      </c>
      <c r="G637" s="492" t="s">
        <v>3146</v>
      </c>
      <c r="H637" s="587" t="s">
        <v>4750</v>
      </c>
      <c r="I637" s="545">
        <v>45768</v>
      </c>
      <c r="J637" s="545">
        <v>45786</v>
      </c>
      <c r="K637" s="492" t="s">
        <v>18</v>
      </c>
      <c r="L637" s="559" t="s">
        <v>4572</v>
      </c>
      <c r="M637" s="492" t="s">
        <v>309</v>
      </c>
      <c r="N637" s="497"/>
      <c r="O637" s="497"/>
      <c r="P637" s="608"/>
      <c r="Q637" s="545">
        <v>45779</v>
      </c>
      <c r="R637" s="545">
        <v>45779</v>
      </c>
      <c r="S637" s="545">
        <v>45784</v>
      </c>
      <c r="T637" s="545">
        <v>45785</v>
      </c>
      <c r="U637" s="545">
        <v>45792</v>
      </c>
      <c r="V637" s="492" t="s">
        <v>20</v>
      </c>
      <c r="W637" s="545">
        <f t="shared" si="27"/>
        <v>45807</v>
      </c>
      <c r="X637" s="588"/>
      <c r="Y637" s="523"/>
      <c r="Z637" s="588"/>
      <c r="AA637" s="588"/>
    </row>
    <row r="638" s="473" customFormat="1" ht="15.75" customHeight="1" spans="1:27">
      <c r="A638" s="492" t="s">
        <v>910</v>
      </c>
      <c r="B638" s="492" t="s">
        <v>4300</v>
      </c>
      <c r="C638" s="595" t="s">
        <v>4753</v>
      </c>
      <c r="D638" s="556" t="s">
        <v>4754</v>
      </c>
      <c r="E638" s="491"/>
      <c r="F638" s="556" t="s">
        <v>4018</v>
      </c>
      <c r="G638" s="492" t="s">
        <v>3032</v>
      </c>
      <c r="H638" s="492" t="s">
        <v>4755</v>
      </c>
      <c r="I638" s="545">
        <v>45771</v>
      </c>
      <c r="J638" s="545">
        <v>45786</v>
      </c>
      <c r="K638" s="492" t="s">
        <v>18</v>
      </c>
      <c r="L638" s="611" t="s">
        <v>4572</v>
      </c>
      <c r="M638" s="492" t="s">
        <v>309</v>
      </c>
      <c r="N638" s="497"/>
      <c r="O638" s="497"/>
      <c r="P638" s="608"/>
      <c r="Q638" s="545">
        <v>45783</v>
      </c>
      <c r="R638" s="545">
        <v>45783</v>
      </c>
      <c r="S638" s="545">
        <v>45784</v>
      </c>
      <c r="T638" s="545">
        <v>45784</v>
      </c>
      <c r="U638" s="545">
        <v>45792</v>
      </c>
      <c r="V638" s="492" t="s">
        <v>20</v>
      </c>
      <c r="W638" s="545">
        <f>J638+14</f>
        <v>45800</v>
      </c>
      <c r="X638" s="588"/>
      <c r="Y638" s="523"/>
      <c r="Z638" s="588"/>
      <c r="AA638" s="588"/>
    </row>
    <row r="639" s="473" customFormat="1" ht="15.75" customHeight="1" spans="1:27">
      <c r="A639" s="492" t="s">
        <v>656</v>
      </c>
      <c r="B639" s="492" t="s">
        <v>4300</v>
      </c>
      <c r="C639" s="580" t="s">
        <v>4756</v>
      </c>
      <c r="D639" s="556" t="s">
        <v>4757</v>
      </c>
      <c r="E639" s="491"/>
      <c r="F639" s="556" t="s">
        <v>4018</v>
      </c>
      <c r="G639" s="492" t="s">
        <v>3032</v>
      </c>
      <c r="H639" s="492" t="s">
        <v>4755</v>
      </c>
      <c r="I639" s="545">
        <v>45771</v>
      </c>
      <c r="J639" s="545">
        <v>45786</v>
      </c>
      <c r="K639" s="492" t="s">
        <v>18</v>
      </c>
      <c r="L639" s="611" t="s">
        <v>4572</v>
      </c>
      <c r="M639" s="492" t="s">
        <v>309</v>
      </c>
      <c r="N639" s="497"/>
      <c r="O639" s="497"/>
      <c r="P639" s="608"/>
      <c r="Q639" s="545">
        <v>45779</v>
      </c>
      <c r="R639" s="545">
        <v>45783</v>
      </c>
      <c r="S639" s="492"/>
      <c r="T639" s="545">
        <v>45784</v>
      </c>
      <c r="U639" s="545">
        <v>45791</v>
      </c>
      <c r="V639" s="556" t="s">
        <v>20</v>
      </c>
      <c r="W639" s="545">
        <f>J639+14</f>
        <v>45800</v>
      </c>
      <c r="X639" s="588"/>
      <c r="Y639" s="523"/>
      <c r="Z639" s="588"/>
      <c r="AA639" s="588"/>
    </row>
    <row r="640" s="473" customFormat="1" spans="1:27">
      <c r="A640" s="494" t="s">
        <v>559</v>
      </c>
      <c r="B640" s="492" t="s">
        <v>4300</v>
      </c>
      <c r="C640" s="494" t="s">
        <v>4758</v>
      </c>
      <c r="D640" s="556" t="s">
        <v>4759</v>
      </c>
      <c r="E640" s="488"/>
      <c r="F640" s="489" t="s">
        <v>3979</v>
      </c>
      <c r="G640" s="494" t="s">
        <v>4235</v>
      </c>
      <c r="H640" s="554" t="s">
        <v>4760</v>
      </c>
      <c r="I640" s="195">
        <v>45762</v>
      </c>
      <c r="J640" s="545">
        <v>45787</v>
      </c>
      <c r="K640" s="494" t="s">
        <v>39</v>
      </c>
      <c r="L640" s="559" t="s">
        <v>3437</v>
      </c>
      <c r="M640" s="492" t="s">
        <v>309</v>
      </c>
      <c r="N640" s="497"/>
      <c r="O640" s="497"/>
      <c r="P640" s="608"/>
      <c r="Q640" s="545">
        <v>45769</v>
      </c>
      <c r="R640" s="545">
        <v>45776</v>
      </c>
      <c r="S640" s="489"/>
      <c r="T640" s="545">
        <v>45783</v>
      </c>
      <c r="U640" s="545">
        <v>45791</v>
      </c>
      <c r="V640" s="492" t="s">
        <v>20</v>
      </c>
      <c r="W640" s="545">
        <f t="shared" ref="W640:W654" si="28">J640+21</f>
        <v>45808</v>
      </c>
      <c r="X640" s="588"/>
      <c r="Y640" s="523"/>
      <c r="Z640" s="588"/>
      <c r="AA640" s="588"/>
    </row>
    <row r="641" s="473" customFormat="1" ht="15.75" customHeight="1" spans="1:27">
      <c r="A641" s="494" t="s">
        <v>400</v>
      </c>
      <c r="B641" s="494" t="s">
        <v>4329</v>
      </c>
      <c r="C641" s="612" t="s">
        <v>4761</v>
      </c>
      <c r="D641" s="492" t="s">
        <v>4762</v>
      </c>
      <c r="E641" s="488"/>
      <c r="F641" s="556" t="s">
        <v>4018</v>
      </c>
      <c r="G641" s="494" t="s">
        <v>3032</v>
      </c>
      <c r="H641" s="494" t="s">
        <v>4763</v>
      </c>
      <c r="I641" s="545">
        <v>45770</v>
      </c>
      <c r="J641" s="545">
        <v>45787</v>
      </c>
      <c r="K641" s="492" t="s">
        <v>18</v>
      </c>
      <c r="L641" s="559" t="s">
        <v>3457</v>
      </c>
      <c r="M641" s="492" t="s">
        <v>309</v>
      </c>
      <c r="N641" s="497"/>
      <c r="O641" s="497"/>
      <c r="P641" s="608"/>
      <c r="Q641" s="545">
        <v>45777</v>
      </c>
      <c r="R641" s="545">
        <v>45783</v>
      </c>
      <c r="S641" s="489"/>
      <c r="T641" s="195">
        <v>45784</v>
      </c>
      <c r="U641" s="545">
        <v>45793</v>
      </c>
      <c r="V641" s="556" t="s">
        <v>20</v>
      </c>
      <c r="W641" s="545">
        <f t="shared" si="28"/>
        <v>45808</v>
      </c>
      <c r="X641" s="588"/>
      <c r="Y641" s="523"/>
      <c r="Z641" s="588"/>
      <c r="AA641" s="588"/>
    </row>
    <row r="642" s="473" customFormat="1" ht="15.75" customHeight="1" spans="1:27">
      <c r="A642" s="494" t="s">
        <v>910</v>
      </c>
      <c r="B642" s="492" t="s">
        <v>4329</v>
      </c>
      <c r="C642" s="580" t="s">
        <v>4764</v>
      </c>
      <c r="D642" s="492" t="s">
        <v>4765</v>
      </c>
      <c r="E642" s="488"/>
      <c r="F642" s="556" t="s">
        <v>4018</v>
      </c>
      <c r="G642" s="494" t="s">
        <v>3032</v>
      </c>
      <c r="H642" s="492" t="s">
        <v>4763</v>
      </c>
      <c r="I642" s="545">
        <v>45770</v>
      </c>
      <c r="J642" s="545">
        <v>45787</v>
      </c>
      <c r="K642" s="492" t="s">
        <v>18</v>
      </c>
      <c r="L642" s="559" t="s">
        <v>3457</v>
      </c>
      <c r="M642" s="492" t="s">
        <v>309</v>
      </c>
      <c r="N642" s="497"/>
      <c r="O642" s="497"/>
      <c r="P642" s="608"/>
      <c r="Q642" s="545">
        <v>45777</v>
      </c>
      <c r="R642" s="545">
        <v>45783</v>
      </c>
      <c r="S642" s="489"/>
      <c r="T642" s="545">
        <v>45784</v>
      </c>
      <c r="U642" s="545">
        <v>45792</v>
      </c>
      <c r="V642" s="492" t="s">
        <v>20</v>
      </c>
      <c r="W642" s="545">
        <f t="shared" si="28"/>
        <v>45808</v>
      </c>
      <c r="X642" s="588"/>
      <c r="Y642" s="523"/>
      <c r="Z642" s="588"/>
      <c r="AA642" s="588"/>
    </row>
    <row r="643" s="473" customFormat="1" ht="15.75" customHeight="1" spans="1:27">
      <c r="A643" s="492" t="s">
        <v>910</v>
      </c>
      <c r="B643" s="492" t="s">
        <v>4300</v>
      </c>
      <c r="C643" s="492" t="s">
        <v>4766</v>
      </c>
      <c r="D643" s="492" t="s">
        <v>4767</v>
      </c>
      <c r="E643" s="491"/>
      <c r="F643" s="492" t="s">
        <v>3979</v>
      </c>
      <c r="G643" s="492" t="s">
        <v>3067</v>
      </c>
      <c r="H643" s="492" t="s">
        <v>4768</v>
      </c>
      <c r="I643" s="545">
        <v>45769</v>
      </c>
      <c r="J643" s="545">
        <v>45789</v>
      </c>
      <c r="K643" s="492" t="s">
        <v>18</v>
      </c>
      <c r="L643" s="611" t="s">
        <v>4572</v>
      </c>
      <c r="M643" s="492" t="s">
        <v>309</v>
      </c>
      <c r="N643" s="497"/>
      <c r="O643" s="497"/>
      <c r="P643" s="608"/>
      <c r="Q643" s="545">
        <v>45779</v>
      </c>
      <c r="R643" s="545">
        <v>45783</v>
      </c>
      <c r="S643" s="545">
        <v>45785</v>
      </c>
      <c r="T643" s="545">
        <v>45785</v>
      </c>
      <c r="U643" s="545">
        <v>45793</v>
      </c>
      <c r="V643" s="556" t="s">
        <v>20</v>
      </c>
      <c r="W643" s="545">
        <f t="shared" si="28"/>
        <v>45810</v>
      </c>
      <c r="X643" s="588"/>
      <c r="Y643" s="523"/>
      <c r="Z643" s="588"/>
      <c r="AA643" s="588"/>
    </row>
    <row r="644" s="473" customFormat="1" ht="15.75" customHeight="1" spans="1:27">
      <c r="A644" s="492" t="s">
        <v>910</v>
      </c>
      <c r="B644" s="492" t="s">
        <v>4300</v>
      </c>
      <c r="C644" s="492" t="s">
        <v>4769</v>
      </c>
      <c r="D644" s="492" t="s">
        <v>4770</v>
      </c>
      <c r="E644" s="491"/>
      <c r="F644" s="492" t="s">
        <v>3979</v>
      </c>
      <c r="G644" s="492" t="s">
        <v>3067</v>
      </c>
      <c r="H644" s="492" t="s">
        <v>4768</v>
      </c>
      <c r="I644" s="545">
        <v>45769</v>
      </c>
      <c r="J644" s="545">
        <v>45789</v>
      </c>
      <c r="K644" s="492" t="s">
        <v>18</v>
      </c>
      <c r="L644" s="611" t="s">
        <v>4572</v>
      </c>
      <c r="M644" s="492" t="s">
        <v>309</v>
      </c>
      <c r="N644" s="497"/>
      <c r="O644" s="497"/>
      <c r="P644" s="608"/>
      <c r="Q644" s="545">
        <v>45779</v>
      </c>
      <c r="R644" s="545">
        <v>45783</v>
      </c>
      <c r="S644" s="545">
        <v>45785</v>
      </c>
      <c r="T644" s="545">
        <v>45786</v>
      </c>
      <c r="U644" s="545">
        <v>45796</v>
      </c>
      <c r="V644" s="492" t="s">
        <v>20</v>
      </c>
      <c r="W644" s="545">
        <f t="shared" si="28"/>
        <v>45810</v>
      </c>
      <c r="X644" s="588"/>
      <c r="Y644" s="523"/>
      <c r="Z644" s="588"/>
      <c r="AA644" s="588"/>
    </row>
    <row r="645" s="473" customFormat="1" ht="15.75" customHeight="1" spans="1:27">
      <c r="A645" s="492" t="s">
        <v>910</v>
      </c>
      <c r="B645" s="492" t="s">
        <v>4300</v>
      </c>
      <c r="C645" s="492" t="s">
        <v>4771</v>
      </c>
      <c r="D645" s="556" t="s">
        <v>4772</v>
      </c>
      <c r="E645" s="491"/>
      <c r="F645" s="492" t="s">
        <v>3979</v>
      </c>
      <c r="G645" s="492" t="s">
        <v>3067</v>
      </c>
      <c r="H645" s="492" t="s">
        <v>4768</v>
      </c>
      <c r="I645" s="545">
        <v>45769</v>
      </c>
      <c r="J645" s="545">
        <v>45789</v>
      </c>
      <c r="K645" s="492" t="s">
        <v>18</v>
      </c>
      <c r="L645" s="611" t="s">
        <v>4572</v>
      </c>
      <c r="M645" s="492" t="s">
        <v>309</v>
      </c>
      <c r="N645" s="497"/>
      <c r="O645" s="497"/>
      <c r="P645" s="608"/>
      <c r="Q645" s="545">
        <v>45779</v>
      </c>
      <c r="R645" s="545">
        <v>45783</v>
      </c>
      <c r="S645" s="545">
        <v>45785</v>
      </c>
      <c r="T645" s="545">
        <v>45785</v>
      </c>
      <c r="U645" s="545">
        <v>45796</v>
      </c>
      <c r="V645" s="492" t="s">
        <v>20</v>
      </c>
      <c r="W645" s="545">
        <f t="shared" si="28"/>
        <v>45810</v>
      </c>
      <c r="X645" s="588"/>
      <c r="Y645" s="523"/>
      <c r="Z645" s="588"/>
      <c r="AA645" s="588"/>
    </row>
    <row r="646" s="473" customFormat="1" ht="15.75" customHeight="1" spans="1:27">
      <c r="A646" s="492" t="s">
        <v>910</v>
      </c>
      <c r="B646" s="492" t="s">
        <v>4300</v>
      </c>
      <c r="C646" s="492" t="s">
        <v>4773</v>
      </c>
      <c r="D646" s="556" t="s">
        <v>4774</v>
      </c>
      <c r="E646" s="491"/>
      <c r="F646" s="492" t="s">
        <v>3979</v>
      </c>
      <c r="G646" s="492" t="s">
        <v>3067</v>
      </c>
      <c r="H646" s="492" t="s">
        <v>4775</v>
      </c>
      <c r="I646" s="545">
        <v>45769</v>
      </c>
      <c r="J646" s="545">
        <v>45789</v>
      </c>
      <c r="K646" s="492" t="s">
        <v>18</v>
      </c>
      <c r="L646" s="611" t="s">
        <v>4572</v>
      </c>
      <c r="M646" s="492" t="s">
        <v>309</v>
      </c>
      <c r="N646" s="497"/>
      <c r="O646" s="497"/>
      <c r="P646" s="608"/>
      <c r="Q646" s="545">
        <v>45779</v>
      </c>
      <c r="R646" s="545">
        <v>45779</v>
      </c>
      <c r="S646" s="545">
        <v>45785</v>
      </c>
      <c r="T646" s="545">
        <v>45785</v>
      </c>
      <c r="U646" s="545">
        <v>45796</v>
      </c>
      <c r="V646" s="556" t="s">
        <v>20</v>
      </c>
      <c r="W646" s="545">
        <f t="shared" si="28"/>
        <v>45810</v>
      </c>
      <c r="X646" s="588"/>
      <c r="Y646" s="523"/>
      <c r="Z646" s="588"/>
      <c r="AA646" s="588"/>
    </row>
    <row r="647" s="473" customFormat="1" ht="15.75" customHeight="1" spans="1:27">
      <c r="A647" s="492" t="s">
        <v>910</v>
      </c>
      <c r="B647" s="492" t="s">
        <v>4300</v>
      </c>
      <c r="C647" s="492" t="s">
        <v>4776</v>
      </c>
      <c r="D647" s="492" t="s">
        <v>4777</v>
      </c>
      <c r="E647" s="491"/>
      <c r="F647" s="492" t="s">
        <v>3979</v>
      </c>
      <c r="G647" s="492" t="s">
        <v>3067</v>
      </c>
      <c r="H647" s="492" t="s">
        <v>4775</v>
      </c>
      <c r="I647" s="545">
        <v>45769</v>
      </c>
      <c r="J647" s="545">
        <v>45789</v>
      </c>
      <c r="K647" s="492" t="s">
        <v>18</v>
      </c>
      <c r="L647" s="611" t="s">
        <v>4572</v>
      </c>
      <c r="M647" s="492" t="s">
        <v>309</v>
      </c>
      <c r="N647" s="497"/>
      <c r="O647" s="497"/>
      <c r="P647" s="608"/>
      <c r="Q647" s="545">
        <v>45779</v>
      </c>
      <c r="R647" s="545">
        <v>45783</v>
      </c>
      <c r="S647" s="545">
        <v>45785</v>
      </c>
      <c r="T647" s="545">
        <v>45785</v>
      </c>
      <c r="U647" s="545">
        <v>45796</v>
      </c>
      <c r="V647" s="492" t="s">
        <v>20</v>
      </c>
      <c r="W647" s="545">
        <f t="shared" si="28"/>
        <v>45810</v>
      </c>
      <c r="X647" s="588"/>
      <c r="Y647" s="523"/>
      <c r="Z647" s="588"/>
      <c r="AA647" s="588"/>
    </row>
    <row r="648" s="473" customFormat="1" ht="15.75" customHeight="1" spans="1:27">
      <c r="A648" s="492" t="s">
        <v>656</v>
      </c>
      <c r="B648" s="492" t="s">
        <v>4300</v>
      </c>
      <c r="C648" s="492" t="s">
        <v>4778</v>
      </c>
      <c r="D648" s="492" t="s">
        <v>4779</v>
      </c>
      <c r="E648" s="491"/>
      <c r="F648" s="492" t="s">
        <v>3979</v>
      </c>
      <c r="G648" s="492" t="s">
        <v>3079</v>
      </c>
      <c r="H648" s="492" t="s">
        <v>4775</v>
      </c>
      <c r="I648" s="545">
        <v>45761</v>
      </c>
      <c r="J648" s="545">
        <v>45790</v>
      </c>
      <c r="K648" s="492" t="s">
        <v>18</v>
      </c>
      <c r="L648" s="559" t="s">
        <v>3457</v>
      </c>
      <c r="M648" s="492" t="s">
        <v>309</v>
      </c>
      <c r="N648" s="497"/>
      <c r="O648" s="497"/>
      <c r="P648" s="608"/>
      <c r="Q648" s="545">
        <v>45774</v>
      </c>
      <c r="R648" s="545">
        <v>45775</v>
      </c>
      <c r="S648" s="492"/>
      <c r="T648" s="545">
        <v>45784</v>
      </c>
      <c r="U648" s="545">
        <v>45793</v>
      </c>
      <c r="V648" s="556" t="s">
        <v>20</v>
      </c>
      <c r="W648" s="545">
        <f t="shared" si="28"/>
        <v>45811</v>
      </c>
      <c r="X648" s="588"/>
      <c r="Y648" s="523"/>
      <c r="Z648" s="588"/>
      <c r="AA648" s="588"/>
    </row>
    <row r="649" s="473" customFormat="1" ht="15.75" customHeight="1" spans="1:27">
      <c r="A649" s="492" t="s">
        <v>464</v>
      </c>
      <c r="B649" s="492" t="s">
        <v>4300</v>
      </c>
      <c r="C649" s="492" t="s">
        <v>4780</v>
      </c>
      <c r="D649" s="492" t="s">
        <v>4781</v>
      </c>
      <c r="E649" s="491"/>
      <c r="F649" s="492" t="s">
        <v>3979</v>
      </c>
      <c r="G649" s="492" t="s">
        <v>3079</v>
      </c>
      <c r="H649" s="492" t="s">
        <v>4775</v>
      </c>
      <c r="I649" s="545">
        <v>45761</v>
      </c>
      <c r="J649" s="545">
        <v>45790</v>
      </c>
      <c r="K649" s="492" t="s">
        <v>18</v>
      </c>
      <c r="L649" s="610" t="s">
        <v>3452</v>
      </c>
      <c r="M649" s="492" t="s">
        <v>937</v>
      </c>
      <c r="N649" s="497"/>
      <c r="O649" s="497"/>
      <c r="P649" s="608"/>
      <c r="Q649" s="545">
        <v>45769</v>
      </c>
      <c r="R649" s="545">
        <v>45772</v>
      </c>
      <c r="S649" s="492"/>
      <c r="T649" s="545">
        <v>45784</v>
      </c>
      <c r="U649" s="545">
        <v>45796</v>
      </c>
      <c r="V649" s="556" t="s">
        <v>20</v>
      </c>
      <c r="W649" s="545">
        <f t="shared" si="28"/>
        <v>45811</v>
      </c>
      <c r="X649" s="588" t="s">
        <v>4782</v>
      </c>
      <c r="Y649" s="523"/>
      <c r="Z649" s="588"/>
      <c r="AA649" s="588"/>
    </row>
    <row r="650" s="473" customFormat="1" ht="15.75" customHeight="1" spans="1:27">
      <c r="A650" s="492" t="s">
        <v>656</v>
      </c>
      <c r="B650" s="492" t="s">
        <v>4300</v>
      </c>
      <c r="C650" s="492" t="s">
        <v>4783</v>
      </c>
      <c r="D650" s="492" t="s">
        <v>4784</v>
      </c>
      <c r="E650" s="491"/>
      <c r="F650" s="492" t="s">
        <v>3979</v>
      </c>
      <c r="G650" s="492" t="s">
        <v>3079</v>
      </c>
      <c r="H650" s="492" t="s">
        <v>4775</v>
      </c>
      <c r="I650" s="545">
        <v>45761</v>
      </c>
      <c r="J650" s="545">
        <v>45790</v>
      </c>
      <c r="K650" s="492" t="s">
        <v>18</v>
      </c>
      <c r="L650" s="611" t="s">
        <v>4572</v>
      </c>
      <c r="M650" s="492" t="s">
        <v>309</v>
      </c>
      <c r="N650" s="497"/>
      <c r="O650" s="497"/>
      <c r="P650" s="608"/>
      <c r="Q650" s="545">
        <v>45774</v>
      </c>
      <c r="R650" s="545">
        <v>45775</v>
      </c>
      <c r="S650" s="492"/>
      <c r="T650" s="545">
        <v>45784</v>
      </c>
      <c r="U650" s="545">
        <v>45796</v>
      </c>
      <c r="V650" s="556" t="s">
        <v>20</v>
      </c>
      <c r="W650" s="545">
        <f t="shared" si="28"/>
        <v>45811</v>
      </c>
      <c r="X650" s="588"/>
      <c r="Y650" s="523"/>
      <c r="Z650" s="588"/>
      <c r="AA650" s="588"/>
    </row>
    <row r="651" s="473" customFormat="1" ht="15.75" customHeight="1" spans="1:27">
      <c r="A651" s="492" t="s">
        <v>910</v>
      </c>
      <c r="B651" s="492" t="s">
        <v>4300</v>
      </c>
      <c r="C651" s="492" t="s">
        <v>4785</v>
      </c>
      <c r="D651" s="492" t="s">
        <v>4786</v>
      </c>
      <c r="E651" s="491"/>
      <c r="F651" s="492" t="s">
        <v>3979</v>
      </c>
      <c r="G651" s="492" t="s">
        <v>3079</v>
      </c>
      <c r="H651" s="492" t="s">
        <v>4775</v>
      </c>
      <c r="I651" s="545">
        <v>45763</v>
      </c>
      <c r="J651" s="545">
        <v>45790</v>
      </c>
      <c r="K651" s="492" t="s">
        <v>18</v>
      </c>
      <c r="L651" s="559" t="s">
        <v>3457</v>
      </c>
      <c r="M651" s="492" t="s">
        <v>309</v>
      </c>
      <c r="N651" s="497"/>
      <c r="O651" s="497"/>
      <c r="P651" s="608"/>
      <c r="Q651" s="545">
        <v>45769</v>
      </c>
      <c r="R651" s="545">
        <v>45772</v>
      </c>
      <c r="S651" s="492"/>
      <c r="T651" s="545">
        <v>45784</v>
      </c>
      <c r="U651" s="545">
        <v>45793</v>
      </c>
      <c r="V651" s="556" t="s">
        <v>20</v>
      </c>
      <c r="W651" s="545">
        <f t="shared" si="28"/>
        <v>45811</v>
      </c>
      <c r="X651" s="588"/>
      <c r="Y651" s="523"/>
      <c r="Z651" s="588"/>
      <c r="AA651" s="588"/>
    </row>
    <row r="652" s="473" customFormat="1" ht="15.75" customHeight="1" spans="1:27">
      <c r="A652" s="492" t="s">
        <v>910</v>
      </c>
      <c r="B652" s="492" t="s">
        <v>4300</v>
      </c>
      <c r="C652" s="492" t="s">
        <v>4787</v>
      </c>
      <c r="D652" s="492" t="s">
        <v>4788</v>
      </c>
      <c r="E652" s="491"/>
      <c r="F652" s="492" t="s">
        <v>3979</v>
      </c>
      <c r="G652" s="492" t="s">
        <v>3079</v>
      </c>
      <c r="H652" s="492" t="s">
        <v>4775</v>
      </c>
      <c r="I652" s="545">
        <v>45761</v>
      </c>
      <c r="J652" s="545">
        <v>45790</v>
      </c>
      <c r="K652" s="492" t="s">
        <v>18</v>
      </c>
      <c r="L652" s="559" t="s">
        <v>3457</v>
      </c>
      <c r="M652" s="492" t="s">
        <v>309</v>
      </c>
      <c r="N652" s="497"/>
      <c r="O652" s="497"/>
      <c r="P652" s="608"/>
      <c r="Q652" s="545">
        <v>45769</v>
      </c>
      <c r="R652" s="545">
        <v>45772</v>
      </c>
      <c r="S652" s="492"/>
      <c r="T652" s="545">
        <v>45784</v>
      </c>
      <c r="U652" s="545">
        <v>45793</v>
      </c>
      <c r="V652" s="556" t="s">
        <v>20</v>
      </c>
      <c r="W652" s="545">
        <f t="shared" si="28"/>
        <v>45811</v>
      </c>
      <c r="X652" s="588"/>
      <c r="Y652" s="523"/>
      <c r="Z652" s="588"/>
      <c r="AA652" s="588"/>
    </row>
    <row r="653" s="473" customFormat="1" ht="15.75" customHeight="1" spans="1:27">
      <c r="A653" s="492" t="s">
        <v>910</v>
      </c>
      <c r="B653" s="492" t="s">
        <v>4300</v>
      </c>
      <c r="C653" s="492" t="s">
        <v>4789</v>
      </c>
      <c r="D653" s="492" t="s">
        <v>4790</v>
      </c>
      <c r="E653" s="491"/>
      <c r="F653" s="492" t="s">
        <v>3979</v>
      </c>
      <c r="G653" s="492" t="s">
        <v>3079</v>
      </c>
      <c r="H653" s="492" t="s">
        <v>4775</v>
      </c>
      <c r="I653" s="545">
        <v>45761</v>
      </c>
      <c r="J653" s="545">
        <v>45790</v>
      </c>
      <c r="K653" s="492" t="s">
        <v>18</v>
      </c>
      <c r="L653" s="611" t="s">
        <v>4572</v>
      </c>
      <c r="M653" s="492" t="s">
        <v>309</v>
      </c>
      <c r="N653" s="497"/>
      <c r="O653" s="497"/>
      <c r="P653" s="608"/>
      <c r="Q653" s="545">
        <v>45769</v>
      </c>
      <c r="R653" s="545">
        <v>45772</v>
      </c>
      <c r="S653" s="492"/>
      <c r="T653" s="545">
        <v>45784</v>
      </c>
      <c r="U653" s="545">
        <v>45796</v>
      </c>
      <c r="V653" s="492" t="s">
        <v>20</v>
      </c>
      <c r="W653" s="545">
        <f t="shared" si="28"/>
        <v>45811</v>
      </c>
      <c r="X653" s="588" t="s">
        <v>4791</v>
      </c>
      <c r="Y653" s="523"/>
      <c r="Z653" s="588"/>
      <c r="AA653" s="588"/>
    </row>
    <row r="654" s="473" customFormat="1" ht="15.75" customHeight="1" spans="1:27">
      <c r="A654" s="492" t="s">
        <v>910</v>
      </c>
      <c r="B654" s="492" t="s">
        <v>4300</v>
      </c>
      <c r="C654" s="494" t="s">
        <v>4792</v>
      </c>
      <c r="D654" s="492" t="s">
        <v>4793</v>
      </c>
      <c r="E654" s="488"/>
      <c r="F654" s="489" t="s">
        <v>3979</v>
      </c>
      <c r="G654" s="494" t="s">
        <v>4235</v>
      </c>
      <c r="H654" s="494" t="s">
        <v>4794</v>
      </c>
      <c r="I654" s="545">
        <v>45762</v>
      </c>
      <c r="J654" s="545">
        <v>45791</v>
      </c>
      <c r="K654" s="492" t="s">
        <v>18</v>
      </c>
      <c r="L654" s="611" t="s">
        <v>4572</v>
      </c>
      <c r="M654" s="492" t="s">
        <v>309</v>
      </c>
      <c r="N654" s="497"/>
      <c r="O654" s="497"/>
      <c r="P654" s="608"/>
      <c r="Q654" s="545">
        <v>45769</v>
      </c>
      <c r="R654" s="545">
        <v>45779</v>
      </c>
      <c r="S654" s="545">
        <v>45785</v>
      </c>
      <c r="T654" s="545">
        <v>45786</v>
      </c>
      <c r="U654" s="545">
        <v>45797</v>
      </c>
      <c r="V654" s="556" t="s">
        <v>20</v>
      </c>
      <c r="W654" s="545">
        <f t="shared" si="28"/>
        <v>45812</v>
      </c>
      <c r="X654" s="588"/>
      <c r="Y654" s="523"/>
      <c r="Z654" s="588"/>
      <c r="AA654" s="588"/>
    </row>
    <row r="655" s="473" customFormat="1" ht="15.75" customHeight="1" spans="1:27">
      <c r="A655" s="249" t="s">
        <v>910</v>
      </c>
      <c r="B655" s="249" t="s">
        <v>4329</v>
      </c>
      <c r="C655" s="494" t="s">
        <v>4795</v>
      </c>
      <c r="D655" s="556" t="s">
        <v>4796</v>
      </c>
      <c r="E655" s="488"/>
      <c r="F655" s="556" t="s">
        <v>4018</v>
      </c>
      <c r="G655" s="249" t="s">
        <v>3024</v>
      </c>
      <c r="H655" s="494" t="s">
        <v>4797</v>
      </c>
      <c r="I655" s="592">
        <v>45778</v>
      </c>
      <c r="J655" s="592">
        <v>45792</v>
      </c>
      <c r="K655" s="249" t="s">
        <v>18</v>
      </c>
      <c r="L655" s="611" t="s">
        <v>4407</v>
      </c>
      <c r="M655" s="249" t="s">
        <v>2368</v>
      </c>
      <c r="N655" s="497"/>
      <c r="O655" s="497"/>
      <c r="P655" s="608"/>
      <c r="Q655" s="545">
        <v>45786</v>
      </c>
      <c r="R655" s="545">
        <v>45790</v>
      </c>
      <c r="S655" s="489"/>
      <c r="T655" s="592">
        <v>45791</v>
      </c>
      <c r="U655" s="545">
        <v>45797</v>
      </c>
      <c r="V655" s="556" t="s">
        <v>20</v>
      </c>
      <c r="W655" s="592">
        <f>J655+14</f>
        <v>45806</v>
      </c>
      <c r="X655" s="588" t="s">
        <v>4798</v>
      </c>
      <c r="Y655" s="523"/>
      <c r="Z655" s="588"/>
      <c r="AA655" s="588"/>
    </row>
    <row r="656" s="473" customFormat="1" ht="15.75" customHeight="1" spans="1:27">
      <c r="A656" s="249" t="s">
        <v>910</v>
      </c>
      <c r="B656" s="249" t="s">
        <v>4329</v>
      </c>
      <c r="C656" s="249" t="s">
        <v>2361</v>
      </c>
      <c r="D656" s="556" t="s">
        <v>4799</v>
      </c>
      <c r="E656" s="613"/>
      <c r="F656" s="556" t="s">
        <v>4018</v>
      </c>
      <c r="G656" s="249" t="s">
        <v>3024</v>
      </c>
      <c r="H656" s="249" t="s">
        <v>4797</v>
      </c>
      <c r="I656" s="592">
        <v>45778</v>
      </c>
      <c r="J656" s="592">
        <v>45792</v>
      </c>
      <c r="K656" s="249" t="s">
        <v>18</v>
      </c>
      <c r="L656" s="611" t="s">
        <v>4407</v>
      </c>
      <c r="M656" s="249" t="s">
        <v>309</v>
      </c>
      <c r="N656" s="614"/>
      <c r="O656" s="614"/>
      <c r="P656" s="615"/>
      <c r="Q656" s="545">
        <v>45789</v>
      </c>
      <c r="R656" s="545">
        <v>45789</v>
      </c>
      <c r="S656" s="249"/>
      <c r="T656" s="592">
        <v>45790</v>
      </c>
      <c r="U656" s="545">
        <v>45797</v>
      </c>
      <c r="V656" s="556" t="s">
        <v>20</v>
      </c>
      <c r="W656" s="592">
        <f>J656+14</f>
        <v>45806</v>
      </c>
      <c r="X656" s="596"/>
      <c r="Y656" s="523"/>
      <c r="Z656" s="588"/>
      <c r="AA656" s="588"/>
    </row>
    <row r="657" s="473" customFormat="1" ht="15.75" customHeight="1" spans="1:27">
      <c r="A657" s="249" t="s">
        <v>910</v>
      </c>
      <c r="B657" s="249" t="s">
        <v>4329</v>
      </c>
      <c r="C657" s="249" t="s">
        <v>2365</v>
      </c>
      <c r="D657" s="556" t="s">
        <v>4800</v>
      </c>
      <c r="E657" s="613"/>
      <c r="F657" s="556" t="s">
        <v>4018</v>
      </c>
      <c r="G657" s="249" t="s">
        <v>3024</v>
      </c>
      <c r="H657" s="249" t="s">
        <v>4797</v>
      </c>
      <c r="I657" s="592">
        <v>45778</v>
      </c>
      <c r="J657" s="592">
        <v>45792</v>
      </c>
      <c r="K657" s="249" t="s">
        <v>18</v>
      </c>
      <c r="L657" s="559" t="s">
        <v>3457</v>
      </c>
      <c r="M657" s="249" t="s">
        <v>309</v>
      </c>
      <c r="N657" s="614"/>
      <c r="O657" s="614"/>
      <c r="P657" s="615"/>
      <c r="Q657" s="545">
        <v>45789</v>
      </c>
      <c r="R657" s="545">
        <v>45789</v>
      </c>
      <c r="S657" s="249"/>
      <c r="T657" s="592">
        <v>45790</v>
      </c>
      <c r="U657" s="545">
        <v>45797</v>
      </c>
      <c r="V657" s="249" t="s">
        <v>20</v>
      </c>
      <c r="W657" s="592">
        <f>J657+14</f>
        <v>45806</v>
      </c>
      <c r="X657" s="588" t="s">
        <v>4801</v>
      </c>
      <c r="Y657" s="523"/>
      <c r="Z657" s="588"/>
      <c r="AA657" s="588"/>
    </row>
    <row r="658" s="473" customFormat="1" ht="15.75" customHeight="1" spans="1:27">
      <c r="A658" s="587" t="s">
        <v>1019</v>
      </c>
      <c r="B658" s="492" t="s">
        <v>4300</v>
      </c>
      <c r="C658" s="492" t="s">
        <v>4802</v>
      </c>
      <c r="D658" s="492" t="s">
        <v>4803</v>
      </c>
      <c r="E658" s="491"/>
      <c r="F658" s="492" t="s">
        <v>3979</v>
      </c>
      <c r="G658" s="492" t="s">
        <v>3146</v>
      </c>
      <c r="H658" s="587" t="s">
        <v>4804</v>
      </c>
      <c r="I658" s="545">
        <v>45768</v>
      </c>
      <c r="J658" s="545">
        <v>45792</v>
      </c>
      <c r="K658" s="587" t="s">
        <v>39</v>
      </c>
      <c r="L658" s="559" t="s">
        <v>3437</v>
      </c>
      <c r="M658" s="492" t="s">
        <v>309</v>
      </c>
      <c r="N658" s="497"/>
      <c r="O658" s="497"/>
      <c r="P658" s="608"/>
      <c r="Q658" s="562">
        <v>45782</v>
      </c>
      <c r="R658" s="562">
        <v>45782</v>
      </c>
      <c r="S658" s="545">
        <v>45785</v>
      </c>
      <c r="T658" s="545">
        <v>45789</v>
      </c>
      <c r="U658" s="545">
        <v>45798</v>
      </c>
      <c r="V658" s="492" t="s">
        <v>20</v>
      </c>
      <c r="W658" s="545">
        <f>J658+21</f>
        <v>45813</v>
      </c>
      <c r="X658" s="588"/>
      <c r="Y658" s="523"/>
      <c r="Z658" s="588"/>
      <c r="AA658" s="588"/>
    </row>
    <row r="659" s="473" customFormat="1" ht="15.75" customHeight="1" spans="1:27">
      <c r="A659" s="494" t="s">
        <v>778</v>
      </c>
      <c r="B659" s="492" t="s">
        <v>4300</v>
      </c>
      <c r="C659" s="494" t="s">
        <v>4805</v>
      </c>
      <c r="D659" s="492" t="s">
        <v>4806</v>
      </c>
      <c r="E659" s="488"/>
      <c r="F659" s="489" t="s">
        <v>3979</v>
      </c>
      <c r="G659" s="494" t="s">
        <v>3079</v>
      </c>
      <c r="H659" s="554" t="s">
        <v>4633</v>
      </c>
      <c r="I659" s="545">
        <v>45750</v>
      </c>
      <c r="J659" s="562">
        <v>45793</v>
      </c>
      <c r="K659" s="494" t="s">
        <v>215</v>
      </c>
      <c r="L659" s="559" t="s">
        <v>3086</v>
      </c>
      <c r="M659" s="492" t="s">
        <v>794</v>
      </c>
      <c r="N659" s="497"/>
      <c r="O659" s="497"/>
      <c r="P659" s="608"/>
      <c r="Q659" s="545">
        <v>45757</v>
      </c>
      <c r="R659" s="545">
        <v>45764</v>
      </c>
      <c r="S659" s="489"/>
      <c r="T659" s="545">
        <v>45779</v>
      </c>
      <c r="U659" s="545">
        <v>45796</v>
      </c>
      <c r="V659" s="492" t="s">
        <v>20</v>
      </c>
      <c r="W659" s="545">
        <f>J659+14</f>
        <v>45807</v>
      </c>
      <c r="X659" s="588"/>
      <c r="Y659" s="523"/>
      <c r="Z659" s="588"/>
      <c r="AA659" s="588"/>
    </row>
    <row r="660" s="473" customFormat="1" spans="1:27">
      <c r="A660" s="494" t="s">
        <v>464</v>
      </c>
      <c r="B660" s="492" t="s">
        <v>4300</v>
      </c>
      <c r="C660" s="494" t="s">
        <v>4807</v>
      </c>
      <c r="D660" s="556" t="s">
        <v>4808</v>
      </c>
      <c r="E660" s="488"/>
      <c r="F660" s="492" t="s">
        <v>3979</v>
      </c>
      <c r="G660" s="494" t="s">
        <v>4235</v>
      </c>
      <c r="H660" s="494" t="s">
        <v>4809</v>
      </c>
      <c r="I660" s="545">
        <v>45768</v>
      </c>
      <c r="J660" s="545">
        <v>45794</v>
      </c>
      <c r="K660" s="492" t="s">
        <v>18</v>
      </c>
      <c r="L660" s="610" t="s">
        <v>3452</v>
      </c>
      <c r="M660" s="492" t="s">
        <v>1030</v>
      </c>
      <c r="N660" s="497"/>
      <c r="O660" s="497"/>
      <c r="P660" s="608"/>
      <c r="Q660" s="545">
        <v>45779</v>
      </c>
      <c r="R660" s="545">
        <v>45784</v>
      </c>
      <c r="S660" s="489"/>
      <c r="T660" s="195">
        <v>45789</v>
      </c>
      <c r="U660" s="545">
        <v>45800</v>
      </c>
      <c r="V660" s="556" t="s">
        <v>20</v>
      </c>
      <c r="W660" s="545">
        <f t="shared" ref="W660:W723" si="29">J660+21</f>
        <v>45815</v>
      </c>
      <c r="X660" s="588"/>
      <c r="Y660" s="523"/>
      <c r="Z660" s="588"/>
      <c r="AA660" s="588"/>
    </row>
    <row r="661" s="473" customFormat="1" ht="15.75" customHeight="1" spans="1:27">
      <c r="A661" s="492" t="s">
        <v>910</v>
      </c>
      <c r="B661" s="492" t="s">
        <v>4300</v>
      </c>
      <c r="C661" s="494" t="s">
        <v>4810</v>
      </c>
      <c r="D661" s="556" t="s">
        <v>4811</v>
      </c>
      <c r="E661" s="488"/>
      <c r="F661" s="492" t="s">
        <v>3979</v>
      </c>
      <c r="G661" s="492" t="s">
        <v>4235</v>
      </c>
      <c r="H661" s="494" t="s">
        <v>4809</v>
      </c>
      <c r="I661" s="545">
        <v>45768</v>
      </c>
      <c r="J661" s="545">
        <v>45794</v>
      </c>
      <c r="K661" s="492" t="s">
        <v>18</v>
      </c>
      <c r="L661" s="559" t="s">
        <v>3457</v>
      </c>
      <c r="M661" s="492" t="s">
        <v>309</v>
      </c>
      <c r="N661" s="497"/>
      <c r="O661" s="497"/>
      <c r="P661" s="608"/>
      <c r="Q661" s="545">
        <v>45779</v>
      </c>
      <c r="R661" s="545">
        <v>45784</v>
      </c>
      <c r="S661" s="489"/>
      <c r="T661" s="195">
        <v>45789</v>
      </c>
      <c r="U661" s="545">
        <v>45799</v>
      </c>
      <c r="V661" s="492" t="s">
        <v>20</v>
      </c>
      <c r="W661" s="545">
        <f t="shared" si="29"/>
        <v>45815</v>
      </c>
      <c r="X661" s="588"/>
      <c r="Y661" s="523"/>
      <c r="Z661" s="588"/>
      <c r="AA661" s="588"/>
    </row>
    <row r="662" s="473" customFormat="1" ht="15.75" customHeight="1" spans="1:27">
      <c r="A662" s="249" t="s">
        <v>910</v>
      </c>
      <c r="B662" s="249" t="s">
        <v>4329</v>
      </c>
      <c r="C662" s="589" t="s">
        <v>4812</v>
      </c>
      <c r="D662" s="556" t="s">
        <v>4813</v>
      </c>
      <c r="E662" s="488"/>
      <c r="F662" s="556" t="s">
        <v>4018</v>
      </c>
      <c r="G662" s="249" t="s">
        <v>3032</v>
      </c>
      <c r="H662" s="494" t="s">
        <v>4814</v>
      </c>
      <c r="I662" s="592">
        <v>45781</v>
      </c>
      <c r="J662" s="592">
        <v>45798</v>
      </c>
      <c r="K662" s="249" t="s">
        <v>18</v>
      </c>
      <c r="L662" s="611" t="s">
        <v>4572</v>
      </c>
      <c r="M662" s="249" t="s">
        <v>654</v>
      </c>
      <c r="N662" s="497"/>
      <c r="O662" s="497"/>
      <c r="P662" s="608">
        <v>500</v>
      </c>
      <c r="Q662" s="545">
        <v>45792</v>
      </c>
      <c r="R662" s="545">
        <v>45792</v>
      </c>
      <c r="S662" s="489"/>
      <c r="T662" s="545">
        <v>45796</v>
      </c>
      <c r="U662" s="545">
        <v>45804</v>
      </c>
      <c r="V662" s="492" t="s">
        <v>20</v>
      </c>
      <c r="W662" s="592">
        <f t="shared" si="29"/>
        <v>45819</v>
      </c>
      <c r="X662" s="588"/>
      <c r="Y662" s="523"/>
      <c r="Z662" s="588"/>
      <c r="AA662" s="588"/>
    </row>
    <row r="663" s="473" customFormat="1" spans="1:27">
      <c r="A663" s="249" t="s">
        <v>910</v>
      </c>
      <c r="B663" s="249" t="s">
        <v>4329</v>
      </c>
      <c r="C663" s="589" t="s">
        <v>4815</v>
      </c>
      <c r="D663" s="556" t="s">
        <v>4816</v>
      </c>
      <c r="E663" s="488"/>
      <c r="F663" s="556" t="s">
        <v>4018</v>
      </c>
      <c r="G663" s="249" t="s">
        <v>3032</v>
      </c>
      <c r="H663" s="249" t="s">
        <v>4814</v>
      </c>
      <c r="I663" s="592">
        <v>45781</v>
      </c>
      <c r="J663" s="592">
        <v>45798</v>
      </c>
      <c r="K663" s="249" t="s">
        <v>18</v>
      </c>
      <c r="L663" s="559" t="s">
        <v>4407</v>
      </c>
      <c r="M663" s="249" t="s">
        <v>19</v>
      </c>
      <c r="N663" s="497"/>
      <c r="O663" s="497"/>
      <c r="P663" s="608">
        <v>500</v>
      </c>
      <c r="Q663" s="545">
        <v>45792</v>
      </c>
      <c r="R663" s="545">
        <v>45792</v>
      </c>
      <c r="S663" s="489"/>
      <c r="T663" s="545">
        <v>45796</v>
      </c>
      <c r="U663" s="545">
        <v>45804</v>
      </c>
      <c r="V663" s="249" t="s">
        <v>20</v>
      </c>
      <c r="W663" s="592">
        <f t="shared" si="29"/>
        <v>45819</v>
      </c>
      <c r="X663" s="588"/>
      <c r="Y663" s="523"/>
      <c r="Z663" s="588"/>
      <c r="AA663" s="588"/>
    </row>
    <row r="664" s="473" customFormat="1" ht="15.75" customHeight="1" spans="1:27">
      <c r="A664" s="604" t="s">
        <v>910</v>
      </c>
      <c r="B664" s="249" t="s">
        <v>4329</v>
      </c>
      <c r="C664" s="589" t="s">
        <v>4817</v>
      </c>
      <c r="D664" s="556" t="s">
        <v>4818</v>
      </c>
      <c r="E664" s="488"/>
      <c r="F664" s="556" t="s">
        <v>4018</v>
      </c>
      <c r="G664" s="249" t="s">
        <v>3032</v>
      </c>
      <c r="H664" s="249" t="s">
        <v>4814</v>
      </c>
      <c r="I664" s="592">
        <v>45781</v>
      </c>
      <c r="J664" s="592">
        <v>45798</v>
      </c>
      <c r="K664" s="249" t="s">
        <v>18</v>
      </c>
      <c r="L664" s="559" t="s">
        <v>3457</v>
      </c>
      <c r="M664" s="249" t="s">
        <v>2411</v>
      </c>
      <c r="N664" s="497"/>
      <c r="O664" s="497"/>
      <c r="P664" s="608">
        <v>450</v>
      </c>
      <c r="Q664" s="545">
        <v>45792</v>
      </c>
      <c r="R664" s="545">
        <v>45792</v>
      </c>
      <c r="S664" s="489"/>
      <c r="T664" s="545">
        <v>45796</v>
      </c>
      <c r="U664" s="545">
        <v>45804</v>
      </c>
      <c r="V664" s="618" t="s">
        <v>20</v>
      </c>
      <c r="W664" s="592">
        <f t="shared" si="29"/>
        <v>45819</v>
      </c>
      <c r="X664" s="596"/>
      <c r="Y664" s="523"/>
      <c r="Z664" s="588"/>
      <c r="AA664" s="588"/>
    </row>
    <row r="665" s="473" customFormat="1" ht="15.75" customHeight="1" spans="1:27">
      <c r="A665" s="249" t="s">
        <v>910</v>
      </c>
      <c r="B665" s="249" t="s">
        <v>4329</v>
      </c>
      <c r="C665" s="589" t="s">
        <v>4819</v>
      </c>
      <c r="D665" s="556" t="s">
        <v>4820</v>
      </c>
      <c r="E665" s="488"/>
      <c r="F665" s="556" t="s">
        <v>4018</v>
      </c>
      <c r="G665" s="249" t="s">
        <v>3032</v>
      </c>
      <c r="H665" s="249" t="s">
        <v>4814</v>
      </c>
      <c r="I665" s="592">
        <v>45781</v>
      </c>
      <c r="J665" s="592">
        <v>45798</v>
      </c>
      <c r="K665" s="249" t="s">
        <v>18</v>
      </c>
      <c r="L665" s="596" t="s">
        <v>3324</v>
      </c>
      <c r="M665" s="249" t="s">
        <v>2405</v>
      </c>
      <c r="N665" s="497"/>
      <c r="O665" s="497"/>
      <c r="P665" s="608">
        <v>500</v>
      </c>
      <c r="Q665" s="545">
        <v>45792</v>
      </c>
      <c r="R665" s="545">
        <v>45792</v>
      </c>
      <c r="S665" s="489"/>
      <c r="T665" s="545">
        <v>45796</v>
      </c>
      <c r="U665" s="545">
        <v>45805</v>
      </c>
      <c r="V665" s="492" t="s">
        <v>20</v>
      </c>
      <c r="W665" s="592">
        <f t="shared" si="29"/>
        <v>45819</v>
      </c>
      <c r="X665" s="588"/>
      <c r="Y665" s="523"/>
      <c r="Z665" s="588"/>
      <c r="AA665" s="588"/>
    </row>
    <row r="666" s="473" customFormat="1" ht="15.75" customHeight="1" spans="1:27">
      <c r="A666" s="249" t="s">
        <v>910</v>
      </c>
      <c r="B666" s="249" t="s">
        <v>4329</v>
      </c>
      <c r="C666" s="589" t="s">
        <v>4821</v>
      </c>
      <c r="D666" s="556" t="s">
        <v>4822</v>
      </c>
      <c r="E666" s="488"/>
      <c r="F666" s="556" t="s">
        <v>4018</v>
      </c>
      <c r="G666" s="249" t="s">
        <v>3032</v>
      </c>
      <c r="H666" s="249" t="s">
        <v>4814</v>
      </c>
      <c r="I666" s="592">
        <v>45781</v>
      </c>
      <c r="J666" s="592">
        <v>45798</v>
      </c>
      <c r="K666" s="249" t="s">
        <v>18</v>
      </c>
      <c r="L666" s="559" t="s">
        <v>3457</v>
      </c>
      <c r="M666" s="249" t="s">
        <v>309</v>
      </c>
      <c r="N666" s="492"/>
      <c r="O666" s="492"/>
      <c r="P666" s="616">
        <v>450</v>
      </c>
      <c r="Q666" s="545">
        <v>45792</v>
      </c>
      <c r="R666" s="545">
        <v>45792</v>
      </c>
      <c r="S666" s="489"/>
      <c r="T666" s="545">
        <v>45796</v>
      </c>
      <c r="U666" s="545">
        <v>45804</v>
      </c>
      <c r="V666" s="619" t="s">
        <v>20</v>
      </c>
      <c r="W666" s="592">
        <f t="shared" si="29"/>
        <v>45819</v>
      </c>
      <c r="X666" s="588" t="s">
        <v>4823</v>
      </c>
      <c r="Y666" s="523"/>
      <c r="Z666" s="588"/>
      <c r="AA666" s="588"/>
    </row>
    <row r="667" s="473" customFormat="1" ht="15.75" customHeight="1" spans="1:27">
      <c r="A667" s="249" t="s">
        <v>910</v>
      </c>
      <c r="B667" s="249" t="s">
        <v>4329</v>
      </c>
      <c r="C667" s="589" t="s">
        <v>4824</v>
      </c>
      <c r="D667" s="556" t="s">
        <v>4825</v>
      </c>
      <c r="E667" s="488"/>
      <c r="F667" s="556" t="s">
        <v>4018</v>
      </c>
      <c r="G667" s="249" t="s">
        <v>3032</v>
      </c>
      <c r="H667" s="249" t="s">
        <v>4814</v>
      </c>
      <c r="I667" s="592">
        <v>45781</v>
      </c>
      <c r="J667" s="592">
        <v>45798</v>
      </c>
      <c r="K667" s="249" t="s">
        <v>18</v>
      </c>
      <c r="L667" s="596" t="s">
        <v>3324</v>
      </c>
      <c r="M667" s="249" t="s">
        <v>2399</v>
      </c>
      <c r="N667" s="497"/>
      <c r="O667" s="497"/>
      <c r="P667" s="608">
        <v>500</v>
      </c>
      <c r="Q667" s="545">
        <v>45792</v>
      </c>
      <c r="R667" s="545">
        <v>45792</v>
      </c>
      <c r="S667" s="489"/>
      <c r="T667" s="545">
        <v>45796</v>
      </c>
      <c r="U667" s="545">
        <v>45805</v>
      </c>
      <c r="V667" s="249" t="s">
        <v>20</v>
      </c>
      <c r="W667" s="592">
        <f t="shared" si="29"/>
        <v>45819</v>
      </c>
      <c r="X667" s="588"/>
      <c r="Y667" s="523"/>
      <c r="Z667" s="588"/>
      <c r="AA667" s="588"/>
    </row>
    <row r="668" s="473" customFormat="1" ht="15.75" customHeight="1" spans="1:27">
      <c r="A668" s="249" t="s">
        <v>910</v>
      </c>
      <c r="B668" s="249" t="s">
        <v>4329</v>
      </c>
      <c r="C668" s="612" t="s">
        <v>4826</v>
      </c>
      <c r="D668" s="556" t="s">
        <v>4827</v>
      </c>
      <c r="E668" s="613"/>
      <c r="F668" s="556" t="s">
        <v>4018</v>
      </c>
      <c r="G668" s="249" t="s">
        <v>3032</v>
      </c>
      <c r="H668" s="249" t="s">
        <v>4814</v>
      </c>
      <c r="I668" s="592">
        <v>45781</v>
      </c>
      <c r="J668" s="592">
        <v>45798</v>
      </c>
      <c r="K668" s="249" t="s">
        <v>18</v>
      </c>
      <c r="L668" s="559" t="s">
        <v>3457</v>
      </c>
      <c r="M668" s="249" t="s">
        <v>309</v>
      </c>
      <c r="N668" s="614"/>
      <c r="O668" s="614"/>
      <c r="P668" s="615">
        <v>450</v>
      </c>
      <c r="Q668" s="592">
        <v>45790</v>
      </c>
      <c r="R668" s="545">
        <v>45792</v>
      </c>
      <c r="S668" s="249"/>
      <c r="T668" s="545">
        <v>45796</v>
      </c>
      <c r="U668" s="545">
        <v>45804</v>
      </c>
      <c r="V668" s="249" t="s">
        <v>20</v>
      </c>
      <c r="W668" s="592">
        <f t="shared" si="29"/>
        <v>45819</v>
      </c>
      <c r="X668" s="596" t="s">
        <v>4828</v>
      </c>
      <c r="Y668" s="523"/>
      <c r="Z668" s="588"/>
      <c r="AA668" s="588"/>
    </row>
    <row r="669" s="473" customFormat="1" ht="15.75" customHeight="1" spans="1:27">
      <c r="A669" s="249" t="s">
        <v>910</v>
      </c>
      <c r="B669" s="249" t="s">
        <v>4329</v>
      </c>
      <c r="C669" s="612" t="s">
        <v>4829</v>
      </c>
      <c r="D669" s="556" t="s">
        <v>4830</v>
      </c>
      <c r="E669" s="613"/>
      <c r="F669" s="556" t="s">
        <v>4018</v>
      </c>
      <c r="G669" s="249" t="s">
        <v>3032</v>
      </c>
      <c r="H669" s="249" t="s">
        <v>4814</v>
      </c>
      <c r="I669" s="592">
        <v>45781</v>
      </c>
      <c r="J669" s="592">
        <v>45798</v>
      </c>
      <c r="K669" s="249" t="s">
        <v>18</v>
      </c>
      <c r="L669" s="611" t="s">
        <v>4572</v>
      </c>
      <c r="M669" s="249" t="s">
        <v>2382</v>
      </c>
      <c r="N669" s="614"/>
      <c r="O669" s="614"/>
      <c r="P669" s="615">
        <v>500</v>
      </c>
      <c r="Q669" s="592">
        <v>45790</v>
      </c>
      <c r="R669" s="545">
        <v>45792</v>
      </c>
      <c r="S669" s="249"/>
      <c r="T669" s="545">
        <v>45796</v>
      </c>
      <c r="U669" s="545">
        <v>45804</v>
      </c>
      <c r="V669" s="249" t="s">
        <v>20</v>
      </c>
      <c r="W669" s="592">
        <f t="shared" si="29"/>
        <v>45819</v>
      </c>
      <c r="X669" s="596"/>
      <c r="Y669" s="523"/>
      <c r="Z669" s="588"/>
      <c r="AA669" s="588"/>
    </row>
    <row r="670" s="473" customFormat="1" ht="15.75" customHeight="1" spans="1:27">
      <c r="A670" s="249" t="s">
        <v>910</v>
      </c>
      <c r="B670" s="249" t="s">
        <v>4329</v>
      </c>
      <c r="C670" s="612" t="s">
        <v>4831</v>
      </c>
      <c r="D670" s="556" t="s">
        <v>4832</v>
      </c>
      <c r="E670" s="613"/>
      <c r="F670" s="556" t="s">
        <v>4018</v>
      </c>
      <c r="G670" s="249" t="s">
        <v>3032</v>
      </c>
      <c r="H670" s="249" t="s">
        <v>4814</v>
      </c>
      <c r="I670" s="592">
        <v>45781</v>
      </c>
      <c r="J670" s="592">
        <v>45798</v>
      </c>
      <c r="K670" s="249" t="s">
        <v>18</v>
      </c>
      <c r="L670" s="611" t="s">
        <v>4572</v>
      </c>
      <c r="M670" s="249" t="s">
        <v>4833</v>
      </c>
      <c r="N670" s="614"/>
      <c r="O670" s="614"/>
      <c r="P670" s="615">
        <v>500</v>
      </c>
      <c r="Q670" s="592">
        <v>45790</v>
      </c>
      <c r="R670" s="545">
        <v>45792</v>
      </c>
      <c r="S670" s="249"/>
      <c r="T670" s="545">
        <v>45796</v>
      </c>
      <c r="U670" s="545">
        <v>45804</v>
      </c>
      <c r="V670" s="249" t="s">
        <v>20</v>
      </c>
      <c r="W670" s="592">
        <f t="shared" si="29"/>
        <v>45819</v>
      </c>
      <c r="X670" s="596"/>
      <c r="Y670" s="523"/>
      <c r="Z670" s="588"/>
      <c r="AA670" s="588"/>
    </row>
    <row r="671" s="473" customFormat="1" spans="1:27">
      <c r="A671" s="249" t="s">
        <v>910</v>
      </c>
      <c r="B671" s="249" t="s">
        <v>4329</v>
      </c>
      <c r="C671" s="612" t="s">
        <v>4834</v>
      </c>
      <c r="D671" s="556" t="s">
        <v>4835</v>
      </c>
      <c r="E671" s="613"/>
      <c r="F671" s="556" t="s">
        <v>4018</v>
      </c>
      <c r="G671" s="249" t="s">
        <v>3032</v>
      </c>
      <c r="H671" s="249" t="s">
        <v>4814</v>
      </c>
      <c r="I671" s="592">
        <v>45781</v>
      </c>
      <c r="J671" s="592">
        <v>45798</v>
      </c>
      <c r="K671" s="249" t="s">
        <v>18</v>
      </c>
      <c r="L671" s="559" t="s">
        <v>4407</v>
      </c>
      <c r="M671" s="249" t="s">
        <v>309</v>
      </c>
      <c r="N671" s="614"/>
      <c r="O671" s="614"/>
      <c r="P671" s="615">
        <v>500</v>
      </c>
      <c r="Q671" s="592">
        <v>45790</v>
      </c>
      <c r="R671" s="545">
        <v>45792</v>
      </c>
      <c r="S671" s="249"/>
      <c r="T671" s="545">
        <v>45796</v>
      </c>
      <c r="U671" s="545">
        <v>45804</v>
      </c>
      <c r="V671" s="249" t="s">
        <v>20</v>
      </c>
      <c r="W671" s="592">
        <f t="shared" si="29"/>
        <v>45819</v>
      </c>
      <c r="X671" s="596"/>
      <c r="Y671" s="523"/>
      <c r="Z671" s="588"/>
      <c r="AA671" s="588"/>
    </row>
    <row r="672" s="473" customFormat="1" ht="15.75" customHeight="1" spans="1:27">
      <c r="A672" s="249" t="s">
        <v>910</v>
      </c>
      <c r="B672" s="249" t="s">
        <v>4329</v>
      </c>
      <c r="C672" s="612" t="s">
        <v>4836</v>
      </c>
      <c r="D672" s="556" t="s">
        <v>4837</v>
      </c>
      <c r="E672" s="613"/>
      <c r="F672" s="556" t="s">
        <v>4018</v>
      </c>
      <c r="G672" s="249" t="s">
        <v>3032</v>
      </c>
      <c r="H672" s="554" t="s">
        <v>4814</v>
      </c>
      <c r="I672" s="592">
        <v>45781</v>
      </c>
      <c r="J672" s="592">
        <v>45798</v>
      </c>
      <c r="K672" s="249" t="s">
        <v>18</v>
      </c>
      <c r="L672" s="596" t="s">
        <v>3324</v>
      </c>
      <c r="M672" s="249" t="s">
        <v>309</v>
      </c>
      <c r="N672" s="614"/>
      <c r="O672" s="614"/>
      <c r="P672" s="615">
        <v>500</v>
      </c>
      <c r="Q672" s="592">
        <v>45790</v>
      </c>
      <c r="R672" s="545">
        <v>45792</v>
      </c>
      <c r="S672" s="249"/>
      <c r="T672" s="545">
        <v>45796</v>
      </c>
      <c r="U672" s="545">
        <v>45805</v>
      </c>
      <c r="V672" s="492" t="s">
        <v>20</v>
      </c>
      <c r="W672" s="592">
        <f t="shared" si="29"/>
        <v>45819</v>
      </c>
      <c r="X672" s="596"/>
      <c r="Y672" s="523"/>
      <c r="Z672" s="588"/>
      <c r="AA672" s="588"/>
    </row>
    <row r="673" s="473" customFormat="1" ht="15.75" customHeight="1" spans="1:27">
      <c r="A673" s="494" t="s">
        <v>778</v>
      </c>
      <c r="B673" s="494" t="s">
        <v>4300</v>
      </c>
      <c r="C673" s="589" t="s">
        <v>4838</v>
      </c>
      <c r="D673" s="556" t="s">
        <v>4839</v>
      </c>
      <c r="E673" s="488"/>
      <c r="F673" s="556" t="s">
        <v>4018</v>
      </c>
      <c r="G673" s="249" t="s">
        <v>3032</v>
      </c>
      <c r="H673" s="554" t="s">
        <v>4814</v>
      </c>
      <c r="I673" s="592">
        <v>45781</v>
      </c>
      <c r="J673" s="592">
        <v>45798</v>
      </c>
      <c r="K673" s="249" t="s">
        <v>18</v>
      </c>
      <c r="L673" s="610" t="s">
        <v>3452</v>
      </c>
      <c r="M673" s="617" t="s">
        <v>1107</v>
      </c>
      <c r="N673" s="492"/>
      <c r="O673" s="492"/>
      <c r="P673" s="616"/>
      <c r="Q673" s="545">
        <v>45785</v>
      </c>
      <c r="R673" s="545">
        <v>45792</v>
      </c>
      <c r="S673" s="489"/>
      <c r="T673" s="545">
        <v>45796</v>
      </c>
      <c r="U673" s="545">
        <v>45805</v>
      </c>
      <c r="V673" s="620" t="s">
        <v>20</v>
      </c>
      <c r="W673" s="592">
        <f t="shared" si="29"/>
        <v>45819</v>
      </c>
      <c r="X673" s="588" t="s">
        <v>4840</v>
      </c>
      <c r="Y673" s="523"/>
      <c r="Z673" s="588"/>
      <c r="AA673" s="588"/>
    </row>
    <row r="674" s="473" customFormat="1" ht="15.75" customHeight="1" spans="1:27">
      <c r="A674" s="492" t="s">
        <v>910</v>
      </c>
      <c r="B674" s="492" t="s">
        <v>4300</v>
      </c>
      <c r="C674" s="587" t="s">
        <v>4841</v>
      </c>
      <c r="D674" s="556" t="s">
        <v>4842</v>
      </c>
      <c r="E674" s="491"/>
      <c r="F674" s="492" t="s">
        <v>3979</v>
      </c>
      <c r="G674" s="492" t="s">
        <v>3067</v>
      </c>
      <c r="H674" s="587" t="s">
        <v>4843</v>
      </c>
      <c r="I674" s="545">
        <v>45774</v>
      </c>
      <c r="J674" s="545">
        <v>45800</v>
      </c>
      <c r="K674" s="249" t="s">
        <v>18</v>
      </c>
      <c r="L674" s="611" t="s">
        <v>4572</v>
      </c>
      <c r="M674" s="492" t="s">
        <v>309</v>
      </c>
      <c r="N674" s="497"/>
      <c r="O674" s="497"/>
      <c r="P674" s="608">
        <v>500</v>
      </c>
      <c r="Q674" s="545">
        <v>45785</v>
      </c>
      <c r="R674" s="545">
        <v>45792</v>
      </c>
      <c r="S674" s="492"/>
      <c r="T674" s="545">
        <v>45796</v>
      </c>
      <c r="U674" s="545">
        <v>45805</v>
      </c>
      <c r="V674" s="249" t="s">
        <v>20</v>
      </c>
      <c r="W674" s="592">
        <f t="shared" si="29"/>
        <v>45821</v>
      </c>
      <c r="X674" s="588"/>
      <c r="Y674" s="523"/>
      <c r="Z674" s="588"/>
      <c r="AA674" s="588"/>
    </row>
    <row r="675" s="473" customFormat="1" ht="15.75" customHeight="1" spans="1:27">
      <c r="A675" s="492" t="s">
        <v>910</v>
      </c>
      <c r="B675" s="492" t="s">
        <v>4300</v>
      </c>
      <c r="C675" s="587" t="s">
        <v>4844</v>
      </c>
      <c r="D675" s="556" t="s">
        <v>4845</v>
      </c>
      <c r="E675" s="491"/>
      <c r="F675" s="492" t="s">
        <v>3979</v>
      </c>
      <c r="G675" s="492" t="s">
        <v>3067</v>
      </c>
      <c r="H675" s="587" t="s">
        <v>4843</v>
      </c>
      <c r="I675" s="545">
        <v>45774</v>
      </c>
      <c r="J675" s="545">
        <v>45800</v>
      </c>
      <c r="K675" s="249" t="s">
        <v>18</v>
      </c>
      <c r="L675" s="611" t="s">
        <v>4572</v>
      </c>
      <c r="M675" s="492" t="s">
        <v>4483</v>
      </c>
      <c r="N675" s="497"/>
      <c r="O675" s="497"/>
      <c r="P675" s="608">
        <v>500</v>
      </c>
      <c r="Q675" s="545">
        <v>45790</v>
      </c>
      <c r="R675" s="545">
        <v>45792</v>
      </c>
      <c r="S675" s="492"/>
      <c r="T675" s="545">
        <v>45796</v>
      </c>
      <c r="U675" s="545">
        <v>45804</v>
      </c>
      <c r="V675" s="492" t="s">
        <v>20</v>
      </c>
      <c r="W675" s="592">
        <f t="shared" si="29"/>
        <v>45821</v>
      </c>
      <c r="X675" s="588"/>
      <c r="Y675" s="523"/>
      <c r="Z675" s="588"/>
      <c r="AA675" s="588"/>
    </row>
    <row r="676" s="473" customFormat="1" ht="15.75" customHeight="1" spans="1:27">
      <c r="A676" s="492" t="s">
        <v>910</v>
      </c>
      <c r="B676" s="492" t="s">
        <v>4300</v>
      </c>
      <c r="C676" s="587" t="s">
        <v>4846</v>
      </c>
      <c r="D676" s="556" t="s">
        <v>4847</v>
      </c>
      <c r="E676" s="491"/>
      <c r="F676" s="492" t="s">
        <v>3979</v>
      </c>
      <c r="G676" s="492" t="s">
        <v>3067</v>
      </c>
      <c r="H676" s="587" t="s">
        <v>4843</v>
      </c>
      <c r="I676" s="545">
        <v>45774</v>
      </c>
      <c r="J676" s="545">
        <v>45800</v>
      </c>
      <c r="K676" s="249" t="s">
        <v>18</v>
      </c>
      <c r="L676" s="611" t="s">
        <v>4572</v>
      </c>
      <c r="M676" s="492" t="s">
        <v>309</v>
      </c>
      <c r="N676" s="497"/>
      <c r="O676" s="497"/>
      <c r="P676" s="608">
        <v>500</v>
      </c>
      <c r="Q676" s="545">
        <v>45790</v>
      </c>
      <c r="R676" s="545">
        <v>45792</v>
      </c>
      <c r="S676" s="492"/>
      <c r="T676" s="545">
        <v>45796</v>
      </c>
      <c r="U676" s="545">
        <v>45804</v>
      </c>
      <c r="V676" s="492" t="s">
        <v>20</v>
      </c>
      <c r="W676" s="592">
        <f t="shared" si="29"/>
        <v>45821</v>
      </c>
      <c r="X676" s="588"/>
      <c r="Y676" s="523"/>
      <c r="Z676" s="588"/>
      <c r="AA676" s="588"/>
    </row>
    <row r="677" s="473" customFormat="1" ht="15.75" customHeight="1" spans="1:27">
      <c r="A677" s="492" t="s">
        <v>910</v>
      </c>
      <c r="B677" s="492" t="s">
        <v>4300</v>
      </c>
      <c r="C677" s="587" t="s">
        <v>4848</v>
      </c>
      <c r="D677" s="556" t="s">
        <v>4849</v>
      </c>
      <c r="E677" s="491"/>
      <c r="F677" s="492" t="s">
        <v>3979</v>
      </c>
      <c r="G677" s="492" t="s">
        <v>3067</v>
      </c>
      <c r="H677" s="587" t="s">
        <v>4843</v>
      </c>
      <c r="I677" s="545">
        <v>45774</v>
      </c>
      <c r="J677" s="545">
        <v>45800</v>
      </c>
      <c r="K677" s="249" t="s">
        <v>18</v>
      </c>
      <c r="L677" s="611" t="s">
        <v>4572</v>
      </c>
      <c r="M677" s="492" t="s">
        <v>309</v>
      </c>
      <c r="N677" s="497"/>
      <c r="O677" s="497"/>
      <c r="P677" s="608">
        <v>500</v>
      </c>
      <c r="Q677" s="545">
        <v>45790</v>
      </c>
      <c r="R677" s="545">
        <v>45792</v>
      </c>
      <c r="S677" s="492"/>
      <c r="T677" s="545">
        <v>45796</v>
      </c>
      <c r="U677" s="545">
        <v>45804</v>
      </c>
      <c r="V677" s="492" t="s">
        <v>20</v>
      </c>
      <c r="W677" s="592">
        <f t="shared" si="29"/>
        <v>45821</v>
      </c>
      <c r="X677" s="588"/>
      <c r="Y677" s="523"/>
      <c r="Z677" s="588"/>
      <c r="AA677" s="588"/>
    </row>
    <row r="678" s="473" customFormat="1" ht="15.75" customHeight="1" spans="1:27">
      <c r="A678" s="249" t="s">
        <v>910</v>
      </c>
      <c r="B678" s="249" t="s">
        <v>4329</v>
      </c>
      <c r="C678" s="249" t="s">
        <v>4850</v>
      </c>
      <c r="D678" s="556" t="s">
        <v>4851</v>
      </c>
      <c r="E678" s="613"/>
      <c r="F678" s="587" t="s">
        <v>4115</v>
      </c>
      <c r="G678" s="249" t="s">
        <v>4235</v>
      </c>
      <c r="H678" s="554" t="s">
        <v>4852</v>
      </c>
      <c r="I678" s="592">
        <v>45775</v>
      </c>
      <c r="J678" s="592">
        <v>45801</v>
      </c>
      <c r="K678" s="249" t="s">
        <v>18</v>
      </c>
      <c r="L678" s="611" t="s">
        <v>4572</v>
      </c>
      <c r="M678" s="249" t="s">
        <v>654</v>
      </c>
      <c r="N678" s="614"/>
      <c r="O678" s="614"/>
      <c r="P678" s="615">
        <v>500</v>
      </c>
      <c r="Q678" s="592">
        <v>45784</v>
      </c>
      <c r="R678" s="545">
        <v>45792</v>
      </c>
      <c r="S678" s="249"/>
      <c r="T678" s="592">
        <v>45798</v>
      </c>
      <c r="U678" s="545">
        <v>45806</v>
      </c>
      <c r="V678" s="618" t="s">
        <v>20</v>
      </c>
      <c r="W678" s="545">
        <f t="shared" si="29"/>
        <v>45822</v>
      </c>
      <c r="X678" s="596"/>
      <c r="Y678" s="523"/>
      <c r="Z678" s="588"/>
      <c r="AA678" s="588"/>
    </row>
    <row r="679" s="473" customFormat="1" ht="15.75" customHeight="1" spans="1:27">
      <c r="A679" s="249" t="s">
        <v>910</v>
      </c>
      <c r="B679" s="249" t="s">
        <v>4329</v>
      </c>
      <c r="C679" s="249" t="s">
        <v>4850</v>
      </c>
      <c r="D679" s="556" t="s">
        <v>4853</v>
      </c>
      <c r="E679" s="613"/>
      <c r="F679" s="587" t="s">
        <v>4115</v>
      </c>
      <c r="G679" s="249" t="s">
        <v>4235</v>
      </c>
      <c r="H679" s="554" t="s">
        <v>4852</v>
      </c>
      <c r="I679" s="592">
        <v>45775</v>
      </c>
      <c r="J679" s="592">
        <v>45801</v>
      </c>
      <c r="K679" s="249" t="s">
        <v>18</v>
      </c>
      <c r="L679" s="611" t="s">
        <v>4572</v>
      </c>
      <c r="M679" s="249" t="s">
        <v>654</v>
      </c>
      <c r="N679" s="614"/>
      <c r="O679" s="614"/>
      <c r="P679" s="615">
        <v>500</v>
      </c>
      <c r="Q679" s="592">
        <v>45784</v>
      </c>
      <c r="R679" s="545">
        <v>45792</v>
      </c>
      <c r="S679" s="249"/>
      <c r="T679" s="592">
        <v>45798</v>
      </c>
      <c r="U679" s="545">
        <v>45806</v>
      </c>
      <c r="V679" s="249" t="s">
        <v>20</v>
      </c>
      <c r="W679" s="545">
        <f t="shared" si="29"/>
        <v>45822</v>
      </c>
      <c r="X679" s="596"/>
      <c r="Y679" s="523"/>
      <c r="Z679" s="588"/>
      <c r="AA679" s="588"/>
    </row>
    <row r="680" s="473" customFormat="1" ht="15.75" customHeight="1" spans="1:27">
      <c r="A680" s="249" t="s">
        <v>910</v>
      </c>
      <c r="B680" s="249" t="s">
        <v>4329</v>
      </c>
      <c r="C680" s="249" t="s">
        <v>4850</v>
      </c>
      <c r="D680" s="556" t="s">
        <v>4854</v>
      </c>
      <c r="E680" s="613"/>
      <c r="F680" s="587" t="s">
        <v>4115</v>
      </c>
      <c r="G680" s="249" t="s">
        <v>4235</v>
      </c>
      <c r="H680" s="554" t="s">
        <v>4852</v>
      </c>
      <c r="I680" s="592">
        <v>45775</v>
      </c>
      <c r="J680" s="592">
        <v>45801</v>
      </c>
      <c r="K680" s="249" t="s">
        <v>18</v>
      </c>
      <c r="L680" s="611" t="s">
        <v>4572</v>
      </c>
      <c r="M680" s="249" t="s">
        <v>2248</v>
      </c>
      <c r="N680" s="614"/>
      <c r="O680" s="614"/>
      <c r="P680" s="615">
        <v>500</v>
      </c>
      <c r="Q680" s="592">
        <v>45784</v>
      </c>
      <c r="R680" s="545">
        <v>45792</v>
      </c>
      <c r="S680" s="249"/>
      <c r="T680" s="592">
        <v>45798</v>
      </c>
      <c r="U680" s="545">
        <v>45806</v>
      </c>
      <c r="V680" s="618" t="s">
        <v>20</v>
      </c>
      <c r="W680" s="545">
        <f t="shared" si="29"/>
        <v>45822</v>
      </c>
      <c r="X680" s="596"/>
      <c r="Y680" s="523"/>
      <c r="Z680" s="588"/>
      <c r="AA680" s="588"/>
    </row>
    <row r="681" s="473" customFormat="1" ht="15.75" customHeight="1" spans="1:27">
      <c r="A681" s="492" t="s">
        <v>910</v>
      </c>
      <c r="B681" s="492" t="s">
        <v>4300</v>
      </c>
      <c r="C681" s="587" t="s">
        <v>4855</v>
      </c>
      <c r="D681" s="556" t="s">
        <v>4856</v>
      </c>
      <c r="E681" s="491"/>
      <c r="F681" s="492" t="s">
        <v>3979</v>
      </c>
      <c r="G681" s="492" t="s">
        <v>4235</v>
      </c>
      <c r="H681" s="556" t="s">
        <v>4852</v>
      </c>
      <c r="I681" s="545">
        <v>45782</v>
      </c>
      <c r="J681" s="592">
        <v>45801</v>
      </c>
      <c r="K681" s="249" t="s">
        <v>18</v>
      </c>
      <c r="L681" s="596" t="s">
        <v>3324</v>
      </c>
      <c r="M681" s="492" t="s">
        <v>309</v>
      </c>
      <c r="N681" s="497"/>
      <c r="O681" s="497"/>
      <c r="P681" s="608">
        <v>500</v>
      </c>
      <c r="Q681" s="545">
        <v>45785</v>
      </c>
      <c r="R681" s="545">
        <v>45792</v>
      </c>
      <c r="S681" s="492"/>
      <c r="T681" s="592">
        <v>45798</v>
      </c>
      <c r="U681" s="545">
        <v>45806</v>
      </c>
      <c r="V681" s="618" t="s">
        <v>20</v>
      </c>
      <c r="W681" s="592">
        <f t="shared" si="29"/>
        <v>45822</v>
      </c>
      <c r="X681" s="588"/>
      <c r="Y681" s="523"/>
      <c r="Z681" s="588"/>
      <c r="AA681" s="588"/>
    </row>
    <row r="682" s="473" customFormat="1" ht="15.75" customHeight="1" spans="1:27">
      <c r="A682" s="587" t="s">
        <v>656</v>
      </c>
      <c r="B682" s="587" t="s">
        <v>4300</v>
      </c>
      <c r="C682" s="587" t="s">
        <v>4857</v>
      </c>
      <c r="D682" s="556" t="s">
        <v>4858</v>
      </c>
      <c r="E682" s="491"/>
      <c r="F682" s="492" t="s">
        <v>3979</v>
      </c>
      <c r="G682" s="492" t="s">
        <v>4235</v>
      </c>
      <c r="H682" s="554" t="s">
        <v>4852</v>
      </c>
      <c r="I682" s="545">
        <v>45782</v>
      </c>
      <c r="J682" s="592">
        <v>45801</v>
      </c>
      <c r="K682" s="249" t="s">
        <v>18</v>
      </c>
      <c r="L682" s="596" t="s">
        <v>3324</v>
      </c>
      <c r="M682" s="492" t="s">
        <v>309</v>
      </c>
      <c r="N682" s="497"/>
      <c r="O682" s="497"/>
      <c r="P682" s="608">
        <v>500</v>
      </c>
      <c r="Q682" s="545">
        <v>45785</v>
      </c>
      <c r="R682" s="545">
        <v>45792</v>
      </c>
      <c r="S682" s="492"/>
      <c r="T682" s="592">
        <v>45798</v>
      </c>
      <c r="U682" s="545">
        <v>45806</v>
      </c>
      <c r="V682" s="618" t="s">
        <v>20</v>
      </c>
      <c r="W682" s="592">
        <f t="shared" si="29"/>
        <v>45822</v>
      </c>
      <c r="X682" s="588"/>
      <c r="Y682" s="523"/>
      <c r="Z682" s="588"/>
      <c r="AA682" s="588"/>
    </row>
    <row r="683" s="473" customFormat="1" ht="15.75" customHeight="1" spans="1:27">
      <c r="A683" s="492" t="s">
        <v>910</v>
      </c>
      <c r="B683" s="492" t="s">
        <v>4300</v>
      </c>
      <c r="C683" s="492" t="s">
        <v>4859</v>
      </c>
      <c r="D683" s="556" t="s">
        <v>4860</v>
      </c>
      <c r="E683" s="491"/>
      <c r="F683" s="492" t="s">
        <v>3979</v>
      </c>
      <c r="G683" s="587" t="s">
        <v>3079</v>
      </c>
      <c r="H683" s="587" t="s">
        <v>4861</v>
      </c>
      <c r="I683" s="545">
        <v>45774</v>
      </c>
      <c r="J683" s="545">
        <v>45801</v>
      </c>
      <c r="K683" s="249" t="s">
        <v>18</v>
      </c>
      <c r="L683" s="611" t="s">
        <v>4572</v>
      </c>
      <c r="M683" s="492" t="s">
        <v>309</v>
      </c>
      <c r="N683" s="497"/>
      <c r="O683" s="497"/>
      <c r="P683" s="608">
        <v>500</v>
      </c>
      <c r="Q683" s="545">
        <v>45790</v>
      </c>
      <c r="R683" s="545">
        <v>45790</v>
      </c>
      <c r="S683" s="492"/>
      <c r="T683" s="592">
        <v>45798</v>
      </c>
      <c r="U683" s="545">
        <v>45805</v>
      </c>
      <c r="V683" s="249" t="s">
        <v>20</v>
      </c>
      <c r="W683" s="592">
        <f t="shared" si="29"/>
        <v>45822</v>
      </c>
      <c r="X683" s="588" t="s">
        <v>4862</v>
      </c>
      <c r="Y683" s="523"/>
      <c r="Z683" s="588"/>
      <c r="AA683" s="588"/>
    </row>
    <row r="684" s="473" customFormat="1" ht="15.75" customHeight="1" spans="1:27">
      <c r="A684" s="492" t="s">
        <v>910</v>
      </c>
      <c r="B684" s="492" t="s">
        <v>4300</v>
      </c>
      <c r="C684" s="587" t="s">
        <v>4863</v>
      </c>
      <c r="D684" s="556" t="s">
        <v>4864</v>
      </c>
      <c r="E684" s="491"/>
      <c r="F684" s="492" t="s">
        <v>3979</v>
      </c>
      <c r="G684" s="492" t="s">
        <v>3079</v>
      </c>
      <c r="H684" s="587" t="s">
        <v>4861</v>
      </c>
      <c r="I684" s="545">
        <v>45774</v>
      </c>
      <c r="J684" s="545">
        <v>45801</v>
      </c>
      <c r="K684" s="249" t="s">
        <v>18</v>
      </c>
      <c r="L684" s="611" t="s">
        <v>4407</v>
      </c>
      <c r="M684" s="492" t="s">
        <v>309</v>
      </c>
      <c r="N684" s="497"/>
      <c r="O684" s="497"/>
      <c r="P684" s="608">
        <v>500</v>
      </c>
      <c r="Q684" s="545">
        <v>45785</v>
      </c>
      <c r="R684" s="545">
        <v>45790</v>
      </c>
      <c r="S684" s="492"/>
      <c r="T684" s="592">
        <v>45798</v>
      </c>
      <c r="U684" s="545">
        <v>45804</v>
      </c>
      <c r="V684" s="492" t="s">
        <v>20</v>
      </c>
      <c r="W684" s="592">
        <f t="shared" si="29"/>
        <v>45822</v>
      </c>
      <c r="X684" s="588" t="s">
        <v>4791</v>
      </c>
      <c r="Y684" s="523"/>
      <c r="Z684" s="588"/>
      <c r="AA684" s="588"/>
    </row>
    <row r="685" s="473" customFormat="1" ht="15.75" customHeight="1" spans="1:27">
      <c r="A685" s="492" t="s">
        <v>910</v>
      </c>
      <c r="B685" s="492" t="s">
        <v>4329</v>
      </c>
      <c r="C685" s="587" t="s">
        <v>4865</v>
      </c>
      <c r="D685" s="556" t="s">
        <v>4866</v>
      </c>
      <c r="E685" s="491"/>
      <c r="F685" s="587" t="s">
        <v>4115</v>
      </c>
      <c r="G685" s="492" t="s">
        <v>3067</v>
      </c>
      <c r="H685" s="587" t="s">
        <v>4867</v>
      </c>
      <c r="I685" s="545">
        <v>45774</v>
      </c>
      <c r="J685" s="545">
        <v>45802</v>
      </c>
      <c r="K685" s="249" t="s">
        <v>18</v>
      </c>
      <c r="L685" s="596" t="s">
        <v>4407</v>
      </c>
      <c r="M685" s="492" t="s">
        <v>2248</v>
      </c>
      <c r="N685" s="497"/>
      <c r="O685" s="497"/>
      <c r="P685" s="608">
        <v>500</v>
      </c>
      <c r="Q685" s="545">
        <v>45784</v>
      </c>
      <c r="R685" s="545">
        <v>45796</v>
      </c>
      <c r="S685" s="545"/>
      <c r="T685" s="545">
        <v>45800</v>
      </c>
      <c r="U685" s="545">
        <v>45807</v>
      </c>
      <c r="V685" s="492" t="s">
        <v>20</v>
      </c>
      <c r="W685" s="545">
        <f t="shared" si="29"/>
        <v>45823</v>
      </c>
      <c r="X685" s="588"/>
      <c r="Y685" s="523"/>
      <c r="Z685" s="588"/>
      <c r="AA685" s="588"/>
    </row>
    <row r="686" s="473" customFormat="1" ht="15.75" customHeight="1" spans="1:27">
      <c r="A686" s="492" t="s">
        <v>910</v>
      </c>
      <c r="B686" s="492" t="s">
        <v>4300</v>
      </c>
      <c r="C686" s="587" t="s">
        <v>4868</v>
      </c>
      <c r="D686" s="556" t="s">
        <v>4869</v>
      </c>
      <c r="E686" s="491"/>
      <c r="F686" s="492" t="s">
        <v>3979</v>
      </c>
      <c r="G686" s="492" t="s">
        <v>3067</v>
      </c>
      <c r="H686" s="587" t="s">
        <v>4870</v>
      </c>
      <c r="I686" s="545">
        <v>45786</v>
      </c>
      <c r="J686" s="562">
        <v>45802</v>
      </c>
      <c r="K686" s="249" t="s">
        <v>18</v>
      </c>
      <c r="L686" s="559" t="s">
        <v>3457</v>
      </c>
      <c r="M686" s="492" t="s">
        <v>309</v>
      </c>
      <c r="N686" s="497"/>
      <c r="O686" s="497"/>
      <c r="P686" s="608">
        <v>450</v>
      </c>
      <c r="Q686" s="545">
        <v>45796</v>
      </c>
      <c r="R686" s="545">
        <v>45797</v>
      </c>
      <c r="S686" s="492"/>
      <c r="T686" s="545">
        <v>45800</v>
      </c>
      <c r="U686" s="545">
        <v>45806</v>
      </c>
      <c r="V686" s="618" t="s">
        <v>20</v>
      </c>
      <c r="W686" s="592">
        <f t="shared" si="29"/>
        <v>45823</v>
      </c>
      <c r="X686" s="588"/>
      <c r="Y686" s="523"/>
      <c r="Z686" s="588"/>
      <c r="AA686" s="588"/>
    </row>
    <row r="687" s="473" customFormat="1" ht="15.75" customHeight="1" spans="1:27">
      <c r="A687" s="492" t="s">
        <v>910</v>
      </c>
      <c r="B687" s="492" t="s">
        <v>4300</v>
      </c>
      <c r="C687" s="587" t="s">
        <v>4871</v>
      </c>
      <c r="D687" s="556" t="s">
        <v>4872</v>
      </c>
      <c r="E687" s="491"/>
      <c r="F687" s="492" t="s">
        <v>3979</v>
      </c>
      <c r="G687" s="492" t="s">
        <v>3067</v>
      </c>
      <c r="H687" s="492" t="s">
        <v>4870</v>
      </c>
      <c r="I687" s="545">
        <v>45786</v>
      </c>
      <c r="J687" s="562">
        <v>45802</v>
      </c>
      <c r="K687" s="249" t="s">
        <v>18</v>
      </c>
      <c r="L687" s="586" t="s">
        <v>3324</v>
      </c>
      <c r="M687" s="492" t="s">
        <v>309</v>
      </c>
      <c r="N687" s="492"/>
      <c r="O687" s="492"/>
      <c r="P687" s="616">
        <v>500</v>
      </c>
      <c r="Q687" s="545">
        <v>45791</v>
      </c>
      <c r="R687" s="545">
        <v>45796</v>
      </c>
      <c r="S687" s="545"/>
      <c r="T687" s="545">
        <v>45800</v>
      </c>
      <c r="U687" s="545">
        <v>45810</v>
      </c>
      <c r="V687" s="492" t="s">
        <v>20</v>
      </c>
      <c r="W687" s="592">
        <f t="shared" si="29"/>
        <v>45823</v>
      </c>
      <c r="X687" s="588"/>
      <c r="Y687" s="523"/>
      <c r="Z687" s="588"/>
      <c r="AA687" s="588"/>
    </row>
    <row r="688" s="473" customFormat="1" ht="15.75" customHeight="1" spans="1:27">
      <c r="A688" s="492" t="s">
        <v>910</v>
      </c>
      <c r="B688" s="587" t="s">
        <v>4329</v>
      </c>
      <c r="C688" s="587" t="s">
        <v>4873</v>
      </c>
      <c r="D688" s="578" t="s">
        <v>4874</v>
      </c>
      <c r="E688" s="491"/>
      <c r="F688" s="587" t="s">
        <v>4115</v>
      </c>
      <c r="G688" s="492" t="s">
        <v>3067</v>
      </c>
      <c r="H688" s="587" t="s">
        <v>4875</v>
      </c>
      <c r="I688" s="545">
        <v>45786</v>
      </c>
      <c r="J688" s="545">
        <v>45802</v>
      </c>
      <c r="K688" s="249" t="s">
        <v>18</v>
      </c>
      <c r="L688" s="596" t="s">
        <v>4407</v>
      </c>
      <c r="M688" s="492" t="s">
        <v>309</v>
      </c>
      <c r="N688" s="492"/>
      <c r="O688" s="492"/>
      <c r="P688" s="616">
        <v>500</v>
      </c>
      <c r="Q688" s="545">
        <v>45790</v>
      </c>
      <c r="R688" s="545">
        <v>45796</v>
      </c>
      <c r="S688" s="492"/>
      <c r="T688" s="545">
        <v>45798</v>
      </c>
      <c r="U688" s="545">
        <v>45807</v>
      </c>
      <c r="V688" s="492" t="s">
        <v>20</v>
      </c>
      <c r="W688" s="545">
        <f t="shared" si="29"/>
        <v>45823</v>
      </c>
      <c r="X688" s="588"/>
      <c r="Y688" s="523"/>
      <c r="Z688" s="588"/>
      <c r="AA688" s="588"/>
    </row>
    <row r="689" s="473" customFormat="1" ht="15.75" customHeight="1" spans="1:27">
      <c r="A689" s="492" t="s">
        <v>910</v>
      </c>
      <c r="B689" s="492" t="s">
        <v>4300</v>
      </c>
      <c r="C689" s="587" t="s">
        <v>4876</v>
      </c>
      <c r="D689" s="556" t="s">
        <v>4877</v>
      </c>
      <c r="E689" s="491"/>
      <c r="F689" s="492" t="s">
        <v>3979</v>
      </c>
      <c r="G689" s="492" t="s">
        <v>3067</v>
      </c>
      <c r="H689" s="587" t="s">
        <v>4870</v>
      </c>
      <c r="I689" s="545">
        <v>45786</v>
      </c>
      <c r="J689" s="545">
        <v>45802</v>
      </c>
      <c r="K689" s="249" t="s">
        <v>18</v>
      </c>
      <c r="L689" s="559" t="s">
        <v>3457</v>
      </c>
      <c r="M689" s="492" t="s">
        <v>309</v>
      </c>
      <c r="N689" s="492"/>
      <c r="O689" s="492"/>
      <c r="P689" s="616">
        <v>450</v>
      </c>
      <c r="Q689" s="545">
        <v>45796</v>
      </c>
      <c r="R689" s="545">
        <v>45797</v>
      </c>
      <c r="S689" s="492"/>
      <c r="T689" s="545">
        <v>45800</v>
      </c>
      <c r="U689" s="545">
        <v>45807</v>
      </c>
      <c r="V689" s="492" t="s">
        <v>20</v>
      </c>
      <c r="W689" s="592">
        <f t="shared" si="29"/>
        <v>45823</v>
      </c>
      <c r="X689" s="588"/>
      <c r="Y689" s="523"/>
      <c r="Z689" s="588"/>
      <c r="AA689" s="588"/>
    </row>
    <row r="690" s="473" customFormat="1" ht="15.75" customHeight="1" spans="1:27">
      <c r="A690" s="492" t="s">
        <v>910</v>
      </c>
      <c r="B690" s="492" t="s">
        <v>4300</v>
      </c>
      <c r="C690" s="580" t="s">
        <v>4878</v>
      </c>
      <c r="D690" s="556" t="s">
        <v>4879</v>
      </c>
      <c r="E690" s="491"/>
      <c r="F690" s="556" t="s">
        <v>4018</v>
      </c>
      <c r="G690" s="492" t="s">
        <v>3032</v>
      </c>
      <c r="H690" s="587" t="s">
        <v>4880</v>
      </c>
      <c r="I690" s="545">
        <v>45785</v>
      </c>
      <c r="J690" s="545">
        <v>45803</v>
      </c>
      <c r="K690" s="249" t="s">
        <v>18</v>
      </c>
      <c r="L690" s="596" t="s">
        <v>3324</v>
      </c>
      <c r="M690" s="492" t="s">
        <v>309</v>
      </c>
      <c r="N690" s="497"/>
      <c r="O690" s="497"/>
      <c r="P690" s="608">
        <v>500</v>
      </c>
      <c r="Q690" s="545">
        <v>45797</v>
      </c>
      <c r="R690" s="545">
        <v>45797</v>
      </c>
      <c r="S690" s="492"/>
      <c r="T690" s="545">
        <v>45798</v>
      </c>
      <c r="U690" s="545">
        <v>45807</v>
      </c>
      <c r="V690" s="492" t="s">
        <v>20</v>
      </c>
      <c r="W690" s="592">
        <f t="shared" si="29"/>
        <v>45824</v>
      </c>
      <c r="X690" s="588"/>
      <c r="Y690" s="523"/>
      <c r="Z690" s="588"/>
      <c r="AA690" s="588"/>
    </row>
    <row r="691" s="473" customFormat="1" ht="15.75" customHeight="1" spans="1:27">
      <c r="A691" s="492" t="s">
        <v>910</v>
      </c>
      <c r="B691" s="492" t="s">
        <v>4329</v>
      </c>
      <c r="C691" s="580" t="s">
        <v>4881</v>
      </c>
      <c r="D691" s="556" t="s">
        <v>4882</v>
      </c>
      <c r="E691" s="491"/>
      <c r="F691" s="556" t="s">
        <v>4018</v>
      </c>
      <c r="G691" s="492" t="s">
        <v>3032</v>
      </c>
      <c r="H691" s="492" t="s">
        <v>4880</v>
      </c>
      <c r="I691" s="545">
        <v>45785</v>
      </c>
      <c r="J691" s="545">
        <v>45803</v>
      </c>
      <c r="K691" s="249" t="s">
        <v>18</v>
      </c>
      <c r="L691" s="596" t="s">
        <v>4407</v>
      </c>
      <c r="M691" s="492" t="s">
        <v>654</v>
      </c>
      <c r="N691" s="497"/>
      <c r="O691" s="497"/>
      <c r="P691" s="608">
        <v>500</v>
      </c>
      <c r="Q691" s="545">
        <v>45792</v>
      </c>
      <c r="R691" s="545">
        <v>45797</v>
      </c>
      <c r="S691" s="492"/>
      <c r="T691" s="592">
        <v>45798</v>
      </c>
      <c r="U691" s="545">
        <v>45807</v>
      </c>
      <c r="V691" s="492" t="s">
        <v>20</v>
      </c>
      <c r="W691" s="592">
        <f t="shared" si="29"/>
        <v>45824</v>
      </c>
      <c r="X691" s="588"/>
      <c r="Y691" s="523"/>
      <c r="Z691" s="588"/>
      <c r="AA691" s="588"/>
    </row>
    <row r="692" s="473" customFormat="1" ht="15.75" customHeight="1" spans="1:27">
      <c r="A692" s="492" t="s">
        <v>910</v>
      </c>
      <c r="B692" s="492" t="s">
        <v>4329</v>
      </c>
      <c r="C692" s="580" t="s">
        <v>4883</v>
      </c>
      <c r="D692" s="556" t="s">
        <v>4884</v>
      </c>
      <c r="E692" s="491"/>
      <c r="F692" s="556" t="s">
        <v>4018</v>
      </c>
      <c r="G692" s="492" t="s">
        <v>3032</v>
      </c>
      <c r="H692" s="587" t="s">
        <v>4880</v>
      </c>
      <c r="I692" s="545">
        <v>45785</v>
      </c>
      <c r="J692" s="545">
        <v>45803</v>
      </c>
      <c r="K692" s="249" t="s">
        <v>18</v>
      </c>
      <c r="L692" s="559" t="s">
        <v>3457</v>
      </c>
      <c r="M692" s="492" t="s">
        <v>64</v>
      </c>
      <c r="N692" s="492"/>
      <c r="O692" s="492"/>
      <c r="P692" s="616">
        <v>450</v>
      </c>
      <c r="Q692" s="545">
        <v>45792</v>
      </c>
      <c r="R692" s="545">
        <v>45797</v>
      </c>
      <c r="S692" s="492"/>
      <c r="T692" s="592">
        <v>45798</v>
      </c>
      <c r="U692" s="545">
        <v>45807</v>
      </c>
      <c r="V692" s="492" t="s">
        <v>20</v>
      </c>
      <c r="W692" s="592">
        <f t="shared" si="29"/>
        <v>45824</v>
      </c>
      <c r="X692" s="588" t="s">
        <v>4885</v>
      </c>
      <c r="Y692" s="523"/>
      <c r="Z692" s="588"/>
      <c r="AA692" s="588"/>
    </row>
    <row r="693" s="473" customFormat="1" ht="15.75" customHeight="1" spans="1:27">
      <c r="A693" s="492" t="s">
        <v>910</v>
      </c>
      <c r="B693" s="587" t="s">
        <v>4329</v>
      </c>
      <c r="C693" s="580" t="s">
        <v>4886</v>
      </c>
      <c r="D693" s="578" t="s">
        <v>4887</v>
      </c>
      <c r="E693" s="491"/>
      <c r="F693" s="556" t="s">
        <v>4018</v>
      </c>
      <c r="G693" s="249" t="s">
        <v>3032</v>
      </c>
      <c r="H693" s="492" t="s">
        <v>4880</v>
      </c>
      <c r="I693" s="545">
        <v>45785</v>
      </c>
      <c r="J693" s="545">
        <v>45803</v>
      </c>
      <c r="K693" s="249" t="s">
        <v>18</v>
      </c>
      <c r="L693" s="559" t="s">
        <v>3457</v>
      </c>
      <c r="M693" s="492" t="s">
        <v>309</v>
      </c>
      <c r="N693" s="497"/>
      <c r="O693" s="497"/>
      <c r="P693" s="608">
        <v>450</v>
      </c>
      <c r="Q693" s="562">
        <v>45792</v>
      </c>
      <c r="R693" s="545">
        <v>45797</v>
      </c>
      <c r="S693" s="492"/>
      <c r="T693" s="592">
        <v>45798</v>
      </c>
      <c r="U693" s="545">
        <v>45807</v>
      </c>
      <c r="V693" s="492" t="s">
        <v>20</v>
      </c>
      <c r="W693" s="592">
        <f t="shared" si="29"/>
        <v>45824</v>
      </c>
      <c r="X693" s="588" t="s">
        <v>4888</v>
      </c>
      <c r="Y693" s="523"/>
      <c r="Z693" s="588"/>
      <c r="AA693" s="588"/>
    </row>
    <row r="694" s="473" customFormat="1" ht="15.75" customHeight="1" spans="1:27">
      <c r="A694" s="492" t="s">
        <v>910</v>
      </c>
      <c r="B694" s="492" t="s">
        <v>4329</v>
      </c>
      <c r="C694" s="580" t="s">
        <v>4889</v>
      </c>
      <c r="D694" s="578" t="s">
        <v>4890</v>
      </c>
      <c r="E694" s="491"/>
      <c r="F694" s="556" t="s">
        <v>4018</v>
      </c>
      <c r="G694" s="492" t="s">
        <v>3032</v>
      </c>
      <c r="H694" s="492" t="s">
        <v>4880</v>
      </c>
      <c r="I694" s="545">
        <v>45785</v>
      </c>
      <c r="J694" s="545">
        <v>45803</v>
      </c>
      <c r="K694" s="249" t="s">
        <v>18</v>
      </c>
      <c r="L694" s="559" t="s">
        <v>3457</v>
      </c>
      <c r="M694" s="492" t="s">
        <v>64</v>
      </c>
      <c r="N694" s="492"/>
      <c r="O694" s="492"/>
      <c r="P694" s="616">
        <v>450</v>
      </c>
      <c r="Q694" s="545">
        <v>45792</v>
      </c>
      <c r="R694" s="545">
        <v>45797</v>
      </c>
      <c r="S694" s="492"/>
      <c r="T694" s="592">
        <v>45798</v>
      </c>
      <c r="U694" s="545">
        <v>45807</v>
      </c>
      <c r="V694" s="492" t="s">
        <v>20</v>
      </c>
      <c r="W694" s="592">
        <f t="shared" si="29"/>
        <v>45824</v>
      </c>
      <c r="X694" s="588"/>
      <c r="Y694" s="523"/>
      <c r="Z694" s="588"/>
      <c r="AA694" s="588"/>
    </row>
    <row r="695" s="473" customFormat="1" ht="15.75" customHeight="1" spans="1:27">
      <c r="A695" s="492" t="s">
        <v>910</v>
      </c>
      <c r="B695" s="492" t="s">
        <v>4329</v>
      </c>
      <c r="C695" s="580" t="s">
        <v>4891</v>
      </c>
      <c r="D695" s="556" t="s">
        <v>4892</v>
      </c>
      <c r="E695" s="491"/>
      <c r="F695" s="556" t="s">
        <v>4018</v>
      </c>
      <c r="G695" s="492" t="s">
        <v>3032</v>
      </c>
      <c r="H695" s="492" t="s">
        <v>4880</v>
      </c>
      <c r="I695" s="545">
        <v>45785</v>
      </c>
      <c r="J695" s="545">
        <v>45803</v>
      </c>
      <c r="K695" s="249" t="s">
        <v>18</v>
      </c>
      <c r="L695" s="586" t="s">
        <v>4407</v>
      </c>
      <c r="M695" s="492" t="s">
        <v>654</v>
      </c>
      <c r="N695" s="497"/>
      <c r="O695" s="497"/>
      <c r="P695" s="608">
        <v>500</v>
      </c>
      <c r="Q695" s="545">
        <v>45792</v>
      </c>
      <c r="R695" s="545">
        <v>45797</v>
      </c>
      <c r="S695" s="492"/>
      <c r="T695" s="592">
        <v>45798</v>
      </c>
      <c r="U695" s="545">
        <v>45807</v>
      </c>
      <c r="V695" s="492" t="s">
        <v>20</v>
      </c>
      <c r="W695" s="592">
        <f t="shared" si="29"/>
        <v>45824</v>
      </c>
      <c r="X695" s="588"/>
      <c r="Y695" s="523"/>
      <c r="Z695" s="588"/>
      <c r="AA695" s="588"/>
    </row>
    <row r="696" s="473" customFormat="1" ht="15.75" customHeight="1" spans="1:27">
      <c r="A696" s="492" t="s">
        <v>910</v>
      </c>
      <c r="B696" s="587" t="s">
        <v>4329</v>
      </c>
      <c r="C696" s="587" t="s">
        <v>4893</v>
      </c>
      <c r="D696" s="556" t="s">
        <v>4894</v>
      </c>
      <c r="E696" s="491"/>
      <c r="F696" s="587" t="s">
        <v>4115</v>
      </c>
      <c r="G696" s="587" t="s">
        <v>3079</v>
      </c>
      <c r="H696" s="587" t="s">
        <v>4870</v>
      </c>
      <c r="I696" s="562">
        <v>45772</v>
      </c>
      <c r="J696" s="545">
        <v>45803</v>
      </c>
      <c r="K696" s="492" t="s">
        <v>18</v>
      </c>
      <c r="L696" s="559" t="s">
        <v>3457</v>
      </c>
      <c r="M696" s="492" t="s">
        <v>2248</v>
      </c>
      <c r="N696" s="492"/>
      <c r="O696" s="492"/>
      <c r="P696" s="616">
        <v>450</v>
      </c>
      <c r="Q696" s="545">
        <v>45784</v>
      </c>
      <c r="R696" s="545">
        <v>45792</v>
      </c>
      <c r="S696" s="492"/>
      <c r="T696" s="545">
        <v>45800</v>
      </c>
      <c r="U696" s="545">
        <v>45807</v>
      </c>
      <c r="V696" s="492" t="s">
        <v>20</v>
      </c>
      <c r="W696" s="545">
        <f t="shared" si="29"/>
        <v>45824</v>
      </c>
      <c r="X696" s="588" t="s">
        <v>4895</v>
      </c>
      <c r="Y696" s="523"/>
      <c r="Z696" s="588"/>
      <c r="AA696" s="588"/>
    </row>
    <row r="697" s="473" customFormat="1" ht="15.75" customHeight="1" spans="1:27">
      <c r="A697" s="492" t="s">
        <v>910</v>
      </c>
      <c r="B697" s="492" t="s">
        <v>4329</v>
      </c>
      <c r="C697" s="492" t="s">
        <v>4893</v>
      </c>
      <c r="D697" s="556" t="s">
        <v>4896</v>
      </c>
      <c r="E697" s="491"/>
      <c r="F697" s="587" t="s">
        <v>4115</v>
      </c>
      <c r="G697" s="492" t="s">
        <v>3079</v>
      </c>
      <c r="H697" s="587" t="s">
        <v>4870</v>
      </c>
      <c r="I697" s="562">
        <v>45772</v>
      </c>
      <c r="J697" s="545">
        <v>45803</v>
      </c>
      <c r="K697" s="492" t="s">
        <v>18</v>
      </c>
      <c r="L697" s="611" t="s">
        <v>4897</v>
      </c>
      <c r="M697" s="492" t="s">
        <v>4898</v>
      </c>
      <c r="N697" s="492"/>
      <c r="O697" s="492"/>
      <c r="P697" s="616"/>
      <c r="Q697" s="545">
        <v>45784</v>
      </c>
      <c r="R697" s="545">
        <v>45792</v>
      </c>
      <c r="S697" s="492"/>
      <c r="T697" s="545">
        <v>45800</v>
      </c>
      <c r="U697" s="545">
        <v>45807</v>
      </c>
      <c r="V697" s="492" t="s">
        <v>20</v>
      </c>
      <c r="W697" s="545">
        <f t="shared" si="29"/>
        <v>45824</v>
      </c>
      <c r="X697" s="588" t="s">
        <v>4899</v>
      </c>
      <c r="Y697" s="523"/>
      <c r="Z697" s="588"/>
      <c r="AA697" s="588"/>
    </row>
    <row r="698" s="473" customFormat="1" ht="15.75" customHeight="1" spans="1:27">
      <c r="A698" s="492" t="s">
        <v>910</v>
      </c>
      <c r="B698" s="492" t="s">
        <v>4329</v>
      </c>
      <c r="C698" s="492" t="s">
        <v>4893</v>
      </c>
      <c r="D698" s="556" t="s">
        <v>4900</v>
      </c>
      <c r="E698" s="491"/>
      <c r="F698" s="587" t="s">
        <v>4115</v>
      </c>
      <c r="G698" s="492" t="s">
        <v>3079</v>
      </c>
      <c r="H698" s="587" t="s">
        <v>4870</v>
      </c>
      <c r="I698" s="562">
        <v>45772</v>
      </c>
      <c r="J698" s="545">
        <v>45803</v>
      </c>
      <c r="K698" s="492" t="s">
        <v>18</v>
      </c>
      <c r="L698" s="611" t="s">
        <v>4572</v>
      </c>
      <c r="M698" s="492" t="s">
        <v>2248</v>
      </c>
      <c r="N698" s="492"/>
      <c r="O698" s="492"/>
      <c r="P698" s="616">
        <v>500</v>
      </c>
      <c r="Q698" s="545">
        <v>45784</v>
      </c>
      <c r="R698" s="545">
        <v>45792</v>
      </c>
      <c r="S698" s="492"/>
      <c r="T698" s="545">
        <v>45800</v>
      </c>
      <c r="U698" s="545">
        <v>45807</v>
      </c>
      <c r="V698" s="492" t="s">
        <v>20</v>
      </c>
      <c r="W698" s="545">
        <f t="shared" si="29"/>
        <v>45824</v>
      </c>
      <c r="X698" s="588" t="s">
        <v>4895</v>
      </c>
      <c r="Y698" s="523"/>
      <c r="Z698" s="588"/>
      <c r="AA698" s="588"/>
    </row>
    <row r="699" s="473" customFormat="1" ht="15.75" customHeight="1" spans="1:27">
      <c r="A699" s="492" t="s">
        <v>910</v>
      </c>
      <c r="B699" s="492" t="s">
        <v>4300</v>
      </c>
      <c r="C699" s="494" t="s">
        <v>4901</v>
      </c>
      <c r="D699" s="556" t="s">
        <v>4902</v>
      </c>
      <c r="E699" s="488"/>
      <c r="F699" s="492" t="s">
        <v>3979</v>
      </c>
      <c r="G699" s="494" t="s">
        <v>3067</v>
      </c>
      <c r="H699" s="494" t="s">
        <v>4843</v>
      </c>
      <c r="I699" s="545">
        <v>45774</v>
      </c>
      <c r="J699" s="545">
        <v>45805</v>
      </c>
      <c r="K699" s="249" t="s">
        <v>18</v>
      </c>
      <c r="L699" s="611" t="s">
        <v>4572</v>
      </c>
      <c r="M699" s="492" t="s">
        <v>309</v>
      </c>
      <c r="N699" s="492"/>
      <c r="O699" s="492"/>
      <c r="P699" s="616"/>
      <c r="Q699" s="545">
        <v>45785</v>
      </c>
      <c r="R699" s="545">
        <v>45796</v>
      </c>
      <c r="S699" s="489"/>
      <c r="T699" s="592">
        <v>45798</v>
      </c>
      <c r="U699" s="545">
        <v>45810</v>
      </c>
      <c r="V699" s="492" t="s">
        <v>20</v>
      </c>
      <c r="W699" s="592">
        <f t="shared" si="29"/>
        <v>45826</v>
      </c>
      <c r="X699" s="588"/>
      <c r="Y699" s="523"/>
      <c r="Z699" s="588"/>
      <c r="AA699" s="588"/>
    </row>
    <row r="700" s="473" customFormat="1" ht="15.75" customHeight="1" spans="1:27">
      <c r="A700" s="492" t="s">
        <v>910</v>
      </c>
      <c r="B700" s="492" t="s">
        <v>4300</v>
      </c>
      <c r="C700" s="494" t="s">
        <v>4903</v>
      </c>
      <c r="D700" s="556" t="s">
        <v>4904</v>
      </c>
      <c r="E700" s="488"/>
      <c r="F700" s="492" t="s">
        <v>3979</v>
      </c>
      <c r="G700" s="492" t="s">
        <v>3067</v>
      </c>
      <c r="H700" s="494" t="s">
        <v>4843</v>
      </c>
      <c r="I700" s="545">
        <v>45774</v>
      </c>
      <c r="J700" s="545">
        <v>45805</v>
      </c>
      <c r="K700" s="249" t="s">
        <v>18</v>
      </c>
      <c r="L700" s="611" t="s">
        <v>4572</v>
      </c>
      <c r="M700" s="492" t="s">
        <v>4905</v>
      </c>
      <c r="N700" s="492"/>
      <c r="O700" s="492"/>
      <c r="P700" s="616"/>
      <c r="Q700" s="545">
        <v>45790</v>
      </c>
      <c r="R700" s="545">
        <v>45796</v>
      </c>
      <c r="S700" s="489"/>
      <c r="T700" s="592">
        <v>45798</v>
      </c>
      <c r="U700" s="545">
        <v>45810</v>
      </c>
      <c r="V700" s="492" t="s">
        <v>20</v>
      </c>
      <c r="W700" s="592">
        <f t="shared" si="29"/>
        <v>45826</v>
      </c>
      <c r="X700" s="588" t="s">
        <v>4906</v>
      </c>
      <c r="Y700" s="523"/>
      <c r="Z700" s="588"/>
      <c r="AA700" s="588"/>
    </row>
    <row r="701" s="473" customFormat="1" ht="15.75" customHeight="1" spans="1:27">
      <c r="A701" s="492" t="s">
        <v>910</v>
      </c>
      <c r="B701" s="492" t="s">
        <v>4300</v>
      </c>
      <c r="C701" s="494" t="s">
        <v>4907</v>
      </c>
      <c r="D701" s="556" t="s">
        <v>4908</v>
      </c>
      <c r="E701" s="488"/>
      <c r="F701" s="492" t="s">
        <v>3979</v>
      </c>
      <c r="G701" s="492" t="s">
        <v>3067</v>
      </c>
      <c r="H701" s="494" t="s">
        <v>4843</v>
      </c>
      <c r="I701" s="545">
        <v>45774</v>
      </c>
      <c r="J701" s="545">
        <v>45805</v>
      </c>
      <c r="K701" s="249" t="s">
        <v>18</v>
      </c>
      <c r="L701" s="611" t="s">
        <v>4572</v>
      </c>
      <c r="M701" s="492" t="s">
        <v>4909</v>
      </c>
      <c r="N701" s="492"/>
      <c r="O701" s="492"/>
      <c r="P701" s="616"/>
      <c r="Q701" s="545">
        <v>45790</v>
      </c>
      <c r="R701" s="545">
        <v>45796</v>
      </c>
      <c r="S701" s="489"/>
      <c r="T701" s="592">
        <v>45798</v>
      </c>
      <c r="U701" s="545">
        <v>45810</v>
      </c>
      <c r="V701" s="492" t="s">
        <v>20</v>
      </c>
      <c r="W701" s="592">
        <f t="shared" si="29"/>
        <v>45826</v>
      </c>
      <c r="X701" s="588" t="s">
        <v>4906</v>
      </c>
      <c r="Y701" s="523"/>
      <c r="Z701" s="588"/>
      <c r="AA701" s="588"/>
    </row>
    <row r="702" s="473" customFormat="1" ht="15.75" customHeight="1" spans="1:27">
      <c r="A702" s="492" t="s">
        <v>910</v>
      </c>
      <c r="B702" s="492" t="s">
        <v>4300</v>
      </c>
      <c r="C702" s="494" t="s">
        <v>4910</v>
      </c>
      <c r="D702" s="556" t="s">
        <v>4911</v>
      </c>
      <c r="E702" s="488"/>
      <c r="F702" s="492" t="s">
        <v>3979</v>
      </c>
      <c r="G702" s="492" t="s">
        <v>3067</v>
      </c>
      <c r="H702" s="494" t="s">
        <v>4843</v>
      </c>
      <c r="I702" s="545">
        <v>45774</v>
      </c>
      <c r="J702" s="545">
        <v>45805</v>
      </c>
      <c r="K702" s="249" t="s">
        <v>18</v>
      </c>
      <c r="L702" s="611" t="s">
        <v>4572</v>
      </c>
      <c r="M702" s="492" t="s">
        <v>309</v>
      </c>
      <c r="N702" s="492"/>
      <c r="O702" s="492"/>
      <c r="P702" s="616"/>
      <c r="Q702" s="545">
        <v>45785</v>
      </c>
      <c r="R702" s="545">
        <v>45796</v>
      </c>
      <c r="S702" s="489"/>
      <c r="T702" s="592">
        <v>45798</v>
      </c>
      <c r="U702" s="545">
        <v>45810</v>
      </c>
      <c r="V702" s="492" t="s">
        <v>20</v>
      </c>
      <c r="W702" s="592">
        <f t="shared" si="29"/>
        <v>45826</v>
      </c>
      <c r="X702" s="588"/>
      <c r="Y702" s="523"/>
      <c r="Z702" s="588"/>
      <c r="AA702" s="588"/>
    </row>
    <row r="703" s="473" customFormat="1" ht="15.75" customHeight="1" spans="1:27">
      <c r="A703" s="492" t="s">
        <v>910</v>
      </c>
      <c r="B703" s="492" t="s">
        <v>4300</v>
      </c>
      <c r="C703" s="587" t="s">
        <v>4912</v>
      </c>
      <c r="D703" s="556" t="s">
        <v>4913</v>
      </c>
      <c r="E703" s="491"/>
      <c r="F703" s="492" t="s">
        <v>3979</v>
      </c>
      <c r="G703" s="492" t="s">
        <v>3067</v>
      </c>
      <c r="H703" s="587" t="s">
        <v>4843</v>
      </c>
      <c r="I703" s="545">
        <v>45774</v>
      </c>
      <c r="J703" s="545">
        <v>45805</v>
      </c>
      <c r="K703" s="249" t="s">
        <v>18</v>
      </c>
      <c r="L703" s="611" t="s">
        <v>4572</v>
      </c>
      <c r="M703" s="492" t="s">
        <v>4914</v>
      </c>
      <c r="N703" s="492"/>
      <c r="O703" s="492"/>
      <c r="P703" s="616"/>
      <c r="Q703" s="545">
        <v>45790</v>
      </c>
      <c r="R703" s="545">
        <v>45796</v>
      </c>
      <c r="S703" s="492"/>
      <c r="T703" s="592">
        <v>45798</v>
      </c>
      <c r="U703" s="545">
        <v>45810</v>
      </c>
      <c r="V703" s="492" t="s">
        <v>20</v>
      </c>
      <c r="W703" s="592">
        <f t="shared" si="29"/>
        <v>45826</v>
      </c>
      <c r="X703" s="588" t="s">
        <v>4906</v>
      </c>
      <c r="Y703" s="523"/>
      <c r="Z703" s="588"/>
      <c r="AA703" s="588"/>
    </row>
    <row r="704" s="473" customFormat="1" ht="15.75" customHeight="1" spans="1:27">
      <c r="A704" s="492" t="s">
        <v>910</v>
      </c>
      <c r="B704" s="492" t="s">
        <v>4329</v>
      </c>
      <c r="C704" s="492" t="s">
        <v>4915</v>
      </c>
      <c r="D704" s="556" t="s">
        <v>4916</v>
      </c>
      <c r="E704" s="491"/>
      <c r="F704" s="587" t="s">
        <v>4115</v>
      </c>
      <c r="G704" s="492" t="s">
        <v>4235</v>
      </c>
      <c r="H704" s="492" t="s">
        <v>4917</v>
      </c>
      <c r="I704" s="545">
        <v>45789</v>
      </c>
      <c r="J704" s="545">
        <v>45806</v>
      </c>
      <c r="K704" s="249" t="s">
        <v>18</v>
      </c>
      <c r="L704" s="559" t="s">
        <v>3457</v>
      </c>
      <c r="M704" s="492" t="s">
        <v>654</v>
      </c>
      <c r="N704" s="492"/>
      <c r="O704" s="492"/>
      <c r="P704" s="616"/>
      <c r="Q704" s="545">
        <v>45792</v>
      </c>
      <c r="R704" s="545">
        <v>45797</v>
      </c>
      <c r="S704" s="492"/>
      <c r="T704" s="545">
        <v>45799</v>
      </c>
      <c r="U704" s="545">
        <v>45811</v>
      </c>
      <c r="V704" s="556" t="s">
        <v>20</v>
      </c>
      <c r="W704" s="592">
        <f t="shared" si="29"/>
        <v>45827</v>
      </c>
      <c r="X704" s="588"/>
      <c r="Y704" s="523"/>
      <c r="Z704" s="588"/>
      <c r="AA704" s="588"/>
    </row>
    <row r="705" s="473" customFormat="1" ht="15.75" customHeight="1" spans="1:27">
      <c r="A705" s="492" t="s">
        <v>910</v>
      </c>
      <c r="B705" s="492" t="s">
        <v>4329</v>
      </c>
      <c r="C705" s="587" t="s">
        <v>4915</v>
      </c>
      <c r="D705" s="556" t="s">
        <v>4918</v>
      </c>
      <c r="E705" s="491"/>
      <c r="F705" s="587" t="s">
        <v>4115</v>
      </c>
      <c r="G705" s="492" t="s">
        <v>4235</v>
      </c>
      <c r="H705" s="587" t="s">
        <v>4917</v>
      </c>
      <c r="I705" s="545">
        <v>45789</v>
      </c>
      <c r="J705" s="545">
        <v>45806</v>
      </c>
      <c r="K705" s="249" t="s">
        <v>18</v>
      </c>
      <c r="L705" s="559" t="s">
        <v>3457</v>
      </c>
      <c r="M705" s="492" t="s">
        <v>64</v>
      </c>
      <c r="N705" s="492"/>
      <c r="O705" s="492"/>
      <c r="P705" s="616"/>
      <c r="Q705" s="545">
        <v>45792</v>
      </c>
      <c r="R705" s="545">
        <v>45797</v>
      </c>
      <c r="S705" s="492"/>
      <c r="T705" s="545">
        <v>45799</v>
      </c>
      <c r="U705" s="545">
        <v>45811</v>
      </c>
      <c r="V705" s="556" t="s">
        <v>20</v>
      </c>
      <c r="W705" s="592">
        <f t="shared" si="29"/>
        <v>45827</v>
      </c>
      <c r="X705" s="588"/>
      <c r="Y705" s="523"/>
      <c r="Z705" s="588"/>
      <c r="AA705" s="588"/>
    </row>
    <row r="706" s="473" customFormat="1" ht="15.75" customHeight="1" spans="1:27">
      <c r="A706" s="494" t="s">
        <v>778</v>
      </c>
      <c r="B706" s="492" t="s">
        <v>4300</v>
      </c>
      <c r="C706" s="494" t="s">
        <v>4919</v>
      </c>
      <c r="D706" s="554" t="s">
        <v>4920</v>
      </c>
      <c r="E706" s="489"/>
      <c r="F706" s="492" t="s">
        <v>3979</v>
      </c>
      <c r="G706" s="494" t="s">
        <v>3146</v>
      </c>
      <c r="H706" s="494" t="s">
        <v>4921</v>
      </c>
      <c r="I706" s="195">
        <v>45786</v>
      </c>
      <c r="J706" s="195">
        <v>45808</v>
      </c>
      <c r="K706" s="249" t="s">
        <v>18</v>
      </c>
      <c r="L706" s="523" t="s">
        <v>3452</v>
      </c>
      <c r="M706" s="492" t="s">
        <v>1166</v>
      </c>
      <c r="N706" s="492"/>
      <c r="O706" s="492"/>
      <c r="P706" s="616"/>
      <c r="Q706" s="545">
        <v>45791</v>
      </c>
      <c r="R706" s="545">
        <v>45800</v>
      </c>
      <c r="S706" s="489"/>
      <c r="T706" s="195">
        <v>45804</v>
      </c>
      <c r="U706" s="545">
        <v>45814</v>
      </c>
      <c r="V706" s="556" t="s">
        <v>20</v>
      </c>
      <c r="W706" s="592">
        <f t="shared" si="29"/>
        <v>45829</v>
      </c>
      <c r="X706" s="588" t="s">
        <v>4922</v>
      </c>
      <c r="Y706" s="523"/>
      <c r="Z706" s="588"/>
      <c r="AA706" s="588"/>
    </row>
    <row r="707" s="473" customFormat="1" ht="15.75" customHeight="1" spans="1:27">
      <c r="A707" s="492" t="s">
        <v>910</v>
      </c>
      <c r="B707" s="492" t="s">
        <v>4300</v>
      </c>
      <c r="C707" s="494" t="s">
        <v>4923</v>
      </c>
      <c r="D707" s="554" t="s">
        <v>4924</v>
      </c>
      <c r="E707" s="488"/>
      <c r="F707" s="492" t="s">
        <v>3979</v>
      </c>
      <c r="G707" s="492" t="s">
        <v>3146</v>
      </c>
      <c r="H707" s="494" t="s">
        <v>4921</v>
      </c>
      <c r="I707" s="545">
        <v>45786</v>
      </c>
      <c r="J707" s="545">
        <v>45808</v>
      </c>
      <c r="K707" s="249" t="s">
        <v>18</v>
      </c>
      <c r="L707" s="586" t="s">
        <v>3324</v>
      </c>
      <c r="M707" s="492" t="s">
        <v>309</v>
      </c>
      <c r="N707" s="492"/>
      <c r="O707" s="492"/>
      <c r="P707" s="616"/>
      <c r="Q707" s="545">
        <v>45799</v>
      </c>
      <c r="R707" s="545">
        <v>45800</v>
      </c>
      <c r="S707" s="489"/>
      <c r="T707" s="195">
        <v>45805</v>
      </c>
      <c r="U707" s="545">
        <v>45813</v>
      </c>
      <c r="V707" s="556" t="s">
        <v>20</v>
      </c>
      <c r="W707" s="592">
        <f t="shared" si="29"/>
        <v>45829</v>
      </c>
      <c r="X707" s="588"/>
      <c r="Y707" s="523"/>
      <c r="Z707" s="588"/>
      <c r="AA707" s="588"/>
    </row>
    <row r="708" s="473" customFormat="1" ht="15.75" customHeight="1" spans="1:27">
      <c r="A708" s="494" t="s">
        <v>656</v>
      </c>
      <c r="B708" s="492" t="s">
        <v>4300</v>
      </c>
      <c r="C708" s="494" t="s">
        <v>4925</v>
      </c>
      <c r="D708" s="554" t="s">
        <v>4926</v>
      </c>
      <c r="E708" s="488"/>
      <c r="F708" s="492" t="s">
        <v>3979</v>
      </c>
      <c r="G708" s="492" t="s">
        <v>3146</v>
      </c>
      <c r="H708" s="494" t="s">
        <v>4921</v>
      </c>
      <c r="I708" s="545">
        <v>45786</v>
      </c>
      <c r="J708" s="545">
        <v>45808</v>
      </c>
      <c r="K708" s="249" t="s">
        <v>18</v>
      </c>
      <c r="L708" s="611" t="s">
        <v>4572</v>
      </c>
      <c r="M708" s="492" t="s">
        <v>309</v>
      </c>
      <c r="N708" s="492"/>
      <c r="O708" s="492"/>
      <c r="P708" s="616"/>
      <c r="Q708" s="545">
        <v>45799</v>
      </c>
      <c r="R708" s="545">
        <v>45800</v>
      </c>
      <c r="S708" s="489"/>
      <c r="T708" s="195">
        <v>45807</v>
      </c>
      <c r="U708" s="545">
        <v>45814</v>
      </c>
      <c r="V708" s="556" t="s">
        <v>20</v>
      </c>
      <c r="W708" s="592">
        <f t="shared" si="29"/>
        <v>45829</v>
      </c>
      <c r="X708" s="588" t="s">
        <v>4927</v>
      </c>
      <c r="Y708" s="523"/>
      <c r="Z708" s="588"/>
      <c r="AA708" s="588"/>
    </row>
    <row r="709" s="473" customFormat="1" ht="15.75" customHeight="1" spans="1:27">
      <c r="A709" s="492" t="s">
        <v>656</v>
      </c>
      <c r="B709" s="492" t="s">
        <v>4300</v>
      </c>
      <c r="C709" s="492" t="s">
        <v>4928</v>
      </c>
      <c r="D709" s="556" t="s">
        <v>4929</v>
      </c>
      <c r="E709" s="491"/>
      <c r="F709" s="492" t="s">
        <v>3979</v>
      </c>
      <c r="G709" s="492" t="s">
        <v>3146</v>
      </c>
      <c r="H709" s="492" t="s">
        <v>4921</v>
      </c>
      <c r="I709" s="545">
        <v>45786</v>
      </c>
      <c r="J709" s="545">
        <v>45808</v>
      </c>
      <c r="K709" s="249" t="s">
        <v>18</v>
      </c>
      <c r="L709" s="559" t="s">
        <v>3457</v>
      </c>
      <c r="M709" s="492" t="s">
        <v>309</v>
      </c>
      <c r="N709" s="492"/>
      <c r="O709" s="492"/>
      <c r="P709" s="616"/>
      <c r="Q709" s="545">
        <v>45799</v>
      </c>
      <c r="R709" s="545">
        <v>45800</v>
      </c>
      <c r="S709" s="492"/>
      <c r="T709" s="545">
        <v>45804</v>
      </c>
      <c r="U709" s="545">
        <v>45814</v>
      </c>
      <c r="V709" s="556" t="s">
        <v>20</v>
      </c>
      <c r="W709" s="592">
        <f t="shared" si="29"/>
        <v>45829</v>
      </c>
      <c r="X709" s="588"/>
      <c r="Y709" s="523"/>
      <c r="Z709" s="588"/>
      <c r="AA709" s="588"/>
    </row>
    <row r="710" s="478" customFormat="1" ht="15.75" customHeight="1" spans="1:27">
      <c r="A710" s="492" t="s">
        <v>910</v>
      </c>
      <c r="B710" s="492" t="s">
        <v>4300</v>
      </c>
      <c r="C710" s="492" t="s">
        <v>4930</v>
      </c>
      <c r="D710" s="492" t="s">
        <v>4931</v>
      </c>
      <c r="E710" s="491"/>
      <c r="F710" s="492" t="s">
        <v>3979</v>
      </c>
      <c r="G710" s="492" t="s">
        <v>3146</v>
      </c>
      <c r="H710" s="492" t="s">
        <v>4921</v>
      </c>
      <c r="I710" s="545">
        <v>45786</v>
      </c>
      <c r="J710" s="545">
        <v>45808</v>
      </c>
      <c r="K710" s="249" t="s">
        <v>18</v>
      </c>
      <c r="L710" s="586" t="s">
        <v>3324</v>
      </c>
      <c r="M710" s="492" t="s">
        <v>309</v>
      </c>
      <c r="N710" s="492"/>
      <c r="O710" s="492"/>
      <c r="P710" s="616"/>
      <c r="Q710" s="545">
        <v>45799</v>
      </c>
      <c r="R710" s="545">
        <v>45800</v>
      </c>
      <c r="S710" s="492"/>
      <c r="T710" s="545">
        <v>45805</v>
      </c>
      <c r="U710" s="545">
        <v>45813</v>
      </c>
      <c r="V710" s="492" t="s">
        <v>20</v>
      </c>
      <c r="W710" s="592">
        <f t="shared" si="29"/>
        <v>45829</v>
      </c>
      <c r="X710" s="588"/>
      <c r="Y710" s="523"/>
      <c r="Z710" s="588"/>
      <c r="AA710" s="588"/>
    </row>
    <row r="711" s="473" customFormat="1" ht="15.75" customHeight="1" spans="1:27">
      <c r="A711" s="492" t="s">
        <v>910</v>
      </c>
      <c r="B711" s="492" t="s">
        <v>4300</v>
      </c>
      <c r="C711" s="494" t="s">
        <v>4932</v>
      </c>
      <c r="D711" s="494" t="s">
        <v>4933</v>
      </c>
      <c r="E711" s="488"/>
      <c r="F711" s="492" t="s">
        <v>3979</v>
      </c>
      <c r="G711" s="492" t="s">
        <v>3146</v>
      </c>
      <c r="H711" s="494" t="s">
        <v>4921</v>
      </c>
      <c r="I711" s="545">
        <v>45786</v>
      </c>
      <c r="J711" s="545">
        <v>45808</v>
      </c>
      <c r="K711" s="249" t="s">
        <v>18</v>
      </c>
      <c r="L711" s="586" t="s">
        <v>3324</v>
      </c>
      <c r="M711" s="492" t="s">
        <v>309</v>
      </c>
      <c r="N711" s="492"/>
      <c r="O711" s="492"/>
      <c r="P711" s="616"/>
      <c r="Q711" s="545">
        <v>45799</v>
      </c>
      <c r="R711" s="545">
        <v>45800</v>
      </c>
      <c r="S711" s="489"/>
      <c r="T711" s="195">
        <v>45804</v>
      </c>
      <c r="U711" s="545">
        <v>45814</v>
      </c>
      <c r="V711" s="492" t="s">
        <v>20</v>
      </c>
      <c r="W711" s="592">
        <f t="shared" si="29"/>
        <v>45829</v>
      </c>
      <c r="X711" s="588"/>
      <c r="Y711" s="523"/>
      <c r="Z711" s="588"/>
      <c r="AA711" s="588"/>
    </row>
    <row r="712" s="473" customFormat="1" ht="15.75" customHeight="1" spans="1:27">
      <c r="A712" s="492" t="s">
        <v>910</v>
      </c>
      <c r="B712" s="492" t="s">
        <v>4300</v>
      </c>
      <c r="C712" s="494" t="s">
        <v>4934</v>
      </c>
      <c r="D712" s="492" t="s">
        <v>4935</v>
      </c>
      <c r="E712" s="488"/>
      <c r="F712" s="492" t="s">
        <v>3979</v>
      </c>
      <c r="G712" s="492" t="s">
        <v>3146</v>
      </c>
      <c r="H712" s="492" t="s">
        <v>4921</v>
      </c>
      <c r="I712" s="545">
        <v>45786</v>
      </c>
      <c r="J712" s="545">
        <v>45808</v>
      </c>
      <c r="K712" s="249" t="s">
        <v>18</v>
      </c>
      <c r="L712" s="586" t="s">
        <v>3324</v>
      </c>
      <c r="M712" s="492" t="s">
        <v>309</v>
      </c>
      <c r="N712" s="492"/>
      <c r="O712" s="492"/>
      <c r="P712" s="616"/>
      <c r="Q712" s="545">
        <v>45799</v>
      </c>
      <c r="R712" s="545">
        <v>45800</v>
      </c>
      <c r="S712" s="489"/>
      <c r="T712" s="195">
        <v>45804</v>
      </c>
      <c r="U712" s="545">
        <v>45814</v>
      </c>
      <c r="V712" s="492" t="s">
        <v>20</v>
      </c>
      <c r="W712" s="592">
        <f t="shared" si="29"/>
        <v>45829</v>
      </c>
      <c r="X712" s="588" t="s">
        <v>4936</v>
      </c>
      <c r="Y712" s="523"/>
      <c r="Z712" s="588"/>
      <c r="AA712" s="588"/>
    </row>
    <row r="713" s="473" customFormat="1" ht="15.75" customHeight="1" spans="1:27">
      <c r="A713" s="492" t="s">
        <v>910</v>
      </c>
      <c r="B713" s="492" t="s">
        <v>4300</v>
      </c>
      <c r="C713" s="494" t="s">
        <v>4937</v>
      </c>
      <c r="D713" s="492" t="s">
        <v>4938</v>
      </c>
      <c r="E713" s="488"/>
      <c r="F713" s="492" t="s">
        <v>3979</v>
      </c>
      <c r="G713" s="492" t="s">
        <v>3146</v>
      </c>
      <c r="H713" s="492" t="s">
        <v>4921</v>
      </c>
      <c r="I713" s="545">
        <v>45786</v>
      </c>
      <c r="J713" s="545">
        <v>45808</v>
      </c>
      <c r="K713" s="249" t="s">
        <v>18</v>
      </c>
      <c r="L713" s="611" t="s">
        <v>4407</v>
      </c>
      <c r="M713" s="492" t="s">
        <v>309</v>
      </c>
      <c r="N713" s="492"/>
      <c r="O713" s="492"/>
      <c r="P713" s="616"/>
      <c r="Q713" s="545">
        <v>45799</v>
      </c>
      <c r="R713" s="545">
        <v>45800</v>
      </c>
      <c r="S713" s="489"/>
      <c r="T713" s="195">
        <v>45807</v>
      </c>
      <c r="U713" s="545">
        <v>45813</v>
      </c>
      <c r="V713" s="492" t="s">
        <v>20</v>
      </c>
      <c r="W713" s="592">
        <f t="shared" si="29"/>
        <v>45829</v>
      </c>
      <c r="X713" s="588"/>
      <c r="Y713" s="523"/>
      <c r="Z713" s="588"/>
      <c r="AA713" s="588"/>
    </row>
    <row r="714" s="473" customFormat="1" ht="15.75" customHeight="1" spans="1:27">
      <c r="A714" s="492" t="s">
        <v>910</v>
      </c>
      <c r="B714" s="492" t="s">
        <v>4300</v>
      </c>
      <c r="C714" s="494" t="s">
        <v>4939</v>
      </c>
      <c r="D714" s="492" t="s">
        <v>4940</v>
      </c>
      <c r="E714" s="489"/>
      <c r="F714" s="492" t="s">
        <v>3979</v>
      </c>
      <c r="G714" s="492" t="s">
        <v>3146</v>
      </c>
      <c r="H714" s="494" t="s">
        <v>4921</v>
      </c>
      <c r="I714" s="545">
        <v>45786</v>
      </c>
      <c r="J714" s="545">
        <v>45808</v>
      </c>
      <c r="K714" s="249" t="s">
        <v>18</v>
      </c>
      <c r="L714" s="611" t="s">
        <v>4407</v>
      </c>
      <c r="M714" s="492" t="s">
        <v>309</v>
      </c>
      <c r="N714" s="492"/>
      <c r="O714" s="492"/>
      <c r="P714" s="616"/>
      <c r="Q714" s="545">
        <v>45799</v>
      </c>
      <c r="R714" s="545">
        <v>45800</v>
      </c>
      <c r="S714" s="489"/>
      <c r="T714" s="195">
        <v>45804</v>
      </c>
      <c r="U714" s="545">
        <v>45814</v>
      </c>
      <c r="V714" s="592" t="s">
        <v>20</v>
      </c>
      <c r="W714" s="592">
        <f t="shared" si="29"/>
        <v>45829</v>
      </c>
      <c r="X714" s="588" t="s">
        <v>4941</v>
      </c>
      <c r="Y714" s="523"/>
      <c r="Z714" s="592"/>
      <c r="AA714" s="588"/>
    </row>
    <row r="715" s="473" customFormat="1" ht="15.75" customHeight="1" spans="1:27">
      <c r="A715" s="492" t="s">
        <v>910</v>
      </c>
      <c r="B715" s="492" t="s">
        <v>4300</v>
      </c>
      <c r="C715" s="494" t="s">
        <v>4942</v>
      </c>
      <c r="D715" s="494" t="s">
        <v>4943</v>
      </c>
      <c r="E715" s="488"/>
      <c r="F715" s="492" t="s">
        <v>3979</v>
      </c>
      <c r="G715" s="492" t="s">
        <v>3067</v>
      </c>
      <c r="H715" s="494" t="s">
        <v>4944</v>
      </c>
      <c r="I715" s="195">
        <v>45793</v>
      </c>
      <c r="J715" s="195">
        <v>45811</v>
      </c>
      <c r="K715" s="249" t="s">
        <v>18</v>
      </c>
      <c r="L715" s="611" t="s">
        <v>4407</v>
      </c>
      <c r="M715" s="492" t="s">
        <v>309</v>
      </c>
      <c r="N715" s="492"/>
      <c r="O715" s="492"/>
      <c r="P715" s="616">
        <v>500</v>
      </c>
      <c r="Q715" s="545">
        <v>45799</v>
      </c>
      <c r="R715" s="545">
        <v>45804</v>
      </c>
      <c r="S715" s="489"/>
      <c r="T715" s="195">
        <v>45806</v>
      </c>
      <c r="U715" s="545">
        <v>45813</v>
      </c>
      <c r="V715" s="492" t="s">
        <v>20</v>
      </c>
      <c r="W715" s="592">
        <f t="shared" si="29"/>
        <v>45832</v>
      </c>
      <c r="X715" s="588" t="s">
        <v>4945</v>
      </c>
      <c r="Y715" s="523"/>
      <c r="Z715" s="588"/>
      <c r="AA715" s="588"/>
    </row>
    <row r="716" s="473" customFormat="1" ht="15.75" customHeight="1" spans="1:27">
      <c r="A716" s="492" t="s">
        <v>910</v>
      </c>
      <c r="B716" s="492" t="s">
        <v>4300</v>
      </c>
      <c r="C716" s="494" t="s">
        <v>4946</v>
      </c>
      <c r="D716" s="494" t="s">
        <v>4947</v>
      </c>
      <c r="E716" s="488"/>
      <c r="F716" s="492" t="s">
        <v>3979</v>
      </c>
      <c r="G716" s="492" t="s">
        <v>3067</v>
      </c>
      <c r="H716" s="492" t="s">
        <v>4944</v>
      </c>
      <c r="I716" s="545">
        <v>45793</v>
      </c>
      <c r="J716" s="545">
        <v>45811</v>
      </c>
      <c r="K716" s="249" t="s">
        <v>18</v>
      </c>
      <c r="L716" s="611" t="s">
        <v>4407</v>
      </c>
      <c r="M716" s="492" t="s">
        <v>309</v>
      </c>
      <c r="N716" s="492"/>
      <c r="O716" s="492"/>
      <c r="P716" s="616"/>
      <c r="Q716" s="545">
        <v>45803</v>
      </c>
      <c r="R716" s="545">
        <v>45804</v>
      </c>
      <c r="S716" s="489"/>
      <c r="T716" s="195">
        <v>45806</v>
      </c>
      <c r="U716" s="545">
        <v>45814</v>
      </c>
      <c r="V716" s="492" t="s">
        <v>20</v>
      </c>
      <c r="W716" s="592">
        <f t="shared" si="29"/>
        <v>45832</v>
      </c>
      <c r="X716" s="596"/>
      <c r="Y716" s="523"/>
      <c r="Z716" s="588"/>
      <c r="AA716" s="588"/>
    </row>
    <row r="717" s="473" customFormat="1" ht="15.75" customHeight="1" spans="1:27">
      <c r="A717" s="492" t="s">
        <v>910</v>
      </c>
      <c r="B717" s="492" t="s">
        <v>4300</v>
      </c>
      <c r="C717" s="494" t="s">
        <v>4948</v>
      </c>
      <c r="D717" s="494" t="s">
        <v>4949</v>
      </c>
      <c r="E717" s="488"/>
      <c r="F717" s="492" t="s">
        <v>3979</v>
      </c>
      <c r="G717" s="492" t="s">
        <v>3079</v>
      </c>
      <c r="H717" s="494" t="s">
        <v>4950</v>
      </c>
      <c r="I717" s="545">
        <v>45784</v>
      </c>
      <c r="J717" s="545">
        <v>45811</v>
      </c>
      <c r="K717" s="249" t="s">
        <v>18</v>
      </c>
      <c r="L717" s="611" t="s">
        <v>4407</v>
      </c>
      <c r="M717" s="492" t="s">
        <v>309</v>
      </c>
      <c r="N717" s="492"/>
      <c r="O717" s="492"/>
      <c r="P717" s="616">
        <v>500</v>
      </c>
      <c r="Q717" s="545">
        <v>45799</v>
      </c>
      <c r="R717" s="545">
        <v>45804</v>
      </c>
      <c r="S717" s="489"/>
      <c r="T717" s="195">
        <v>45807</v>
      </c>
      <c r="U717" s="545">
        <v>45813</v>
      </c>
      <c r="V717" s="592" t="s">
        <v>20</v>
      </c>
      <c r="W717" s="592">
        <f t="shared" si="29"/>
        <v>45832</v>
      </c>
      <c r="X717" s="588" t="s">
        <v>4951</v>
      </c>
      <c r="Y717" s="523"/>
      <c r="Z717" s="588"/>
      <c r="AA717" s="588"/>
    </row>
    <row r="718" s="473" customFormat="1" ht="15.75" customHeight="1" spans="1:27">
      <c r="A718" s="492" t="s">
        <v>910</v>
      </c>
      <c r="B718" s="492" t="s">
        <v>4300</v>
      </c>
      <c r="C718" s="494" t="s">
        <v>4952</v>
      </c>
      <c r="D718" s="494" t="s">
        <v>4953</v>
      </c>
      <c r="E718" s="488"/>
      <c r="F718" s="492" t="s">
        <v>3979</v>
      </c>
      <c r="G718" s="492" t="s">
        <v>3079</v>
      </c>
      <c r="H718" s="494" t="s">
        <v>4950</v>
      </c>
      <c r="I718" s="545">
        <v>45784</v>
      </c>
      <c r="J718" s="545">
        <v>45811</v>
      </c>
      <c r="K718" s="249" t="s">
        <v>18</v>
      </c>
      <c r="L718" s="611" t="s">
        <v>4407</v>
      </c>
      <c r="M718" s="492" t="s">
        <v>309</v>
      </c>
      <c r="N718" s="492"/>
      <c r="O718" s="492"/>
      <c r="P718" s="616"/>
      <c r="Q718" s="545">
        <v>45799</v>
      </c>
      <c r="R718" s="545">
        <v>45804</v>
      </c>
      <c r="S718" s="489"/>
      <c r="T718" s="195">
        <v>45807</v>
      </c>
      <c r="U718" s="545">
        <v>45814</v>
      </c>
      <c r="V718" s="492" t="s">
        <v>20</v>
      </c>
      <c r="W718" s="592">
        <f t="shared" si="29"/>
        <v>45832</v>
      </c>
      <c r="X718" s="588" t="s">
        <v>4899</v>
      </c>
      <c r="Y718" s="523"/>
      <c r="Z718" s="588"/>
      <c r="AA718" s="588"/>
    </row>
    <row r="719" s="473" customFormat="1" ht="15.75" customHeight="1" spans="1:27">
      <c r="A719" s="492" t="s">
        <v>910</v>
      </c>
      <c r="B719" s="492" t="s">
        <v>4300</v>
      </c>
      <c r="C719" s="494" t="s">
        <v>4954</v>
      </c>
      <c r="D719" s="492" t="s">
        <v>4955</v>
      </c>
      <c r="E719" s="489"/>
      <c r="F719" s="492" t="s">
        <v>3979</v>
      </c>
      <c r="G719" s="492" t="s">
        <v>3067</v>
      </c>
      <c r="H719" s="494" t="s">
        <v>4956</v>
      </c>
      <c r="I719" s="545">
        <v>45797</v>
      </c>
      <c r="J719" s="545">
        <v>45812</v>
      </c>
      <c r="K719" s="249" t="s">
        <v>18</v>
      </c>
      <c r="L719" s="559" t="s">
        <v>3457</v>
      </c>
      <c r="M719" s="492" t="s">
        <v>309</v>
      </c>
      <c r="N719" s="492"/>
      <c r="O719" s="492"/>
      <c r="P719" s="616">
        <v>450</v>
      </c>
      <c r="Q719" s="545">
        <v>45803</v>
      </c>
      <c r="R719" s="545">
        <v>45805</v>
      </c>
      <c r="S719" s="489"/>
      <c r="T719" s="195">
        <v>45807</v>
      </c>
      <c r="U719" s="545">
        <v>45820</v>
      </c>
      <c r="V719" s="492" t="s">
        <v>20</v>
      </c>
      <c r="W719" s="592">
        <f t="shared" si="29"/>
        <v>45833</v>
      </c>
      <c r="X719" s="588"/>
      <c r="Y719" s="523"/>
      <c r="Z719" s="588"/>
      <c r="AA719" s="588"/>
    </row>
    <row r="720" s="473" customFormat="1" ht="15.75" customHeight="1" spans="1:27">
      <c r="A720" s="492" t="s">
        <v>656</v>
      </c>
      <c r="B720" s="492" t="s">
        <v>4300</v>
      </c>
      <c r="C720" s="494" t="s">
        <v>4957</v>
      </c>
      <c r="D720" s="492" t="s">
        <v>4958</v>
      </c>
      <c r="E720" s="489"/>
      <c r="F720" s="492" t="s">
        <v>3979</v>
      </c>
      <c r="G720" s="492" t="s">
        <v>3067</v>
      </c>
      <c r="H720" s="494" t="s">
        <v>4956</v>
      </c>
      <c r="I720" s="545">
        <v>45797</v>
      </c>
      <c r="J720" s="545">
        <v>45812</v>
      </c>
      <c r="K720" s="249" t="s">
        <v>18</v>
      </c>
      <c r="L720" s="559" t="s">
        <v>3324</v>
      </c>
      <c r="M720" s="492" t="s">
        <v>309</v>
      </c>
      <c r="N720" s="492"/>
      <c r="O720" s="492"/>
      <c r="P720" s="616">
        <v>500</v>
      </c>
      <c r="Q720" s="545">
        <v>45803</v>
      </c>
      <c r="R720" s="545">
        <v>45805</v>
      </c>
      <c r="S720" s="489"/>
      <c r="T720" s="545">
        <v>45807</v>
      </c>
      <c r="U720" s="545">
        <v>45819</v>
      </c>
      <c r="V720" s="492" t="s">
        <v>20</v>
      </c>
      <c r="W720" s="592">
        <f t="shared" si="29"/>
        <v>45833</v>
      </c>
      <c r="X720" s="602"/>
      <c r="Y720" s="523"/>
      <c r="Z720" s="588"/>
      <c r="AA720" s="588"/>
    </row>
    <row r="721" s="473" customFormat="1" ht="15.75" customHeight="1" spans="1:27">
      <c r="A721" s="494" t="s">
        <v>656</v>
      </c>
      <c r="B721" s="492" t="s">
        <v>4300</v>
      </c>
      <c r="C721" s="494" t="s">
        <v>4959</v>
      </c>
      <c r="D721" s="492" t="s">
        <v>4960</v>
      </c>
      <c r="E721" s="489"/>
      <c r="F721" s="492" t="s">
        <v>3979</v>
      </c>
      <c r="G721" s="492" t="s">
        <v>3067</v>
      </c>
      <c r="H721" s="494" t="s">
        <v>4956</v>
      </c>
      <c r="I721" s="545">
        <v>45797</v>
      </c>
      <c r="J721" s="545">
        <v>45812</v>
      </c>
      <c r="K721" s="249" t="s">
        <v>18</v>
      </c>
      <c r="L721" s="559" t="s">
        <v>3324</v>
      </c>
      <c r="M721" s="492" t="s">
        <v>309</v>
      </c>
      <c r="N721" s="492"/>
      <c r="O721" s="492"/>
      <c r="P721" s="616">
        <v>500</v>
      </c>
      <c r="Q721" s="545">
        <v>45803</v>
      </c>
      <c r="R721" s="545">
        <v>45805</v>
      </c>
      <c r="S721" s="489"/>
      <c r="T721" s="545">
        <v>45807</v>
      </c>
      <c r="U721" s="545">
        <v>45819</v>
      </c>
      <c r="V721" s="492" t="s">
        <v>20</v>
      </c>
      <c r="W721" s="592">
        <f t="shared" si="29"/>
        <v>45833</v>
      </c>
      <c r="X721" s="588"/>
      <c r="Y721" s="523"/>
      <c r="Z721" s="588"/>
      <c r="AA721" s="588"/>
    </row>
    <row r="722" s="473" customFormat="1" ht="15.75" customHeight="1" spans="1:27">
      <c r="A722" s="492" t="s">
        <v>910</v>
      </c>
      <c r="B722" s="492" t="s">
        <v>4300</v>
      </c>
      <c r="C722" s="494" t="s">
        <v>4961</v>
      </c>
      <c r="D722" s="492" t="s">
        <v>4962</v>
      </c>
      <c r="E722" s="489"/>
      <c r="F722" s="492" t="s">
        <v>3979</v>
      </c>
      <c r="G722" s="492" t="s">
        <v>3067</v>
      </c>
      <c r="H722" s="494" t="s">
        <v>4956</v>
      </c>
      <c r="I722" s="545">
        <v>45797</v>
      </c>
      <c r="J722" s="545">
        <v>45812</v>
      </c>
      <c r="K722" s="249" t="s">
        <v>18</v>
      </c>
      <c r="L722" s="559" t="s">
        <v>3457</v>
      </c>
      <c r="M722" s="492" t="s">
        <v>309</v>
      </c>
      <c r="N722" s="492"/>
      <c r="O722" s="492"/>
      <c r="P722" s="616">
        <v>450</v>
      </c>
      <c r="Q722" s="545">
        <v>45803</v>
      </c>
      <c r="R722" s="545">
        <v>45805</v>
      </c>
      <c r="S722" s="489"/>
      <c r="T722" s="545">
        <v>45807</v>
      </c>
      <c r="U722" s="545">
        <v>45819</v>
      </c>
      <c r="V722" s="492" t="s">
        <v>20</v>
      </c>
      <c r="W722" s="592">
        <f t="shared" si="29"/>
        <v>45833</v>
      </c>
      <c r="X722" s="602"/>
      <c r="Y722" s="523"/>
      <c r="Z722" s="588"/>
      <c r="AA722" s="588"/>
    </row>
    <row r="723" s="473" customFormat="1" ht="15.75" customHeight="1" spans="1:27">
      <c r="A723" s="492" t="s">
        <v>910</v>
      </c>
      <c r="B723" s="492" t="s">
        <v>4300</v>
      </c>
      <c r="C723" s="494" t="s">
        <v>4963</v>
      </c>
      <c r="D723" s="556" t="s">
        <v>4964</v>
      </c>
      <c r="E723" s="489"/>
      <c r="F723" s="492" t="s">
        <v>3979</v>
      </c>
      <c r="G723" s="492" t="s">
        <v>3067</v>
      </c>
      <c r="H723" s="494" t="s">
        <v>4956</v>
      </c>
      <c r="I723" s="195">
        <v>45797</v>
      </c>
      <c r="J723" s="545">
        <v>45812</v>
      </c>
      <c r="K723" s="249" t="s">
        <v>18</v>
      </c>
      <c r="L723" s="559" t="s">
        <v>3457</v>
      </c>
      <c r="M723" s="492" t="s">
        <v>309</v>
      </c>
      <c r="N723" s="492"/>
      <c r="O723" s="492"/>
      <c r="P723" s="616">
        <v>450</v>
      </c>
      <c r="Q723" s="545">
        <v>45803</v>
      </c>
      <c r="R723" s="545">
        <v>45805</v>
      </c>
      <c r="S723" s="489"/>
      <c r="T723" s="545">
        <v>45810</v>
      </c>
      <c r="U723" s="545">
        <v>45819</v>
      </c>
      <c r="V723" s="492" t="s">
        <v>20</v>
      </c>
      <c r="W723" s="592">
        <f t="shared" si="29"/>
        <v>45833</v>
      </c>
      <c r="X723" s="588" t="s">
        <v>4965</v>
      </c>
      <c r="Y723" s="523"/>
      <c r="Z723" s="588"/>
      <c r="AA723" s="588"/>
    </row>
    <row r="724" s="473" customFormat="1" ht="15.75" customHeight="1" spans="1:27">
      <c r="A724" s="492" t="s">
        <v>910</v>
      </c>
      <c r="B724" s="494" t="s">
        <v>4329</v>
      </c>
      <c r="C724" s="494" t="s">
        <v>4966</v>
      </c>
      <c r="D724" s="554" t="s">
        <v>4967</v>
      </c>
      <c r="E724" s="489"/>
      <c r="F724" s="492" t="s">
        <v>4115</v>
      </c>
      <c r="G724" s="494" t="s">
        <v>4235</v>
      </c>
      <c r="H724" s="494" t="s">
        <v>4968</v>
      </c>
      <c r="I724" s="545">
        <v>45796</v>
      </c>
      <c r="J724" s="545">
        <v>45813</v>
      </c>
      <c r="K724" s="249" t="s">
        <v>18</v>
      </c>
      <c r="L724" s="559" t="s">
        <v>3457</v>
      </c>
      <c r="M724" s="492" t="s">
        <v>64</v>
      </c>
      <c r="N724" s="492"/>
      <c r="O724" s="492"/>
      <c r="P724" s="616">
        <v>450</v>
      </c>
      <c r="Q724" s="545">
        <v>45799</v>
      </c>
      <c r="R724" s="545">
        <v>45804</v>
      </c>
      <c r="S724" s="489"/>
      <c r="T724" s="195">
        <v>45806</v>
      </c>
      <c r="U724" s="545">
        <v>45818</v>
      </c>
      <c r="V724" s="492" t="s">
        <v>20</v>
      </c>
      <c r="W724" s="592">
        <f t="shared" ref="W724:W735" si="30">J724+21</f>
        <v>45834</v>
      </c>
      <c r="X724" s="588" t="s">
        <v>4965</v>
      </c>
      <c r="Y724" s="523"/>
      <c r="Z724" s="588"/>
      <c r="AA724" s="588"/>
    </row>
    <row r="725" s="473" customFormat="1" ht="15.75" customHeight="1" spans="1:27">
      <c r="A725" s="494" t="s">
        <v>579</v>
      </c>
      <c r="B725" s="492" t="s">
        <v>4300</v>
      </c>
      <c r="C725" s="494" t="s">
        <v>4969</v>
      </c>
      <c r="D725" s="554" t="s">
        <v>4970</v>
      </c>
      <c r="E725" s="489"/>
      <c r="F725" s="492" t="s">
        <v>3979</v>
      </c>
      <c r="G725" s="494" t="s">
        <v>3079</v>
      </c>
      <c r="H725" s="494" t="s">
        <v>4971</v>
      </c>
      <c r="I725" s="195">
        <v>45790</v>
      </c>
      <c r="J725" s="195">
        <v>45813</v>
      </c>
      <c r="K725" s="249" t="s">
        <v>18</v>
      </c>
      <c r="L725" s="523" t="s">
        <v>3452</v>
      </c>
      <c r="M725" s="492" t="s">
        <v>1191</v>
      </c>
      <c r="N725" s="492"/>
      <c r="O725" s="492"/>
      <c r="P725" s="616"/>
      <c r="Q725" s="545">
        <v>45800</v>
      </c>
      <c r="R725" s="545">
        <v>45800</v>
      </c>
      <c r="S725" s="489"/>
      <c r="T725" s="195">
        <v>45807</v>
      </c>
      <c r="U725" s="545">
        <v>45819</v>
      </c>
      <c r="V725" s="492" t="s">
        <v>20</v>
      </c>
      <c r="W725" s="592">
        <f t="shared" si="30"/>
        <v>45834</v>
      </c>
      <c r="X725" s="588" t="s">
        <v>4972</v>
      </c>
      <c r="Y725" s="523"/>
      <c r="Z725" s="588"/>
      <c r="AA725" s="588"/>
    </row>
    <row r="726" s="473" customFormat="1" ht="15.75" customHeight="1" spans="1:27">
      <c r="A726" s="492" t="s">
        <v>910</v>
      </c>
      <c r="B726" s="492" t="s">
        <v>4300</v>
      </c>
      <c r="C726" s="494" t="s">
        <v>4973</v>
      </c>
      <c r="D726" s="556" t="s">
        <v>4974</v>
      </c>
      <c r="E726" s="489"/>
      <c r="F726" s="492" t="s">
        <v>3979</v>
      </c>
      <c r="G726" s="492" t="s">
        <v>3146</v>
      </c>
      <c r="H726" s="494" t="s">
        <v>4975</v>
      </c>
      <c r="I726" s="195">
        <v>45793</v>
      </c>
      <c r="J726" s="545">
        <v>45814</v>
      </c>
      <c r="K726" s="249" t="s">
        <v>18</v>
      </c>
      <c r="L726" s="559" t="s">
        <v>3457</v>
      </c>
      <c r="M726" s="492" t="s">
        <v>309</v>
      </c>
      <c r="N726" s="492"/>
      <c r="O726" s="492"/>
      <c r="P726" s="616">
        <v>450</v>
      </c>
      <c r="Q726" s="545">
        <v>45803</v>
      </c>
      <c r="R726" s="545">
        <v>45807</v>
      </c>
      <c r="S726" s="489"/>
      <c r="T726" s="195">
        <v>45811</v>
      </c>
      <c r="U726" s="545">
        <v>45821</v>
      </c>
      <c r="V726" s="492" t="s">
        <v>20</v>
      </c>
      <c r="W726" s="592">
        <f t="shared" si="30"/>
        <v>45835</v>
      </c>
      <c r="X726" s="588" t="s">
        <v>4976</v>
      </c>
      <c r="Y726" s="523"/>
      <c r="Z726" s="588"/>
      <c r="AA726" s="588"/>
    </row>
    <row r="727" s="473" customFormat="1" ht="15.75" customHeight="1" spans="1:27">
      <c r="A727" s="494" t="s">
        <v>910</v>
      </c>
      <c r="B727" s="494" t="s">
        <v>4329</v>
      </c>
      <c r="C727" s="589" t="s">
        <v>4977</v>
      </c>
      <c r="D727" s="554" t="s">
        <v>4978</v>
      </c>
      <c r="E727" s="492"/>
      <c r="F727" s="556" t="s">
        <v>4018</v>
      </c>
      <c r="G727" s="494" t="s">
        <v>3032</v>
      </c>
      <c r="H727" s="494" t="s">
        <v>4979</v>
      </c>
      <c r="I727" s="195">
        <v>45796</v>
      </c>
      <c r="J727" s="545">
        <v>45817</v>
      </c>
      <c r="K727" s="249" t="s">
        <v>18</v>
      </c>
      <c r="L727" s="611" t="s">
        <v>4407</v>
      </c>
      <c r="M727" s="492" t="s">
        <v>654</v>
      </c>
      <c r="N727" s="492"/>
      <c r="O727" s="492"/>
      <c r="P727" s="616">
        <v>500</v>
      </c>
      <c r="Q727" s="545">
        <v>45799</v>
      </c>
      <c r="R727" s="545">
        <v>45807</v>
      </c>
      <c r="S727" s="489"/>
      <c r="T727" s="195">
        <v>45811</v>
      </c>
      <c r="U727" s="545">
        <v>45821</v>
      </c>
      <c r="V727" s="492" t="s">
        <v>20</v>
      </c>
      <c r="W727" s="592">
        <f t="shared" si="30"/>
        <v>45838</v>
      </c>
      <c r="X727" s="588"/>
      <c r="Y727" s="523"/>
      <c r="Z727" s="588"/>
      <c r="AA727" s="588"/>
    </row>
    <row r="728" s="473" customFormat="1" ht="15.75" customHeight="1" spans="1:27">
      <c r="A728" s="492" t="s">
        <v>910</v>
      </c>
      <c r="B728" s="492" t="s">
        <v>4329</v>
      </c>
      <c r="C728" s="589" t="s">
        <v>4980</v>
      </c>
      <c r="D728" s="494" t="s">
        <v>4981</v>
      </c>
      <c r="E728" s="492"/>
      <c r="F728" s="556" t="s">
        <v>4018</v>
      </c>
      <c r="G728" s="492" t="s">
        <v>3032</v>
      </c>
      <c r="H728" s="492" t="s">
        <v>4979</v>
      </c>
      <c r="I728" s="545">
        <v>45796</v>
      </c>
      <c r="J728" s="545">
        <v>45817</v>
      </c>
      <c r="K728" s="249" t="s">
        <v>18</v>
      </c>
      <c r="L728" s="611" t="s">
        <v>4407</v>
      </c>
      <c r="M728" s="492" t="s">
        <v>309</v>
      </c>
      <c r="N728" s="492"/>
      <c r="O728" s="492"/>
      <c r="P728" s="616">
        <v>500</v>
      </c>
      <c r="Q728" s="545">
        <v>45799</v>
      </c>
      <c r="R728" s="545">
        <v>45807</v>
      </c>
      <c r="S728" s="489"/>
      <c r="T728" s="195">
        <v>45811</v>
      </c>
      <c r="U728" s="545">
        <v>45821</v>
      </c>
      <c r="V728" s="249" t="s">
        <v>20</v>
      </c>
      <c r="W728" s="592">
        <f t="shared" si="30"/>
        <v>45838</v>
      </c>
      <c r="X728" s="588" t="s">
        <v>4982</v>
      </c>
      <c r="Y728" s="523"/>
      <c r="Z728" s="588"/>
      <c r="AA728" s="588"/>
    </row>
    <row r="729" s="473" customFormat="1" ht="15.75" customHeight="1" spans="1:27">
      <c r="A729" s="492" t="s">
        <v>910</v>
      </c>
      <c r="B729" s="492" t="s">
        <v>4329</v>
      </c>
      <c r="C729" s="589" t="s">
        <v>4983</v>
      </c>
      <c r="D729" s="494" t="s">
        <v>4984</v>
      </c>
      <c r="E729" s="492"/>
      <c r="F729" s="556" t="s">
        <v>4018</v>
      </c>
      <c r="G729" s="492" t="s">
        <v>3032</v>
      </c>
      <c r="H729" s="492" t="s">
        <v>4979</v>
      </c>
      <c r="I729" s="545">
        <v>45796</v>
      </c>
      <c r="J729" s="545">
        <v>45817</v>
      </c>
      <c r="K729" s="249" t="s">
        <v>18</v>
      </c>
      <c r="L729" s="611" t="s">
        <v>4407</v>
      </c>
      <c r="M729" s="492" t="s">
        <v>309</v>
      </c>
      <c r="N729" s="492"/>
      <c r="O729" s="492"/>
      <c r="P729" s="616">
        <v>500</v>
      </c>
      <c r="Q729" s="545">
        <v>45799</v>
      </c>
      <c r="R729" s="545">
        <v>45807</v>
      </c>
      <c r="S729" s="489"/>
      <c r="T729" s="545">
        <v>45811</v>
      </c>
      <c r="U729" s="545">
        <v>45821</v>
      </c>
      <c r="V729" s="492" t="s">
        <v>20</v>
      </c>
      <c r="W729" s="592">
        <f t="shared" si="30"/>
        <v>45838</v>
      </c>
      <c r="X729" s="588" t="s">
        <v>4982</v>
      </c>
      <c r="Y729" s="523"/>
      <c r="Z729" s="588"/>
      <c r="AA729" s="588"/>
    </row>
    <row r="730" s="473" customFormat="1" ht="15.75" customHeight="1" spans="1:27">
      <c r="A730" s="492" t="s">
        <v>910</v>
      </c>
      <c r="B730" s="492" t="s">
        <v>4329</v>
      </c>
      <c r="C730" s="589" t="s">
        <v>4985</v>
      </c>
      <c r="D730" s="494" t="s">
        <v>4986</v>
      </c>
      <c r="E730" s="492"/>
      <c r="F730" s="556" t="s">
        <v>4018</v>
      </c>
      <c r="G730" s="492" t="s">
        <v>3032</v>
      </c>
      <c r="H730" s="492" t="s">
        <v>4979</v>
      </c>
      <c r="I730" s="545">
        <v>45796</v>
      </c>
      <c r="J730" s="545">
        <v>45817</v>
      </c>
      <c r="K730" s="249" t="s">
        <v>18</v>
      </c>
      <c r="L730" s="611" t="s">
        <v>4572</v>
      </c>
      <c r="M730" s="492" t="s">
        <v>309</v>
      </c>
      <c r="N730" s="492"/>
      <c r="O730" s="492"/>
      <c r="P730" s="616">
        <v>500</v>
      </c>
      <c r="Q730" s="545">
        <v>45799</v>
      </c>
      <c r="R730" s="545">
        <v>45807</v>
      </c>
      <c r="S730" s="489"/>
      <c r="T730" s="195">
        <v>45811</v>
      </c>
      <c r="U730" s="545">
        <v>45821</v>
      </c>
      <c r="V730" s="492" t="s">
        <v>20</v>
      </c>
      <c r="W730" s="592">
        <f t="shared" si="30"/>
        <v>45838</v>
      </c>
      <c r="X730" s="588"/>
      <c r="Y730" s="523"/>
      <c r="Z730" s="588"/>
      <c r="AA730" s="588"/>
    </row>
    <row r="731" s="473" customFormat="1" ht="15.75" customHeight="1" spans="1:27">
      <c r="A731" s="492" t="s">
        <v>910</v>
      </c>
      <c r="B731" s="492" t="s">
        <v>4329</v>
      </c>
      <c r="C731" s="580" t="s">
        <v>4987</v>
      </c>
      <c r="D731" s="494" t="s">
        <v>4988</v>
      </c>
      <c r="E731" s="492"/>
      <c r="F731" s="556" t="s">
        <v>4018</v>
      </c>
      <c r="G731" s="492" t="s">
        <v>3032</v>
      </c>
      <c r="H731" s="492" t="s">
        <v>4979</v>
      </c>
      <c r="I731" s="545">
        <v>45796</v>
      </c>
      <c r="J731" s="545">
        <v>45817</v>
      </c>
      <c r="K731" s="249" t="s">
        <v>18</v>
      </c>
      <c r="L731" s="611" t="s">
        <v>4407</v>
      </c>
      <c r="M731" s="492" t="s">
        <v>309</v>
      </c>
      <c r="N731" s="492"/>
      <c r="O731" s="492"/>
      <c r="P731" s="616">
        <v>500</v>
      </c>
      <c r="Q731" s="545">
        <v>45799</v>
      </c>
      <c r="R731" s="545">
        <v>45807</v>
      </c>
      <c r="S731" s="489"/>
      <c r="T731" s="195">
        <v>45811</v>
      </c>
      <c r="U731" s="545">
        <v>45821</v>
      </c>
      <c r="V731" s="492" t="s">
        <v>20</v>
      </c>
      <c r="W731" s="592">
        <f t="shared" si="30"/>
        <v>45838</v>
      </c>
      <c r="X731" s="588" t="s">
        <v>4982</v>
      </c>
      <c r="Y731" s="523"/>
      <c r="Z731" s="588"/>
      <c r="AA731" s="588"/>
    </row>
    <row r="732" s="473" customFormat="1" ht="15.75" customHeight="1" spans="1:27">
      <c r="A732" s="492" t="s">
        <v>910</v>
      </c>
      <c r="B732" s="492" t="s">
        <v>4329</v>
      </c>
      <c r="C732" s="589" t="s">
        <v>4989</v>
      </c>
      <c r="D732" s="494" t="s">
        <v>4990</v>
      </c>
      <c r="E732" s="492"/>
      <c r="F732" s="556" t="s">
        <v>4018</v>
      </c>
      <c r="G732" s="492" t="s">
        <v>3032</v>
      </c>
      <c r="H732" s="492" t="s">
        <v>4979</v>
      </c>
      <c r="I732" s="545">
        <v>45796</v>
      </c>
      <c r="J732" s="545">
        <v>45817</v>
      </c>
      <c r="K732" s="249" t="s">
        <v>18</v>
      </c>
      <c r="L732" s="611" t="s">
        <v>4407</v>
      </c>
      <c r="M732" s="492" t="s">
        <v>309</v>
      </c>
      <c r="N732" s="492"/>
      <c r="O732" s="492"/>
      <c r="P732" s="616">
        <v>500</v>
      </c>
      <c r="Q732" s="545">
        <v>45799</v>
      </c>
      <c r="R732" s="545">
        <v>45807</v>
      </c>
      <c r="S732" s="489"/>
      <c r="T732" s="195">
        <v>45811</v>
      </c>
      <c r="U732" s="545">
        <v>45821</v>
      </c>
      <c r="V732" s="492" t="s">
        <v>20</v>
      </c>
      <c r="W732" s="592">
        <f t="shared" si="30"/>
        <v>45838</v>
      </c>
      <c r="X732" s="588"/>
      <c r="Y732" s="523"/>
      <c r="Z732" s="588"/>
      <c r="AA732" s="588"/>
    </row>
    <row r="733" s="473" customFormat="1" ht="15.75" customHeight="1" spans="1:27">
      <c r="A733" s="492" t="s">
        <v>910</v>
      </c>
      <c r="B733" s="492" t="s">
        <v>4329</v>
      </c>
      <c r="C733" s="589" t="s">
        <v>4991</v>
      </c>
      <c r="D733" s="494" t="s">
        <v>4992</v>
      </c>
      <c r="E733" s="492"/>
      <c r="F733" s="556" t="s">
        <v>4018</v>
      </c>
      <c r="G733" s="492" t="s">
        <v>3032</v>
      </c>
      <c r="H733" s="492" t="s">
        <v>4979</v>
      </c>
      <c r="I733" s="545">
        <v>45796</v>
      </c>
      <c r="J733" s="545">
        <v>45817</v>
      </c>
      <c r="K733" s="249" t="s">
        <v>18</v>
      </c>
      <c r="L733" s="611" t="s">
        <v>4407</v>
      </c>
      <c r="M733" s="492" t="s">
        <v>309</v>
      </c>
      <c r="N733" s="492"/>
      <c r="O733" s="492"/>
      <c r="P733" s="616">
        <v>500</v>
      </c>
      <c r="Q733" s="545">
        <v>45799</v>
      </c>
      <c r="R733" s="545">
        <v>45807</v>
      </c>
      <c r="S733" s="489"/>
      <c r="T733" s="195">
        <v>45811</v>
      </c>
      <c r="U733" s="545">
        <v>45821</v>
      </c>
      <c r="V733" s="492" t="s">
        <v>20</v>
      </c>
      <c r="W733" s="592">
        <f t="shared" si="30"/>
        <v>45838</v>
      </c>
      <c r="X733" s="588"/>
      <c r="Y733" s="523"/>
      <c r="Z733" s="588"/>
      <c r="AA733" s="588"/>
    </row>
    <row r="734" s="473" customFormat="1" ht="15.75" customHeight="1" spans="1:27">
      <c r="A734" s="492" t="s">
        <v>910</v>
      </c>
      <c r="B734" s="492" t="s">
        <v>4329</v>
      </c>
      <c r="C734" s="589" t="s">
        <v>4993</v>
      </c>
      <c r="D734" s="494" t="s">
        <v>4994</v>
      </c>
      <c r="E734" s="492"/>
      <c r="F734" s="556" t="s">
        <v>4018</v>
      </c>
      <c r="G734" s="492" t="s">
        <v>3032</v>
      </c>
      <c r="H734" s="492" t="s">
        <v>4979</v>
      </c>
      <c r="I734" s="545">
        <v>45796</v>
      </c>
      <c r="J734" s="545">
        <v>45817</v>
      </c>
      <c r="K734" s="249" t="s">
        <v>18</v>
      </c>
      <c r="L734" s="611" t="s">
        <v>4407</v>
      </c>
      <c r="M734" s="492" t="s">
        <v>309</v>
      </c>
      <c r="N734" s="492"/>
      <c r="O734" s="492"/>
      <c r="P734" s="616">
        <v>500</v>
      </c>
      <c r="Q734" s="545">
        <v>45799</v>
      </c>
      <c r="R734" s="545">
        <v>45807</v>
      </c>
      <c r="S734" s="489"/>
      <c r="T734" s="545">
        <v>45811</v>
      </c>
      <c r="U734" s="545">
        <v>45821</v>
      </c>
      <c r="V734" s="492" t="s">
        <v>20</v>
      </c>
      <c r="W734" s="592">
        <f t="shared" si="30"/>
        <v>45838</v>
      </c>
      <c r="X734" s="588"/>
      <c r="Y734" s="523"/>
      <c r="Z734" s="588"/>
      <c r="AA734" s="588"/>
    </row>
    <row r="735" s="473" customFormat="1" ht="15.75" customHeight="1" spans="1:27">
      <c r="A735" s="492" t="s">
        <v>910</v>
      </c>
      <c r="B735" s="492" t="s">
        <v>4329</v>
      </c>
      <c r="C735" s="580" t="s">
        <v>4995</v>
      </c>
      <c r="D735" s="494" t="s">
        <v>4996</v>
      </c>
      <c r="E735" s="492"/>
      <c r="F735" s="556" t="s">
        <v>4018</v>
      </c>
      <c r="G735" s="492" t="s">
        <v>3032</v>
      </c>
      <c r="H735" s="492" t="s">
        <v>4979</v>
      </c>
      <c r="I735" s="545">
        <v>45796</v>
      </c>
      <c r="J735" s="545">
        <v>45817</v>
      </c>
      <c r="K735" s="249" t="s">
        <v>18</v>
      </c>
      <c r="L735" s="611" t="s">
        <v>4407</v>
      </c>
      <c r="M735" s="492" t="s">
        <v>309</v>
      </c>
      <c r="N735" s="492"/>
      <c r="O735" s="492"/>
      <c r="P735" s="616">
        <v>500</v>
      </c>
      <c r="Q735" s="545">
        <v>45799</v>
      </c>
      <c r="R735" s="545">
        <v>45807</v>
      </c>
      <c r="S735" s="489"/>
      <c r="T735" s="195">
        <v>45811</v>
      </c>
      <c r="U735" s="545">
        <v>45821</v>
      </c>
      <c r="V735" s="492" t="s">
        <v>20</v>
      </c>
      <c r="W735" s="592">
        <f t="shared" si="30"/>
        <v>45838</v>
      </c>
      <c r="X735" s="588"/>
      <c r="Y735" s="622"/>
      <c r="Z735" s="588"/>
      <c r="AA735" s="588"/>
    </row>
    <row r="736" s="473" customFormat="1" ht="15.75" customHeight="1" spans="1:27">
      <c r="A736" s="492" t="s">
        <v>910</v>
      </c>
      <c r="B736" s="492" t="s">
        <v>4329</v>
      </c>
      <c r="C736" s="589" t="s">
        <v>4997</v>
      </c>
      <c r="D736" s="494" t="s">
        <v>4998</v>
      </c>
      <c r="E736" s="492"/>
      <c r="F736" s="556" t="s">
        <v>4018</v>
      </c>
      <c r="G736" s="492" t="s">
        <v>3032</v>
      </c>
      <c r="H736" s="492" t="s">
        <v>4979</v>
      </c>
      <c r="I736" s="545">
        <v>45796</v>
      </c>
      <c r="J736" s="545">
        <v>45817</v>
      </c>
      <c r="K736" s="249" t="s">
        <v>18</v>
      </c>
      <c r="L736" s="611" t="s">
        <v>4407</v>
      </c>
      <c r="M736" s="492" t="s">
        <v>309</v>
      </c>
      <c r="N736" s="492"/>
      <c r="O736" s="492"/>
      <c r="P736" s="616">
        <v>500</v>
      </c>
      <c r="Q736" s="545">
        <v>45799</v>
      </c>
      <c r="R736" s="545">
        <v>45807</v>
      </c>
      <c r="S736" s="489"/>
      <c r="T736" s="195">
        <v>45811</v>
      </c>
      <c r="U736" s="545">
        <v>45821</v>
      </c>
      <c r="V736" s="492" t="s">
        <v>20</v>
      </c>
      <c r="W736" s="592">
        <f>J734+21</f>
        <v>45838</v>
      </c>
      <c r="X736" s="588" t="s">
        <v>4982</v>
      </c>
      <c r="Y736" s="523"/>
      <c r="Z736" s="588"/>
      <c r="AA736" s="588"/>
    </row>
    <row r="737" s="473" customFormat="1" ht="15.75" customHeight="1" spans="1:27">
      <c r="A737" s="492" t="s">
        <v>910</v>
      </c>
      <c r="B737" s="494" t="s">
        <v>4329</v>
      </c>
      <c r="C737" s="589" t="s">
        <v>4999</v>
      </c>
      <c r="D737" s="492" t="s">
        <v>5000</v>
      </c>
      <c r="E737" s="489"/>
      <c r="F737" s="556" t="s">
        <v>4018</v>
      </c>
      <c r="G737" s="492" t="s">
        <v>3032</v>
      </c>
      <c r="H737" s="492" t="s">
        <v>4979</v>
      </c>
      <c r="I737" s="545">
        <v>45796</v>
      </c>
      <c r="J737" s="545">
        <v>45817</v>
      </c>
      <c r="K737" s="249" t="s">
        <v>18</v>
      </c>
      <c r="L737" s="611" t="s">
        <v>4407</v>
      </c>
      <c r="M737" s="492" t="s">
        <v>309</v>
      </c>
      <c r="N737" s="492"/>
      <c r="O737" s="492"/>
      <c r="P737" s="616">
        <v>500</v>
      </c>
      <c r="Q737" s="545">
        <v>45799</v>
      </c>
      <c r="R737" s="545">
        <v>45807</v>
      </c>
      <c r="S737" s="489"/>
      <c r="T737" s="545">
        <v>45811</v>
      </c>
      <c r="U737" s="545">
        <v>45821</v>
      </c>
      <c r="V737" s="492" t="s">
        <v>20</v>
      </c>
      <c r="W737" s="592">
        <f t="shared" ref="W737:W775" si="31">J737+21</f>
        <v>45838</v>
      </c>
      <c r="X737" s="588" t="s">
        <v>4982</v>
      </c>
      <c r="Y737" s="523"/>
      <c r="Z737" s="588"/>
      <c r="AA737" s="588"/>
    </row>
    <row r="738" s="473" customFormat="1" ht="15.75" customHeight="1" spans="1:27">
      <c r="A738" s="492" t="s">
        <v>1019</v>
      </c>
      <c r="B738" s="492" t="s">
        <v>4300</v>
      </c>
      <c r="C738" s="492" t="s">
        <v>5001</v>
      </c>
      <c r="D738" s="492" t="s">
        <v>5002</v>
      </c>
      <c r="E738" s="492"/>
      <c r="F738" s="492" t="s">
        <v>3979</v>
      </c>
      <c r="G738" s="492" t="s">
        <v>3146</v>
      </c>
      <c r="H738" s="492" t="s">
        <v>4921</v>
      </c>
      <c r="I738" s="545">
        <v>45786</v>
      </c>
      <c r="J738" s="545">
        <v>45817</v>
      </c>
      <c r="K738" s="492" t="s">
        <v>39</v>
      </c>
      <c r="L738" s="523" t="s">
        <v>3437</v>
      </c>
      <c r="M738" s="492" t="s">
        <v>309</v>
      </c>
      <c r="N738" s="492"/>
      <c r="O738" s="492"/>
      <c r="P738" s="616"/>
      <c r="Q738" s="545">
        <v>45799</v>
      </c>
      <c r="R738" s="545">
        <v>45803</v>
      </c>
      <c r="S738" s="492"/>
      <c r="T738" s="545">
        <v>45814</v>
      </c>
      <c r="U738" s="545">
        <v>45821</v>
      </c>
      <c r="V738" s="492" t="s">
        <v>20</v>
      </c>
      <c r="W738" s="592">
        <f t="shared" si="31"/>
        <v>45838</v>
      </c>
      <c r="X738" s="588"/>
      <c r="Y738" s="523"/>
      <c r="Z738" s="588"/>
      <c r="AA738" s="588"/>
    </row>
    <row r="739" s="473" customFormat="1" ht="15.75" customHeight="1" spans="1:27">
      <c r="A739" s="492" t="s">
        <v>910</v>
      </c>
      <c r="B739" s="492" t="s">
        <v>4300</v>
      </c>
      <c r="C739" s="587" t="s">
        <v>5003</v>
      </c>
      <c r="D739" s="492" t="s">
        <v>5004</v>
      </c>
      <c r="E739" s="492"/>
      <c r="F739" s="492" t="s">
        <v>3979</v>
      </c>
      <c r="G739" s="492" t="s">
        <v>3067</v>
      </c>
      <c r="H739" s="587" t="s">
        <v>5005</v>
      </c>
      <c r="I739" s="545">
        <v>45784</v>
      </c>
      <c r="J739" s="545">
        <v>45818</v>
      </c>
      <c r="K739" s="249" t="s">
        <v>18</v>
      </c>
      <c r="L739" s="611" t="s">
        <v>4572</v>
      </c>
      <c r="M739" s="492" t="s">
        <v>309</v>
      </c>
      <c r="N739" s="492"/>
      <c r="O739" s="492"/>
      <c r="P739" s="616">
        <v>500</v>
      </c>
      <c r="Q739" s="545">
        <v>45799</v>
      </c>
      <c r="R739" s="545">
        <v>45811</v>
      </c>
      <c r="S739" s="492"/>
      <c r="T739" s="545">
        <v>45817</v>
      </c>
      <c r="U739" s="545">
        <v>45825</v>
      </c>
      <c r="V739" s="492" t="s">
        <v>20</v>
      </c>
      <c r="W739" s="592">
        <f t="shared" si="31"/>
        <v>45839</v>
      </c>
      <c r="X739" s="588" t="s">
        <v>5006</v>
      </c>
      <c r="Y739" s="523"/>
      <c r="Z739" s="588"/>
      <c r="AA739" s="588"/>
    </row>
    <row r="740" s="473" customFormat="1" ht="15.75" customHeight="1" spans="1:27">
      <c r="A740" s="492" t="s">
        <v>910</v>
      </c>
      <c r="B740" s="492" t="s">
        <v>4300</v>
      </c>
      <c r="C740" s="587" t="s">
        <v>5007</v>
      </c>
      <c r="D740" s="492" t="s">
        <v>5008</v>
      </c>
      <c r="E740" s="492"/>
      <c r="F740" s="492" t="s">
        <v>3979</v>
      </c>
      <c r="G740" s="492" t="s">
        <v>3067</v>
      </c>
      <c r="H740" s="587" t="s">
        <v>5005</v>
      </c>
      <c r="I740" s="545">
        <v>45784</v>
      </c>
      <c r="J740" s="545">
        <v>45818</v>
      </c>
      <c r="K740" s="249" t="s">
        <v>18</v>
      </c>
      <c r="L740" s="611" t="s">
        <v>4572</v>
      </c>
      <c r="M740" s="492" t="s">
        <v>309</v>
      </c>
      <c r="N740" s="492"/>
      <c r="O740" s="492"/>
      <c r="P740" s="616">
        <v>500</v>
      </c>
      <c r="Q740" s="545">
        <v>45799</v>
      </c>
      <c r="R740" s="545">
        <v>45811</v>
      </c>
      <c r="S740" s="492"/>
      <c r="T740" s="545">
        <v>45814</v>
      </c>
      <c r="U740" s="545">
        <v>45827</v>
      </c>
      <c r="V740" s="492" t="s">
        <v>20</v>
      </c>
      <c r="W740" s="592">
        <f t="shared" si="31"/>
        <v>45839</v>
      </c>
      <c r="X740" s="588"/>
      <c r="Y740" s="523"/>
      <c r="Z740" s="588"/>
      <c r="AA740" s="588"/>
    </row>
    <row r="741" s="473" customFormat="1" ht="15.75" customHeight="1" spans="1:27">
      <c r="A741" s="492" t="s">
        <v>910</v>
      </c>
      <c r="B741" s="492" t="s">
        <v>4300</v>
      </c>
      <c r="C741" s="587" t="s">
        <v>5009</v>
      </c>
      <c r="D741" s="492" t="s">
        <v>5010</v>
      </c>
      <c r="E741" s="492"/>
      <c r="F741" s="492" t="s">
        <v>3979</v>
      </c>
      <c r="G741" s="492" t="s">
        <v>3067</v>
      </c>
      <c r="H741" s="587" t="s">
        <v>5005</v>
      </c>
      <c r="I741" s="545">
        <v>45784</v>
      </c>
      <c r="J741" s="545">
        <v>45818</v>
      </c>
      <c r="K741" s="249" t="s">
        <v>18</v>
      </c>
      <c r="L741" s="611" t="s">
        <v>4572</v>
      </c>
      <c r="M741" s="492" t="s">
        <v>309</v>
      </c>
      <c r="N741" s="492"/>
      <c r="O741" s="492"/>
      <c r="P741" s="616">
        <v>500</v>
      </c>
      <c r="Q741" s="545">
        <v>45799</v>
      </c>
      <c r="R741" s="545">
        <v>45811</v>
      </c>
      <c r="S741" s="492"/>
      <c r="T741" s="545">
        <v>45819</v>
      </c>
      <c r="U741" s="545">
        <v>45824</v>
      </c>
      <c r="V741" s="592" t="s">
        <v>20</v>
      </c>
      <c r="W741" s="592">
        <f t="shared" si="31"/>
        <v>45839</v>
      </c>
      <c r="X741" s="588" t="s">
        <v>5011</v>
      </c>
      <c r="Y741" s="523"/>
      <c r="Z741" s="588"/>
      <c r="AA741" s="588"/>
    </row>
    <row r="742" s="473" customFormat="1" ht="15.75" customHeight="1" spans="1:27">
      <c r="A742" s="492" t="s">
        <v>910</v>
      </c>
      <c r="B742" s="492" t="s">
        <v>4300</v>
      </c>
      <c r="C742" s="587" t="s">
        <v>5012</v>
      </c>
      <c r="D742" s="492" t="s">
        <v>5013</v>
      </c>
      <c r="E742" s="492"/>
      <c r="F742" s="492" t="s">
        <v>3979</v>
      </c>
      <c r="G742" s="492" t="s">
        <v>3067</v>
      </c>
      <c r="H742" s="587" t="s">
        <v>5005</v>
      </c>
      <c r="I742" s="545">
        <v>45784</v>
      </c>
      <c r="J742" s="545">
        <v>45818</v>
      </c>
      <c r="K742" s="249" t="s">
        <v>18</v>
      </c>
      <c r="L742" s="611" t="s">
        <v>4572</v>
      </c>
      <c r="M742" s="492" t="s">
        <v>309</v>
      </c>
      <c r="N742" s="492"/>
      <c r="O742" s="492"/>
      <c r="P742" s="616">
        <v>500</v>
      </c>
      <c r="Q742" s="545">
        <v>45799</v>
      </c>
      <c r="R742" s="545">
        <v>45811</v>
      </c>
      <c r="S742" s="492"/>
      <c r="T742" s="545">
        <v>45814</v>
      </c>
      <c r="U742" s="545">
        <v>45827</v>
      </c>
      <c r="V742" s="492" t="s">
        <v>20</v>
      </c>
      <c r="W742" s="592">
        <f t="shared" si="31"/>
        <v>45839</v>
      </c>
      <c r="X742" s="588"/>
      <c r="Y742" s="523"/>
      <c r="Z742" s="588"/>
      <c r="AA742" s="588"/>
    </row>
    <row r="743" s="473" customFormat="1" ht="15.75" customHeight="1" spans="1:27">
      <c r="A743" s="492" t="s">
        <v>910</v>
      </c>
      <c r="B743" s="492" t="s">
        <v>4300</v>
      </c>
      <c r="C743" s="494" t="s">
        <v>5014</v>
      </c>
      <c r="D743" s="494" t="s">
        <v>5015</v>
      </c>
      <c r="E743" s="489"/>
      <c r="F743" s="492" t="s">
        <v>3979</v>
      </c>
      <c r="G743" s="492" t="s">
        <v>3067</v>
      </c>
      <c r="H743" s="492" t="s">
        <v>5016</v>
      </c>
      <c r="I743" s="195">
        <v>45791</v>
      </c>
      <c r="J743" s="545">
        <v>45820</v>
      </c>
      <c r="K743" s="249" t="s">
        <v>18</v>
      </c>
      <c r="L743" s="611" t="s">
        <v>4572</v>
      </c>
      <c r="M743" s="492" t="s">
        <v>309</v>
      </c>
      <c r="N743" s="492"/>
      <c r="O743" s="492"/>
      <c r="P743" s="616">
        <v>500</v>
      </c>
      <c r="Q743" s="545">
        <v>45799</v>
      </c>
      <c r="R743" s="545">
        <v>45812</v>
      </c>
      <c r="S743" s="249"/>
      <c r="T743" s="545">
        <v>45814</v>
      </c>
      <c r="U743" s="545">
        <v>45825</v>
      </c>
      <c r="V743" s="492" t="s">
        <v>20</v>
      </c>
      <c r="W743" s="592">
        <f t="shared" si="31"/>
        <v>45841</v>
      </c>
      <c r="X743" s="588"/>
      <c r="Y743" s="523"/>
      <c r="Z743" s="588"/>
      <c r="AA743" s="588"/>
    </row>
    <row r="744" s="473" customFormat="1" ht="15.75" customHeight="1" spans="1:27">
      <c r="A744" s="492" t="s">
        <v>910</v>
      </c>
      <c r="B744" s="492" t="s">
        <v>4300</v>
      </c>
      <c r="C744" s="494" t="s">
        <v>5017</v>
      </c>
      <c r="D744" s="494" t="s">
        <v>5018</v>
      </c>
      <c r="E744" s="489"/>
      <c r="F744" s="492" t="s">
        <v>3979</v>
      </c>
      <c r="G744" s="492" t="s">
        <v>3067</v>
      </c>
      <c r="H744" s="494" t="s">
        <v>5016</v>
      </c>
      <c r="I744" s="545">
        <v>45791</v>
      </c>
      <c r="J744" s="545">
        <v>45820</v>
      </c>
      <c r="K744" s="249" t="s">
        <v>18</v>
      </c>
      <c r="L744" s="611" t="s">
        <v>4572</v>
      </c>
      <c r="M744" s="492" t="s">
        <v>309</v>
      </c>
      <c r="N744" s="492"/>
      <c r="O744" s="492"/>
      <c r="P744" s="616">
        <v>500</v>
      </c>
      <c r="Q744" s="545">
        <v>45799</v>
      </c>
      <c r="R744" s="545">
        <v>45812</v>
      </c>
      <c r="S744" s="249"/>
      <c r="T744" s="195">
        <v>45814</v>
      </c>
      <c r="U744" s="545">
        <v>45825</v>
      </c>
      <c r="V744" s="492" t="s">
        <v>20</v>
      </c>
      <c r="W744" s="592">
        <f t="shared" si="31"/>
        <v>45841</v>
      </c>
      <c r="X744" s="588"/>
      <c r="Y744" s="523"/>
      <c r="Z744" s="588"/>
      <c r="AA744" s="588"/>
    </row>
    <row r="745" s="473" customFormat="1" ht="15.75" customHeight="1" spans="1:27">
      <c r="A745" s="492" t="s">
        <v>910</v>
      </c>
      <c r="B745" s="492" t="s">
        <v>4300</v>
      </c>
      <c r="C745" s="494" t="s">
        <v>5019</v>
      </c>
      <c r="D745" s="494" t="s">
        <v>5020</v>
      </c>
      <c r="E745" s="489"/>
      <c r="F745" s="492" t="s">
        <v>3979</v>
      </c>
      <c r="G745" s="492" t="s">
        <v>3067</v>
      </c>
      <c r="H745" s="492" t="s">
        <v>5016</v>
      </c>
      <c r="I745" s="545">
        <v>45791</v>
      </c>
      <c r="J745" s="545">
        <v>45820</v>
      </c>
      <c r="K745" s="249" t="s">
        <v>18</v>
      </c>
      <c r="L745" s="611" t="s">
        <v>4572</v>
      </c>
      <c r="M745" s="492" t="s">
        <v>309</v>
      </c>
      <c r="N745" s="492"/>
      <c r="O745" s="492"/>
      <c r="P745" s="616">
        <v>500</v>
      </c>
      <c r="Q745" s="545">
        <v>45799</v>
      </c>
      <c r="R745" s="545">
        <v>45812</v>
      </c>
      <c r="S745" s="249"/>
      <c r="T745" s="545">
        <v>45814</v>
      </c>
      <c r="U745" s="545">
        <v>45825</v>
      </c>
      <c r="V745" s="492" t="s">
        <v>20</v>
      </c>
      <c r="W745" s="592">
        <f t="shared" si="31"/>
        <v>45841</v>
      </c>
      <c r="X745" s="588"/>
      <c r="Y745" s="523"/>
      <c r="Z745" s="588"/>
      <c r="AA745" s="588"/>
    </row>
    <row r="746" s="473" customFormat="1" ht="15.75" customHeight="1" spans="1:27">
      <c r="A746" s="492" t="s">
        <v>910</v>
      </c>
      <c r="B746" s="492" t="s">
        <v>4300</v>
      </c>
      <c r="C746" s="494" t="s">
        <v>5021</v>
      </c>
      <c r="D746" s="494" t="s">
        <v>5022</v>
      </c>
      <c r="E746" s="489"/>
      <c r="F746" s="492" t="s">
        <v>3979</v>
      </c>
      <c r="G746" s="492" t="s">
        <v>3067</v>
      </c>
      <c r="H746" s="494" t="s">
        <v>5016</v>
      </c>
      <c r="I746" s="545">
        <v>45791</v>
      </c>
      <c r="J746" s="545">
        <v>45820</v>
      </c>
      <c r="K746" s="249" t="s">
        <v>18</v>
      </c>
      <c r="L746" s="611" t="s">
        <v>4572</v>
      </c>
      <c r="M746" s="492" t="s">
        <v>309</v>
      </c>
      <c r="N746" s="492"/>
      <c r="O746" s="492"/>
      <c r="P746" s="616">
        <v>500</v>
      </c>
      <c r="Q746" s="545">
        <v>45799</v>
      </c>
      <c r="R746" s="545">
        <v>45812</v>
      </c>
      <c r="S746" s="249"/>
      <c r="T746" s="545">
        <v>45814</v>
      </c>
      <c r="U746" s="545">
        <v>45825</v>
      </c>
      <c r="V746" s="492" t="s">
        <v>20</v>
      </c>
      <c r="W746" s="592">
        <f t="shared" si="31"/>
        <v>45841</v>
      </c>
      <c r="X746" s="588"/>
      <c r="Y746" s="523"/>
      <c r="Z746" s="588"/>
      <c r="AA746" s="588"/>
    </row>
    <row r="747" s="473" customFormat="1" ht="15.75" customHeight="1" spans="1:27">
      <c r="A747" s="492" t="s">
        <v>910</v>
      </c>
      <c r="B747" s="492" t="s">
        <v>4300</v>
      </c>
      <c r="C747" s="494" t="s">
        <v>5023</v>
      </c>
      <c r="D747" s="494" t="s">
        <v>5024</v>
      </c>
      <c r="E747" s="489"/>
      <c r="F747" s="492" t="s">
        <v>3979</v>
      </c>
      <c r="G747" s="494" t="s">
        <v>4235</v>
      </c>
      <c r="H747" s="494" t="s">
        <v>5025</v>
      </c>
      <c r="I747" s="195">
        <v>45792</v>
      </c>
      <c r="J747" s="195">
        <v>45821</v>
      </c>
      <c r="K747" s="249" t="s">
        <v>18</v>
      </c>
      <c r="L747" s="611" t="s">
        <v>4572</v>
      </c>
      <c r="M747" s="492" t="s">
        <v>309</v>
      </c>
      <c r="N747" s="492"/>
      <c r="O747" s="492"/>
      <c r="P747" s="616">
        <v>500</v>
      </c>
      <c r="Q747" s="545">
        <v>45803</v>
      </c>
      <c r="R747" s="545">
        <v>45811</v>
      </c>
      <c r="S747" s="249"/>
      <c r="T747" s="195">
        <v>45814</v>
      </c>
      <c r="U747" s="545">
        <v>45828</v>
      </c>
      <c r="V747" s="492" t="s">
        <v>20</v>
      </c>
      <c r="W747" s="592">
        <f t="shared" si="31"/>
        <v>45842</v>
      </c>
      <c r="X747" s="588"/>
      <c r="Y747" s="523"/>
      <c r="Z747" s="588"/>
      <c r="AA747" s="588"/>
    </row>
    <row r="748" s="473" customFormat="1" ht="15.75" customHeight="1" spans="1:27">
      <c r="A748" s="587" t="s">
        <v>1240</v>
      </c>
      <c r="B748" s="492" t="s">
        <v>4300</v>
      </c>
      <c r="C748" s="587" t="s">
        <v>5026</v>
      </c>
      <c r="D748" s="492" t="s">
        <v>5027</v>
      </c>
      <c r="E748" s="492"/>
      <c r="F748" s="492" t="s">
        <v>3979</v>
      </c>
      <c r="G748" s="587" t="s">
        <v>3079</v>
      </c>
      <c r="H748" s="587" t="s">
        <v>5028</v>
      </c>
      <c r="I748" s="592">
        <v>45798</v>
      </c>
      <c r="J748" s="592">
        <v>45821</v>
      </c>
      <c r="K748" s="249" t="s">
        <v>18</v>
      </c>
      <c r="L748" s="596" t="s">
        <v>3452</v>
      </c>
      <c r="M748" s="249" t="s">
        <v>5029</v>
      </c>
      <c r="N748" s="492"/>
      <c r="O748" s="492"/>
      <c r="P748" s="616"/>
      <c r="Q748" s="545">
        <v>45803</v>
      </c>
      <c r="R748" s="545">
        <v>45811</v>
      </c>
      <c r="S748" s="492"/>
      <c r="T748" s="545">
        <v>45817</v>
      </c>
      <c r="U748" s="545">
        <v>45827</v>
      </c>
      <c r="V748" s="492" t="s">
        <v>20</v>
      </c>
      <c r="W748" s="592">
        <f t="shared" si="31"/>
        <v>45842</v>
      </c>
      <c r="X748" s="596" t="s">
        <v>5030</v>
      </c>
      <c r="Y748" s="523"/>
      <c r="Z748" s="588"/>
      <c r="AA748" s="588"/>
    </row>
    <row r="749" s="473" customFormat="1" ht="15.75" customHeight="1" spans="1:27">
      <c r="A749" s="492" t="s">
        <v>910</v>
      </c>
      <c r="B749" s="492" t="s">
        <v>4329</v>
      </c>
      <c r="C749" s="580" t="s">
        <v>5031</v>
      </c>
      <c r="D749" s="587" t="s">
        <v>5032</v>
      </c>
      <c r="E749" s="492"/>
      <c r="F749" s="556" t="s">
        <v>4018</v>
      </c>
      <c r="G749" s="492" t="s">
        <v>3032</v>
      </c>
      <c r="H749" s="492" t="s">
        <v>5033</v>
      </c>
      <c r="I749" s="545">
        <v>45806</v>
      </c>
      <c r="J749" s="545">
        <v>45826</v>
      </c>
      <c r="K749" s="249" t="s">
        <v>18</v>
      </c>
      <c r="L749" s="611" t="s">
        <v>4572</v>
      </c>
      <c r="M749" s="492" t="s">
        <v>309</v>
      </c>
      <c r="N749" s="492"/>
      <c r="O749" s="492"/>
      <c r="P749" s="616"/>
      <c r="Q749" s="545">
        <v>45812</v>
      </c>
      <c r="R749" s="545">
        <v>45814</v>
      </c>
      <c r="S749" s="492"/>
      <c r="T749" s="545">
        <v>45820</v>
      </c>
      <c r="U749" s="545">
        <v>45832</v>
      </c>
      <c r="V749" s="492" t="s">
        <v>20</v>
      </c>
      <c r="W749" s="592">
        <f t="shared" si="31"/>
        <v>45847</v>
      </c>
      <c r="X749" s="588"/>
      <c r="Y749" s="523"/>
      <c r="Z749" s="588"/>
      <c r="AA749" s="588"/>
    </row>
    <row r="750" s="473" customFormat="1" ht="15.75" customHeight="1" spans="1:27">
      <c r="A750" s="492" t="s">
        <v>910</v>
      </c>
      <c r="B750" s="492" t="s">
        <v>4329</v>
      </c>
      <c r="C750" s="587" t="s">
        <v>5034</v>
      </c>
      <c r="D750" s="494" t="s">
        <v>5035</v>
      </c>
      <c r="E750" s="492"/>
      <c r="F750" s="556" t="s">
        <v>4018</v>
      </c>
      <c r="G750" s="492" t="s">
        <v>3032</v>
      </c>
      <c r="H750" s="494" t="s">
        <v>5033</v>
      </c>
      <c r="I750" s="545">
        <v>45806</v>
      </c>
      <c r="J750" s="545">
        <v>45826</v>
      </c>
      <c r="K750" s="249" t="s">
        <v>18</v>
      </c>
      <c r="L750" s="559" t="s">
        <v>3457</v>
      </c>
      <c r="M750" s="492" t="s">
        <v>309</v>
      </c>
      <c r="N750" s="492"/>
      <c r="O750" s="492"/>
      <c r="P750" s="616"/>
      <c r="Q750" s="545">
        <v>45812</v>
      </c>
      <c r="R750" s="545">
        <v>45814</v>
      </c>
      <c r="S750" s="489"/>
      <c r="T750" s="545">
        <v>45820</v>
      </c>
      <c r="U750" s="545">
        <v>45832</v>
      </c>
      <c r="V750" s="492" t="s">
        <v>20</v>
      </c>
      <c r="W750" s="592">
        <f t="shared" si="31"/>
        <v>45847</v>
      </c>
      <c r="X750" s="588"/>
      <c r="Y750" s="523"/>
      <c r="Z750" s="588"/>
      <c r="AA750" s="588"/>
    </row>
    <row r="751" s="473" customFormat="1" ht="15.75" customHeight="1" spans="1:27">
      <c r="A751" s="492" t="s">
        <v>910</v>
      </c>
      <c r="B751" s="492" t="s">
        <v>4329</v>
      </c>
      <c r="C751" s="589" t="s">
        <v>5036</v>
      </c>
      <c r="D751" s="494" t="s">
        <v>5037</v>
      </c>
      <c r="E751" s="489"/>
      <c r="F751" s="556" t="s">
        <v>4018</v>
      </c>
      <c r="G751" s="492" t="s">
        <v>3032</v>
      </c>
      <c r="H751" s="492" t="s">
        <v>5033</v>
      </c>
      <c r="I751" s="545">
        <v>45806</v>
      </c>
      <c r="J751" s="545">
        <v>45826</v>
      </c>
      <c r="K751" s="249" t="s">
        <v>18</v>
      </c>
      <c r="L751" s="559" t="s">
        <v>3457</v>
      </c>
      <c r="M751" s="492" t="s">
        <v>309</v>
      </c>
      <c r="N751" s="492"/>
      <c r="O751" s="492"/>
      <c r="P751" s="616"/>
      <c r="Q751" s="545">
        <v>45812</v>
      </c>
      <c r="R751" s="545">
        <v>45814</v>
      </c>
      <c r="S751" s="489"/>
      <c r="T751" s="545">
        <v>45820</v>
      </c>
      <c r="U751" s="545">
        <v>45832</v>
      </c>
      <c r="V751" s="492" t="s">
        <v>20</v>
      </c>
      <c r="W751" s="592">
        <f t="shared" si="31"/>
        <v>45847</v>
      </c>
      <c r="X751" s="588"/>
      <c r="Y751" s="523"/>
      <c r="Z751" s="588"/>
      <c r="AA751" s="588"/>
    </row>
    <row r="752" s="473" customFormat="1" ht="15.75" customHeight="1" spans="1:27">
      <c r="A752" s="492" t="s">
        <v>910</v>
      </c>
      <c r="B752" s="492" t="s">
        <v>4329</v>
      </c>
      <c r="C752" s="589" t="s">
        <v>5038</v>
      </c>
      <c r="D752" s="494" t="s">
        <v>5039</v>
      </c>
      <c r="E752" s="489"/>
      <c r="F752" s="556" t="s">
        <v>4018</v>
      </c>
      <c r="G752" s="492" t="s">
        <v>3032</v>
      </c>
      <c r="H752" s="492" t="s">
        <v>5033</v>
      </c>
      <c r="I752" s="545">
        <v>45806</v>
      </c>
      <c r="J752" s="545">
        <v>45826</v>
      </c>
      <c r="K752" s="249" t="s">
        <v>18</v>
      </c>
      <c r="L752" s="559" t="s">
        <v>3457</v>
      </c>
      <c r="M752" s="492" t="s">
        <v>309</v>
      </c>
      <c r="N752" s="492"/>
      <c r="O752" s="492"/>
      <c r="P752" s="616"/>
      <c r="Q752" s="545">
        <v>45812</v>
      </c>
      <c r="R752" s="545">
        <v>45814</v>
      </c>
      <c r="S752" s="489"/>
      <c r="T752" s="545">
        <v>45820</v>
      </c>
      <c r="U752" s="545">
        <v>45832</v>
      </c>
      <c r="V752" s="492" t="s">
        <v>20</v>
      </c>
      <c r="W752" s="592">
        <f t="shared" si="31"/>
        <v>45847</v>
      </c>
      <c r="X752" s="588"/>
      <c r="Y752" s="523"/>
      <c r="Z752" s="588"/>
      <c r="AA752" s="588"/>
    </row>
    <row r="753" s="473" customFormat="1" ht="15.75" customHeight="1" spans="1:27">
      <c r="A753" s="492" t="s">
        <v>910</v>
      </c>
      <c r="B753" s="492" t="s">
        <v>4329</v>
      </c>
      <c r="C753" s="589" t="s">
        <v>5040</v>
      </c>
      <c r="D753" s="494" t="s">
        <v>5041</v>
      </c>
      <c r="E753" s="489"/>
      <c r="F753" s="556" t="s">
        <v>4018</v>
      </c>
      <c r="G753" s="492" t="s">
        <v>3032</v>
      </c>
      <c r="H753" s="492" t="s">
        <v>5033</v>
      </c>
      <c r="I753" s="545">
        <v>45806</v>
      </c>
      <c r="J753" s="545">
        <v>45826</v>
      </c>
      <c r="K753" s="249" t="s">
        <v>18</v>
      </c>
      <c r="L753" s="559" t="s">
        <v>3457</v>
      </c>
      <c r="M753" s="492" t="s">
        <v>309</v>
      </c>
      <c r="N753" s="492"/>
      <c r="O753" s="492"/>
      <c r="P753" s="616"/>
      <c r="Q753" s="545">
        <v>45812</v>
      </c>
      <c r="R753" s="545">
        <v>45814</v>
      </c>
      <c r="S753" s="489"/>
      <c r="T753" s="195">
        <v>45820</v>
      </c>
      <c r="U753" s="545">
        <v>45832</v>
      </c>
      <c r="V753" s="492" t="s">
        <v>20</v>
      </c>
      <c r="W753" s="592">
        <f t="shared" si="31"/>
        <v>45847</v>
      </c>
      <c r="X753" s="588"/>
      <c r="Y753" s="523"/>
      <c r="Z753" s="588"/>
      <c r="AA753" s="588"/>
    </row>
    <row r="754" s="473" customFormat="1" ht="15.75" customHeight="1" spans="1:27">
      <c r="A754" s="492" t="s">
        <v>910</v>
      </c>
      <c r="B754" s="492" t="s">
        <v>4329</v>
      </c>
      <c r="C754" s="589" t="s">
        <v>5042</v>
      </c>
      <c r="D754" s="494" t="s">
        <v>5043</v>
      </c>
      <c r="E754" s="489"/>
      <c r="F754" s="556" t="s">
        <v>4018</v>
      </c>
      <c r="G754" s="492" t="s">
        <v>3032</v>
      </c>
      <c r="H754" s="492" t="s">
        <v>5033</v>
      </c>
      <c r="I754" s="545">
        <v>45806</v>
      </c>
      <c r="J754" s="545">
        <v>45826</v>
      </c>
      <c r="K754" s="249" t="s">
        <v>18</v>
      </c>
      <c r="L754" s="559" t="s">
        <v>3457</v>
      </c>
      <c r="M754" s="492" t="s">
        <v>309</v>
      </c>
      <c r="N754" s="492"/>
      <c r="O754" s="492"/>
      <c r="P754" s="616"/>
      <c r="Q754" s="545">
        <v>45812</v>
      </c>
      <c r="R754" s="545">
        <v>45814</v>
      </c>
      <c r="S754" s="489"/>
      <c r="T754" s="545">
        <v>45820</v>
      </c>
      <c r="U754" s="545">
        <v>45832</v>
      </c>
      <c r="V754" s="492" t="s">
        <v>20</v>
      </c>
      <c r="W754" s="592">
        <f t="shared" si="31"/>
        <v>45847</v>
      </c>
      <c r="X754" s="588"/>
      <c r="Y754" s="523"/>
      <c r="Z754" s="588"/>
      <c r="AA754" s="588"/>
    </row>
    <row r="755" s="473" customFormat="1" ht="15.75" customHeight="1" spans="1:27">
      <c r="A755" s="492" t="s">
        <v>910</v>
      </c>
      <c r="B755" s="492" t="s">
        <v>4329</v>
      </c>
      <c r="C755" s="589" t="s">
        <v>5044</v>
      </c>
      <c r="D755" s="554" t="s">
        <v>5045</v>
      </c>
      <c r="E755" s="489"/>
      <c r="F755" s="556" t="s">
        <v>4018</v>
      </c>
      <c r="G755" s="492" t="s">
        <v>3032</v>
      </c>
      <c r="H755" s="492" t="s">
        <v>5033</v>
      </c>
      <c r="I755" s="545">
        <v>45806</v>
      </c>
      <c r="J755" s="545">
        <v>45826</v>
      </c>
      <c r="K755" s="249" t="s">
        <v>18</v>
      </c>
      <c r="L755" s="559" t="s">
        <v>3457</v>
      </c>
      <c r="M755" s="492" t="s">
        <v>309</v>
      </c>
      <c r="N755" s="492"/>
      <c r="O755" s="492"/>
      <c r="P755" s="616"/>
      <c r="Q755" s="545">
        <v>45812</v>
      </c>
      <c r="R755" s="545">
        <v>45814</v>
      </c>
      <c r="S755" s="489"/>
      <c r="T755" s="545">
        <v>45820</v>
      </c>
      <c r="U755" s="545">
        <v>45832</v>
      </c>
      <c r="V755" s="492" t="s">
        <v>20</v>
      </c>
      <c r="W755" s="592">
        <f t="shared" si="31"/>
        <v>45847</v>
      </c>
      <c r="X755" s="588"/>
      <c r="Y755" s="523"/>
      <c r="Z755" s="588"/>
      <c r="AA755" s="588"/>
    </row>
    <row r="756" s="473" customFormat="1" ht="15.75" customHeight="1" spans="1:27">
      <c r="A756" s="492" t="s">
        <v>910</v>
      </c>
      <c r="B756" s="492" t="s">
        <v>4329</v>
      </c>
      <c r="C756" s="589" t="s">
        <v>5046</v>
      </c>
      <c r="D756" s="494" t="s">
        <v>5047</v>
      </c>
      <c r="E756" s="489"/>
      <c r="F756" s="556" t="s">
        <v>4018</v>
      </c>
      <c r="G756" s="492" t="s">
        <v>3032</v>
      </c>
      <c r="H756" s="492" t="s">
        <v>5033</v>
      </c>
      <c r="I756" s="545">
        <v>45806</v>
      </c>
      <c r="J756" s="545">
        <v>45826</v>
      </c>
      <c r="K756" s="249" t="s">
        <v>18</v>
      </c>
      <c r="L756" s="559" t="s">
        <v>3457</v>
      </c>
      <c r="M756" s="492" t="s">
        <v>309</v>
      </c>
      <c r="N756" s="492"/>
      <c r="O756" s="492"/>
      <c r="P756" s="616"/>
      <c r="Q756" s="545">
        <v>45812</v>
      </c>
      <c r="R756" s="545">
        <v>45814</v>
      </c>
      <c r="S756" s="489"/>
      <c r="T756" s="545">
        <v>45820</v>
      </c>
      <c r="U756" s="545">
        <v>45832</v>
      </c>
      <c r="V756" s="492" t="s">
        <v>20</v>
      </c>
      <c r="W756" s="592">
        <f t="shared" si="31"/>
        <v>45847</v>
      </c>
      <c r="X756" s="588"/>
      <c r="Y756" s="523"/>
      <c r="Z756" s="588"/>
      <c r="AA756" s="588"/>
    </row>
    <row r="757" s="473" customFormat="1" ht="15.75" customHeight="1" spans="1:27">
      <c r="A757" s="492" t="s">
        <v>910</v>
      </c>
      <c r="B757" s="492" t="s">
        <v>4329</v>
      </c>
      <c r="C757" s="589" t="s">
        <v>5048</v>
      </c>
      <c r="D757" s="494" t="s">
        <v>5049</v>
      </c>
      <c r="E757" s="489"/>
      <c r="F757" s="556" t="s">
        <v>4018</v>
      </c>
      <c r="G757" s="492" t="s">
        <v>3032</v>
      </c>
      <c r="H757" s="492" t="s">
        <v>5033</v>
      </c>
      <c r="I757" s="545">
        <v>45806</v>
      </c>
      <c r="J757" s="545">
        <v>45826</v>
      </c>
      <c r="K757" s="249" t="s">
        <v>18</v>
      </c>
      <c r="L757" s="559" t="s">
        <v>3457</v>
      </c>
      <c r="M757" s="492" t="s">
        <v>309</v>
      </c>
      <c r="N757" s="492"/>
      <c r="O757" s="492"/>
      <c r="P757" s="616"/>
      <c r="Q757" s="545">
        <v>45812</v>
      </c>
      <c r="R757" s="545">
        <v>45814</v>
      </c>
      <c r="S757" s="489"/>
      <c r="T757" s="545">
        <v>45820</v>
      </c>
      <c r="U757" s="545">
        <v>45832</v>
      </c>
      <c r="V757" s="492" t="s">
        <v>20</v>
      </c>
      <c r="W757" s="592">
        <f t="shared" si="31"/>
        <v>45847</v>
      </c>
      <c r="X757" s="588"/>
      <c r="Y757" s="523"/>
      <c r="Z757" s="588"/>
      <c r="AA757" s="588"/>
    </row>
    <row r="758" s="473" customFormat="1" ht="15.75" customHeight="1" spans="1:27">
      <c r="A758" s="492" t="s">
        <v>910</v>
      </c>
      <c r="B758" s="492" t="s">
        <v>4329</v>
      </c>
      <c r="C758" s="589" t="s">
        <v>5050</v>
      </c>
      <c r="D758" s="492" t="s">
        <v>5051</v>
      </c>
      <c r="E758" s="489"/>
      <c r="F758" s="556" t="s">
        <v>4018</v>
      </c>
      <c r="G758" s="492" t="s">
        <v>3032</v>
      </c>
      <c r="H758" s="494" t="s">
        <v>5033</v>
      </c>
      <c r="I758" s="545">
        <v>45806</v>
      </c>
      <c r="J758" s="545">
        <v>45826</v>
      </c>
      <c r="K758" s="249" t="s">
        <v>18</v>
      </c>
      <c r="L758" s="559" t="s">
        <v>3457</v>
      </c>
      <c r="M758" s="492" t="s">
        <v>309</v>
      </c>
      <c r="N758" s="492"/>
      <c r="O758" s="492"/>
      <c r="P758" s="616"/>
      <c r="Q758" s="545">
        <v>45812</v>
      </c>
      <c r="R758" s="545">
        <v>45814</v>
      </c>
      <c r="S758" s="489"/>
      <c r="T758" s="195">
        <v>45821</v>
      </c>
      <c r="U758" s="545">
        <v>45832</v>
      </c>
      <c r="V758" s="556" t="s">
        <v>20</v>
      </c>
      <c r="W758" s="592">
        <f t="shared" si="31"/>
        <v>45847</v>
      </c>
      <c r="X758" s="588"/>
      <c r="Y758" s="523"/>
      <c r="Z758" s="588"/>
      <c r="AA758" s="588"/>
    </row>
    <row r="759" s="473" customFormat="1" ht="15.75" customHeight="1" spans="1:27">
      <c r="A759" s="587" t="s">
        <v>1247</v>
      </c>
      <c r="B759" s="492" t="s">
        <v>4300</v>
      </c>
      <c r="C759" s="587" t="s">
        <v>5052</v>
      </c>
      <c r="D759" s="587" t="s">
        <v>5053</v>
      </c>
      <c r="E759" s="492"/>
      <c r="F759" s="492" t="s">
        <v>3979</v>
      </c>
      <c r="G759" s="587" t="s">
        <v>3146</v>
      </c>
      <c r="H759" s="587" t="s">
        <v>5054</v>
      </c>
      <c r="I759" s="592">
        <v>45800</v>
      </c>
      <c r="J759" s="592">
        <v>45827</v>
      </c>
      <c r="K759" s="249" t="s">
        <v>39</v>
      </c>
      <c r="L759" s="596" t="s">
        <v>3437</v>
      </c>
      <c r="M759" s="249" t="s">
        <v>309</v>
      </c>
      <c r="N759" s="492"/>
      <c r="O759" s="492"/>
      <c r="P759" s="616"/>
      <c r="Q759" s="545">
        <v>45804</v>
      </c>
      <c r="R759" s="545">
        <v>45814</v>
      </c>
      <c r="S759" s="492"/>
      <c r="T759" s="545">
        <v>45824</v>
      </c>
      <c r="U759" s="545">
        <v>45831</v>
      </c>
      <c r="V759" s="492" t="s">
        <v>20</v>
      </c>
      <c r="W759" s="592">
        <f t="shared" si="31"/>
        <v>45848</v>
      </c>
      <c r="X759" s="588"/>
      <c r="Y759" s="523"/>
      <c r="Z759" s="588"/>
      <c r="AA759" s="588"/>
    </row>
    <row r="760" s="473" customFormat="1" ht="15.75" customHeight="1" spans="1:27">
      <c r="A760" s="587" t="s">
        <v>1247</v>
      </c>
      <c r="B760" s="492" t="s">
        <v>4300</v>
      </c>
      <c r="C760" s="587" t="s">
        <v>5055</v>
      </c>
      <c r="D760" s="492" t="s">
        <v>5056</v>
      </c>
      <c r="E760" s="492"/>
      <c r="F760" s="492" t="s">
        <v>3979</v>
      </c>
      <c r="G760" s="492" t="s">
        <v>3067</v>
      </c>
      <c r="H760" s="587" t="s">
        <v>5028</v>
      </c>
      <c r="I760" s="545">
        <v>45803</v>
      </c>
      <c r="J760" s="545">
        <v>45827</v>
      </c>
      <c r="K760" s="249" t="s">
        <v>39</v>
      </c>
      <c r="L760" s="596" t="s">
        <v>3437</v>
      </c>
      <c r="M760" s="249" t="s">
        <v>309</v>
      </c>
      <c r="N760" s="492"/>
      <c r="O760" s="492"/>
      <c r="P760" s="616"/>
      <c r="Q760" s="545">
        <v>45807</v>
      </c>
      <c r="R760" s="545">
        <v>45811</v>
      </c>
      <c r="S760" s="621"/>
      <c r="T760" s="545">
        <v>45814</v>
      </c>
      <c r="U760" s="545">
        <v>45832</v>
      </c>
      <c r="V760" s="492" t="s">
        <v>20</v>
      </c>
      <c r="W760" s="592">
        <f t="shared" si="31"/>
        <v>45848</v>
      </c>
      <c r="X760" s="588" t="s">
        <v>5057</v>
      </c>
      <c r="Y760" s="523"/>
      <c r="Z760" s="588"/>
      <c r="AA760" s="588"/>
    </row>
    <row r="761" s="473" customFormat="1" ht="15.75" customHeight="1" spans="1:27">
      <c r="A761" s="492" t="s">
        <v>1247</v>
      </c>
      <c r="B761" s="492" t="s">
        <v>4300</v>
      </c>
      <c r="C761" s="587" t="s">
        <v>5058</v>
      </c>
      <c r="D761" s="492" t="s">
        <v>5059</v>
      </c>
      <c r="E761" s="492"/>
      <c r="F761" s="492" t="s">
        <v>3979</v>
      </c>
      <c r="G761" s="492" t="s">
        <v>3067</v>
      </c>
      <c r="H761" s="587" t="s">
        <v>5028</v>
      </c>
      <c r="I761" s="545">
        <v>45803</v>
      </c>
      <c r="J761" s="545">
        <v>45827</v>
      </c>
      <c r="K761" s="249" t="s">
        <v>39</v>
      </c>
      <c r="L761" s="596" t="s">
        <v>3437</v>
      </c>
      <c r="M761" s="249" t="s">
        <v>309</v>
      </c>
      <c r="N761" s="492"/>
      <c r="O761" s="492"/>
      <c r="P761" s="616"/>
      <c r="Q761" s="545">
        <v>45807</v>
      </c>
      <c r="R761" s="545">
        <v>45811</v>
      </c>
      <c r="S761" s="621"/>
      <c r="T761" s="545">
        <v>45814</v>
      </c>
      <c r="U761" s="545">
        <v>45832</v>
      </c>
      <c r="V761" s="556" t="s">
        <v>20</v>
      </c>
      <c r="W761" s="592">
        <f t="shared" si="31"/>
        <v>45848</v>
      </c>
      <c r="X761" s="588"/>
      <c r="Y761" s="523"/>
      <c r="Z761" s="588"/>
      <c r="AA761" s="588"/>
    </row>
    <row r="762" s="473" customFormat="1" ht="15.75" customHeight="1" spans="1:27">
      <c r="A762" s="494" t="s">
        <v>5060</v>
      </c>
      <c r="B762" s="494" t="s">
        <v>4329</v>
      </c>
      <c r="C762" s="589" t="s">
        <v>5061</v>
      </c>
      <c r="D762" s="494" t="s">
        <v>5062</v>
      </c>
      <c r="E762" s="489"/>
      <c r="F762" s="556" t="s">
        <v>4018</v>
      </c>
      <c r="G762" s="494" t="s">
        <v>3032</v>
      </c>
      <c r="H762" s="494" t="s">
        <v>5063</v>
      </c>
      <c r="I762" s="195">
        <v>45812</v>
      </c>
      <c r="J762" s="195">
        <v>45829</v>
      </c>
      <c r="K762" s="249" t="s">
        <v>18</v>
      </c>
      <c r="L762" s="611" t="s">
        <v>4407</v>
      </c>
      <c r="M762" s="249" t="s">
        <v>309</v>
      </c>
      <c r="N762" s="492"/>
      <c r="O762" s="492"/>
      <c r="P762" s="616"/>
      <c r="Q762" s="545">
        <v>45820</v>
      </c>
      <c r="R762" s="545">
        <v>45824</v>
      </c>
      <c r="S762" s="489"/>
      <c r="T762" s="545">
        <v>45826</v>
      </c>
      <c r="U762" s="545">
        <v>45833</v>
      </c>
      <c r="V762" s="492" t="s">
        <v>20</v>
      </c>
      <c r="W762" s="592">
        <f t="shared" si="31"/>
        <v>45850</v>
      </c>
      <c r="X762" s="588"/>
      <c r="Y762" s="523"/>
      <c r="Z762" s="588"/>
      <c r="AA762" s="588"/>
    </row>
    <row r="763" s="479" customFormat="1" spans="1:27">
      <c r="A763" s="492" t="s">
        <v>5060</v>
      </c>
      <c r="B763" s="492" t="s">
        <v>4329</v>
      </c>
      <c r="C763" s="589" t="s">
        <v>5064</v>
      </c>
      <c r="D763" s="494" t="s">
        <v>5065</v>
      </c>
      <c r="E763" s="489"/>
      <c r="F763" s="556" t="s">
        <v>4018</v>
      </c>
      <c r="G763" s="492" t="s">
        <v>3032</v>
      </c>
      <c r="H763" s="492" t="s">
        <v>5063</v>
      </c>
      <c r="I763" s="545">
        <v>45812</v>
      </c>
      <c r="J763" s="545">
        <v>45829</v>
      </c>
      <c r="K763" s="249" t="s">
        <v>18</v>
      </c>
      <c r="L763" s="559" t="s">
        <v>3457</v>
      </c>
      <c r="M763" s="249" t="s">
        <v>309</v>
      </c>
      <c r="N763" s="492"/>
      <c r="O763" s="492"/>
      <c r="P763" s="616"/>
      <c r="Q763" s="545">
        <v>45820</v>
      </c>
      <c r="R763" s="545">
        <v>45824</v>
      </c>
      <c r="S763" s="489"/>
      <c r="T763" s="195">
        <v>45826</v>
      </c>
      <c r="U763" s="545">
        <v>45834</v>
      </c>
      <c r="V763" s="556" t="s">
        <v>20</v>
      </c>
      <c r="W763" s="592">
        <f t="shared" si="31"/>
        <v>45850</v>
      </c>
      <c r="X763" s="588"/>
      <c r="Y763" s="623"/>
      <c r="Z763" s="596"/>
      <c r="AA763" s="596"/>
    </row>
    <row r="764" s="473" customFormat="1" ht="15.75" customHeight="1" spans="1:27">
      <c r="A764" s="492" t="s">
        <v>5060</v>
      </c>
      <c r="B764" s="492" t="s">
        <v>4329</v>
      </c>
      <c r="C764" s="589" t="s">
        <v>5066</v>
      </c>
      <c r="D764" s="494" t="s">
        <v>5067</v>
      </c>
      <c r="E764" s="489"/>
      <c r="F764" s="556" t="s">
        <v>4018</v>
      </c>
      <c r="G764" s="492" t="s">
        <v>3032</v>
      </c>
      <c r="H764" s="492" t="s">
        <v>5063</v>
      </c>
      <c r="I764" s="545">
        <v>45812</v>
      </c>
      <c r="J764" s="545">
        <v>45829</v>
      </c>
      <c r="K764" s="249" t="s">
        <v>18</v>
      </c>
      <c r="L764" s="559" t="s">
        <v>3457</v>
      </c>
      <c r="M764" s="249" t="s">
        <v>309</v>
      </c>
      <c r="N764" s="492"/>
      <c r="O764" s="492"/>
      <c r="P764" s="616"/>
      <c r="Q764" s="545">
        <v>45820</v>
      </c>
      <c r="R764" s="545">
        <v>45824</v>
      </c>
      <c r="S764" s="489"/>
      <c r="T764" s="545">
        <v>45826</v>
      </c>
      <c r="U764" s="545">
        <v>45834</v>
      </c>
      <c r="V764" s="556" t="s">
        <v>20</v>
      </c>
      <c r="W764" s="592">
        <f t="shared" si="31"/>
        <v>45850</v>
      </c>
      <c r="X764" s="588"/>
      <c r="Y764" s="523"/>
      <c r="Z764" s="588"/>
      <c r="AA764" s="588"/>
    </row>
    <row r="765" s="473" customFormat="1" ht="15.75" customHeight="1" spans="1:27">
      <c r="A765" s="492" t="s">
        <v>5060</v>
      </c>
      <c r="B765" s="492" t="s">
        <v>4329</v>
      </c>
      <c r="C765" s="589" t="s">
        <v>5068</v>
      </c>
      <c r="D765" s="494" t="s">
        <v>5069</v>
      </c>
      <c r="E765" s="489"/>
      <c r="F765" s="556" t="s">
        <v>4018</v>
      </c>
      <c r="G765" s="492" t="s">
        <v>3032</v>
      </c>
      <c r="H765" s="492" t="s">
        <v>5063</v>
      </c>
      <c r="I765" s="545">
        <v>45812</v>
      </c>
      <c r="J765" s="545">
        <v>45829</v>
      </c>
      <c r="K765" s="249" t="s">
        <v>18</v>
      </c>
      <c r="L765" s="559" t="s">
        <v>3457</v>
      </c>
      <c r="M765" s="249" t="s">
        <v>309</v>
      </c>
      <c r="N765" s="492"/>
      <c r="O765" s="492"/>
      <c r="P765" s="616"/>
      <c r="Q765" s="545">
        <v>45820</v>
      </c>
      <c r="R765" s="545">
        <v>45824</v>
      </c>
      <c r="S765" s="489"/>
      <c r="T765" s="545">
        <v>45826</v>
      </c>
      <c r="U765" s="545">
        <v>45834</v>
      </c>
      <c r="V765" s="492" t="s">
        <v>20</v>
      </c>
      <c r="W765" s="592">
        <f t="shared" si="31"/>
        <v>45850</v>
      </c>
      <c r="X765" s="588"/>
      <c r="Y765" s="523"/>
      <c r="Z765" s="588"/>
      <c r="AA765" s="588"/>
    </row>
    <row r="766" s="473" customFormat="1" ht="15.75" customHeight="1" spans="1:27">
      <c r="A766" s="492" t="s">
        <v>5060</v>
      </c>
      <c r="B766" s="492" t="s">
        <v>4329</v>
      </c>
      <c r="C766" s="589" t="s">
        <v>5070</v>
      </c>
      <c r="D766" s="494" t="s">
        <v>5071</v>
      </c>
      <c r="E766" s="489"/>
      <c r="F766" s="556" t="s">
        <v>4018</v>
      </c>
      <c r="G766" s="492" t="s">
        <v>3032</v>
      </c>
      <c r="H766" s="492" t="s">
        <v>5063</v>
      </c>
      <c r="I766" s="545">
        <v>45812</v>
      </c>
      <c r="J766" s="545">
        <v>45829</v>
      </c>
      <c r="K766" s="249" t="s">
        <v>18</v>
      </c>
      <c r="L766" s="559" t="s">
        <v>3457</v>
      </c>
      <c r="M766" s="249" t="s">
        <v>309</v>
      </c>
      <c r="N766" s="492"/>
      <c r="O766" s="492"/>
      <c r="P766" s="616"/>
      <c r="Q766" s="545">
        <v>45820</v>
      </c>
      <c r="R766" s="545">
        <v>45824</v>
      </c>
      <c r="S766" s="489"/>
      <c r="T766" s="545">
        <v>45826</v>
      </c>
      <c r="U766" s="545">
        <v>45834</v>
      </c>
      <c r="V766" s="492" t="s">
        <v>20</v>
      </c>
      <c r="W766" s="592">
        <f t="shared" si="31"/>
        <v>45850</v>
      </c>
      <c r="X766" s="588"/>
      <c r="Y766" s="523"/>
      <c r="Z766" s="588"/>
      <c r="AA766" s="588"/>
    </row>
    <row r="767" s="473" customFormat="1" ht="15.75" customHeight="1" spans="1:27">
      <c r="A767" s="492" t="s">
        <v>5060</v>
      </c>
      <c r="B767" s="492" t="s">
        <v>4329</v>
      </c>
      <c r="C767" s="589" t="s">
        <v>5072</v>
      </c>
      <c r="D767" s="494" t="s">
        <v>5073</v>
      </c>
      <c r="E767" s="489"/>
      <c r="F767" s="556" t="s">
        <v>4018</v>
      </c>
      <c r="G767" s="492" t="s">
        <v>3032</v>
      </c>
      <c r="H767" s="492" t="s">
        <v>5063</v>
      </c>
      <c r="I767" s="545">
        <v>45812</v>
      </c>
      <c r="J767" s="545">
        <v>45829</v>
      </c>
      <c r="K767" s="249" t="s">
        <v>18</v>
      </c>
      <c r="L767" s="559" t="s">
        <v>3457</v>
      </c>
      <c r="M767" s="249" t="s">
        <v>309</v>
      </c>
      <c r="N767" s="492"/>
      <c r="O767" s="492"/>
      <c r="P767" s="616"/>
      <c r="Q767" s="545">
        <v>45820</v>
      </c>
      <c r="R767" s="545">
        <v>45824</v>
      </c>
      <c r="S767" s="489"/>
      <c r="T767" s="545">
        <v>45826</v>
      </c>
      <c r="U767" s="545">
        <v>45834</v>
      </c>
      <c r="V767" s="492" t="s">
        <v>20</v>
      </c>
      <c r="W767" s="592">
        <f t="shared" si="31"/>
        <v>45850</v>
      </c>
      <c r="X767" s="588"/>
      <c r="Y767" s="523"/>
      <c r="Z767" s="588"/>
      <c r="AA767" s="588"/>
    </row>
    <row r="768" s="473" customFormat="1" ht="15.75" customHeight="1" spans="1:27">
      <c r="A768" s="492" t="s">
        <v>910</v>
      </c>
      <c r="B768" s="492" t="s">
        <v>4300</v>
      </c>
      <c r="C768" s="494" t="s">
        <v>5074</v>
      </c>
      <c r="D768" s="494" t="s">
        <v>5075</v>
      </c>
      <c r="E768" s="489"/>
      <c r="F768" s="492" t="s">
        <v>3979</v>
      </c>
      <c r="G768" s="494" t="s">
        <v>3146</v>
      </c>
      <c r="H768" s="492" t="s">
        <v>5076</v>
      </c>
      <c r="I768" s="195">
        <v>45814</v>
      </c>
      <c r="J768" s="195">
        <v>45835</v>
      </c>
      <c r="K768" s="249" t="s">
        <v>18</v>
      </c>
      <c r="L768" s="559" t="s">
        <v>3457</v>
      </c>
      <c r="M768" s="249" t="s">
        <v>309</v>
      </c>
      <c r="N768" s="492"/>
      <c r="O768" s="492"/>
      <c r="P768" s="616"/>
      <c r="Q768" s="545">
        <v>45819</v>
      </c>
      <c r="R768" s="545">
        <v>45827</v>
      </c>
      <c r="S768" s="489"/>
      <c r="T768" s="195">
        <v>45832</v>
      </c>
      <c r="U768" s="545">
        <v>45840</v>
      </c>
      <c r="V768" s="492" t="s">
        <v>20</v>
      </c>
      <c r="W768" s="592">
        <f t="shared" si="31"/>
        <v>45856</v>
      </c>
      <c r="X768" s="588" t="s">
        <v>5077</v>
      </c>
      <c r="Y768" s="523"/>
      <c r="Z768" s="588"/>
      <c r="AA768" s="588"/>
    </row>
    <row r="769" s="473" customFormat="1" ht="15.75" customHeight="1" spans="1:27">
      <c r="A769" s="492" t="s">
        <v>910</v>
      </c>
      <c r="B769" s="492" t="s">
        <v>4300</v>
      </c>
      <c r="C769" s="492" t="s">
        <v>5078</v>
      </c>
      <c r="D769" s="494" t="s">
        <v>5079</v>
      </c>
      <c r="E769" s="489"/>
      <c r="F769" s="492" t="s">
        <v>3979</v>
      </c>
      <c r="G769" s="492" t="s">
        <v>3146</v>
      </c>
      <c r="H769" s="492" t="s">
        <v>5076</v>
      </c>
      <c r="I769" s="545">
        <v>45814</v>
      </c>
      <c r="J769" s="545">
        <v>45835</v>
      </c>
      <c r="K769" s="249" t="s">
        <v>18</v>
      </c>
      <c r="L769" s="611" t="s">
        <v>4572</v>
      </c>
      <c r="M769" s="249" t="s">
        <v>309</v>
      </c>
      <c r="N769" s="492"/>
      <c r="O769" s="492"/>
      <c r="P769" s="616"/>
      <c r="Q769" s="545">
        <v>45819</v>
      </c>
      <c r="R769" s="545">
        <v>45827</v>
      </c>
      <c r="S769" s="489"/>
      <c r="T769" s="195">
        <v>45832</v>
      </c>
      <c r="U769" s="545">
        <v>45840</v>
      </c>
      <c r="V769" s="492" t="s">
        <v>20</v>
      </c>
      <c r="W769" s="592">
        <f t="shared" si="31"/>
        <v>45856</v>
      </c>
      <c r="X769" s="588" t="s">
        <v>5077</v>
      </c>
      <c r="Y769" s="523"/>
      <c r="Z769" s="588"/>
      <c r="AA769" s="588"/>
    </row>
    <row r="770" s="473" customFormat="1" ht="15.75" customHeight="1" spans="1:27">
      <c r="A770" s="492" t="s">
        <v>910</v>
      </c>
      <c r="B770" s="492" t="s">
        <v>4300</v>
      </c>
      <c r="C770" s="494" t="s">
        <v>5080</v>
      </c>
      <c r="D770" s="494" t="s">
        <v>5081</v>
      </c>
      <c r="E770" s="489"/>
      <c r="F770" s="492" t="s">
        <v>3979</v>
      </c>
      <c r="G770" s="492" t="s">
        <v>3146</v>
      </c>
      <c r="H770" s="494" t="s">
        <v>5076</v>
      </c>
      <c r="I770" s="545">
        <v>45814</v>
      </c>
      <c r="J770" s="545">
        <v>45835</v>
      </c>
      <c r="K770" s="249" t="s">
        <v>18</v>
      </c>
      <c r="L770" s="611" t="s">
        <v>4572</v>
      </c>
      <c r="M770" s="249" t="s">
        <v>309</v>
      </c>
      <c r="N770" s="492"/>
      <c r="O770" s="492"/>
      <c r="P770" s="616"/>
      <c r="Q770" s="545">
        <v>45820</v>
      </c>
      <c r="R770" s="545">
        <v>45827</v>
      </c>
      <c r="S770" s="489"/>
      <c r="T770" s="195">
        <v>45832</v>
      </c>
      <c r="U770" s="545">
        <v>45840</v>
      </c>
      <c r="V770" s="492" t="s">
        <v>20</v>
      </c>
      <c r="W770" s="592">
        <f t="shared" si="31"/>
        <v>45856</v>
      </c>
      <c r="X770" s="588" t="s">
        <v>5077</v>
      </c>
      <c r="Y770" s="523"/>
      <c r="Z770" s="588"/>
      <c r="AA770" s="588"/>
    </row>
    <row r="771" s="473" customFormat="1" ht="15.75" customHeight="1" spans="1:27">
      <c r="A771" s="587" t="s">
        <v>1247</v>
      </c>
      <c r="B771" s="492" t="s">
        <v>4300</v>
      </c>
      <c r="C771" s="492" t="s">
        <v>5082</v>
      </c>
      <c r="D771" s="249" t="s">
        <v>5083</v>
      </c>
      <c r="E771" s="624"/>
      <c r="F771" s="492" t="s">
        <v>3979</v>
      </c>
      <c r="G771" s="587" t="s">
        <v>3146</v>
      </c>
      <c r="H771" s="492" t="s">
        <v>5084</v>
      </c>
      <c r="I771" s="545">
        <v>45805</v>
      </c>
      <c r="J771" s="545">
        <v>45837</v>
      </c>
      <c r="K771" s="249" t="s">
        <v>39</v>
      </c>
      <c r="L771" s="596" t="s">
        <v>3437</v>
      </c>
      <c r="M771" s="249" t="s">
        <v>309</v>
      </c>
      <c r="N771" s="624"/>
      <c r="O771" s="624"/>
      <c r="P771" s="624"/>
      <c r="Q771" s="562">
        <v>45820</v>
      </c>
      <c r="R771" s="545">
        <v>45825</v>
      </c>
      <c r="S771" s="621"/>
      <c r="T771" s="545">
        <v>45833</v>
      </c>
      <c r="U771" s="545">
        <v>45841</v>
      </c>
      <c r="V771" s="545" t="s">
        <v>20</v>
      </c>
      <c r="W771" s="592">
        <f t="shared" si="31"/>
        <v>45858</v>
      </c>
      <c r="X771" s="588" t="s">
        <v>5077</v>
      </c>
      <c r="Y771" s="523"/>
      <c r="Z771" s="588"/>
      <c r="AA771" s="588"/>
    </row>
    <row r="772" s="473" customFormat="1" spans="1:27">
      <c r="A772" s="492" t="s">
        <v>1280</v>
      </c>
      <c r="B772" s="587" t="s">
        <v>4300</v>
      </c>
      <c r="C772" s="492" t="s">
        <v>5085</v>
      </c>
      <c r="D772" s="492" t="s">
        <v>5086</v>
      </c>
      <c r="E772" s="492"/>
      <c r="F772" s="492" t="s">
        <v>3979</v>
      </c>
      <c r="G772" s="587" t="s">
        <v>3146</v>
      </c>
      <c r="H772" s="492" t="s">
        <v>5084</v>
      </c>
      <c r="I772" s="545">
        <v>45805</v>
      </c>
      <c r="J772" s="545">
        <v>45837</v>
      </c>
      <c r="K772" s="249" t="s">
        <v>39</v>
      </c>
      <c r="L772" s="523" t="s">
        <v>5087</v>
      </c>
      <c r="M772" s="492" t="s">
        <v>5088</v>
      </c>
      <c r="N772" s="492"/>
      <c r="O772" s="492"/>
      <c r="P772" s="616"/>
      <c r="Q772" s="562">
        <v>45821</v>
      </c>
      <c r="R772" s="545">
        <v>45825</v>
      </c>
      <c r="S772" s="492"/>
      <c r="T772" s="545">
        <v>45833</v>
      </c>
      <c r="U772" s="545">
        <v>45845</v>
      </c>
      <c r="V772" s="492" t="s">
        <v>20</v>
      </c>
      <c r="W772" s="592">
        <f t="shared" si="31"/>
        <v>45858</v>
      </c>
      <c r="X772" s="588" t="s">
        <v>5089</v>
      </c>
      <c r="Y772" s="523"/>
      <c r="Z772" s="588"/>
      <c r="AA772" s="588"/>
    </row>
    <row r="773" s="473" customFormat="1" ht="15.75" customHeight="1" spans="1:27">
      <c r="A773" s="492" t="s">
        <v>910</v>
      </c>
      <c r="B773" s="492" t="s">
        <v>4329</v>
      </c>
      <c r="C773" s="580" t="s">
        <v>5090</v>
      </c>
      <c r="D773" s="556" t="s">
        <v>5091</v>
      </c>
      <c r="E773" s="492"/>
      <c r="F773" s="556" t="s">
        <v>4018</v>
      </c>
      <c r="G773" s="492" t="s">
        <v>3032</v>
      </c>
      <c r="H773" s="492" t="s">
        <v>5092</v>
      </c>
      <c r="I773" s="545">
        <v>45820</v>
      </c>
      <c r="J773" s="545">
        <v>45839</v>
      </c>
      <c r="K773" s="249" t="s">
        <v>18</v>
      </c>
      <c r="L773" s="559" t="s">
        <v>3457</v>
      </c>
      <c r="M773" s="249" t="s">
        <v>309</v>
      </c>
      <c r="N773" s="492"/>
      <c r="O773" s="492"/>
      <c r="P773" s="616"/>
      <c r="Q773" s="562">
        <v>45822</v>
      </c>
      <c r="R773" s="545">
        <v>45832</v>
      </c>
      <c r="S773" s="492"/>
      <c r="T773" s="545">
        <v>45833</v>
      </c>
      <c r="U773" s="545">
        <v>45842</v>
      </c>
      <c r="V773" s="492" t="s">
        <v>20</v>
      </c>
      <c r="W773" s="592">
        <f t="shared" si="31"/>
        <v>45860</v>
      </c>
      <c r="X773" s="588"/>
      <c r="Y773" s="559"/>
      <c r="Z773" s="588"/>
      <c r="AA773" s="588"/>
    </row>
    <row r="774" s="473" customFormat="1" ht="15.75" customHeight="1" spans="1:27">
      <c r="A774" s="492" t="s">
        <v>910</v>
      </c>
      <c r="B774" s="492" t="s">
        <v>4329</v>
      </c>
      <c r="C774" s="580" t="s">
        <v>5093</v>
      </c>
      <c r="D774" s="492" t="s">
        <v>5094</v>
      </c>
      <c r="E774" s="492"/>
      <c r="F774" s="556" t="s">
        <v>4018</v>
      </c>
      <c r="G774" s="492" t="s">
        <v>3032</v>
      </c>
      <c r="H774" s="587" t="s">
        <v>5092</v>
      </c>
      <c r="I774" s="545">
        <v>45820</v>
      </c>
      <c r="J774" s="545">
        <v>45839</v>
      </c>
      <c r="K774" s="249" t="s">
        <v>18</v>
      </c>
      <c r="L774" s="559" t="s">
        <v>3457</v>
      </c>
      <c r="M774" s="249" t="s">
        <v>309</v>
      </c>
      <c r="N774" s="492"/>
      <c r="O774" s="492"/>
      <c r="P774" s="616"/>
      <c r="Q774" s="562">
        <v>45822</v>
      </c>
      <c r="R774" s="545">
        <v>45832</v>
      </c>
      <c r="S774" s="492"/>
      <c r="T774" s="545">
        <v>45833</v>
      </c>
      <c r="U774" s="545">
        <v>45842</v>
      </c>
      <c r="V774" s="492" t="s">
        <v>20</v>
      </c>
      <c r="W774" s="592">
        <f t="shared" si="31"/>
        <v>45860</v>
      </c>
      <c r="X774" s="588"/>
      <c r="Y774" s="559"/>
      <c r="Z774" s="588"/>
      <c r="AA774" s="588"/>
    </row>
    <row r="775" s="473" customFormat="1" ht="15.75" customHeight="1" spans="1:27">
      <c r="A775" s="587" t="s">
        <v>1310</v>
      </c>
      <c r="B775" s="492" t="s">
        <v>4300</v>
      </c>
      <c r="C775" s="492" t="s">
        <v>5095</v>
      </c>
      <c r="D775" s="492" t="s">
        <v>5096</v>
      </c>
      <c r="E775" s="492"/>
      <c r="F775" s="492" t="s">
        <v>3979</v>
      </c>
      <c r="G775" s="492" t="s">
        <v>3146</v>
      </c>
      <c r="H775" s="492" t="s">
        <v>5076</v>
      </c>
      <c r="I775" s="545">
        <v>45814</v>
      </c>
      <c r="J775" s="545">
        <v>45841</v>
      </c>
      <c r="K775" s="587" t="s">
        <v>161</v>
      </c>
      <c r="L775" s="523" t="s">
        <v>3500</v>
      </c>
      <c r="M775" s="492" t="s">
        <v>5097</v>
      </c>
      <c r="N775" s="492"/>
      <c r="O775" s="492"/>
      <c r="P775" s="616"/>
      <c r="Q775" s="545">
        <v>45819</v>
      </c>
      <c r="R775" s="545">
        <v>45827</v>
      </c>
      <c r="S775" s="492"/>
      <c r="T775" s="545">
        <v>45835</v>
      </c>
      <c r="U775" s="545">
        <v>45846</v>
      </c>
      <c r="V775" s="492" t="s">
        <v>20</v>
      </c>
      <c r="W775" s="592">
        <f t="shared" si="31"/>
        <v>45862</v>
      </c>
      <c r="X775" s="588" t="s">
        <v>5098</v>
      </c>
      <c r="Y775" s="523"/>
      <c r="Z775" s="588"/>
      <c r="AA775" s="588"/>
    </row>
    <row r="776" s="473" customFormat="1" ht="15.75" customHeight="1" spans="1:27">
      <c r="A776" s="587" t="s">
        <v>736</v>
      </c>
      <c r="B776" s="492" t="s">
        <v>4300</v>
      </c>
      <c r="C776" s="587" t="s">
        <v>5099</v>
      </c>
      <c r="D776" s="492" t="s">
        <v>5100</v>
      </c>
      <c r="E776" s="492"/>
      <c r="F776" s="492" t="s">
        <v>3979</v>
      </c>
      <c r="G776" s="492" t="s">
        <v>3079</v>
      </c>
      <c r="H776" s="587" t="s">
        <v>5101</v>
      </c>
      <c r="I776" s="545">
        <v>45817</v>
      </c>
      <c r="J776" s="545">
        <v>45843</v>
      </c>
      <c r="K776" s="587" t="s">
        <v>207</v>
      </c>
      <c r="L776" s="629" t="s">
        <v>4634</v>
      </c>
      <c r="M776" s="587" t="s">
        <v>5102</v>
      </c>
      <c r="N776" s="492"/>
      <c r="O776" s="492"/>
      <c r="P776" s="616"/>
      <c r="Q776" s="545">
        <v>45820</v>
      </c>
      <c r="R776" s="545">
        <v>45838</v>
      </c>
      <c r="S776" s="492"/>
      <c r="T776" s="545">
        <v>45841</v>
      </c>
      <c r="U776" s="545">
        <v>45849</v>
      </c>
      <c r="V776" s="492" t="s">
        <v>20</v>
      </c>
      <c r="W776" s="592">
        <f>J776+14</f>
        <v>45857</v>
      </c>
      <c r="X776" s="588"/>
      <c r="Y776" s="523"/>
      <c r="Z776" s="588"/>
      <c r="AA776" s="588"/>
    </row>
    <row r="777" s="473" customFormat="1" ht="15.75" customHeight="1" spans="1:27">
      <c r="A777" s="492" t="s">
        <v>1310</v>
      </c>
      <c r="B777" s="492" t="s">
        <v>4300</v>
      </c>
      <c r="C777" s="494" t="s">
        <v>5103</v>
      </c>
      <c r="D777" s="492" t="s">
        <v>5104</v>
      </c>
      <c r="E777" s="489"/>
      <c r="F777" s="492" t="s">
        <v>3979</v>
      </c>
      <c r="G777" s="492" t="s">
        <v>3146</v>
      </c>
      <c r="H777" s="494" t="s">
        <v>5076</v>
      </c>
      <c r="I777" s="545">
        <v>45814</v>
      </c>
      <c r="J777" s="545">
        <v>45845</v>
      </c>
      <c r="K777" s="249" t="s">
        <v>39</v>
      </c>
      <c r="L777" s="523" t="s">
        <v>3419</v>
      </c>
      <c r="M777" s="492" t="s">
        <v>5105</v>
      </c>
      <c r="N777" s="489"/>
      <c r="O777" s="489"/>
      <c r="P777" s="630"/>
      <c r="Q777" s="195">
        <v>45819</v>
      </c>
      <c r="R777" s="195">
        <v>45827</v>
      </c>
      <c r="S777" s="489"/>
      <c r="T777" s="195">
        <v>45840</v>
      </c>
      <c r="U777" s="545">
        <v>45852</v>
      </c>
      <c r="V777" s="492" t="s">
        <v>20</v>
      </c>
      <c r="W777" s="592">
        <f t="shared" ref="W777:W782" si="32">J777+21</f>
        <v>45866</v>
      </c>
      <c r="X777" s="588"/>
      <c r="Y777" s="523"/>
      <c r="Z777" s="588"/>
      <c r="AA777" s="588"/>
    </row>
    <row r="778" s="473" customFormat="1" ht="15.75" customHeight="1" spans="1:27">
      <c r="A778" s="492" t="s">
        <v>1310</v>
      </c>
      <c r="B778" s="492" t="s">
        <v>4300</v>
      </c>
      <c r="C778" s="494" t="s">
        <v>5106</v>
      </c>
      <c r="D778" s="492" t="s">
        <v>5107</v>
      </c>
      <c r="E778" s="489"/>
      <c r="F778" s="492" t="s">
        <v>3979</v>
      </c>
      <c r="G778" s="492" t="s">
        <v>3146</v>
      </c>
      <c r="H778" s="494" t="s">
        <v>5076</v>
      </c>
      <c r="I778" s="545">
        <v>45814</v>
      </c>
      <c r="J778" s="545">
        <v>45845</v>
      </c>
      <c r="K778" s="249" t="s">
        <v>39</v>
      </c>
      <c r="L778" s="523" t="s">
        <v>3419</v>
      </c>
      <c r="M778" s="492" t="s">
        <v>5105</v>
      </c>
      <c r="N778" s="489"/>
      <c r="O778" s="489"/>
      <c r="P778" s="630"/>
      <c r="Q778" s="195">
        <v>45820</v>
      </c>
      <c r="R778" s="195">
        <v>45827</v>
      </c>
      <c r="S778" s="489"/>
      <c r="T778" s="195">
        <v>45841</v>
      </c>
      <c r="U778" s="545">
        <v>45852</v>
      </c>
      <c r="V778" s="492" t="s">
        <v>20</v>
      </c>
      <c r="W778" s="592">
        <f t="shared" si="32"/>
        <v>45866</v>
      </c>
      <c r="X778" s="588"/>
      <c r="Y778" s="523"/>
      <c r="Z778" s="588"/>
      <c r="AA778" s="588"/>
    </row>
    <row r="779" s="473" customFormat="1" ht="15.75" customHeight="1" spans="1:27">
      <c r="A779" s="492" t="s">
        <v>1310</v>
      </c>
      <c r="B779" s="492" t="s">
        <v>4300</v>
      </c>
      <c r="C779" s="494" t="s">
        <v>5108</v>
      </c>
      <c r="D779" s="492" t="s">
        <v>5109</v>
      </c>
      <c r="E779" s="489"/>
      <c r="F779" s="492" t="s">
        <v>3979</v>
      </c>
      <c r="G779" s="492" t="s">
        <v>3146</v>
      </c>
      <c r="H779" s="492" t="s">
        <v>5076</v>
      </c>
      <c r="I779" s="545">
        <v>45814</v>
      </c>
      <c r="J779" s="545">
        <v>45845</v>
      </c>
      <c r="K779" s="249" t="s">
        <v>39</v>
      </c>
      <c r="L779" s="523" t="s">
        <v>3504</v>
      </c>
      <c r="M779" s="492" t="s">
        <v>5110</v>
      </c>
      <c r="N779" s="489"/>
      <c r="O779" s="489"/>
      <c r="P779" s="630"/>
      <c r="Q779" s="545">
        <v>45819</v>
      </c>
      <c r="R779" s="195">
        <v>45827</v>
      </c>
      <c r="S779" s="489"/>
      <c r="T779" s="195">
        <v>45840</v>
      </c>
      <c r="U779" s="545">
        <v>45849</v>
      </c>
      <c r="V779" s="492" t="s">
        <v>20</v>
      </c>
      <c r="W779" s="592">
        <f t="shared" si="32"/>
        <v>45866</v>
      </c>
      <c r="X779" s="588"/>
      <c r="Y779" s="523"/>
      <c r="Z779" s="588"/>
      <c r="AA779" s="588"/>
    </row>
    <row r="780" s="473" customFormat="1" ht="15.75" customHeight="1" spans="1:27">
      <c r="A780" s="492" t="s">
        <v>910</v>
      </c>
      <c r="B780" s="492" t="s">
        <v>4300</v>
      </c>
      <c r="C780" s="494" t="s">
        <v>5111</v>
      </c>
      <c r="D780" s="492" t="s">
        <v>5112</v>
      </c>
      <c r="E780" s="489"/>
      <c r="F780" s="492" t="s">
        <v>3979</v>
      </c>
      <c r="G780" s="492" t="s">
        <v>3079</v>
      </c>
      <c r="H780" s="494" t="s">
        <v>5113</v>
      </c>
      <c r="I780" s="545">
        <v>45817</v>
      </c>
      <c r="J780" s="545">
        <v>45845</v>
      </c>
      <c r="K780" s="249" t="s">
        <v>18</v>
      </c>
      <c r="L780" s="559" t="s">
        <v>3457</v>
      </c>
      <c r="M780" s="249" t="s">
        <v>309</v>
      </c>
      <c r="N780" s="489"/>
      <c r="O780" s="489"/>
      <c r="P780" s="630"/>
      <c r="Q780" s="195">
        <v>45826</v>
      </c>
      <c r="R780" s="195">
        <v>45835</v>
      </c>
      <c r="S780" s="489"/>
      <c r="T780" s="195">
        <v>45839</v>
      </c>
      <c r="U780" s="545">
        <v>45847</v>
      </c>
      <c r="V780" s="492" t="s">
        <v>20</v>
      </c>
      <c r="W780" s="592">
        <f t="shared" si="32"/>
        <v>45866</v>
      </c>
      <c r="X780" s="588" t="s">
        <v>5114</v>
      </c>
      <c r="Y780" s="523"/>
      <c r="Z780" s="588"/>
      <c r="AA780" s="588"/>
    </row>
    <row r="781" s="473" customFormat="1" ht="15.75" customHeight="1" spans="1:27">
      <c r="A781" s="492" t="s">
        <v>910</v>
      </c>
      <c r="B781" s="492" t="s">
        <v>4300</v>
      </c>
      <c r="C781" s="587" t="s">
        <v>5115</v>
      </c>
      <c r="D781" s="492" t="s">
        <v>5116</v>
      </c>
      <c r="E781" s="492"/>
      <c r="F781" s="492" t="s">
        <v>3979</v>
      </c>
      <c r="G781" s="492" t="s">
        <v>3079</v>
      </c>
      <c r="H781" s="587" t="s">
        <v>5117</v>
      </c>
      <c r="I781" s="545">
        <v>45824</v>
      </c>
      <c r="J781" s="545">
        <v>45848</v>
      </c>
      <c r="K781" s="249" t="s">
        <v>18</v>
      </c>
      <c r="L781" s="559" t="s">
        <v>3457</v>
      </c>
      <c r="M781" s="249" t="s">
        <v>309</v>
      </c>
      <c r="N781" s="492"/>
      <c r="O781" s="492"/>
      <c r="P781" s="616">
        <v>450</v>
      </c>
      <c r="Q781" s="545">
        <v>45827</v>
      </c>
      <c r="R781" s="545">
        <v>45835</v>
      </c>
      <c r="S781" s="492"/>
      <c r="T781" s="545">
        <v>45845</v>
      </c>
      <c r="U781" s="545">
        <v>45853</v>
      </c>
      <c r="V781" s="492" t="s">
        <v>20</v>
      </c>
      <c r="W781" s="592">
        <f t="shared" si="32"/>
        <v>45869</v>
      </c>
      <c r="X781" s="588"/>
      <c r="Y781" s="523"/>
      <c r="Z781" s="588"/>
      <c r="AA781" s="588"/>
    </row>
    <row r="782" s="473" customFormat="1" ht="15.75" customHeight="1" spans="1:27">
      <c r="A782" s="492" t="s">
        <v>910</v>
      </c>
      <c r="B782" s="492" t="s">
        <v>4300</v>
      </c>
      <c r="C782" s="587" t="s">
        <v>5118</v>
      </c>
      <c r="D782" s="492" t="s">
        <v>5119</v>
      </c>
      <c r="E782" s="492"/>
      <c r="F782" s="492" t="s">
        <v>3979</v>
      </c>
      <c r="G782" s="492" t="s">
        <v>3079</v>
      </c>
      <c r="H782" s="587" t="s">
        <v>5120</v>
      </c>
      <c r="I782" s="545">
        <v>45824</v>
      </c>
      <c r="J782" s="545">
        <v>45848</v>
      </c>
      <c r="K782" s="492" t="s">
        <v>18</v>
      </c>
      <c r="L782" s="559" t="s">
        <v>3457</v>
      </c>
      <c r="M782" s="492" t="s">
        <v>5121</v>
      </c>
      <c r="N782" s="492"/>
      <c r="O782" s="492"/>
      <c r="P782" s="616">
        <v>450</v>
      </c>
      <c r="Q782" s="545">
        <v>45827</v>
      </c>
      <c r="R782" s="545">
        <v>45835</v>
      </c>
      <c r="S782" s="492"/>
      <c r="T782" s="545">
        <v>45845</v>
      </c>
      <c r="U782" s="545">
        <v>45853</v>
      </c>
      <c r="V782" s="492" t="s">
        <v>20</v>
      </c>
      <c r="W782" s="592">
        <f t="shared" si="32"/>
        <v>45869</v>
      </c>
      <c r="X782" s="588" t="s">
        <v>5122</v>
      </c>
      <c r="Y782" s="523"/>
      <c r="Z782" s="588"/>
      <c r="AA782" s="588"/>
    </row>
    <row r="783" s="473" customFormat="1" ht="15.75" customHeight="1" spans="1:27">
      <c r="A783" s="587" t="s">
        <v>1253</v>
      </c>
      <c r="B783" s="492" t="s">
        <v>4300</v>
      </c>
      <c r="C783" s="587" t="s">
        <v>5123</v>
      </c>
      <c r="D783" s="492" t="s">
        <v>5124</v>
      </c>
      <c r="E783" s="492"/>
      <c r="F783" s="492" t="s">
        <v>3979</v>
      </c>
      <c r="G783" s="492" t="s">
        <v>3079</v>
      </c>
      <c r="H783" s="587" t="s">
        <v>5125</v>
      </c>
      <c r="I783" s="592">
        <v>45801</v>
      </c>
      <c r="J783" s="592">
        <v>45849</v>
      </c>
      <c r="K783" s="249" t="s">
        <v>215</v>
      </c>
      <c r="L783" s="596" t="s">
        <v>3086</v>
      </c>
      <c r="M783" s="249" t="s">
        <v>5126</v>
      </c>
      <c r="N783" s="492"/>
      <c r="O783" s="492"/>
      <c r="P783" s="616"/>
      <c r="Q783" s="545">
        <v>45804</v>
      </c>
      <c r="R783" s="545">
        <v>45831</v>
      </c>
      <c r="S783" s="492"/>
      <c r="T783" s="545">
        <v>45842</v>
      </c>
      <c r="U783" s="545">
        <v>45853</v>
      </c>
      <c r="V783" s="492" t="s">
        <v>20</v>
      </c>
      <c r="W783" s="592">
        <f>J783+14</f>
        <v>45863</v>
      </c>
      <c r="X783" s="588"/>
      <c r="Y783" s="523"/>
      <c r="Z783" s="588"/>
      <c r="AA783" s="588"/>
    </row>
    <row r="784" s="473" customFormat="1" ht="15.75" customHeight="1" spans="1:27">
      <c r="A784" s="492" t="s">
        <v>1345</v>
      </c>
      <c r="B784" s="492" t="s">
        <v>4300</v>
      </c>
      <c r="C784" s="587" t="s">
        <v>5127</v>
      </c>
      <c r="D784" s="556" t="s">
        <v>5128</v>
      </c>
      <c r="E784" s="492"/>
      <c r="F784" s="492" t="s">
        <v>3979</v>
      </c>
      <c r="G784" s="587" t="s">
        <v>3067</v>
      </c>
      <c r="H784" s="587" t="s">
        <v>5129</v>
      </c>
      <c r="I784" s="545">
        <v>45827</v>
      </c>
      <c r="J784" s="545">
        <v>45849</v>
      </c>
      <c r="K784" s="492" t="s">
        <v>161</v>
      </c>
      <c r="L784" s="559" t="s">
        <v>5130</v>
      </c>
      <c r="M784" s="492" t="s">
        <v>309</v>
      </c>
      <c r="N784" s="492"/>
      <c r="O784" s="492"/>
      <c r="P784" s="616"/>
      <c r="Q784" s="545">
        <v>45833</v>
      </c>
      <c r="R784" s="545">
        <v>45845</v>
      </c>
      <c r="S784" s="492"/>
      <c r="T784" s="562">
        <v>45847</v>
      </c>
      <c r="U784" s="545">
        <v>45856</v>
      </c>
      <c r="V784" s="492" t="s">
        <v>20</v>
      </c>
      <c r="W784" s="592">
        <f>J784+21</f>
        <v>45870</v>
      </c>
      <c r="X784" s="588"/>
      <c r="Y784" s="523"/>
      <c r="Z784" s="588"/>
      <c r="AA784" s="588"/>
    </row>
    <row r="785" s="473" customFormat="1" ht="15.75" customHeight="1" spans="1:27">
      <c r="A785" s="587" t="s">
        <v>1253</v>
      </c>
      <c r="B785" s="492" t="s">
        <v>4300</v>
      </c>
      <c r="C785" s="492" t="s">
        <v>5131</v>
      </c>
      <c r="D785" s="492" t="s">
        <v>5132</v>
      </c>
      <c r="E785" s="492"/>
      <c r="F785" s="492" t="s">
        <v>3979</v>
      </c>
      <c r="G785" s="492" t="s">
        <v>3079</v>
      </c>
      <c r="H785" s="492" t="s">
        <v>5101</v>
      </c>
      <c r="I785" s="545">
        <v>45817</v>
      </c>
      <c r="J785" s="545">
        <v>45849</v>
      </c>
      <c r="K785" s="492" t="s">
        <v>207</v>
      </c>
      <c r="L785" s="631" t="s">
        <v>3069</v>
      </c>
      <c r="M785" s="587" t="s">
        <v>5133</v>
      </c>
      <c r="N785" s="492"/>
      <c r="O785" s="492"/>
      <c r="P785" s="616"/>
      <c r="Q785" s="545">
        <v>45820</v>
      </c>
      <c r="R785" s="545">
        <v>45842</v>
      </c>
      <c r="S785" s="492"/>
      <c r="T785" s="545">
        <v>45846</v>
      </c>
      <c r="U785" s="562">
        <v>45853</v>
      </c>
      <c r="V785" s="578" t="s">
        <v>20</v>
      </c>
      <c r="W785" s="592">
        <f>J785+14</f>
        <v>45863</v>
      </c>
      <c r="X785" s="588" t="s">
        <v>5134</v>
      </c>
      <c r="Y785" s="523"/>
      <c r="Z785" s="588"/>
      <c r="AA785" s="588"/>
    </row>
    <row r="786" s="473" customFormat="1" ht="15.75" customHeight="1" spans="1:27">
      <c r="A786" s="492" t="s">
        <v>1345</v>
      </c>
      <c r="B786" s="492" t="s">
        <v>4300</v>
      </c>
      <c r="C786" s="494" t="s">
        <v>5135</v>
      </c>
      <c r="D786" s="494" t="s">
        <v>5136</v>
      </c>
      <c r="E786" s="489"/>
      <c r="F786" s="492" t="s">
        <v>3979</v>
      </c>
      <c r="G786" s="494" t="s">
        <v>3067</v>
      </c>
      <c r="H786" s="494" t="s">
        <v>5137</v>
      </c>
      <c r="I786" s="195">
        <v>45820</v>
      </c>
      <c r="J786" s="545">
        <v>45849</v>
      </c>
      <c r="K786" s="249" t="s">
        <v>18</v>
      </c>
      <c r="L786" s="559" t="s">
        <v>4407</v>
      </c>
      <c r="M786" s="249" t="s">
        <v>309</v>
      </c>
      <c r="N786" s="489"/>
      <c r="O786" s="489"/>
      <c r="P786" s="630">
        <v>500</v>
      </c>
      <c r="Q786" s="195">
        <v>45826</v>
      </c>
      <c r="R786" s="195">
        <v>45840</v>
      </c>
      <c r="S786" s="489"/>
      <c r="T786" s="195">
        <v>45842</v>
      </c>
      <c r="U786" s="545">
        <v>45853</v>
      </c>
      <c r="V786" s="492" t="s">
        <v>20</v>
      </c>
      <c r="W786" s="592">
        <f t="shared" ref="W786:W801" si="33">J786+21</f>
        <v>45870</v>
      </c>
      <c r="X786" s="588"/>
      <c r="Y786" s="523"/>
      <c r="Z786" s="588"/>
      <c r="AA786" s="588"/>
    </row>
    <row r="787" s="473" customFormat="1" ht="15.75" customHeight="1" spans="1:27">
      <c r="A787" s="492" t="s">
        <v>1345</v>
      </c>
      <c r="B787" s="492" t="s">
        <v>4300</v>
      </c>
      <c r="C787" s="494" t="s">
        <v>5138</v>
      </c>
      <c r="D787" s="494" t="s">
        <v>5139</v>
      </c>
      <c r="E787" s="489"/>
      <c r="F787" s="492" t="s">
        <v>3979</v>
      </c>
      <c r="G787" s="494" t="s">
        <v>3067</v>
      </c>
      <c r="H787" s="494" t="s">
        <v>5137</v>
      </c>
      <c r="I787" s="545">
        <v>45820</v>
      </c>
      <c r="J787" s="545">
        <v>45849</v>
      </c>
      <c r="K787" s="249" t="s">
        <v>18</v>
      </c>
      <c r="L787" s="559" t="s">
        <v>4407</v>
      </c>
      <c r="M787" s="249" t="s">
        <v>309</v>
      </c>
      <c r="N787" s="489"/>
      <c r="O787" s="489"/>
      <c r="P787" s="630">
        <v>495</v>
      </c>
      <c r="Q787" s="195">
        <v>45826</v>
      </c>
      <c r="R787" s="195">
        <v>45841</v>
      </c>
      <c r="S787" s="489"/>
      <c r="T787" s="545">
        <v>45845</v>
      </c>
      <c r="U787" s="545">
        <v>45853</v>
      </c>
      <c r="V787" s="492" t="s">
        <v>20</v>
      </c>
      <c r="W787" s="592">
        <f t="shared" si="33"/>
        <v>45870</v>
      </c>
      <c r="X787" s="588"/>
      <c r="Y787" s="523"/>
      <c r="Z787" s="588"/>
      <c r="AA787" s="588"/>
    </row>
    <row r="788" s="473" customFormat="1" ht="15.75" customHeight="1" spans="1:27">
      <c r="A788" s="492" t="s">
        <v>1345</v>
      </c>
      <c r="B788" s="492" t="s">
        <v>4300</v>
      </c>
      <c r="C788" s="587" t="s">
        <v>5140</v>
      </c>
      <c r="D788" s="587" t="s">
        <v>5141</v>
      </c>
      <c r="E788" s="492"/>
      <c r="F788" s="492" t="s">
        <v>3979</v>
      </c>
      <c r="G788" s="492" t="s">
        <v>3079</v>
      </c>
      <c r="H788" s="492" t="s">
        <v>5142</v>
      </c>
      <c r="I788" s="545">
        <v>45818</v>
      </c>
      <c r="J788" s="545">
        <v>45849</v>
      </c>
      <c r="K788" s="249" t="s">
        <v>18</v>
      </c>
      <c r="L788" s="559" t="s">
        <v>4407</v>
      </c>
      <c r="M788" s="249" t="s">
        <v>309</v>
      </c>
      <c r="N788" s="492"/>
      <c r="O788" s="492"/>
      <c r="P788" s="616">
        <v>500</v>
      </c>
      <c r="Q788" s="545">
        <v>45825</v>
      </c>
      <c r="R788" s="545">
        <v>45833</v>
      </c>
      <c r="S788" s="492"/>
      <c r="T788" s="545">
        <v>45846</v>
      </c>
      <c r="U788" s="545">
        <v>45853</v>
      </c>
      <c r="V788" s="492" t="s">
        <v>20</v>
      </c>
      <c r="W788" s="592">
        <f t="shared" si="33"/>
        <v>45870</v>
      </c>
      <c r="X788" s="588" t="s">
        <v>5143</v>
      </c>
      <c r="Y788" s="523"/>
      <c r="Z788" s="588"/>
      <c r="AA788" s="588"/>
    </row>
    <row r="789" s="473" customFormat="1" ht="15.75" customHeight="1" spans="1:27">
      <c r="A789" s="492" t="s">
        <v>1345</v>
      </c>
      <c r="B789" s="492" t="s">
        <v>4300</v>
      </c>
      <c r="C789" s="494" t="s">
        <v>5144</v>
      </c>
      <c r="D789" s="494" t="s">
        <v>5145</v>
      </c>
      <c r="E789" s="489"/>
      <c r="F789" s="492" t="s">
        <v>3979</v>
      </c>
      <c r="G789" s="492" t="s">
        <v>3079</v>
      </c>
      <c r="H789" s="492" t="s">
        <v>5142</v>
      </c>
      <c r="I789" s="545">
        <v>45818</v>
      </c>
      <c r="J789" s="545">
        <v>45849</v>
      </c>
      <c r="K789" s="249" t="s">
        <v>18</v>
      </c>
      <c r="L789" s="559" t="s">
        <v>4407</v>
      </c>
      <c r="M789" s="249" t="s">
        <v>309</v>
      </c>
      <c r="N789" s="489"/>
      <c r="O789" s="489"/>
      <c r="P789" s="630">
        <v>500</v>
      </c>
      <c r="Q789" s="195">
        <v>45825</v>
      </c>
      <c r="R789" s="195">
        <v>45833</v>
      </c>
      <c r="S789" s="489"/>
      <c r="T789" s="545">
        <v>45846</v>
      </c>
      <c r="U789" s="545">
        <v>45853</v>
      </c>
      <c r="V789" s="492" t="s">
        <v>20</v>
      </c>
      <c r="W789" s="592">
        <f t="shared" si="33"/>
        <v>45870</v>
      </c>
      <c r="X789" s="588"/>
      <c r="Y789" s="523"/>
      <c r="Z789" s="588"/>
      <c r="AA789" s="588"/>
    </row>
    <row r="790" s="473" customFormat="1" ht="15.75" customHeight="1" spans="1:27">
      <c r="A790" s="492" t="s">
        <v>1345</v>
      </c>
      <c r="B790" s="492" t="s">
        <v>4300</v>
      </c>
      <c r="C790" s="587" t="s">
        <v>5146</v>
      </c>
      <c r="D790" s="578" t="s">
        <v>5147</v>
      </c>
      <c r="E790" s="492"/>
      <c r="F790" s="492" t="s">
        <v>3979</v>
      </c>
      <c r="G790" s="492" t="s">
        <v>3079</v>
      </c>
      <c r="H790" s="625" t="s">
        <v>5148</v>
      </c>
      <c r="I790" s="545">
        <v>45825</v>
      </c>
      <c r="J790" s="545">
        <v>45849</v>
      </c>
      <c r="K790" s="492" t="s">
        <v>161</v>
      </c>
      <c r="L790" s="559" t="s">
        <v>5130</v>
      </c>
      <c r="M790" s="492" t="s">
        <v>309</v>
      </c>
      <c r="N790" s="492"/>
      <c r="O790" s="492"/>
      <c r="P790" s="616"/>
      <c r="Q790" s="545">
        <v>45831</v>
      </c>
      <c r="R790" s="545">
        <v>45841</v>
      </c>
      <c r="S790" s="492"/>
      <c r="T790" s="562">
        <v>45845</v>
      </c>
      <c r="U790" s="545">
        <v>45856</v>
      </c>
      <c r="V790" s="492" t="s">
        <v>20</v>
      </c>
      <c r="W790" s="592">
        <f t="shared" si="33"/>
        <v>45870</v>
      </c>
      <c r="X790" s="588"/>
      <c r="Y790" s="523"/>
      <c r="Z790" s="588"/>
      <c r="AA790" s="588"/>
    </row>
    <row r="791" s="473" customFormat="1" ht="15.75" customHeight="1" spans="1:27">
      <c r="A791" s="492" t="s">
        <v>1345</v>
      </c>
      <c r="B791" s="492" t="s">
        <v>4300</v>
      </c>
      <c r="C791" s="587" t="s">
        <v>5149</v>
      </c>
      <c r="D791" s="578" t="s">
        <v>5150</v>
      </c>
      <c r="E791" s="492"/>
      <c r="F791" s="492" t="s">
        <v>3979</v>
      </c>
      <c r="G791" s="492" t="s">
        <v>3079</v>
      </c>
      <c r="H791" s="587" t="s">
        <v>5151</v>
      </c>
      <c r="I791" s="545">
        <v>45825</v>
      </c>
      <c r="J791" s="545">
        <v>45849</v>
      </c>
      <c r="K791" s="492" t="s">
        <v>161</v>
      </c>
      <c r="L791" s="559" t="s">
        <v>5130</v>
      </c>
      <c r="M791" s="492" t="s">
        <v>309</v>
      </c>
      <c r="N791" s="492"/>
      <c r="O791" s="492"/>
      <c r="P791" s="616"/>
      <c r="Q791" s="545">
        <v>45831</v>
      </c>
      <c r="R791" s="545">
        <v>45841</v>
      </c>
      <c r="S791" s="492"/>
      <c r="T791" s="562">
        <v>45845</v>
      </c>
      <c r="U791" s="545">
        <v>45855</v>
      </c>
      <c r="V791" s="492" t="s">
        <v>20</v>
      </c>
      <c r="W791" s="592">
        <f t="shared" si="33"/>
        <v>45870</v>
      </c>
      <c r="X791" s="588"/>
      <c r="Y791" s="523"/>
      <c r="Z791" s="588"/>
      <c r="AA791" s="588"/>
    </row>
    <row r="792" s="473" customFormat="1" ht="15.75" customHeight="1" spans="1:27">
      <c r="A792" s="492" t="s">
        <v>1345</v>
      </c>
      <c r="B792" s="492" t="s">
        <v>4300</v>
      </c>
      <c r="C792" s="494" t="s">
        <v>5152</v>
      </c>
      <c r="D792" s="554" t="s">
        <v>5153</v>
      </c>
      <c r="E792" s="489"/>
      <c r="F792" s="492" t="s">
        <v>3979</v>
      </c>
      <c r="G792" s="492" t="s">
        <v>3079</v>
      </c>
      <c r="H792" s="494" t="s">
        <v>5151</v>
      </c>
      <c r="I792" s="545">
        <v>45825</v>
      </c>
      <c r="J792" s="545">
        <v>45850</v>
      </c>
      <c r="K792" s="492" t="s">
        <v>161</v>
      </c>
      <c r="L792" s="559" t="s">
        <v>5130</v>
      </c>
      <c r="M792" s="494" t="s">
        <v>309</v>
      </c>
      <c r="N792" s="489"/>
      <c r="O792" s="489"/>
      <c r="P792" s="630"/>
      <c r="Q792" s="195">
        <v>45832</v>
      </c>
      <c r="R792" s="195">
        <v>45841</v>
      </c>
      <c r="S792" s="489"/>
      <c r="T792" s="234">
        <v>45845</v>
      </c>
      <c r="U792" s="545">
        <v>45854</v>
      </c>
      <c r="V792" s="492" t="s">
        <v>20</v>
      </c>
      <c r="W792" s="592">
        <f t="shared" si="33"/>
        <v>45871</v>
      </c>
      <c r="X792" s="588"/>
      <c r="Y792" s="523"/>
      <c r="Z792" s="588"/>
      <c r="AA792" s="588"/>
    </row>
    <row r="793" s="473" customFormat="1" ht="15.75" customHeight="1" spans="1:27">
      <c r="A793" s="492" t="s">
        <v>1345</v>
      </c>
      <c r="B793" s="492" t="s">
        <v>4300</v>
      </c>
      <c r="C793" s="494" t="s">
        <v>5154</v>
      </c>
      <c r="D793" s="554" t="s">
        <v>5155</v>
      </c>
      <c r="E793" s="489"/>
      <c r="F793" s="492" t="s">
        <v>3979</v>
      </c>
      <c r="G793" s="492" t="s">
        <v>3079</v>
      </c>
      <c r="H793" s="626" t="s">
        <v>5148</v>
      </c>
      <c r="I793" s="545">
        <v>45825</v>
      </c>
      <c r="J793" s="545">
        <v>45850</v>
      </c>
      <c r="K793" s="492" t="s">
        <v>161</v>
      </c>
      <c r="L793" s="559" t="s">
        <v>5130</v>
      </c>
      <c r="M793" s="492" t="s">
        <v>309</v>
      </c>
      <c r="N793" s="489"/>
      <c r="O793" s="489"/>
      <c r="P793" s="630"/>
      <c r="Q793" s="195">
        <v>45831</v>
      </c>
      <c r="R793" s="195">
        <v>45841</v>
      </c>
      <c r="S793" s="489"/>
      <c r="T793" s="234">
        <v>45845</v>
      </c>
      <c r="U793" s="545">
        <v>45854</v>
      </c>
      <c r="V793" s="492" t="s">
        <v>20</v>
      </c>
      <c r="W793" s="592">
        <f t="shared" si="33"/>
        <v>45871</v>
      </c>
      <c r="X793" s="588"/>
      <c r="Y793" s="523"/>
      <c r="Z793" s="588"/>
      <c r="AA793" s="588"/>
    </row>
    <row r="794" s="473" customFormat="1" ht="15.75" customHeight="1" spans="1:27">
      <c r="A794" s="492" t="s">
        <v>1345</v>
      </c>
      <c r="B794" s="492" t="s">
        <v>4300</v>
      </c>
      <c r="C794" s="494" t="s">
        <v>5156</v>
      </c>
      <c r="D794" s="554" t="s">
        <v>5157</v>
      </c>
      <c r="E794" s="489"/>
      <c r="F794" s="492" t="s">
        <v>3979</v>
      </c>
      <c r="G794" s="492" t="s">
        <v>3079</v>
      </c>
      <c r="H794" s="494" t="s">
        <v>5151</v>
      </c>
      <c r="I794" s="545">
        <v>45825</v>
      </c>
      <c r="J794" s="545">
        <v>45850</v>
      </c>
      <c r="K794" s="492" t="s">
        <v>161</v>
      </c>
      <c r="L794" s="559" t="s">
        <v>5130</v>
      </c>
      <c r="M794" s="492" t="s">
        <v>309</v>
      </c>
      <c r="N794" s="489"/>
      <c r="O794" s="489"/>
      <c r="P794" s="630"/>
      <c r="Q794" s="195">
        <v>45831</v>
      </c>
      <c r="R794" s="195">
        <v>45841</v>
      </c>
      <c r="S794" s="489"/>
      <c r="T794" s="234">
        <v>45845</v>
      </c>
      <c r="U794" s="545">
        <v>45854</v>
      </c>
      <c r="V794" s="492" t="s">
        <v>20</v>
      </c>
      <c r="W794" s="592">
        <f t="shared" si="33"/>
        <v>45871</v>
      </c>
      <c r="X794" s="588"/>
      <c r="Y794" s="523"/>
      <c r="Z794" s="588"/>
      <c r="AA794" s="588"/>
    </row>
    <row r="795" s="473" customFormat="1" ht="15.75" customHeight="1" spans="1:27">
      <c r="A795" s="492" t="s">
        <v>1345</v>
      </c>
      <c r="B795" s="492" t="s">
        <v>4300</v>
      </c>
      <c r="C795" s="494" t="s">
        <v>5158</v>
      </c>
      <c r="D795" s="554" t="s">
        <v>5159</v>
      </c>
      <c r="E795" s="489"/>
      <c r="F795" s="492" t="s">
        <v>3979</v>
      </c>
      <c r="G795" s="492" t="s">
        <v>3079</v>
      </c>
      <c r="H795" s="494" t="s">
        <v>5151</v>
      </c>
      <c r="I795" s="545">
        <v>45825</v>
      </c>
      <c r="J795" s="545">
        <v>45850</v>
      </c>
      <c r="K795" s="492" t="s">
        <v>161</v>
      </c>
      <c r="L795" s="559" t="s">
        <v>5130</v>
      </c>
      <c r="M795" s="492" t="s">
        <v>309</v>
      </c>
      <c r="N795" s="489"/>
      <c r="O795" s="489"/>
      <c r="P795" s="630"/>
      <c r="Q795" s="195">
        <v>45831</v>
      </c>
      <c r="R795" s="195">
        <v>45841</v>
      </c>
      <c r="S795" s="489"/>
      <c r="T795" s="234">
        <v>45845</v>
      </c>
      <c r="U795" s="545">
        <v>45855</v>
      </c>
      <c r="V795" s="492" t="s">
        <v>20</v>
      </c>
      <c r="W795" s="592">
        <f t="shared" si="33"/>
        <v>45871</v>
      </c>
      <c r="X795" s="588"/>
      <c r="Y795" s="523"/>
      <c r="Z795" s="588"/>
      <c r="AA795" s="588"/>
    </row>
    <row r="796" s="473" customFormat="1" ht="15.75" customHeight="1" spans="1:27">
      <c r="A796" s="492" t="s">
        <v>1345</v>
      </c>
      <c r="B796" s="492" t="s">
        <v>4300</v>
      </c>
      <c r="C796" s="494" t="s">
        <v>5160</v>
      </c>
      <c r="D796" s="554" t="s">
        <v>5161</v>
      </c>
      <c r="E796" s="489"/>
      <c r="F796" s="492" t="s">
        <v>3979</v>
      </c>
      <c r="G796" s="492" t="s">
        <v>3079</v>
      </c>
      <c r="H796" s="494" t="s">
        <v>5151</v>
      </c>
      <c r="I796" s="545">
        <v>45825</v>
      </c>
      <c r="J796" s="545">
        <v>45850</v>
      </c>
      <c r="K796" s="492" t="s">
        <v>161</v>
      </c>
      <c r="L796" s="559" t="s">
        <v>5130</v>
      </c>
      <c r="M796" s="492" t="s">
        <v>309</v>
      </c>
      <c r="N796" s="489"/>
      <c r="O796" s="489"/>
      <c r="P796" s="630"/>
      <c r="Q796" s="195">
        <v>45831</v>
      </c>
      <c r="R796" s="195">
        <v>45841</v>
      </c>
      <c r="S796" s="489"/>
      <c r="T796" s="234">
        <v>45845</v>
      </c>
      <c r="U796" s="545">
        <v>45855</v>
      </c>
      <c r="V796" s="492" t="s">
        <v>20</v>
      </c>
      <c r="W796" s="592">
        <f t="shared" si="33"/>
        <v>45871</v>
      </c>
      <c r="X796" s="588"/>
      <c r="Y796" s="523"/>
      <c r="Z796" s="588"/>
      <c r="AA796" s="588"/>
    </row>
    <row r="797" s="473" customFormat="1" ht="15.75" customHeight="1" spans="1:27">
      <c r="A797" s="492" t="s">
        <v>1345</v>
      </c>
      <c r="B797" s="492" t="s">
        <v>4300</v>
      </c>
      <c r="C797" s="587" t="s">
        <v>5162</v>
      </c>
      <c r="D797" s="492" t="s">
        <v>5163</v>
      </c>
      <c r="E797" s="492"/>
      <c r="F797" s="492" t="s">
        <v>3979</v>
      </c>
      <c r="G797" s="492" t="s">
        <v>3079</v>
      </c>
      <c r="H797" s="587" t="s">
        <v>5142</v>
      </c>
      <c r="I797" s="545">
        <v>45818</v>
      </c>
      <c r="J797" s="545">
        <v>45850</v>
      </c>
      <c r="K797" s="249" t="s">
        <v>18</v>
      </c>
      <c r="L797" s="559" t="s">
        <v>4407</v>
      </c>
      <c r="M797" s="249" t="s">
        <v>309</v>
      </c>
      <c r="N797" s="492"/>
      <c r="O797" s="492"/>
      <c r="P797" s="616">
        <v>500</v>
      </c>
      <c r="Q797" s="545">
        <v>45825</v>
      </c>
      <c r="R797" s="545">
        <v>45833</v>
      </c>
      <c r="S797" s="492"/>
      <c r="T797" s="545">
        <v>45846</v>
      </c>
      <c r="U797" s="545">
        <v>45853</v>
      </c>
      <c r="V797" s="492" t="s">
        <v>20</v>
      </c>
      <c r="W797" s="592">
        <f t="shared" si="33"/>
        <v>45871</v>
      </c>
      <c r="X797" s="588" t="s">
        <v>5143</v>
      </c>
      <c r="Y797" s="523"/>
      <c r="Z797" s="588"/>
      <c r="AA797" s="588"/>
    </row>
    <row r="798" s="473" customFormat="1" ht="15.75" customHeight="1" spans="1:27">
      <c r="A798" s="587" t="s">
        <v>1345</v>
      </c>
      <c r="B798" s="492" t="s">
        <v>4300</v>
      </c>
      <c r="C798" s="492" t="s">
        <v>5164</v>
      </c>
      <c r="D798" s="587" t="s">
        <v>5165</v>
      </c>
      <c r="E798" s="492"/>
      <c r="F798" s="492" t="s">
        <v>3979</v>
      </c>
      <c r="G798" s="492" t="s">
        <v>3079</v>
      </c>
      <c r="H798" s="492" t="s">
        <v>5142</v>
      </c>
      <c r="I798" s="545">
        <v>45818</v>
      </c>
      <c r="J798" s="545">
        <v>45851</v>
      </c>
      <c r="K798" s="249" t="s">
        <v>18</v>
      </c>
      <c r="L798" s="559" t="s">
        <v>4407</v>
      </c>
      <c r="M798" s="249" t="s">
        <v>309</v>
      </c>
      <c r="N798" s="492"/>
      <c r="O798" s="492"/>
      <c r="P798" s="616">
        <v>500</v>
      </c>
      <c r="Q798" s="545">
        <v>45825</v>
      </c>
      <c r="R798" s="545">
        <v>45833</v>
      </c>
      <c r="S798" s="492"/>
      <c r="T798" s="545">
        <v>45846</v>
      </c>
      <c r="U798" s="545">
        <v>45853</v>
      </c>
      <c r="V798" s="492" t="s">
        <v>20</v>
      </c>
      <c r="W798" s="592">
        <f t="shared" si="33"/>
        <v>45872</v>
      </c>
      <c r="X798" s="588" t="s">
        <v>5143</v>
      </c>
      <c r="Y798" s="523"/>
      <c r="Z798" s="588"/>
      <c r="AA798" s="588"/>
    </row>
    <row r="799" s="473" customFormat="1" ht="15.75" customHeight="1" spans="1:27">
      <c r="A799" s="492" t="s">
        <v>1345</v>
      </c>
      <c r="B799" s="492" t="s">
        <v>4300</v>
      </c>
      <c r="C799" s="587" t="s">
        <v>5166</v>
      </c>
      <c r="D799" s="587" t="s">
        <v>5167</v>
      </c>
      <c r="E799" s="492"/>
      <c r="F799" s="492" t="s">
        <v>3979</v>
      </c>
      <c r="G799" s="492" t="s">
        <v>3079</v>
      </c>
      <c r="H799" s="587" t="s">
        <v>5142</v>
      </c>
      <c r="I799" s="545">
        <v>45818</v>
      </c>
      <c r="J799" s="545">
        <v>45851</v>
      </c>
      <c r="K799" s="249" t="s">
        <v>18</v>
      </c>
      <c r="L799" s="559" t="s">
        <v>4407</v>
      </c>
      <c r="M799" s="249" t="s">
        <v>309</v>
      </c>
      <c r="N799" s="492"/>
      <c r="O799" s="492"/>
      <c r="P799" s="616">
        <v>500</v>
      </c>
      <c r="Q799" s="545">
        <v>45825</v>
      </c>
      <c r="R799" s="545">
        <v>45833</v>
      </c>
      <c r="S799" s="492"/>
      <c r="T799" s="545">
        <v>45846</v>
      </c>
      <c r="U799" s="545">
        <v>45853</v>
      </c>
      <c r="V799" s="492" t="s">
        <v>20</v>
      </c>
      <c r="W799" s="592">
        <f t="shared" si="33"/>
        <v>45872</v>
      </c>
      <c r="X799" s="588" t="s">
        <v>5143</v>
      </c>
      <c r="Y799" s="523"/>
      <c r="Z799" s="588"/>
      <c r="AA799" s="588"/>
    </row>
    <row r="800" s="473" customFormat="1" ht="15.75" customHeight="1" spans="1:27">
      <c r="A800" s="492" t="s">
        <v>1310</v>
      </c>
      <c r="B800" s="492" t="s">
        <v>4300</v>
      </c>
      <c r="C800" s="494" t="s">
        <v>5168</v>
      </c>
      <c r="D800" s="492" t="s">
        <v>5169</v>
      </c>
      <c r="E800" s="489"/>
      <c r="F800" s="492" t="s">
        <v>3979</v>
      </c>
      <c r="G800" s="492" t="s">
        <v>3079</v>
      </c>
      <c r="H800" s="494" t="s">
        <v>5120</v>
      </c>
      <c r="I800" s="545">
        <v>45824</v>
      </c>
      <c r="J800" s="545">
        <v>45852</v>
      </c>
      <c r="K800" s="492" t="s">
        <v>39</v>
      </c>
      <c r="L800" s="559" t="s">
        <v>3419</v>
      </c>
      <c r="M800" s="492" t="s">
        <v>5105</v>
      </c>
      <c r="N800" s="489"/>
      <c r="O800" s="489"/>
      <c r="P800" s="630"/>
      <c r="Q800" s="195">
        <v>45827</v>
      </c>
      <c r="R800" s="195">
        <v>45838</v>
      </c>
      <c r="S800" s="489"/>
      <c r="T800" s="195">
        <v>45848</v>
      </c>
      <c r="U800" s="545">
        <v>45856</v>
      </c>
      <c r="V800" s="492" t="s">
        <v>20</v>
      </c>
      <c r="W800" s="592">
        <f t="shared" si="33"/>
        <v>45873</v>
      </c>
      <c r="X800" s="588"/>
      <c r="Y800" s="523"/>
      <c r="Z800" s="588"/>
      <c r="AA800" s="588"/>
    </row>
    <row r="801" s="473" customFormat="1" ht="15.75" customHeight="1" spans="1:27">
      <c r="A801" s="587" t="s">
        <v>1417</v>
      </c>
      <c r="B801" s="587" t="s">
        <v>4300</v>
      </c>
      <c r="C801" s="492" t="s">
        <v>5170</v>
      </c>
      <c r="D801" s="492" t="s">
        <v>5171</v>
      </c>
      <c r="E801" s="492"/>
      <c r="F801" s="492" t="s">
        <v>3979</v>
      </c>
      <c r="G801" s="587" t="s">
        <v>3146</v>
      </c>
      <c r="H801" s="587" t="s">
        <v>5172</v>
      </c>
      <c r="I801" s="545">
        <v>45828</v>
      </c>
      <c r="J801" s="545">
        <v>45854</v>
      </c>
      <c r="K801" s="587" t="s">
        <v>18</v>
      </c>
      <c r="L801" s="631" t="s">
        <v>3452</v>
      </c>
      <c r="M801" s="587" t="s">
        <v>1421</v>
      </c>
      <c r="N801" s="492"/>
      <c r="O801" s="492"/>
      <c r="P801" s="616"/>
      <c r="Q801" s="545">
        <v>45838</v>
      </c>
      <c r="R801" s="545">
        <v>45847</v>
      </c>
      <c r="S801" s="492"/>
      <c r="T801" s="545">
        <v>45853</v>
      </c>
      <c r="U801" s="545">
        <v>45860</v>
      </c>
      <c r="V801" s="492" t="s">
        <v>20</v>
      </c>
      <c r="W801" s="592">
        <f t="shared" si="33"/>
        <v>45875</v>
      </c>
      <c r="X801" s="588"/>
      <c r="Y801" s="523"/>
      <c r="Z801" s="588"/>
      <c r="AA801" s="588"/>
    </row>
    <row r="802" s="473" customFormat="1" ht="15.75" customHeight="1" spans="1:27">
      <c r="A802" s="587" t="s">
        <v>910</v>
      </c>
      <c r="B802" s="587" t="s">
        <v>4329</v>
      </c>
      <c r="C802" s="492" t="s">
        <v>5173</v>
      </c>
      <c r="D802" s="578" t="s">
        <v>5174</v>
      </c>
      <c r="E802" s="492"/>
      <c r="F802" s="556" t="s">
        <v>4018</v>
      </c>
      <c r="G802" s="587" t="s">
        <v>3024</v>
      </c>
      <c r="H802" s="587" t="s">
        <v>5175</v>
      </c>
      <c r="I802" s="545">
        <v>45828</v>
      </c>
      <c r="J802" s="545">
        <v>45856</v>
      </c>
      <c r="K802" s="492" t="s">
        <v>18</v>
      </c>
      <c r="L802" s="596" t="s">
        <v>3452</v>
      </c>
      <c r="M802" s="587" t="s">
        <v>5176</v>
      </c>
      <c r="N802" s="492"/>
      <c r="O802" s="492"/>
      <c r="P802" s="616"/>
      <c r="Q802" s="545">
        <v>45831</v>
      </c>
      <c r="R802" s="545">
        <v>45839</v>
      </c>
      <c r="S802" s="492"/>
      <c r="T802" s="545">
        <v>45847</v>
      </c>
      <c r="U802" s="545">
        <v>45860</v>
      </c>
      <c r="V802" s="492" t="s">
        <v>20</v>
      </c>
      <c r="W802" s="592">
        <f t="shared" ref="W802:W807" si="34">J802+14</f>
        <v>45870</v>
      </c>
      <c r="X802" s="588" t="s">
        <v>5177</v>
      </c>
      <c r="Y802" s="559"/>
      <c r="Z802" s="588"/>
      <c r="AA802" s="588"/>
    </row>
    <row r="803" s="473" customFormat="1" ht="15.75" customHeight="1" spans="1:27">
      <c r="A803" s="492" t="s">
        <v>910</v>
      </c>
      <c r="B803" s="492" t="s">
        <v>4329</v>
      </c>
      <c r="C803" s="492" t="s">
        <v>5178</v>
      </c>
      <c r="D803" s="578" t="s">
        <v>5179</v>
      </c>
      <c r="E803" s="492"/>
      <c r="F803" s="556" t="s">
        <v>4018</v>
      </c>
      <c r="G803" s="492" t="s">
        <v>3024</v>
      </c>
      <c r="H803" s="492" t="s">
        <v>5175</v>
      </c>
      <c r="I803" s="545">
        <v>45828</v>
      </c>
      <c r="J803" s="545">
        <v>45856</v>
      </c>
      <c r="K803" s="492" t="s">
        <v>18</v>
      </c>
      <c r="L803" s="596" t="s">
        <v>3452</v>
      </c>
      <c r="M803" s="492" t="s">
        <v>2615</v>
      </c>
      <c r="N803" s="492"/>
      <c r="O803" s="492"/>
      <c r="P803" s="616"/>
      <c r="Q803" s="545">
        <v>45831</v>
      </c>
      <c r="R803" s="545">
        <v>45839</v>
      </c>
      <c r="S803" s="492"/>
      <c r="T803" s="545">
        <v>45847</v>
      </c>
      <c r="U803" s="545">
        <v>45860</v>
      </c>
      <c r="V803" s="492" t="s">
        <v>20</v>
      </c>
      <c r="W803" s="592">
        <f t="shared" si="34"/>
        <v>45870</v>
      </c>
      <c r="X803" s="588" t="s">
        <v>5177</v>
      </c>
      <c r="Y803" s="559"/>
      <c r="Z803" s="588"/>
      <c r="AA803" s="588"/>
    </row>
    <row r="804" s="473" customFormat="1" ht="15.75" customHeight="1" spans="1:27">
      <c r="A804" s="492" t="s">
        <v>910</v>
      </c>
      <c r="B804" s="492" t="s">
        <v>4329</v>
      </c>
      <c r="C804" s="492" t="s">
        <v>5180</v>
      </c>
      <c r="D804" s="578" t="s">
        <v>5181</v>
      </c>
      <c r="E804" s="492"/>
      <c r="F804" s="556" t="s">
        <v>4018</v>
      </c>
      <c r="G804" s="492" t="s">
        <v>3024</v>
      </c>
      <c r="H804" s="492" t="s">
        <v>5175</v>
      </c>
      <c r="I804" s="545">
        <v>45828</v>
      </c>
      <c r="J804" s="545">
        <v>45856</v>
      </c>
      <c r="K804" s="492" t="s">
        <v>18</v>
      </c>
      <c r="L804" s="559" t="s">
        <v>4407</v>
      </c>
      <c r="M804" s="632" t="s">
        <v>5182</v>
      </c>
      <c r="N804" s="492"/>
      <c r="O804" s="492"/>
      <c r="P804" s="616"/>
      <c r="Q804" s="545">
        <v>45831</v>
      </c>
      <c r="R804" s="545">
        <v>45842</v>
      </c>
      <c r="S804" s="492"/>
      <c r="T804" s="545">
        <v>45847</v>
      </c>
      <c r="U804" s="545">
        <v>45860</v>
      </c>
      <c r="V804" s="492" t="s">
        <v>20</v>
      </c>
      <c r="W804" s="592">
        <f t="shared" si="34"/>
        <v>45870</v>
      </c>
      <c r="X804" s="588" t="s">
        <v>5183</v>
      </c>
      <c r="Y804" s="559"/>
      <c r="Z804" s="588"/>
      <c r="AA804" s="588"/>
    </row>
    <row r="805" s="473" customFormat="1" ht="15.75" customHeight="1" spans="1:27">
      <c r="A805" s="492" t="s">
        <v>910</v>
      </c>
      <c r="B805" s="492" t="s">
        <v>4329</v>
      </c>
      <c r="C805" s="492" t="s">
        <v>5184</v>
      </c>
      <c r="D805" s="578" t="s">
        <v>5185</v>
      </c>
      <c r="E805" s="492"/>
      <c r="F805" s="556" t="s">
        <v>4018</v>
      </c>
      <c r="G805" s="492" t="s">
        <v>3024</v>
      </c>
      <c r="H805" s="492" t="s">
        <v>5175</v>
      </c>
      <c r="I805" s="545">
        <v>45828</v>
      </c>
      <c r="J805" s="545">
        <v>45856</v>
      </c>
      <c r="K805" s="492" t="s">
        <v>18</v>
      </c>
      <c r="L805" s="611" t="s">
        <v>4407</v>
      </c>
      <c r="M805" s="492" t="s">
        <v>309</v>
      </c>
      <c r="N805" s="492"/>
      <c r="O805" s="492"/>
      <c r="P805" s="616"/>
      <c r="Q805" s="545">
        <v>45832</v>
      </c>
      <c r="R805" s="545">
        <v>45839</v>
      </c>
      <c r="S805" s="492"/>
      <c r="T805" s="545">
        <v>45847</v>
      </c>
      <c r="U805" s="545">
        <v>45860</v>
      </c>
      <c r="V805" s="492" t="s">
        <v>20</v>
      </c>
      <c r="W805" s="592">
        <f t="shared" si="34"/>
        <v>45870</v>
      </c>
      <c r="X805" s="588" t="s">
        <v>5183</v>
      </c>
      <c r="Y805" s="559"/>
      <c r="Z805" s="588"/>
      <c r="AA805" s="588"/>
    </row>
    <row r="806" s="473" customFormat="1" ht="15.75" customHeight="1" spans="1:27">
      <c r="A806" s="492" t="s">
        <v>910</v>
      </c>
      <c r="B806" s="492" t="s">
        <v>4329</v>
      </c>
      <c r="C806" s="492" t="s">
        <v>5186</v>
      </c>
      <c r="D806" s="578" t="s">
        <v>5187</v>
      </c>
      <c r="E806" s="492"/>
      <c r="F806" s="556" t="s">
        <v>4018</v>
      </c>
      <c r="G806" s="492" t="s">
        <v>3024</v>
      </c>
      <c r="H806" s="492" t="s">
        <v>5175</v>
      </c>
      <c r="I806" s="545">
        <v>45828</v>
      </c>
      <c r="J806" s="545">
        <v>45856</v>
      </c>
      <c r="K806" s="492" t="s">
        <v>18</v>
      </c>
      <c r="L806" s="623" t="s">
        <v>3457</v>
      </c>
      <c r="M806" s="492" t="s">
        <v>309</v>
      </c>
      <c r="N806" s="492"/>
      <c r="O806" s="492"/>
      <c r="P806" s="616"/>
      <c r="Q806" s="545">
        <v>45831</v>
      </c>
      <c r="R806" s="545">
        <v>45839</v>
      </c>
      <c r="S806" s="492"/>
      <c r="T806" s="545">
        <v>45847</v>
      </c>
      <c r="U806" s="545">
        <v>45861</v>
      </c>
      <c r="V806" s="492" t="s">
        <v>20</v>
      </c>
      <c r="W806" s="592">
        <f t="shared" si="34"/>
        <v>45870</v>
      </c>
      <c r="X806" s="588" t="s">
        <v>5183</v>
      </c>
      <c r="Y806" s="559"/>
      <c r="Z806" s="588"/>
      <c r="AA806" s="588"/>
    </row>
    <row r="807" s="473" customFormat="1" ht="15.75" customHeight="1" spans="1:27">
      <c r="A807" s="492" t="s">
        <v>910</v>
      </c>
      <c r="B807" s="492" t="s">
        <v>4329</v>
      </c>
      <c r="C807" s="492" t="s">
        <v>5188</v>
      </c>
      <c r="D807" s="587" t="s">
        <v>5189</v>
      </c>
      <c r="E807" s="492"/>
      <c r="F807" s="556" t="s">
        <v>4018</v>
      </c>
      <c r="G807" s="492" t="s">
        <v>3024</v>
      </c>
      <c r="H807" s="492" t="s">
        <v>5175</v>
      </c>
      <c r="I807" s="545">
        <v>45828</v>
      </c>
      <c r="J807" s="545">
        <v>45856</v>
      </c>
      <c r="K807" s="492" t="s">
        <v>18</v>
      </c>
      <c r="L807" s="559" t="s">
        <v>3457</v>
      </c>
      <c r="M807" s="492" t="s">
        <v>309</v>
      </c>
      <c r="N807" s="492"/>
      <c r="O807" s="492"/>
      <c r="P807" s="616"/>
      <c r="Q807" s="545">
        <v>45831</v>
      </c>
      <c r="R807" s="545">
        <v>45839</v>
      </c>
      <c r="S807" s="492"/>
      <c r="T807" s="545">
        <v>45847</v>
      </c>
      <c r="U807" s="545">
        <v>45861</v>
      </c>
      <c r="V807" s="492" t="s">
        <v>20</v>
      </c>
      <c r="W807" s="592">
        <f t="shared" si="34"/>
        <v>45870</v>
      </c>
      <c r="X807" s="588" t="s">
        <v>5183</v>
      </c>
      <c r="Y807" s="559"/>
      <c r="Z807" s="588"/>
      <c r="AA807" s="588"/>
    </row>
    <row r="808" s="473" customFormat="1" ht="15.75" customHeight="1" spans="1:27">
      <c r="A808" s="492" t="s">
        <v>1345</v>
      </c>
      <c r="B808" s="492" t="s">
        <v>4300</v>
      </c>
      <c r="C808" s="494" t="s">
        <v>5190</v>
      </c>
      <c r="D808" s="556" t="s">
        <v>5191</v>
      </c>
      <c r="E808" s="489"/>
      <c r="F808" s="492" t="s">
        <v>3979</v>
      </c>
      <c r="G808" s="492" t="s">
        <v>3079</v>
      </c>
      <c r="H808" s="494" t="s">
        <v>5151</v>
      </c>
      <c r="I808" s="545">
        <v>45825</v>
      </c>
      <c r="J808" s="562">
        <v>45857</v>
      </c>
      <c r="K808" s="492" t="s">
        <v>161</v>
      </c>
      <c r="L808" s="559" t="s">
        <v>5130</v>
      </c>
      <c r="M808" s="492" t="s">
        <v>309</v>
      </c>
      <c r="N808" s="489"/>
      <c r="O808" s="489"/>
      <c r="P808" s="630"/>
      <c r="Q808" s="195">
        <v>45832</v>
      </c>
      <c r="R808" s="195">
        <v>45845</v>
      </c>
      <c r="S808" s="489"/>
      <c r="T808" s="562">
        <v>45853</v>
      </c>
      <c r="U808" s="545">
        <v>45861</v>
      </c>
      <c r="V808" s="492" t="s">
        <v>20</v>
      </c>
      <c r="W808" s="592">
        <f t="shared" ref="W808:W824" si="35">J808+21</f>
        <v>45878</v>
      </c>
      <c r="X808" s="588"/>
      <c r="Y808" s="523"/>
      <c r="Z808" s="588"/>
      <c r="AA808" s="588"/>
    </row>
    <row r="809" s="473" customFormat="1" ht="15.75" customHeight="1" spans="1:27">
      <c r="A809" s="587" t="s">
        <v>1247</v>
      </c>
      <c r="B809" s="492" t="s">
        <v>4300</v>
      </c>
      <c r="C809" s="492" t="s">
        <v>5192</v>
      </c>
      <c r="D809" s="556" t="s">
        <v>5193</v>
      </c>
      <c r="E809" s="492"/>
      <c r="F809" s="492" t="s">
        <v>3979</v>
      </c>
      <c r="G809" s="587" t="s">
        <v>3146</v>
      </c>
      <c r="H809" s="587" t="s">
        <v>5172</v>
      </c>
      <c r="I809" s="545">
        <v>45828</v>
      </c>
      <c r="J809" s="545">
        <v>45858</v>
      </c>
      <c r="K809" s="492" t="s">
        <v>161</v>
      </c>
      <c r="L809" s="559" t="s">
        <v>5130</v>
      </c>
      <c r="M809" s="492" t="s">
        <v>309</v>
      </c>
      <c r="N809" s="492"/>
      <c r="O809" s="492"/>
      <c r="P809" s="616"/>
      <c r="Q809" s="545">
        <v>45838</v>
      </c>
      <c r="R809" s="545">
        <v>45847</v>
      </c>
      <c r="S809" s="492"/>
      <c r="T809" s="562">
        <v>45856</v>
      </c>
      <c r="U809" s="545">
        <v>45862</v>
      </c>
      <c r="V809" s="492" t="s">
        <v>20</v>
      </c>
      <c r="W809" s="592">
        <f t="shared" si="35"/>
        <v>45879</v>
      </c>
      <c r="X809" s="588"/>
      <c r="Y809" s="523"/>
      <c r="Z809" s="588"/>
      <c r="AA809" s="588"/>
    </row>
    <row r="810" s="473" customFormat="1" ht="15.75" customHeight="1" spans="1:27">
      <c r="A810" s="587" t="s">
        <v>1253</v>
      </c>
      <c r="B810" s="492" t="s">
        <v>4300</v>
      </c>
      <c r="C810" s="492" t="s">
        <v>5194</v>
      </c>
      <c r="D810" s="556" t="s">
        <v>5195</v>
      </c>
      <c r="E810" s="492"/>
      <c r="F810" s="492" t="s">
        <v>3979</v>
      </c>
      <c r="G810" s="492" t="s">
        <v>3146</v>
      </c>
      <c r="H810" s="587" t="s">
        <v>5196</v>
      </c>
      <c r="I810" s="545">
        <v>45835</v>
      </c>
      <c r="J810" s="545">
        <v>45858</v>
      </c>
      <c r="K810" s="492" t="s">
        <v>18</v>
      </c>
      <c r="L810" s="559" t="s">
        <v>3452</v>
      </c>
      <c r="M810" s="587" t="s">
        <v>5197</v>
      </c>
      <c r="N810" s="492"/>
      <c r="O810" s="492"/>
      <c r="P810" s="616"/>
      <c r="Q810" s="545">
        <v>45841</v>
      </c>
      <c r="R810" s="545">
        <v>45853</v>
      </c>
      <c r="S810" s="492"/>
      <c r="T810" s="545">
        <v>45854</v>
      </c>
      <c r="U810" s="545">
        <v>45862</v>
      </c>
      <c r="V810" s="492" t="s">
        <v>20</v>
      </c>
      <c r="W810" s="592">
        <f t="shared" si="35"/>
        <v>45879</v>
      </c>
      <c r="X810" s="588"/>
      <c r="Y810" s="523"/>
      <c r="Z810" s="588"/>
      <c r="AA810" s="588"/>
    </row>
    <row r="811" s="473" customFormat="1" ht="15.75" customHeight="1" spans="1:27">
      <c r="A811" s="587" t="s">
        <v>1440</v>
      </c>
      <c r="B811" s="587" t="s">
        <v>4300</v>
      </c>
      <c r="C811" s="587" t="s">
        <v>5198</v>
      </c>
      <c r="D811" s="578" t="s">
        <v>5199</v>
      </c>
      <c r="E811" s="492"/>
      <c r="F811" s="587" t="s">
        <v>3979</v>
      </c>
      <c r="G811" s="587" t="s">
        <v>3067</v>
      </c>
      <c r="H811" s="587" t="s">
        <v>5200</v>
      </c>
      <c r="I811" s="545">
        <v>45845</v>
      </c>
      <c r="J811" s="545">
        <v>45858</v>
      </c>
      <c r="K811" s="587" t="s">
        <v>39</v>
      </c>
      <c r="L811" s="631" t="s">
        <v>3419</v>
      </c>
      <c r="M811" s="587" t="s">
        <v>5201</v>
      </c>
      <c r="N811" s="492"/>
      <c r="O811" s="492"/>
      <c r="P811" s="616"/>
      <c r="Q811" s="545">
        <v>45852</v>
      </c>
      <c r="R811" s="545">
        <v>45854</v>
      </c>
      <c r="S811" s="492"/>
      <c r="T811" s="545">
        <v>45860</v>
      </c>
      <c r="U811" s="545">
        <v>45862</v>
      </c>
      <c r="V811" s="492" t="s">
        <v>20</v>
      </c>
      <c r="W811" s="545">
        <f t="shared" si="35"/>
        <v>45879</v>
      </c>
      <c r="X811" s="588" t="s">
        <v>5202</v>
      </c>
      <c r="Y811" s="523"/>
      <c r="Z811" s="588"/>
      <c r="AA811" s="588"/>
    </row>
    <row r="812" s="473" customFormat="1" ht="15.75" customHeight="1" spans="1:27">
      <c r="A812" s="492" t="s">
        <v>910</v>
      </c>
      <c r="B812" s="492" t="s">
        <v>4329</v>
      </c>
      <c r="C812" s="580" t="s">
        <v>5203</v>
      </c>
      <c r="D812" s="556" t="s">
        <v>5204</v>
      </c>
      <c r="E812" s="492"/>
      <c r="F812" s="556" t="s">
        <v>4018</v>
      </c>
      <c r="G812" s="492" t="s">
        <v>3032</v>
      </c>
      <c r="H812" s="492" t="s">
        <v>5205</v>
      </c>
      <c r="I812" s="545">
        <v>45849</v>
      </c>
      <c r="J812" s="545">
        <v>45867</v>
      </c>
      <c r="K812" s="492" t="s">
        <v>18</v>
      </c>
      <c r="L812" s="559" t="s">
        <v>3452</v>
      </c>
      <c r="M812" s="492" t="s">
        <v>5206</v>
      </c>
      <c r="N812" s="492"/>
      <c r="O812" s="492"/>
      <c r="P812" s="616"/>
      <c r="Q812" s="545">
        <v>45852</v>
      </c>
      <c r="R812" s="545">
        <v>45861</v>
      </c>
      <c r="S812" s="492"/>
      <c r="T812" s="545">
        <v>45866</v>
      </c>
      <c r="U812" s="545">
        <v>45870</v>
      </c>
      <c r="V812" s="492" t="s">
        <v>20</v>
      </c>
      <c r="W812" s="592">
        <f t="shared" si="35"/>
        <v>45888</v>
      </c>
      <c r="X812" s="588" t="s">
        <v>5207</v>
      </c>
      <c r="Y812" s="559"/>
      <c r="Z812" s="588"/>
      <c r="AA812" s="588"/>
    </row>
    <row r="813" s="473" customFormat="1" ht="15.75" customHeight="1" spans="1:27">
      <c r="A813" s="587" t="s">
        <v>910</v>
      </c>
      <c r="B813" s="587" t="s">
        <v>4329</v>
      </c>
      <c r="C813" s="580" t="s">
        <v>5208</v>
      </c>
      <c r="D813" s="578" t="s">
        <v>5209</v>
      </c>
      <c r="E813" s="492"/>
      <c r="F813" s="556" t="s">
        <v>4018</v>
      </c>
      <c r="G813" s="492" t="s">
        <v>3032</v>
      </c>
      <c r="H813" s="492" t="s">
        <v>5205</v>
      </c>
      <c r="I813" s="545">
        <v>45849</v>
      </c>
      <c r="J813" s="545">
        <v>45867</v>
      </c>
      <c r="K813" s="492" t="s">
        <v>18</v>
      </c>
      <c r="L813" s="559" t="s">
        <v>3457</v>
      </c>
      <c r="M813" s="587" t="s">
        <v>309</v>
      </c>
      <c r="N813" s="492"/>
      <c r="O813" s="492"/>
      <c r="P813" s="616"/>
      <c r="Q813" s="545">
        <v>45853</v>
      </c>
      <c r="R813" s="545">
        <v>45861</v>
      </c>
      <c r="S813" s="492"/>
      <c r="T813" s="545">
        <v>45866</v>
      </c>
      <c r="U813" s="545">
        <v>45870</v>
      </c>
      <c r="V813" s="556" t="s">
        <v>20</v>
      </c>
      <c r="W813" s="592">
        <f t="shared" si="35"/>
        <v>45888</v>
      </c>
      <c r="X813" s="588"/>
      <c r="Y813" s="559"/>
      <c r="Z813" s="588"/>
      <c r="AA813" s="588"/>
    </row>
    <row r="814" s="473" customFormat="1" ht="15.75" customHeight="1" spans="1:27">
      <c r="A814" s="492" t="s">
        <v>910</v>
      </c>
      <c r="B814" s="492" t="s">
        <v>4329</v>
      </c>
      <c r="C814" s="580" t="s">
        <v>5210</v>
      </c>
      <c r="D814" s="578" t="s">
        <v>5211</v>
      </c>
      <c r="E814" s="492"/>
      <c r="F814" s="556" t="s">
        <v>4018</v>
      </c>
      <c r="G814" s="492" t="s">
        <v>3032</v>
      </c>
      <c r="H814" s="492" t="s">
        <v>5205</v>
      </c>
      <c r="I814" s="545">
        <v>45849</v>
      </c>
      <c r="J814" s="545">
        <v>45867</v>
      </c>
      <c r="K814" s="492" t="s">
        <v>18</v>
      </c>
      <c r="L814" s="559" t="s">
        <v>5212</v>
      </c>
      <c r="M814" s="556" t="s">
        <v>576</v>
      </c>
      <c r="N814" s="492"/>
      <c r="O814" s="492"/>
      <c r="P814" s="616"/>
      <c r="Q814" s="545">
        <v>45852</v>
      </c>
      <c r="R814" s="545">
        <v>45861</v>
      </c>
      <c r="S814" s="492"/>
      <c r="T814" s="545">
        <v>45866</v>
      </c>
      <c r="U814" s="545">
        <v>45870</v>
      </c>
      <c r="V814" s="492" t="s">
        <v>20</v>
      </c>
      <c r="W814" s="592">
        <f t="shared" si="35"/>
        <v>45888</v>
      </c>
      <c r="X814" s="588" t="s">
        <v>5213</v>
      </c>
      <c r="Y814" s="559"/>
      <c r="Z814" s="588"/>
      <c r="AA814" s="588"/>
    </row>
    <row r="815" s="473" customFormat="1" ht="15.75" customHeight="1" spans="1:27">
      <c r="A815" s="492" t="s">
        <v>910</v>
      </c>
      <c r="B815" s="492" t="s">
        <v>4329</v>
      </c>
      <c r="C815" s="580" t="s">
        <v>5214</v>
      </c>
      <c r="D815" s="578" t="s">
        <v>5215</v>
      </c>
      <c r="E815" s="492"/>
      <c r="F815" s="556" t="s">
        <v>4018</v>
      </c>
      <c r="G815" s="492" t="s">
        <v>3032</v>
      </c>
      <c r="H815" s="492" t="s">
        <v>5205</v>
      </c>
      <c r="I815" s="545">
        <v>45849</v>
      </c>
      <c r="J815" s="545">
        <v>45867</v>
      </c>
      <c r="K815" s="492" t="s">
        <v>18</v>
      </c>
      <c r="L815" s="559" t="s">
        <v>4407</v>
      </c>
      <c r="M815" s="492" t="s">
        <v>2669</v>
      </c>
      <c r="N815" s="492"/>
      <c r="O815" s="492"/>
      <c r="P815" s="616"/>
      <c r="Q815" s="545">
        <v>45852</v>
      </c>
      <c r="R815" s="545">
        <v>45861</v>
      </c>
      <c r="S815" s="492"/>
      <c r="T815" s="545">
        <v>45866</v>
      </c>
      <c r="U815" s="545">
        <v>45870</v>
      </c>
      <c r="V815" s="492" t="s">
        <v>20</v>
      </c>
      <c r="W815" s="592">
        <f t="shared" si="35"/>
        <v>45888</v>
      </c>
      <c r="X815" s="588"/>
      <c r="Y815" s="559"/>
      <c r="Z815" s="588"/>
      <c r="AA815" s="596"/>
    </row>
    <row r="816" s="473" customFormat="1" ht="15.75" customHeight="1" spans="1:27">
      <c r="A816" s="492" t="s">
        <v>910</v>
      </c>
      <c r="B816" s="492" t="s">
        <v>4329</v>
      </c>
      <c r="C816" s="580" t="s">
        <v>5216</v>
      </c>
      <c r="D816" s="578" t="s">
        <v>5217</v>
      </c>
      <c r="E816" s="492"/>
      <c r="F816" s="556" t="s">
        <v>4018</v>
      </c>
      <c r="G816" s="587" t="s">
        <v>3032</v>
      </c>
      <c r="H816" s="587" t="s">
        <v>5205</v>
      </c>
      <c r="I816" s="545">
        <v>45849</v>
      </c>
      <c r="J816" s="545">
        <v>45867</v>
      </c>
      <c r="K816" s="492" t="s">
        <v>18</v>
      </c>
      <c r="L816" s="559" t="s">
        <v>3457</v>
      </c>
      <c r="M816" s="492" t="s">
        <v>2248</v>
      </c>
      <c r="N816" s="492"/>
      <c r="O816" s="492"/>
      <c r="P816" s="616"/>
      <c r="Q816" s="545">
        <v>45852</v>
      </c>
      <c r="R816" s="545">
        <v>45861</v>
      </c>
      <c r="S816" s="492"/>
      <c r="T816" s="545">
        <v>45866</v>
      </c>
      <c r="U816" s="545">
        <v>45873</v>
      </c>
      <c r="V816" s="492" t="s">
        <v>20</v>
      </c>
      <c r="W816" s="592">
        <f t="shared" si="35"/>
        <v>45888</v>
      </c>
      <c r="X816" s="588"/>
      <c r="Y816" s="559"/>
      <c r="Z816" s="588"/>
      <c r="AA816" s="588"/>
    </row>
    <row r="817" s="473" customFormat="1" ht="15.75" customHeight="1" spans="1:27">
      <c r="A817" s="492" t="s">
        <v>910</v>
      </c>
      <c r="B817" s="492" t="s">
        <v>4329</v>
      </c>
      <c r="C817" s="580" t="s">
        <v>5218</v>
      </c>
      <c r="D817" s="578" t="s">
        <v>5219</v>
      </c>
      <c r="E817" s="492"/>
      <c r="F817" s="556" t="s">
        <v>4018</v>
      </c>
      <c r="G817" s="492" t="s">
        <v>3032</v>
      </c>
      <c r="H817" s="492" t="s">
        <v>5205</v>
      </c>
      <c r="I817" s="545">
        <v>45849</v>
      </c>
      <c r="J817" s="545">
        <v>45867</v>
      </c>
      <c r="K817" s="492" t="s">
        <v>18</v>
      </c>
      <c r="L817" s="559" t="s">
        <v>3457</v>
      </c>
      <c r="M817" s="492" t="s">
        <v>2673</v>
      </c>
      <c r="N817" s="492"/>
      <c r="O817" s="492"/>
      <c r="P817" s="616"/>
      <c r="Q817" s="545">
        <v>45852</v>
      </c>
      <c r="R817" s="545">
        <v>45861</v>
      </c>
      <c r="S817" s="492"/>
      <c r="T817" s="545">
        <v>45866</v>
      </c>
      <c r="U817" s="545">
        <v>45873</v>
      </c>
      <c r="V817" s="556" t="s">
        <v>20</v>
      </c>
      <c r="W817" s="592">
        <f t="shared" si="35"/>
        <v>45888</v>
      </c>
      <c r="X817" s="588"/>
      <c r="Y817" s="559"/>
      <c r="Z817" s="588"/>
      <c r="AA817" s="588"/>
    </row>
    <row r="818" s="473" customFormat="1" ht="15.75" customHeight="1" spans="1:27">
      <c r="A818" s="492" t="s">
        <v>910</v>
      </c>
      <c r="B818" s="492" t="s">
        <v>4329</v>
      </c>
      <c r="C818" s="580" t="s">
        <v>5220</v>
      </c>
      <c r="D818" s="578" t="s">
        <v>5221</v>
      </c>
      <c r="E818" s="492"/>
      <c r="F818" s="556" t="s">
        <v>4018</v>
      </c>
      <c r="G818" s="492" t="s">
        <v>3032</v>
      </c>
      <c r="H818" s="492" t="s">
        <v>5205</v>
      </c>
      <c r="I818" s="545">
        <v>45849</v>
      </c>
      <c r="J818" s="545">
        <v>45867</v>
      </c>
      <c r="K818" s="492" t="s">
        <v>18</v>
      </c>
      <c r="L818" s="611" t="s">
        <v>4407</v>
      </c>
      <c r="M818" s="492" t="s">
        <v>2687</v>
      </c>
      <c r="N818" s="492"/>
      <c r="O818" s="492"/>
      <c r="P818" s="616"/>
      <c r="Q818" s="545">
        <v>45852</v>
      </c>
      <c r="R818" s="545">
        <v>45861</v>
      </c>
      <c r="S818" s="492"/>
      <c r="T818" s="545">
        <v>45866</v>
      </c>
      <c r="U818" s="545">
        <v>45870</v>
      </c>
      <c r="V818" s="492" t="s">
        <v>20</v>
      </c>
      <c r="W818" s="592">
        <f t="shared" si="35"/>
        <v>45888</v>
      </c>
      <c r="X818" s="588"/>
      <c r="Y818" s="559"/>
      <c r="Z818" s="588"/>
      <c r="AA818" s="588"/>
    </row>
    <row r="819" s="473" customFormat="1" ht="15.75" customHeight="1" spans="1:27">
      <c r="A819" s="492" t="s">
        <v>910</v>
      </c>
      <c r="B819" s="492" t="s">
        <v>4329</v>
      </c>
      <c r="C819" s="580" t="s">
        <v>5222</v>
      </c>
      <c r="D819" s="578" t="s">
        <v>5223</v>
      </c>
      <c r="E819" s="492"/>
      <c r="F819" s="556" t="s">
        <v>4018</v>
      </c>
      <c r="G819" s="492" t="s">
        <v>3032</v>
      </c>
      <c r="H819" s="492" t="s">
        <v>5205</v>
      </c>
      <c r="I819" s="545">
        <v>45849</v>
      </c>
      <c r="J819" s="545">
        <v>45867</v>
      </c>
      <c r="K819" s="492" t="s">
        <v>18</v>
      </c>
      <c r="L819" s="559" t="s">
        <v>5224</v>
      </c>
      <c r="M819" s="556" t="s">
        <v>2342</v>
      </c>
      <c r="N819" s="492"/>
      <c r="O819" s="492"/>
      <c r="P819" s="616"/>
      <c r="Q819" s="545">
        <v>45852</v>
      </c>
      <c r="R819" s="545">
        <v>45861</v>
      </c>
      <c r="S819" s="492"/>
      <c r="T819" s="545">
        <v>45866</v>
      </c>
      <c r="U819" s="545">
        <v>45873</v>
      </c>
      <c r="V819" s="492" t="s">
        <v>20</v>
      </c>
      <c r="W819" s="592">
        <f t="shared" si="35"/>
        <v>45888</v>
      </c>
      <c r="X819" s="588" t="s">
        <v>5225</v>
      </c>
      <c r="Y819" s="559"/>
      <c r="Z819" s="588"/>
      <c r="AA819" s="588"/>
    </row>
    <row r="820" s="473" customFormat="1" ht="15.75" customHeight="1" spans="1:27">
      <c r="A820" s="492" t="s">
        <v>910</v>
      </c>
      <c r="B820" s="492" t="s">
        <v>4329</v>
      </c>
      <c r="C820" s="580" t="s">
        <v>5226</v>
      </c>
      <c r="D820" s="578" t="s">
        <v>5227</v>
      </c>
      <c r="E820" s="492"/>
      <c r="F820" s="556" t="s">
        <v>4018</v>
      </c>
      <c r="G820" s="492" t="s">
        <v>3032</v>
      </c>
      <c r="H820" s="492" t="s">
        <v>5205</v>
      </c>
      <c r="I820" s="545">
        <v>45849</v>
      </c>
      <c r="J820" s="545">
        <v>45867</v>
      </c>
      <c r="K820" s="492" t="s">
        <v>18</v>
      </c>
      <c r="L820" s="611" t="s">
        <v>4407</v>
      </c>
      <c r="M820" s="492" t="s">
        <v>654</v>
      </c>
      <c r="N820" s="492"/>
      <c r="O820" s="492"/>
      <c r="P820" s="616"/>
      <c r="Q820" s="545">
        <v>45852</v>
      </c>
      <c r="R820" s="545">
        <v>45861</v>
      </c>
      <c r="S820" s="492"/>
      <c r="T820" s="545">
        <v>45866</v>
      </c>
      <c r="U820" s="545">
        <v>45870</v>
      </c>
      <c r="V820" s="492" t="s">
        <v>20</v>
      </c>
      <c r="W820" s="592">
        <f t="shared" si="35"/>
        <v>45888</v>
      </c>
      <c r="X820" s="588"/>
      <c r="Y820" s="559"/>
      <c r="Z820" s="588"/>
      <c r="AA820" s="588"/>
    </row>
    <row r="821" s="473" customFormat="1" ht="15.75" customHeight="1" spans="1:27">
      <c r="A821" s="492" t="s">
        <v>910</v>
      </c>
      <c r="B821" s="492" t="s">
        <v>4329</v>
      </c>
      <c r="C821" s="580" t="s">
        <v>5228</v>
      </c>
      <c r="D821" s="578" t="s">
        <v>5229</v>
      </c>
      <c r="E821" s="492"/>
      <c r="F821" s="556" t="s">
        <v>4018</v>
      </c>
      <c r="G821" s="492" t="s">
        <v>3032</v>
      </c>
      <c r="H821" s="492" t="s">
        <v>5205</v>
      </c>
      <c r="I821" s="545">
        <v>45849</v>
      </c>
      <c r="J821" s="545">
        <v>45867</v>
      </c>
      <c r="K821" s="492" t="s">
        <v>18</v>
      </c>
      <c r="L821" s="611" t="s">
        <v>4407</v>
      </c>
      <c r="M821" s="492" t="s">
        <v>654</v>
      </c>
      <c r="N821" s="492"/>
      <c r="O821" s="492"/>
      <c r="P821" s="616"/>
      <c r="Q821" s="545">
        <v>45852</v>
      </c>
      <c r="R821" s="545">
        <v>45861</v>
      </c>
      <c r="S821" s="492"/>
      <c r="T821" s="545">
        <v>45866</v>
      </c>
      <c r="U821" s="545">
        <v>45874</v>
      </c>
      <c r="V821" s="492" t="s">
        <v>20</v>
      </c>
      <c r="W821" s="592">
        <f t="shared" si="35"/>
        <v>45888</v>
      </c>
      <c r="X821" s="588" t="s">
        <v>5230</v>
      </c>
      <c r="Y821" s="559"/>
      <c r="Z821" s="588"/>
      <c r="AA821" s="588"/>
    </row>
    <row r="822" s="473" customFormat="1" ht="15.75" customHeight="1" spans="1:27">
      <c r="A822" s="492" t="s">
        <v>910</v>
      </c>
      <c r="B822" s="492" t="s">
        <v>4329</v>
      </c>
      <c r="C822" s="580" t="s">
        <v>5231</v>
      </c>
      <c r="D822" s="556" t="s">
        <v>5232</v>
      </c>
      <c r="E822" s="492"/>
      <c r="F822" s="556" t="s">
        <v>4018</v>
      </c>
      <c r="G822" s="492" t="s">
        <v>3032</v>
      </c>
      <c r="H822" s="492" t="s">
        <v>5205</v>
      </c>
      <c r="I822" s="545">
        <v>45849</v>
      </c>
      <c r="J822" s="545">
        <v>45867</v>
      </c>
      <c r="K822" s="492" t="s">
        <v>18</v>
      </c>
      <c r="L822" s="559" t="s">
        <v>4897</v>
      </c>
      <c r="M822" s="492" t="s">
        <v>2342</v>
      </c>
      <c r="N822" s="492"/>
      <c r="O822" s="492"/>
      <c r="P822" s="616"/>
      <c r="Q822" s="545">
        <v>45852</v>
      </c>
      <c r="R822" s="545">
        <v>45861</v>
      </c>
      <c r="S822" s="492"/>
      <c r="T822" s="545">
        <v>45866</v>
      </c>
      <c r="U822" s="545">
        <v>45870</v>
      </c>
      <c r="V822" s="492" t="s">
        <v>20</v>
      </c>
      <c r="W822" s="592">
        <f t="shared" si="35"/>
        <v>45888</v>
      </c>
      <c r="X822" s="588"/>
      <c r="Y822" s="559"/>
      <c r="Z822" s="588"/>
      <c r="AA822" s="588"/>
    </row>
    <row r="823" s="473" customFormat="1" ht="15.75" customHeight="1" spans="1:27">
      <c r="A823" s="492" t="s">
        <v>910</v>
      </c>
      <c r="B823" s="492" t="s">
        <v>4329</v>
      </c>
      <c r="C823" s="580" t="s">
        <v>5233</v>
      </c>
      <c r="D823" s="578" t="s">
        <v>5234</v>
      </c>
      <c r="E823" s="492"/>
      <c r="F823" s="556" t="s">
        <v>4018</v>
      </c>
      <c r="G823" s="492" t="s">
        <v>3032</v>
      </c>
      <c r="H823" s="492" t="s">
        <v>5205</v>
      </c>
      <c r="I823" s="545">
        <v>45849</v>
      </c>
      <c r="J823" s="545">
        <v>45867</v>
      </c>
      <c r="K823" s="492" t="s">
        <v>18</v>
      </c>
      <c r="L823" s="611" t="s">
        <v>4407</v>
      </c>
      <c r="M823" s="492" t="s">
        <v>2619</v>
      </c>
      <c r="N823" s="492"/>
      <c r="O823" s="492"/>
      <c r="P823" s="616"/>
      <c r="Q823" s="545">
        <v>45852</v>
      </c>
      <c r="R823" s="545">
        <v>45861</v>
      </c>
      <c r="S823" s="492"/>
      <c r="T823" s="545">
        <v>45866</v>
      </c>
      <c r="U823" s="545">
        <v>45870</v>
      </c>
      <c r="V823" s="492" t="s">
        <v>20</v>
      </c>
      <c r="W823" s="592">
        <f t="shared" si="35"/>
        <v>45888</v>
      </c>
      <c r="X823" s="588"/>
      <c r="Y823" s="559"/>
      <c r="Z823" s="588"/>
      <c r="AA823" s="588"/>
    </row>
    <row r="824" s="473" customFormat="1" ht="15.75" customHeight="1" spans="1:27">
      <c r="A824" s="492" t="s">
        <v>910</v>
      </c>
      <c r="B824" s="492" t="s">
        <v>4329</v>
      </c>
      <c r="C824" s="580" t="s">
        <v>5235</v>
      </c>
      <c r="D824" s="587" t="s">
        <v>5236</v>
      </c>
      <c r="E824" s="492"/>
      <c r="F824" s="556" t="s">
        <v>4018</v>
      </c>
      <c r="G824" s="492" t="s">
        <v>3032</v>
      </c>
      <c r="H824" s="492" t="s">
        <v>5205</v>
      </c>
      <c r="I824" s="545">
        <v>45849</v>
      </c>
      <c r="J824" s="545">
        <v>45867</v>
      </c>
      <c r="K824" s="492" t="s">
        <v>18</v>
      </c>
      <c r="L824" s="633" t="s">
        <v>4407</v>
      </c>
      <c r="M824" s="492" t="s">
        <v>309</v>
      </c>
      <c r="N824" s="492"/>
      <c r="O824" s="492"/>
      <c r="P824" s="616"/>
      <c r="Q824" s="545">
        <v>45852</v>
      </c>
      <c r="R824" s="545">
        <v>45861</v>
      </c>
      <c r="S824" s="492"/>
      <c r="T824" s="545">
        <v>45866</v>
      </c>
      <c r="U824" s="545">
        <v>45874</v>
      </c>
      <c r="V824" s="492" t="s">
        <v>20</v>
      </c>
      <c r="W824" s="592">
        <f t="shared" si="35"/>
        <v>45888</v>
      </c>
      <c r="X824" s="588"/>
      <c r="Y824" s="559"/>
      <c r="Z824" s="588"/>
      <c r="AA824" s="588"/>
    </row>
    <row r="825" s="473" customFormat="1" ht="15.75" customHeight="1" spans="1:27">
      <c r="A825" s="492" t="s">
        <v>910</v>
      </c>
      <c r="B825" s="492" t="s">
        <v>4329</v>
      </c>
      <c r="C825" s="580" t="s">
        <v>5237</v>
      </c>
      <c r="D825" s="587" t="s">
        <v>5238</v>
      </c>
      <c r="E825" s="492"/>
      <c r="F825" s="556" t="s">
        <v>4018</v>
      </c>
      <c r="G825" s="492" t="s">
        <v>3032</v>
      </c>
      <c r="H825" s="492" t="s">
        <v>5205</v>
      </c>
      <c r="I825" s="562">
        <v>45851</v>
      </c>
      <c r="J825" s="545">
        <v>45867</v>
      </c>
      <c r="K825" s="492" t="s">
        <v>18</v>
      </c>
      <c r="L825" s="559" t="s">
        <v>3457</v>
      </c>
      <c r="M825" s="492" t="s">
        <v>309</v>
      </c>
      <c r="N825" s="492"/>
      <c r="O825" s="492"/>
      <c r="P825" s="616"/>
      <c r="Q825" s="545">
        <v>45852</v>
      </c>
      <c r="R825" s="545">
        <v>45861</v>
      </c>
      <c r="S825" s="492"/>
      <c r="T825" s="545">
        <v>45866</v>
      </c>
      <c r="U825" s="545">
        <v>45874</v>
      </c>
      <c r="V825" s="492" t="s">
        <v>20</v>
      </c>
      <c r="W825" s="592">
        <f>J825+14</f>
        <v>45881</v>
      </c>
      <c r="X825" s="588"/>
      <c r="Y825" s="559"/>
      <c r="Z825" s="588"/>
      <c r="AA825" s="588"/>
    </row>
    <row r="826" s="473" customFormat="1" ht="15.75" customHeight="1" spans="1:27">
      <c r="A826" s="492" t="s">
        <v>736</v>
      </c>
      <c r="B826" s="492" t="s">
        <v>4300</v>
      </c>
      <c r="C826" s="587" t="s">
        <v>5239</v>
      </c>
      <c r="D826" s="492" t="s">
        <v>5240</v>
      </c>
      <c r="E826" s="492"/>
      <c r="F826" s="492" t="s">
        <v>3979</v>
      </c>
      <c r="G826" s="587" t="s">
        <v>3079</v>
      </c>
      <c r="H826" s="587" t="s">
        <v>5241</v>
      </c>
      <c r="I826" s="545">
        <v>45843</v>
      </c>
      <c r="J826" s="562">
        <v>45869</v>
      </c>
      <c r="K826" s="492" t="s">
        <v>207</v>
      </c>
      <c r="L826" s="629" t="s">
        <v>4634</v>
      </c>
      <c r="M826" s="587" t="s">
        <v>5242</v>
      </c>
      <c r="N826" s="492"/>
      <c r="O826" s="492"/>
      <c r="P826" s="616"/>
      <c r="Q826" s="545">
        <v>45846</v>
      </c>
      <c r="R826" s="545">
        <v>45862</v>
      </c>
      <c r="S826" s="492"/>
      <c r="T826" s="545">
        <v>45866</v>
      </c>
      <c r="U826" s="545">
        <v>45875</v>
      </c>
      <c r="V826" s="492" t="s">
        <v>20</v>
      </c>
      <c r="W826" s="545">
        <f>J826+14</f>
        <v>45883</v>
      </c>
      <c r="X826" s="588" t="s">
        <v>5243</v>
      </c>
      <c r="Y826" s="559"/>
      <c r="Z826" s="588"/>
      <c r="AA826" s="596"/>
    </row>
    <row r="827" s="473" customFormat="1" ht="15.75" customHeight="1" spans="1:27">
      <c r="A827" s="587" t="s">
        <v>1440</v>
      </c>
      <c r="B827" s="492" t="s">
        <v>4300</v>
      </c>
      <c r="C827" s="587" t="s">
        <v>5244</v>
      </c>
      <c r="D827" s="587" t="s">
        <v>5245</v>
      </c>
      <c r="E827" s="492"/>
      <c r="F827" s="492" t="s">
        <v>3979</v>
      </c>
      <c r="G827" s="587" t="s">
        <v>3067</v>
      </c>
      <c r="H827" s="587" t="s">
        <v>5246</v>
      </c>
      <c r="I827" s="545">
        <v>45854</v>
      </c>
      <c r="J827" s="545">
        <v>45874</v>
      </c>
      <c r="K827" s="587" t="s">
        <v>161</v>
      </c>
      <c r="L827" s="629" t="s">
        <v>3500</v>
      </c>
      <c r="M827" s="587" t="s">
        <v>5247</v>
      </c>
      <c r="N827" s="492"/>
      <c r="O827" s="492"/>
      <c r="P827" s="616"/>
      <c r="Q827" s="545">
        <v>45856</v>
      </c>
      <c r="R827" s="545">
        <v>45868</v>
      </c>
      <c r="S827" s="492"/>
      <c r="T827" s="545">
        <v>45874</v>
      </c>
      <c r="U827" s="545">
        <v>45881</v>
      </c>
      <c r="V827" s="492" t="s">
        <v>20</v>
      </c>
      <c r="W827" s="545">
        <f t="shared" ref="W827:W836" si="36">J827+21</f>
        <v>45895</v>
      </c>
      <c r="X827" s="588"/>
      <c r="Y827" s="635"/>
      <c r="Z827" s="588"/>
      <c r="AA827" s="588"/>
    </row>
    <row r="828" s="473" customFormat="1" ht="15.75" customHeight="1" spans="1:27">
      <c r="A828" s="587" t="s">
        <v>1453</v>
      </c>
      <c r="B828" s="492" t="s">
        <v>4300</v>
      </c>
      <c r="C828" s="587" t="s">
        <v>5248</v>
      </c>
      <c r="D828" s="587" t="s">
        <v>5249</v>
      </c>
      <c r="E828" s="492"/>
      <c r="F828" s="492" t="s">
        <v>3979</v>
      </c>
      <c r="G828" s="587" t="s">
        <v>3146</v>
      </c>
      <c r="H828" s="587" t="s">
        <v>5250</v>
      </c>
      <c r="I828" s="545">
        <v>45850</v>
      </c>
      <c r="J828" s="562">
        <v>45876</v>
      </c>
      <c r="K828" s="587" t="s">
        <v>18</v>
      </c>
      <c r="L828" s="631" t="s">
        <v>3452</v>
      </c>
      <c r="M828" s="587" t="s">
        <v>1457</v>
      </c>
      <c r="N828" s="492"/>
      <c r="O828" s="492"/>
      <c r="P828" s="616"/>
      <c r="Q828" s="545">
        <v>45854</v>
      </c>
      <c r="R828" s="545">
        <v>45868</v>
      </c>
      <c r="S828" s="492"/>
      <c r="T828" s="545">
        <v>45873</v>
      </c>
      <c r="U828" s="545">
        <v>45881</v>
      </c>
      <c r="V828" s="634" t="s">
        <v>20</v>
      </c>
      <c r="W828" s="545">
        <f t="shared" si="36"/>
        <v>45897</v>
      </c>
      <c r="X828" s="586"/>
      <c r="Y828" s="635"/>
      <c r="Z828" s="588"/>
      <c r="AA828" s="588"/>
    </row>
    <row r="829" s="473" customFormat="1" ht="15.75" customHeight="1" spans="1:27">
      <c r="A829" s="492" t="s">
        <v>910</v>
      </c>
      <c r="B829" s="492" t="s">
        <v>4329</v>
      </c>
      <c r="C829" s="492" t="s">
        <v>5251</v>
      </c>
      <c r="D829" s="627" t="s">
        <v>5252</v>
      </c>
      <c r="E829" s="492"/>
      <c r="F829" s="556" t="s">
        <v>4018</v>
      </c>
      <c r="G829" s="492" t="s">
        <v>3032</v>
      </c>
      <c r="H829" s="492" t="s">
        <v>5253</v>
      </c>
      <c r="I829" s="545">
        <v>45860</v>
      </c>
      <c r="J829" s="562">
        <v>45878</v>
      </c>
      <c r="K829" s="492" t="s">
        <v>18</v>
      </c>
      <c r="L829" s="559" t="s">
        <v>3457</v>
      </c>
      <c r="M829" s="492" t="s">
        <v>2743</v>
      </c>
      <c r="N829" s="492"/>
      <c r="O829" s="492"/>
      <c r="P829" s="616"/>
      <c r="Q829" s="545">
        <v>45870</v>
      </c>
      <c r="R829" s="545">
        <v>45874</v>
      </c>
      <c r="S829" s="492"/>
      <c r="T829" s="545">
        <v>45876</v>
      </c>
      <c r="U829" s="545">
        <v>45882</v>
      </c>
      <c r="V829" s="618" t="s">
        <v>20</v>
      </c>
      <c r="W829" s="545">
        <f t="shared" si="36"/>
        <v>45899</v>
      </c>
      <c r="X829" s="588"/>
      <c r="Y829" s="636"/>
      <c r="Z829" s="588"/>
      <c r="AA829" s="588"/>
    </row>
    <row r="830" s="473" customFormat="1" ht="15.75" customHeight="1" spans="1:27">
      <c r="A830" s="492" t="s">
        <v>910</v>
      </c>
      <c r="B830" s="492" t="s">
        <v>4329</v>
      </c>
      <c r="C830" s="580" t="s">
        <v>5254</v>
      </c>
      <c r="D830" s="627" t="s">
        <v>5255</v>
      </c>
      <c r="E830" s="492"/>
      <c r="F830" s="556" t="s">
        <v>4018</v>
      </c>
      <c r="G830" s="492" t="s">
        <v>3032</v>
      </c>
      <c r="H830" s="492" t="s">
        <v>5253</v>
      </c>
      <c r="I830" s="545">
        <v>45860</v>
      </c>
      <c r="J830" s="562">
        <v>45878</v>
      </c>
      <c r="K830" s="492" t="s">
        <v>18</v>
      </c>
      <c r="L830" s="559" t="s">
        <v>3452</v>
      </c>
      <c r="M830" s="492" t="s">
        <v>5256</v>
      </c>
      <c r="N830" s="492"/>
      <c r="O830" s="492"/>
      <c r="P830" s="616"/>
      <c r="Q830" s="545">
        <v>45867</v>
      </c>
      <c r="R830" s="545">
        <v>45874</v>
      </c>
      <c r="S830" s="492"/>
      <c r="T830" s="592">
        <v>45877</v>
      </c>
      <c r="U830" s="545">
        <v>45887</v>
      </c>
      <c r="V830" s="492" t="s">
        <v>20</v>
      </c>
      <c r="W830" s="545">
        <f t="shared" si="36"/>
        <v>45899</v>
      </c>
      <c r="X830" s="588" t="s">
        <v>5257</v>
      </c>
      <c r="Y830" s="636"/>
      <c r="Z830" s="596"/>
      <c r="AA830" s="588"/>
    </row>
    <row r="831" s="473" customFormat="1" ht="15.75" customHeight="1" spans="1:27">
      <c r="A831" s="492" t="s">
        <v>910</v>
      </c>
      <c r="B831" s="492" t="s">
        <v>4329</v>
      </c>
      <c r="C831" s="580" t="s">
        <v>5258</v>
      </c>
      <c r="D831" s="627" t="s">
        <v>5259</v>
      </c>
      <c r="E831" s="492"/>
      <c r="F831" s="556" t="s">
        <v>4018</v>
      </c>
      <c r="G831" s="492" t="s">
        <v>3032</v>
      </c>
      <c r="H831" s="492" t="s">
        <v>5253</v>
      </c>
      <c r="I831" s="545">
        <v>45860</v>
      </c>
      <c r="J831" s="562">
        <v>45878</v>
      </c>
      <c r="K831" s="492" t="s">
        <v>18</v>
      </c>
      <c r="L831" s="559" t="s">
        <v>3452</v>
      </c>
      <c r="M831" s="492" t="s">
        <v>5260</v>
      </c>
      <c r="N831" s="492"/>
      <c r="O831" s="492"/>
      <c r="P831" s="616"/>
      <c r="Q831" s="545">
        <v>45867</v>
      </c>
      <c r="R831" s="545">
        <v>45874</v>
      </c>
      <c r="S831" s="492"/>
      <c r="T831" s="592">
        <v>45877</v>
      </c>
      <c r="U831" s="545">
        <v>45887</v>
      </c>
      <c r="V831" s="492" t="s">
        <v>20</v>
      </c>
      <c r="W831" s="545">
        <f t="shared" si="36"/>
        <v>45899</v>
      </c>
      <c r="X831" s="588" t="s">
        <v>5257</v>
      </c>
      <c r="Y831" s="636"/>
      <c r="Z831" s="588"/>
      <c r="AA831" s="588"/>
    </row>
    <row r="832" s="473" customFormat="1" ht="15.75" customHeight="1" spans="1:27">
      <c r="A832" s="587" t="s">
        <v>910</v>
      </c>
      <c r="B832" s="492" t="s">
        <v>4329</v>
      </c>
      <c r="C832" s="587" t="s">
        <v>5261</v>
      </c>
      <c r="D832" s="628" t="s">
        <v>5262</v>
      </c>
      <c r="E832" s="492"/>
      <c r="F832" s="587" t="s">
        <v>4115</v>
      </c>
      <c r="G832" s="492" t="s">
        <v>3067</v>
      </c>
      <c r="H832" s="587" t="s">
        <v>5263</v>
      </c>
      <c r="I832" s="545">
        <v>45854</v>
      </c>
      <c r="J832" s="545">
        <v>45878</v>
      </c>
      <c r="K832" s="492" t="s">
        <v>18</v>
      </c>
      <c r="L832" s="559" t="s">
        <v>4407</v>
      </c>
      <c r="M832" s="492" t="s">
        <v>654</v>
      </c>
      <c r="N832" s="492"/>
      <c r="O832" s="492"/>
      <c r="P832" s="616"/>
      <c r="Q832" s="545">
        <v>45863</v>
      </c>
      <c r="R832" s="545">
        <v>45874</v>
      </c>
      <c r="S832" s="492"/>
      <c r="T832" s="592">
        <v>45877</v>
      </c>
      <c r="U832" s="545">
        <v>45883</v>
      </c>
      <c r="V832" s="492" t="s">
        <v>20</v>
      </c>
      <c r="W832" s="545">
        <f t="shared" si="36"/>
        <v>45899</v>
      </c>
      <c r="X832" s="588"/>
      <c r="Y832" s="636"/>
      <c r="Z832" s="588"/>
      <c r="AA832" s="588"/>
    </row>
    <row r="833" s="473" customFormat="1" ht="15.75" customHeight="1" spans="1:27">
      <c r="A833" s="587" t="s">
        <v>910</v>
      </c>
      <c r="B833" s="492" t="s">
        <v>4329</v>
      </c>
      <c r="C833" s="587" t="s">
        <v>5261</v>
      </c>
      <c r="D833" s="627" t="s">
        <v>5264</v>
      </c>
      <c r="E833" s="492"/>
      <c r="F833" s="587" t="s">
        <v>4115</v>
      </c>
      <c r="G833" s="492" t="s">
        <v>3067</v>
      </c>
      <c r="H833" s="587" t="s">
        <v>5263</v>
      </c>
      <c r="I833" s="545">
        <v>45854</v>
      </c>
      <c r="J833" s="545">
        <v>45878</v>
      </c>
      <c r="K833" s="492" t="s">
        <v>18</v>
      </c>
      <c r="L833" s="559" t="s">
        <v>4407</v>
      </c>
      <c r="M833" s="492" t="s">
        <v>654</v>
      </c>
      <c r="N833" s="492"/>
      <c r="O833" s="492"/>
      <c r="P833" s="616"/>
      <c r="Q833" s="545">
        <v>45863</v>
      </c>
      <c r="R833" s="545">
        <v>45874</v>
      </c>
      <c r="S833" s="492"/>
      <c r="T833" s="592">
        <v>45877</v>
      </c>
      <c r="U833" s="545">
        <v>45883</v>
      </c>
      <c r="V833" s="492" t="s">
        <v>20</v>
      </c>
      <c r="W833" s="545">
        <f t="shared" si="36"/>
        <v>45899</v>
      </c>
      <c r="X833" s="588"/>
      <c r="Y833" s="636"/>
      <c r="Z833" s="588"/>
      <c r="AA833" s="588"/>
    </row>
    <row r="834" s="473" customFormat="1" ht="15.75" customHeight="1" spans="1:27">
      <c r="A834" s="587" t="s">
        <v>910</v>
      </c>
      <c r="B834" s="492" t="s">
        <v>4329</v>
      </c>
      <c r="C834" s="587" t="s">
        <v>5261</v>
      </c>
      <c r="D834" s="627" t="s">
        <v>5265</v>
      </c>
      <c r="E834" s="492"/>
      <c r="F834" s="587" t="s">
        <v>4115</v>
      </c>
      <c r="G834" s="492" t="s">
        <v>3067</v>
      </c>
      <c r="H834" s="587" t="s">
        <v>5263</v>
      </c>
      <c r="I834" s="545">
        <v>45854</v>
      </c>
      <c r="J834" s="545">
        <v>45878</v>
      </c>
      <c r="K834" s="492" t="s">
        <v>18</v>
      </c>
      <c r="L834" s="559" t="s">
        <v>4407</v>
      </c>
      <c r="M834" s="492" t="s">
        <v>654</v>
      </c>
      <c r="N834" s="492"/>
      <c r="O834" s="492"/>
      <c r="P834" s="616"/>
      <c r="Q834" s="545">
        <v>45863</v>
      </c>
      <c r="R834" s="545">
        <v>45874</v>
      </c>
      <c r="S834" s="492"/>
      <c r="T834" s="592">
        <v>45877</v>
      </c>
      <c r="U834" s="545">
        <v>45883</v>
      </c>
      <c r="V834" s="492" t="s">
        <v>20</v>
      </c>
      <c r="W834" s="545">
        <f t="shared" si="36"/>
        <v>45899</v>
      </c>
      <c r="X834" s="588"/>
      <c r="Y834" s="636"/>
      <c r="Z834" s="588"/>
      <c r="AA834" s="588"/>
    </row>
    <row r="835" s="473" customFormat="1" ht="15.75" customHeight="1" spans="1:27">
      <c r="A835" s="587" t="s">
        <v>910</v>
      </c>
      <c r="B835" s="492" t="s">
        <v>4329</v>
      </c>
      <c r="C835" s="587" t="s">
        <v>5266</v>
      </c>
      <c r="D835" s="628" t="s">
        <v>5267</v>
      </c>
      <c r="E835" s="492"/>
      <c r="F835" s="587" t="s">
        <v>4115</v>
      </c>
      <c r="G835" s="587" t="s">
        <v>3067</v>
      </c>
      <c r="H835" s="587" t="s">
        <v>5268</v>
      </c>
      <c r="I835" s="545">
        <v>45853</v>
      </c>
      <c r="J835" s="545">
        <v>45878</v>
      </c>
      <c r="K835" s="587" t="s">
        <v>18</v>
      </c>
      <c r="L835" s="559" t="s">
        <v>3457</v>
      </c>
      <c r="M835" s="587" t="s">
        <v>2248</v>
      </c>
      <c r="N835" s="492"/>
      <c r="O835" s="492"/>
      <c r="P835" s="616"/>
      <c r="Q835" s="545">
        <v>45863</v>
      </c>
      <c r="R835" s="545">
        <v>45874</v>
      </c>
      <c r="S835" s="492"/>
      <c r="T835" s="592">
        <v>45877</v>
      </c>
      <c r="U835" s="545">
        <v>45883</v>
      </c>
      <c r="V835" s="492" t="s">
        <v>20</v>
      </c>
      <c r="W835" s="545">
        <f t="shared" si="36"/>
        <v>45899</v>
      </c>
      <c r="X835" s="588"/>
      <c r="Y835" s="636"/>
      <c r="Z835" s="588"/>
      <c r="AA835" s="588"/>
    </row>
    <row r="836" s="473" customFormat="1" ht="15.75" customHeight="1" spans="1:27">
      <c r="A836" s="587" t="s">
        <v>910</v>
      </c>
      <c r="B836" s="492" t="s">
        <v>4329</v>
      </c>
      <c r="C836" s="587" t="s">
        <v>5266</v>
      </c>
      <c r="D836" s="628" t="s">
        <v>5269</v>
      </c>
      <c r="E836" s="492"/>
      <c r="F836" s="492" t="s">
        <v>4115</v>
      </c>
      <c r="G836" s="587" t="s">
        <v>3067</v>
      </c>
      <c r="H836" s="587" t="s">
        <v>5268</v>
      </c>
      <c r="I836" s="545">
        <v>45853</v>
      </c>
      <c r="J836" s="545">
        <v>45878</v>
      </c>
      <c r="K836" s="587" t="s">
        <v>18</v>
      </c>
      <c r="L836" s="559" t="s">
        <v>4407</v>
      </c>
      <c r="M836" s="492" t="s">
        <v>2619</v>
      </c>
      <c r="N836" s="492"/>
      <c r="O836" s="492"/>
      <c r="P836" s="616"/>
      <c r="Q836" s="545">
        <v>45863</v>
      </c>
      <c r="R836" s="545">
        <v>45874</v>
      </c>
      <c r="S836" s="492"/>
      <c r="T836" s="592">
        <v>45877</v>
      </c>
      <c r="U836" s="545">
        <v>45883</v>
      </c>
      <c r="V836" s="492" t="s">
        <v>20</v>
      </c>
      <c r="W836" s="545">
        <f t="shared" si="36"/>
        <v>45899</v>
      </c>
      <c r="X836" s="588"/>
      <c r="Y836" s="636"/>
      <c r="Z836" s="588"/>
      <c r="AA836" s="588"/>
    </row>
    <row r="837" s="473" customFormat="1" ht="15.75" customHeight="1" spans="1:27">
      <c r="A837" s="492" t="s">
        <v>1468</v>
      </c>
      <c r="B837" s="492" t="s">
        <v>4300</v>
      </c>
      <c r="C837" s="587" t="s">
        <v>5270</v>
      </c>
      <c r="D837" s="492" t="s">
        <v>5271</v>
      </c>
      <c r="E837" s="492"/>
      <c r="F837" s="492" t="s">
        <v>3979</v>
      </c>
      <c r="G837" s="492" t="s">
        <v>3079</v>
      </c>
      <c r="H837" s="587" t="s">
        <v>5272</v>
      </c>
      <c r="I837" s="545">
        <v>45856</v>
      </c>
      <c r="J837" s="562">
        <v>45880</v>
      </c>
      <c r="K837" s="492" t="s">
        <v>207</v>
      </c>
      <c r="L837" s="559" t="s">
        <v>3069</v>
      </c>
      <c r="M837" s="587" t="s">
        <v>5273</v>
      </c>
      <c r="N837" s="492"/>
      <c r="O837" s="492"/>
      <c r="P837" s="616"/>
      <c r="Q837" s="545">
        <v>45859</v>
      </c>
      <c r="R837" s="545">
        <v>45874</v>
      </c>
      <c r="S837" s="492"/>
      <c r="T837" s="545">
        <v>45877</v>
      </c>
      <c r="U837" s="545">
        <v>45888</v>
      </c>
      <c r="V837" s="492" t="s">
        <v>20</v>
      </c>
      <c r="W837" s="545">
        <v>45893</v>
      </c>
      <c r="X837" s="588" t="s">
        <v>5274</v>
      </c>
      <c r="Y837" s="523"/>
      <c r="Z837" s="588"/>
      <c r="AA837" s="588"/>
    </row>
    <row r="838" s="178" customFormat="1" ht="15.75" customHeight="1" spans="1:27">
      <c r="A838" s="485" t="s">
        <v>910</v>
      </c>
      <c r="B838" s="484" t="s">
        <v>4329</v>
      </c>
      <c r="C838" s="637" t="s">
        <v>5275</v>
      </c>
      <c r="D838" s="638" t="s">
        <v>5276</v>
      </c>
      <c r="E838" s="491"/>
      <c r="F838" s="518" t="s">
        <v>4018</v>
      </c>
      <c r="G838" s="484" t="s">
        <v>3032</v>
      </c>
      <c r="H838" s="484" t="s">
        <v>5277</v>
      </c>
      <c r="I838" s="507">
        <v>45864</v>
      </c>
      <c r="J838" s="507">
        <v>45883</v>
      </c>
      <c r="K838" s="484" t="s">
        <v>18</v>
      </c>
      <c r="L838" s="642" t="s">
        <v>3452</v>
      </c>
      <c r="M838" s="484" t="s">
        <v>5278</v>
      </c>
      <c r="N838" s="484"/>
      <c r="O838" s="484"/>
      <c r="P838" s="499"/>
      <c r="Q838" s="507">
        <v>45867</v>
      </c>
      <c r="R838" s="507">
        <v>45875</v>
      </c>
      <c r="S838" s="484"/>
      <c r="T838" s="650">
        <v>45881</v>
      </c>
      <c r="U838" s="650">
        <v>45891</v>
      </c>
      <c r="V838" s="484" t="s">
        <v>5279</v>
      </c>
      <c r="W838" s="507">
        <f t="shared" ref="W838:W857" si="37">J838+21</f>
        <v>45904</v>
      </c>
      <c r="X838" s="512"/>
      <c r="Y838" s="653"/>
      <c r="Z838" s="512"/>
      <c r="AA838" s="512"/>
    </row>
    <row r="839" s="178" customFormat="1" ht="15.75" customHeight="1" spans="1:27">
      <c r="A839" s="485" t="s">
        <v>910</v>
      </c>
      <c r="B839" s="484" t="s">
        <v>4329</v>
      </c>
      <c r="C839" s="637" t="s">
        <v>5280</v>
      </c>
      <c r="D839" s="638" t="s">
        <v>5281</v>
      </c>
      <c r="E839" s="484"/>
      <c r="F839" s="518" t="s">
        <v>4018</v>
      </c>
      <c r="G839" s="484" t="s">
        <v>3032</v>
      </c>
      <c r="H839" s="484" t="s">
        <v>5277</v>
      </c>
      <c r="I839" s="507">
        <v>45864</v>
      </c>
      <c r="J839" s="507">
        <v>45883</v>
      </c>
      <c r="K839" s="484" t="s">
        <v>18</v>
      </c>
      <c r="L839" s="642" t="s">
        <v>3452</v>
      </c>
      <c r="M839" s="484" t="s">
        <v>5282</v>
      </c>
      <c r="N839" s="491"/>
      <c r="O839" s="491"/>
      <c r="P839" s="643"/>
      <c r="Q839" s="507">
        <v>45867</v>
      </c>
      <c r="R839" s="507">
        <v>45875</v>
      </c>
      <c r="S839" s="484"/>
      <c r="T839" s="650">
        <v>45881</v>
      </c>
      <c r="U839" s="650">
        <v>45891</v>
      </c>
      <c r="V839" s="574" t="s">
        <v>20</v>
      </c>
      <c r="W839" s="507">
        <f t="shared" si="37"/>
        <v>45904</v>
      </c>
      <c r="X839" s="512"/>
      <c r="Y839" s="653"/>
      <c r="Z839" s="512"/>
      <c r="AA839" s="512"/>
    </row>
    <row r="840" s="473" customFormat="1" ht="15.75" customHeight="1" spans="1:27">
      <c r="A840" s="492" t="s">
        <v>2728</v>
      </c>
      <c r="B840" s="492" t="s">
        <v>4329</v>
      </c>
      <c r="C840" s="580" t="s">
        <v>5283</v>
      </c>
      <c r="D840" s="628" t="s">
        <v>5284</v>
      </c>
      <c r="E840" s="492"/>
      <c r="F840" s="556" t="s">
        <v>4018</v>
      </c>
      <c r="G840" s="492" t="s">
        <v>3032</v>
      </c>
      <c r="H840" s="492" t="s">
        <v>5277</v>
      </c>
      <c r="I840" s="545">
        <v>45864</v>
      </c>
      <c r="J840" s="545">
        <v>45883</v>
      </c>
      <c r="K840" s="492" t="s">
        <v>18</v>
      </c>
      <c r="L840" s="559" t="s">
        <v>3457</v>
      </c>
      <c r="M840" s="492" t="s">
        <v>2405</v>
      </c>
      <c r="N840" s="492"/>
      <c r="O840" s="492"/>
      <c r="P840" s="616"/>
      <c r="Q840" s="545">
        <v>45867</v>
      </c>
      <c r="R840" s="545">
        <v>45875</v>
      </c>
      <c r="S840" s="492"/>
      <c r="T840" s="545">
        <v>45881</v>
      </c>
      <c r="U840" s="545">
        <v>45889</v>
      </c>
      <c r="V840" s="492" t="s">
        <v>20</v>
      </c>
      <c r="W840" s="545">
        <f t="shared" si="37"/>
        <v>45904</v>
      </c>
      <c r="X840" s="588"/>
      <c r="Y840" s="636"/>
      <c r="Z840" s="588"/>
      <c r="AA840" s="588"/>
    </row>
    <row r="841" s="473" customFormat="1" ht="15.75" customHeight="1" spans="1:27">
      <c r="A841" s="492" t="s">
        <v>2728</v>
      </c>
      <c r="B841" s="492" t="s">
        <v>4329</v>
      </c>
      <c r="C841" s="580" t="s">
        <v>5285</v>
      </c>
      <c r="D841" s="628" t="s">
        <v>5286</v>
      </c>
      <c r="E841" s="492"/>
      <c r="F841" s="556" t="s">
        <v>4018</v>
      </c>
      <c r="G841" s="492" t="s">
        <v>3032</v>
      </c>
      <c r="H841" s="492" t="s">
        <v>5277</v>
      </c>
      <c r="I841" s="545">
        <v>45864</v>
      </c>
      <c r="J841" s="545">
        <v>45883</v>
      </c>
      <c r="K841" s="492" t="s">
        <v>18</v>
      </c>
      <c r="L841" s="559" t="s">
        <v>4407</v>
      </c>
      <c r="M841" s="492" t="s">
        <v>309</v>
      </c>
      <c r="N841" s="492"/>
      <c r="O841" s="492"/>
      <c r="P841" s="616"/>
      <c r="Q841" s="545">
        <v>45867</v>
      </c>
      <c r="R841" s="545">
        <v>45875</v>
      </c>
      <c r="S841" s="492"/>
      <c r="T841" s="545">
        <v>45881</v>
      </c>
      <c r="U841" s="545">
        <v>45888</v>
      </c>
      <c r="V841" s="492" t="s">
        <v>20</v>
      </c>
      <c r="W841" s="545">
        <f t="shared" si="37"/>
        <v>45904</v>
      </c>
      <c r="X841" s="588"/>
      <c r="Y841" s="636"/>
      <c r="Z841" s="588"/>
      <c r="AA841" s="588"/>
    </row>
    <row r="842" s="178" customFormat="1" ht="15.75" customHeight="1" spans="1:27">
      <c r="A842" s="484" t="s">
        <v>2728</v>
      </c>
      <c r="B842" s="484" t="s">
        <v>4329</v>
      </c>
      <c r="C842" s="637" t="s">
        <v>5287</v>
      </c>
      <c r="D842" s="639" t="s">
        <v>5288</v>
      </c>
      <c r="E842" s="484"/>
      <c r="F842" s="518" t="s">
        <v>4018</v>
      </c>
      <c r="G842" s="484" t="s">
        <v>3032</v>
      </c>
      <c r="H842" s="484" t="s">
        <v>5277</v>
      </c>
      <c r="I842" s="507">
        <v>45864</v>
      </c>
      <c r="J842" s="507">
        <v>45883</v>
      </c>
      <c r="K842" s="484" t="s">
        <v>18</v>
      </c>
      <c r="L842" s="644" t="s">
        <v>3457</v>
      </c>
      <c r="M842" s="484" t="s">
        <v>309</v>
      </c>
      <c r="N842" s="491"/>
      <c r="O842" s="491"/>
      <c r="P842" s="643"/>
      <c r="Q842" s="507">
        <v>45867</v>
      </c>
      <c r="R842" s="507">
        <v>45875</v>
      </c>
      <c r="S842" s="484"/>
      <c r="T842" s="650">
        <v>45881</v>
      </c>
      <c r="U842" s="650">
        <v>45888</v>
      </c>
      <c r="V842" s="574" t="s">
        <v>20</v>
      </c>
      <c r="W842" s="507">
        <f t="shared" si="37"/>
        <v>45904</v>
      </c>
      <c r="X842" s="512"/>
      <c r="Y842" s="653"/>
      <c r="Z842" s="512"/>
      <c r="AA842" s="512"/>
    </row>
    <row r="843" s="473" customFormat="1" ht="15.75" customHeight="1" spans="1:27">
      <c r="A843" s="492" t="s">
        <v>2728</v>
      </c>
      <c r="B843" s="492" t="s">
        <v>4329</v>
      </c>
      <c r="C843" s="580" t="s">
        <v>5289</v>
      </c>
      <c r="D843" s="628" t="s">
        <v>5290</v>
      </c>
      <c r="E843" s="492"/>
      <c r="F843" s="556" t="s">
        <v>4018</v>
      </c>
      <c r="G843" s="492" t="s">
        <v>3032</v>
      </c>
      <c r="H843" s="492" t="s">
        <v>5277</v>
      </c>
      <c r="I843" s="545">
        <v>45864</v>
      </c>
      <c r="J843" s="545">
        <v>45883</v>
      </c>
      <c r="K843" s="492" t="s">
        <v>18</v>
      </c>
      <c r="L843" s="559" t="s">
        <v>4407</v>
      </c>
      <c r="M843" s="587" t="s">
        <v>309</v>
      </c>
      <c r="N843" s="492"/>
      <c r="O843" s="492"/>
      <c r="P843" s="616"/>
      <c r="Q843" s="545">
        <v>45867</v>
      </c>
      <c r="R843" s="545">
        <v>45875</v>
      </c>
      <c r="S843" s="492"/>
      <c r="T843" s="545">
        <v>45881</v>
      </c>
      <c r="U843" s="545">
        <v>45888</v>
      </c>
      <c r="V843" s="556" t="s">
        <v>20</v>
      </c>
      <c r="W843" s="545">
        <f t="shared" si="37"/>
        <v>45904</v>
      </c>
      <c r="X843" s="588"/>
      <c r="Y843" s="636"/>
      <c r="Z843" s="588"/>
      <c r="AA843" s="588"/>
    </row>
    <row r="844" s="473" customFormat="1" ht="15.75" customHeight="1" spans="1:27">
      <c r="A844" s="492" t="s">
        <v>2728</v>
      </c>
      <c r="B844" s="492" t="s">
        <v>4329</v>
      </c>
      <c r="C844" s="580" t="s">
        <v>5291</v>
      </c>
      <c r="D844" s="628" t="s">
        <v>5292</v>
      </c>
      <c r="E844" s="492"/>
      <c r="F844" s="556" t="s">
        <v>4018</v>
      </c>
      <c r="G844" s="492" t="s">
        <v>3032</v>
      </c>
      <c r="H844" s="492" t="s">
        <v>5277</v>
      </c>
      <c r="I844" s="545">
        <v>45864</v>
      </c>
      <c r="J844" s="545">
        <v>45883</v>
      </c>
      <c r="K844" s="492" t="s">
        <v>18</v>
      </c>
      <c r="L844" s="559" t="s">
        <v>3457</v>
      </c>
      <c r="M844" s="587" t="s">
        <v>2619</v>
      </c>
      <c r="N844" s="492"/>
      <c r="O844" s="492"/>
      <c r="P844" s="616"/>
      <c r="Q844" s="545">
        <v>45867</v>
      </c>
      <c r="R844" s="545">
        <v>45875</v>
      </c>
      <c r="S844" s="492"/>
      <c r="T844" s="545">
        <v>45881</v>
      </c>
      <c r="U844" s="545">
        <v>45888</v>
      </c>
      <c r="V844" s="556" t="s">
        <v>20</v>
      </c>
      <c r="W844" s="545">
        <f t="shared" si="37"/>
        <v>45904</v>
      </c>
      <c r="X844" s="588"/>
      <c r="Y844" s="636"/>
      <c r="Z844" s="588"/>
      <c r="AA844" s="588"/>
    </row>
    <row r="845" s="473" customFormat="1" ht="15.75" customHeight="1" spans="1:27">
      <c r="A845" s="492" t="s">
        <v>2728</v>
      </c>
      <c r="B845" s="492" t="s">
        <v>4329</v>
      </c>
      <c r="C845" s="580" t="s">
        <v>5293</v>
      </c>
      <c r="D845" s="628" t="s">
        <v>5294</v>
      </c>
      <c r="E845" s="492"/>
      <c r="F845" s="556" t="s">
        <v>4018</v>
      </c>
      <c r="G845" s="492" t="s">
        <v>3032</v>
      </c>
      <c r="H845" s="492" t="s">
        <v>5277</v>
      </c>
      <c r="I845" s="545">
        <v>45864</v>
      </c>
      <c r="J845" s="545">
        <v>45883</v>
      </c>
      <c r="K845" s="492" t="s">
        <v>18</v>
      </c>
      <c r="L845" s="559" t="s">
        <v>3457</v>
      </c>
      <c r="M845" s="587" t="s">
        <v>2342</v>
      </c>
      <c r="N845" s="492"/>
      <c r="O845" s="492"/>
      <c r="P845" s="616"/>
      <c r="Q845" s="545">
        <v>45867</v>
      </c>
      <c r="R845" s="545">
        <v>45875</v>
      </c>
      <c r="S845" s="492"/>
      <c r="T845" s="545">
        <v>45881</v>
      </c>
      <c r="U845" s="545">
        <v>45888</v>
      </c>
      <c r="V845" s="556" t="s">
        <v>20</v>
      </c>
      <c r="W845" s="545">
        <f t="shared" si="37"/>
        <v>45904</v>
      </c>
      <c r="X845" s="588"/>
      <c r="Y845" s="636"/>
      <c r="Z845" s="588"/>
      <c r="AA845" s="588"/>
    </row>
    <row r="846" s="473" customFormat="1" ht="15.75" customHeight="1" spans="1:27">
      <c r="A846" s="587" t="s">
        <v>910</v>
      </c>
      <c r="B846" s="492" t="s">
        <v>4329</v>
      </c>
      <c r="C846" s="580" t="s">
        <v>5295</v>
      </c>
      <c r="D846" s="556" t="s">
        <v>5296</v>
      </c>
      <c r="E846" s="492"/>
      <c r="F846" s="556" t="s">
        <v>4018</v>
      </c>
      <c r="G846" s="492" t="s">
        <v>3032</v>
      </c>
      <c r="H846" s="492" t="s">
        <v>5277</v>
      </c>
      <c r="I846" s="545">
        <v>45864</v>
      </c>
      <c r="J846" s="545">
        <v>45883</v>
      </c>
      <c r="K846" s="492" t="s">
        <v>18</v>
      </c>
      <c r="L846" s="559" t="s">
        <v>3457</v>
      </c>
      <c r="M846" s="587" t="s">
        <v>309</v>
      </c>
      <c r="N846" s="492"/>
      <c r="O846" s="492"/>
      <c r="P846" s="616"/>
      <c r="Q846" s="545">
        <v>45867</v>
      </c>
      <c r="R846" s="545">
        <v>45875</v>
      </c>
      <c r="S846" s="492"/>
      <c r="T846" s="545">
        <v>45881</v>
      </c>
      <c r="U846" s="545">
        <v>45888</v>
      </c>
      <c r="V846" s="556" t="s">
        <v>20</v>
      </c>
      <c r="W846" s="545">
        <f t="shared" si="37"/>
        <v>45904</v>
      </c>
      <c r="X846" s="588"/>
      <c r="Y846" s="636"/>
      <c r="Z846" s="588"/>
      <c r="AA846" s="588"/>
    </row>
    <row r="847" s="473" customFormat="1" ht="15.75" customHeight="1" spans="1:27">
      <c r="A847" s="587" t="s">
        <v>910</v>
      </c>
      <c r="B847" s="492" t="s">
        <v>4329</v>
      </c>
      <c r="C847" s="580" t="s">
        <v>5297</v>
      </c>
      <c r="D847" s="627" t="s">
        <v>5298</v>
      </c>
      <c r="E847" s="492"/>
      <c r="F847" s="556" t="s">
        <v>4018</v>
      </c>
      <c r="G847" s="492" t="s">
        <v>3032</v>
      </c>
      <c r="H847" s="492" t="s">
        <v>5277</v>
      </c>
      <c r="I847" s="545">
        <v>45864</v>
      </c>
      <c r="J847" s="545">
        <v>45883</v>
      </c>
      <c r="K847" s="492" t="s">
        <v>18</v>
      </c>
      <c r="L847" s="559" t="s">
        <v>3457</v>
      </c>
      <c r="M847" s="587" t="s">
        <v>309</v>
      </c>
      <c r="N847" s="492"/>
      <c r="O847" s="492"/>
      <c r="P847" s="616"/>
      <c r="Q847" s="545">
        <v>45867</v>
      </c>
      <c r="R847" s="545">
        <v>45875</v>
      </c>
      <c r="S847" s="492"/>
      <c r="T847" s="545">
        <v>45881</v>
      </c>
      <c r="U847" s="545">
        <v>45888</v>
      </c>
      <c r="V847" s="556" t="s">
        <v>20</v>
      </c>
      <c r="W847" s="545">
        <f t="shared" si="37"/>
        <v>45904</v>
      </c>
      <c r="X847" s="588"/>
      <c r="Y847" s="636"/>
      <c r="Z847" s="588"/>
      <c r="AA847" s="588"/>
    </row>
    <row r="848" s="473" customFormat="1" ht="15.75" customHeight="1" spans="1:27">
      <c r="A848" s="492" t="s">
        <v>2728</v>
      </c>
      <c r="B848" s="492" t="s">
        <v>4329</v>
      </c>
      <c r="C848" s="580" t="s">
        <v>5299</v>
      </c>
      <c r="D848" s="628" t="s">
        <v>5300</v>
      </c>
      <c r="E848" s="492"/>
      <c r="F848" s="556" t="s">
        <v>4018</v>
      </c>
      <c r="G848" s="492" t="s">
        <v>3032</v>
      </c>
      <c r="H848" s="492" t="s">
        <v>5277</v>
      </c>
      <c r="I848" s="545">
        <v>45864</v>
      </c>
      <c r="J848" s="545">
        <v>45883</v>
      </c>
      <c r="K848" s="492" t="s">
        <v>18</v>
      </c>
      <c r="L848" s="559" t="s">
        <v>4407</v>
      </c>
      <c r="M848" s="587" t="s">
        <v>654</v>
      </c>
      <c r="N848" s="492"/>
      <c r="O848" s="492"/>
      <c r="P848" s="616"/>
      <c r="Q848" s="545">
        <v>45867</v>
      </c>
      <c r="R848" s="545">
        <v>45875</v>
      </c>
      <c r="S848" s="492"/>
      <c r="T848" s="545">
        <v>45881</v>
      </c>
      <c r="U848" s="545">
        <v>45889</v>
      </c>
      <c r="V848" s="556" t="s">
        <v>20</v>
      </c>
      <c r="W848" s="545">
        <f t="shared" si="37"/>
        <v>45904</v>
      </c>
      <c r="X848" s="588"/>
      <c r="Y848" s="636"/>
      <c r="Z848" s="588"/>
      <c r="AA848" s="588"/>
    </row>
    <row r="849" s="473" customFormat="1" ht="15.75" customHeight="1" spans="1:27">
      <c r="A849" s="492" t="s">
        <v>2728</v>
      </c>
      <c r="B849" s="492" t="s">
        <v>4329</v>
      </c>
      <c r="C849" s="580" t="s">
        <v>5301</v>
      </c>
      <c r="D849" s="628" t="s">
        <v>5302</v>
      </c>
      <c r="E849" s="492"/>
      <c r="F849" s="556" t="s">
        <v>4018</v>
      </c>
      <c r="G849" s="492" t="s">
        <v>3032</v>
      </c>
      <c r="H849" s="587" t="s">
        <v>5277</v>
      </c>
      <c r="I849" s="545">
        <v>45864</v>
      </c>
      <c r="J849" s="545">
        <v>45883</v>
      </c>
      <c r="K849" s="492" t="s">
        <v>18</v>
      </c>
      <c r="L849" s="559" t="s">
        <v>4407</v>
      </c>
      <c r="M849" s="587" t="s">
        <v>654</v>
      </c>
      <c r="N849" s="492"/>
      <c r="O849" s="492"/>
      <c r="P849" s="616"/>
      <c r="Q849" s="545">
        <v>45867</v>
      </c>
      <c r="R849" s="545">
        <v>45875</v>
      </c>
      <c r="S849" s="492"/>
      <c r="T849" s="545">
        <v>45881</v>
      </c>
      <c r="U849" s="545">
        <v>45888</v>
      </c>
      <c r="V849" s="556" t="s">
        <v>20</v>
      </c>
      <c r="W849" s="545">
        <f t="shared" si="37"/>
        <v>45904</v>
      </c>
      <c r="X849" s="588"/>
      <c r="Y849" s="636"/>
      <c r="Z849" s="588"/>
      <c r="AA849" s="588"/>
    </row>
    <row r="850" s="178" customFormat="1" ht="15.75" customHeight="1" spans="1:27">
      <c r="A850" s="485" t="s">
        <v>910</v>
      </c>
      <c r="B850" s="484" t="s">
        <v>4300</v>
      </c>
      <c r="C850" s="485" t="s">
        <v>5303</v>
      </c>
      <c r="D850" s="486" t="s">
        <v>5304</v>
      </c>
      <c r="E850" s="484"/>
      <c r="F850" s="484" t="s">
        <v>3979</v>
      </c>
      <c r="G850" s="485" t="s">
        <v>3146</v>
      </c>
      <c r="H850" s="485" t="s">
        <v>5305</v>
      </c>
      <c r="I850" s="507">
        <v>45857</v>
      </c>
      <c r="J850" s="645">
        <v>45883</v>
      </c>
      <c r="K850" s="485" t="s">
        <v>18</v>
      </c>
      <c r="L850" s="646" t="s">
        <v>5306</v>
      </c>
      <c r="M850" s="485" t="s">
        <v>309</v>
      </c>
      <c r="N850" s="491"/>
      <c r="O850" s="491"/>
      <c r="P850" s="643"/>
      <c r="Q850" s="507">
        <v>45863</v>
      </c>
      <c r="R850" s="650">
        <v>45877</v>
      </c>
      <c r="S850" s="484"/>
      <c r="T850" s="650">
        <v>45882</v>
      </c>
      <c r="U850" s="650">
        <v>45890</v>
      </c>
      <c r="V850" s="574"/>
      <c r="W850" s="507">
        <f t="shared" si="37"/>
        <v>45904</v>
      </c>
      <c r="X850" s="512"/>
      <c r="Y850" s="508"/>
      <c r="Z850" s="512"/>
      <c r="AA850" s="512"/>
    </row>
    <row r="851" s="178" customFormat="1" ht="15.75" customHeight="1" spans="1:27">
      <c r="A851" s="485" t="s">
        <v>910</v>
      </c>
      <c r="B851" s="484" t="s">
        <v>4300</v>
      </c>
      <c r="C851" s="485" t="s">
        <v>5307</v>
      </c>
      <c r="D851" s="486" t="s">
        <v>5308</v>
      </c>
      <c r="E851" s="484"/>
      <c r="F851" s="484" t="s">
        <v>3979</v>
      </c>
      <c r="G851" s="484" t="s">
        <v>3146</v>
      </c>
      <c r="H851" s="485" t="s">
        <v>5305</v>
      </c>
      <c r="I851" s="507">
        <v>45857</v>
      </c>
      <c r="J851" s="645">
        <v>45883</v>
      </c>
      <c r="K851" s="484" t="s">
        <v>18</v>
      </c>
      <c r="L851" s="644" t="s">
        <v>3457</v>
      </c>
      <c r="M851" s="485" t="s">
        <v>309</v>
      </c>
      <c r="N851" s="491"/>
      <c r="O851" s="491"/>
      <c r="P851" s="643"/>
      <c r="Q851" s="507">
        <v>45863</v>
      </c>
      <c r="R851" s="650">
        <v>45877</v>
      </c>
      <c r="S851" s="484"/>
      <c r="T851" s="650">
        <v>45882</v>
      </c>
      <c r="U851" s="650">
        <v>45890</v>
      </c>
      <c r="V851" s="574" t="s">
        <v>20</v>
      </c>
      <c r="W851" s="507">
        <f t="shared" si="37"/>
        <v>45904</v>
      </c>
      <c r="X851" s="512" t="s">
        <v>5309</v>
      </c>
      <c r="Y851" s="508"/>
      <c r="Z851" s="512"/>
      <c r="AA851" s="512"/>
    </row>
    <row r="852" s="178" customFormat="1" ht="15.75" customHeight="1" spans="1:27">
      <c r="A852" s="485" t="s">
        <v>910</v>
      </c>
      <c r="B852" s="484" t="s">
        <v>4300</v>
      </c>
      <c r="C852" s="484" t="s">
        <v>5310</v>
      </c>
      <c r="D852" s="484" t="s">
        <v>5311</v>
      </c>
      <c r="E852" s="484"/>
      <c r="F852" s="484" t="s">
        <v>3979</v>
      </c>
      <c r="G852" s="484" t="s">
        <v>3146</v>
      </c>
      <c r="H852" s="485" t="s">
        <v>5305</v>
      </c>
      <c r="I852" s="507">
        <v>45857</v>
      </c>
      <c r="J852" s="645">
        <v>45883</v>
      </c>
      <c r="K852" s="485" t="s">
        <v>18</v>
      </c>
      <c r="L852" s="644" t="s">
        <v>5306</v>
      </c>
      <c r="M852" s="485" t="s">
        <v>309</v>
      </c>
      <c r="N852" s="491"/>
      <c r="O852" s="491"/>
      <c r="P852" s="643"/>
      <c r="Q852" s="507">
        <v>45863</v>
      </c>
      <c r="R852" s="650">
        <v>45877</v>
      </c>
      <c r="S852" s="484"/>
      <c r="T852" s="650">
        <v>45882</v>
      </c>
      <c r="U852" s="650">
        <v>45890</v>
      </c>
      <c r="V852" s="574"/>
      <c r="W852" s="507">
        <f t="shared" si="37"/>
        <v>45904</v>
      </c>
      <c r="X852" s="512"/>
      <c r="Y852" s="508"/>
      <c r="Z852" s="512"/>
      <c r="AA852" s="512"/>
    </row>
    <row r="853" s="178" customFormat="1" ht="15.75" customHeight="1" spans="1:27">
      <c r="A853" s="484" t="s">
        <v>910</v>
      </c>
      <c r="B853" s="484" t="s">
        <v>4300</v>
      </c>
      <c r="C853" s="485" t="s">
        <v>5312</v>
      </c>
      <c r="D853" s="484" t="s">
        <v>5313</v>
      </c>
      <c r="E853" s="484"/>
      <c r="F853" s="484" t="s">
        <v>3979</v>
      </c>
      <c r="G853" s="484" t="s">
        <v>3146</v>
      </c>
      <c r="H853" s="485" t="s">
        <v>5305</v>
      </c>
      <c r="I853" s="507">
        <v>45857</v>
      </c>
      <c r="J853" s="645">
        <v>45883</v>
      </c>
      <c r="K853" s="484" t="s">
        <v>18</v>
      </c>
      <c r="L853" s="646" t="s">
        <v>5306</v>
      </c>
      <c r="M853" s="484" t="s">
        <v>309</v>
      </c>
      <c r="N853" s="491"/>
      <c r="O853" s="491"/>
      <c r="P853" s="643"/>
      <c r="Q853" s="650">
        <v>45863</v>
      </c>
      <c r="R853" s="650">
        <v>45877</v>
      </c>
      <c r="S853" s="484"/>
      <c r="T853" s="650">
        <v>45882</v>
      </c>
      <c r="U853" s="650">
        <v>45890</v>
      </c>
      <c r="V853" s="574"/>
      <c r="W853" s="507">
        <f t="shared" si="37"/>
        <v>45904</v>
      </c>
      <c r="X853" s="512" t="s">
        <v>5314</v>
      </c>
      <c r="Y853" s="508"/>
      <c r="Z853" s="512"/>
      <c r="AA853" s="512"/>
    </row>
    <row r="854" s="473" customFormat="1" ht="15.75" customHeight="1" spans="1:27">
      <c r="A854" s="492" t="s">
        <v>910</v>
      </c>
      <c r="B854" s="492" t="s">
        <v>4300</v>
      </c>
      <c r="C854" s="587" t="s">
        <v>5315</v>
      </c>
      <c r="D854" s="492" t="s">
        <v>5316</v>
      </c>
      <c r="E854" s="492"/>
      <c r="F854" s="492" t="s">
        <v>3979</v>
      </c>
      <c r="G854" s="492" t="s">
        <v>3146</v>
      </c>
      <c r="H854" s="587" t="s">
        <v>5305</v>
      </c>
      <c r="I854" s="545">
        <v>45857</v>
      </c>
      <c r="J854" s="562">
        <v>45883</v>
      </c>
      <c r="K854" s="492" t="s">
        <v>18</v>
      </c>
      <c r="L854" s="559" t="s">
        <v>4407</v>
      </c>
      <c r="M854" s="492" t="s">
        <v>309</v>
      </c>
      <c r="N854" s="492"/>
      <c r="O854" s="492"/>
      <c r="P854" s="616"/>
      <c r="Q854" s="545">
        <v>45863</v>
      </c>
      <c r="R854" s="545">
        <v>45877</v>
      </c>
      <c r="S854" s="492"/>
      <c r="T854" s="545">
        <v>45882</v>
      </c>
      <c r="U854" s="545">
        <v>45889</v>
      </c>
      <c r="V854" s="556" t="s">
        <v>20</v>
      </c>
      <c r="W854" s="545">
        <f t="shared" si="37"/>
        <v>45904</v>
      </c>
      <c r="X854" s="588"/>
      <c r="Y854" s="523"/>
      <c r="Z854" s="588"/>
      <c r="AA854" s="588"/>
    </row>
    <row r="855" s="178" customFormat="1" ht="15.75" customHeight="1" spans="1:27">
      <c r="A855" s="484" t="s">
        <v>910</v>
      </c>
      <c r="B855" s="484" t="s">
        <v>4300</v>
      </c>
      <c r="C855" s="485" t="s">
        <v>5317</v>
      </c>
      <c r="D855" s="484" t="s">
        <v>5318</v>
      </c>
      <c r="E855" s="484"/>
      <c r="F855" s="484" t="s">
        <v>3979</v>
      </c>
      <c r="G855" s="484" t="s">
        <v>3146</v>
      </c>
      <c r="H855" s="485" t="s">
        <v>5305</v>
      </c>
      <c r="I855" s="507">
        <v>45857</v>
      </c>
      <c r="J855" s="645">
        <v>45883</v>
      </c>
      <c r="K855" s="484" t="s">
        <v>18</v>
      </c>
      <c r="L855" s="646" t="s">
        <v>5306</v>
      </c>
      <c r="M855" s="484" t="s">
        <v>309</v>
      </c>
      <c r="N855" s="491"/>
      <c r="O855" s="491"/>
      <c r="P855" s="643"/>
      <c r="Q855" s="507">
        <v>45863</v>
      </c>
      <c r="R855" s="650">
        <v>45877</v>
      </c>
      <c r="S855" s="484"/>
      <c r="T855" s="650">
        <v>45882</v>
      </c>
      <c r="U855" s="650">
        <v>45889</v>
      </c>
      <c r="V855" s="491"/>
      <c r="W855" s="507">
        <f t="shared" si="37"/>
        <v>45904</v>
      </c>
      <c r="X855" s="512" t="s">
        <v>5319</v>
      </c>
      <c r="Y855" s="508"/>
      <c r="Z855" s="512"/>
      <c r="AA855" s="512"/>
    </row>
    <row r="856" s="178" customFormat="1" ht="15.75" customHeight="1" spans="1:27">
      <c r="A856" s="485" t="s">
        <v>910</v>
      </c>
      <c r="B856" s="484" t="s">
        <v>4329</v>
      </c>
      <c r="C856" s="485" t="s">
        <v>5320</v>
      </c>
      <c r="D856" s="638" t="s">
        <v>5321</v>
      </c>
      <c r="E856" s="484"/>
      <c r="F856" s="485" t="s">
        <v>4115</v>
      </c>
      <c r="G856" s="484" t="s">
        <v>3146</v>
      </c>
      <c r="H856" s="485" t="s">
        <v>5305</v>
      </c>
      <c r="I856" s="507">
        <v>45857</v>
      </c>
      <c r="J856" s="645">
        <v>45883</v>
      </c>
      <c r="K856" s="484" t="s">
        <v>18</v>
      </c>
      <c r="L856" s="644" t="s">
        <v>4407</v>
      </c>
      <c r="M856" s="484" t="s">
        <v>654</v>
      </c>
      <c r="N856" s="491"/>
      <c r="O856" s="491"/>
      <c r="P856" s="643"/>
      <c r="Q856" s="507">
        <v>45863</v>
      </c>
      <c r="R856" s="650">
        <v>45877</v>
      </c>
      <c r="S856" s="484"/>
      <c r="T856" s="650">
        <v>45883</v>
      </c>
      <c r="U856" s="650">
        <v>45890</v>
      </c>
      <c r="V856" s="574" t="s">
        <v>20</v>
      </c>
      <c r="W856" s="507">
        <f t="shared" si="37"/>
        <v>45904</v>
      </c>
      <c r="X856" s="512"/>
      <c r="Y856" s="653"/>
      <c r="Z856" s="512"/>
      <c r="AA856" s="512"/>
    </row>
    <row r="857" s="178" customFormat="1" ht="15.75" customHeight="1" spans="1:27">
      <c r="A857" s="485" t="s">
        <v>910</v>
      </c>
      <c r="B857" s="484" t="s">
        <v>4329</v>
      </c>
      <c r="C857" s="485" t="s">
        <v>5320</v>
      </c>
      <c r="D857" s="638" t="s">
        <v>5322</v>
      </c>
      <c r="E857" s="484"/>
      <c r="F857" s="485" t="s">
        <v>4115</v>
      </c>
      <c r="G857" s="484" t="s">
        <v>3146</v>
      </c>
      <c r="H857" s="485" t="s">
        <v>5305</v>
      </c>
      <c r="I857" s="507">
        <v>45857</v>
      </c>
      <c r="J857" s="645">
        <v>45883</v>
      </c>
      <c r="K857" s="484" t="s">
        <v>18</v>
      </c>
      <c r="L857" s="644" t="s">
        <v>4407</v>
      </c>
      <c r="M857" s="484" t="s">
        <v>654</v>
      </c>
      <c r="N857" s="491"/>
      <c r="O857" s="491"/>
      <c r="P857" s="643"/>
      <c r="Q857" s="507">
        <v>45863</v>
      </c>
      <c r="R857" s="650">
        <v>45877</v>
      </c>
      <c r="S857" s="484"/>
      <c r="T857" s="650">
        <v>45883</v>
      </c>
      <c r="U857" s="650">
        <v>45890</v>
      </c>
      <c r="V857" s="574" t="s">
        <v>20</v>
      </c>
      <c r="W857" s="507">
        <f t="shared" si="37"/>
        <v>45904</v>
      </c>
      <c r="X857" s="512"/>
      <c r="Y857" s="653"/>
      <c r="Z857" s="512"/>
      <c r="AA857" s="512"/>
    </row>
    <row r="858" s="474" customFormat="1" ht="15.75" customHeight="1" spans="1:27">
      <c r="A858" s="206" t="s">
        <v>1507</v>
      </c>
      <c r="B858" s="206" t="s">
        <v>4300</v>
      </c>
      <c r="C858" s="640" t="s">
        <v>5323</v>
      </c>
      <c r="D858" s="206" t="s">
        <v>5324</v>
      </c>
      <c r="E858" s="206"/>
      <c r="F858" s="206" t="s">
        <v>3979</v>
      </c>
      <c r="G858" s="640" t="s">
        <v>3079</v>
      </c>
      <c r="H858" s="640" t="s">
        <v>5325</v>
      </c>
      <c r="I858" s="584">
        <v>45860</v>
      </c>
      <c r="J858" s="581">
        <v>45884</v>
      </c>
      <c r="K858" s="206" t="s">
        <v>207</v>
      </c>
      <c r="L858" s="582" t="s">
        <v>5326</v>
      </c>
      <c r="M858" s="640" t="s">
        <v>5327</v>
      </c>
      <c r="N858" s="206"/>
      <c r="O858" s="206"/>
      <c r="P858" s="647"/>
      <c r="Q858" s="584">
        <v>45862</v>
      </c>
      <c r="R858" s="584">
        <v>45877</v>
      </c>
      <c r="S858" s="206"/>
      <c r="T858" s="584">
        <v>45882</v>
      </c>
      <c r="U858" s="584">
        <v>45889</v>
      </c>
      <c r="V858" s="206" t="s">
        <v>20</v>
      </c>
      <c r="W858" s="584">
        <v>45897</v>
      </c>
      <c r="X858" s="651"/>
      <c r="Y858" s="654"/>
      <c r="Z858" s="651"/>
      <c r="AA858" s="651"/>
    </row>
    <row r="859" s="178" customFormat="1" ht="15.75" customHeight="1" spans="1:27">
      <c r="A859" s="484" t="s">
        <v>1440</v>
      </c>
      <c r="B859" s="484" t="s">
        <v>4300</v>
      </c>
      <c r="C859" s="485" t="s">
        <v>5328</v>
      </c>
      <c r="D859" s="484" t="s">
        <v>5329</v>
      </c>
      <c r="E859" s="484"/>
      <c r="F859" s="484" t="s">
        <v>3979</v>
      </c>
      <c r="G859" s="484" t="s">
        <v>3067</v>
      </c>
      <c r="H859" s="485" t="s">
        <v>5246</v>
      </c>
      <c r="I859" s="507">
        <v>45852</v>
      </c>
      <c r="J859" s="645">
        <v>45884</v>
      </c>
      <c r="K859" s="484" t="s">
        <v>39</v>
      </c>
      <c r="L859" s="644" t="s">
        <v>3504</v>
      </c>
      <c r="M859" s="484" t="s">
        <v>5330</v>
      </c>
      <c r="N859" s="484"/>
      <c r="O859" s="484"/>
      <c r="P859" s="499"/>
      <c r="Q859" s="650">
        <v>45856</v>
      </c>
      <c r="R859" s="507">
        <v>45868</v>
      </c>
      <c r="S859" s="484"/>
      <c r="T859" s="507">
        <v>45874</v>
      </c>
      <c r="U859" s="650">
        <v>45890</v>
      </c>
      <c r="V859" s="491" t="s">
        <v>20</v>
      </c>
      <c r="W859" s="650">
        <f t="shared" ref="W859:W864" si="38">J859+21</f>
        <v>45905</v>
      </c>
      <c r="X859" s="512"/>
      <c r="Y859" s="508"/>
      <c r="Z859" s="512"/>
      <c r="AA859" s="512"/>
    </row>
    <row r="860" s="178" customFormat="1" ht="15.75" customHeight="1" spans="1:27">
      <c r="A860" s="484" t="s">
        <v>2728</v>
      </c>
      <c r="B860" s="484" t="s">
        <v>4329</v>
      </c>
      <c r="C860" s="485" t="s">
        <v>5331</v>
      </c>
      <c r="D860" s="639" t="s">
        <v>5332</v>
      </c>
      <c r="E860" s="484"/>
      <c r="F860" s="485" t="s">
        <v>4115</v>
      </c>
      <c r="G860" s="484" t="s">
        <v>3067</v>
      </c>
      <c r="H860" s="485" t="s">
        <v>5333</v>
      </c>
      <c r="I860" s="507">
        <v>45859</v>
      </c>
      <c r="J860" s="645">
        <v>45887</v>
      </c>
      <c r="K860" s="484" t="s">
        <v>18</v>
      </c>
      <c r="L860" s="644" t="s">
        <v>4407</v>
      </c>
      <c r="M860" s="485" t="s">
        <v>5334</v>
      </c>
      <c r="N860" s="491"/>
      <c r="O860" s="491"/>
      <c r="P860" s="643"/>
      <c r="Q860" s="507">
        <v>45867</v>
      </c>
      <c r="R860" s="507">
        <v>45876</v>
      </c>
      <c r="S860" s="484"/>
      <c r="T860" s="650">
        <v>45884</v>
      </c>
      <c r="U860" s="650">
        <v>45891</v>
      </c>
      <c r="V860" s="574" t="s">
        <v>20</v>
      </c>
      <c r="W860" s="650">
        <f t="shared" si="38"/>
        <v>45908</v>
      </c>
      <c r="X860" s="512"/>
      <c r="Y860" s="653"/>
      <c r="Z860" s="512"/>
      <c r="AA860" s="512"/>
    </row>
    <row r="861" s="178" customFormat="1" ht="15.75" customHeight="1" spans="1:27">
      <c r="A861" s="484" t="s">
        <v>2728</v>
      </c>
      <c r="B861" s="484" t="s">
        <v>4329</v>
      </c>
      <c r="C861" s="485" t="s">
        <v>5331</v>
      </c>
      <c r="D861" s="639" t="s">
        <v>5335</v>
      </c>
      <c r="E861" s="491"/>
      <c r="F861" s="485" t="s">
        <v>4115</v>
      </c>
      <c r="G861" s="484" t="s">
        <v>3067</v>
      </c>
      <c r="H861" s="484" t="s">
        <v>5333</v>
      </c>
      <c r="I861" s="507">
        <v>45859</v>
      </c>
      <c r="J861" s="645">
        <v>45887</v>
      </c>
      <c r="K861" s="484" t="s">
        <v>18</v>
      </c>
      <c r="L861" s="644" t="s">
        <v>4407</v>
      </c>
      <c r="M861" s="485" t="s">
        <v>654</v>
      </c>
      <c r="N861" s="491"/>
      <c r="O861" s="491"/>
      <c r="P861" s="643"/>
      <c r="Q861" s="507">
        <v>45867</v>
      </c>
      <c r="R861" s="507">
        <v>45876</v>
      </c>
      <c r="S861" s="484"/>
      <c r="T861" s="650">
        <v>45884</v>
      </c>
      <c r="U861" s="650">
        <v>45890</v>
      </c>
      <c r="V861" s="574" t="s">
        <v>20</v>
      </c>
      <c r="W861" s="650">
        <f t="shared" si="38"/>
        <v>45908</v>
      </c>
      <c r="X861" s="512"/>
      <c r="Y861" s="653"/>
      <c r="Z861" s="512"/>
      <c r="AA861" s="512"/>
    </row>
    <row r="862" s="178" customFormat="1" ht="15.75" customHeight="1" spans="1:27">
      <c r="A862" s="484" t="s">
        <v>2728</v>
      </c>
      <c r="B862" s="484" t="s">
        <v>4329</v>
      </c>
      <c r="C862" s="484" t="s">
        <v>5331</v>
      </c>
      <c r="D862" s="639" t="s">
        <v>5336</v>
      </c>
      <c r="E862" s="484"/>
      <c r="F862" s="485" t="s">
        <v>4115</v>
      </c>
      <c r="G862" s="484" t="s">
        <v>3067</v>
      </c>
      <c r="H862" s="484" t="s">
        <v>5333</v>
      </c>
      <c r="I862" s="507">
        <v>45859</v>
      </c>
      <c r="J862" s="645">
        <v>45887</v>
      </c>
      <c r="K862" s="484" t="s">
        <v>18</v>
      </c>
      <c r="L862" s="644" t="s">
        <v>3457</v>
      </c>
      <c r="M862" s="485" t="s">
        <v>654</v>
      </c>
      <c r="N862" s="491"/>
      <c r="O862" s="491"/>
      <c r="P862" s="643"/>
      <c r="Q862" s="507">
        <v>45867</v>
      </c>
      <c r="R862" s="507">
        <v>45876</v>
      </c>
      <c r="S862" s="484"/>
      <c r="T862" s="650">
        <v>45884</v>
      </c>
      <c r="U862" s="650">
        <v>45891</v>
      </c>
      <c r="V862" s="574" t="s">
        <v>20</v>
      </c>
      <c r="W862" s="650">
        <f t="shared" si="38"/>
        <v>45908</v>
      </c>
      <c r="X862" s="512"/>
      <c r="Y862" s="653"/>
      <c r="Z862" s="512"/>
      <c r="AA862" s="512"/>
    </row>
    <row r="863" s="178" customFormat="1" ht="15.75" customHeight="1" spans="1:26">
      <c r="A863" s="484" t="s">
        <v>2728</v>
      </c>
      <c r="B863" s="484" t="s">
        <v>4329</v>
      </c>
      <c r="C863" s="484" t="s">
        <v>5331</v>
      </c>
      <c r="D863" s="639" t="s">
        <v>5337</v>
      </c>
      <c r="E863" s="491"/>
      <c r="F863" s="485" t="s">
        <v>4115</v>
      </c>
      <c r="G863" s="484" t="s">
        <v>3067</v>
      </c>
      <c r="H863" s="484" t="s">
        <v>5333</v>
      </c>
      <c r="I863" s="507">
        <v>45859</v>
      </c>
      <c r="J863" s="645">
        <v>45887</v>
      </c>
      <c r="K863" s="484" t="s">
        <v>18</v>
      </c>
      <c r="L863" s="644" t="s">
        <v>4407</v>
      </c>
      <c r="M863" s="485" t="s">
        <v>2738</v>
      </c>
      <c r="N863" s="491"/>
      <c r="O863" s="491"/>
      <c r="P863" s="643"/>
      <c r="Q863" s="507">
        <v>45867</v>
      </c>
      <c r="R863" s="507">
        <v>45876</v>
      </c>
      <c r="S863" s="484"/>
      <c r="T863" s="650">
        <v>45884</v>
      </c>
      <c r="U863" s="650">
        <v>45890</v>
      </c>
      <c r="V863" s="574" t="s">
        <v>20</v>
      </c>
      <c r="W863" s="650">
        <f t="shared" si="38"/>
        <v>45908</v>
      </c>
      <c r="X863" s="512"/>
      <c r="Y863" s="653"/>
      <c r="Z863" s="512"/>
    </row>
    <row r="864" s="178" customFormat="1" ht="15.75" customHeight="1" spans="1:27">
      <c r="A864" s="484" t="s">
        <v>2728</v>
      </c>
      <c r="B864" s="484" t="s">
        <v>4329</v>
      </c>
      <c r="C864" s="484" t="s">
        <v>5331</v>
      </c>
      <c r="D864" s="639" t="s">
        <v>5338</v>
      </c>
      <c r="E864" s="491"/>
      <c r="F864" s="485" t="s">
        <v>4115</v>
      </c>
      <c r="G864" s="484" t="s">
        <v>3067</v>
      </c>
      <c r="H864" s="484" t="s">
        <v>5333</v>
      </c>
      <c r="I864" s="507">
        <v>45859</v>
      </c>
      <c r="J864" s="645">
        <v>45887</v>
      </c>
      <c r="K864" s="484" t="s">
        <v>18</v>
      </c>
      <c r="L864" s="644" t="s">
        <v>4407</v>
      </c>
      <c r="M864" s="485" t="s">
        <v>654</v>
      </c>
      <c r="N864" s="491"/>
      <c r="O864" s="491"/>
      <c r="P864" s="643"/>
      <c r="Q864" s="507">
        <v>45867</v>
      </c>
      <c r="R864" s="507">
        <v>45876</v>
      </c>
      <c r="S864" s="484"/>
      <c r="T864" s="650">
        <v>45884</v>
      </c>
      <c r="U864" s="650">
        <v>45891</v>
      </c>
      <c r="V864" s="574" t="s">
        <v>20</v>
      </c>
      <c r="W864" s="650">
        <f t="shared" si="38"/>
        <v>45908</v>
      </c>
      <c r="X864" s="512"/>
      <c r="Y864" s="653"/>
      <c r="Z864" s="512"/>
      <c r="AA864" s="512"/>
    </row>
    <row r="865" s="178" customFormat="1" ht="15.75" customHeight="1" spans="1:27">
      <c r="A865" s="484" t="s">
        <v>1507</v>
      </c>
      <c r="B865" s="484" t="s">
        <v>4300</v>
      </c>
      <c r="C865" s="485" t="s">
        <v>5339</v>
      </c>
      <c r="D865" s="484" t="s">
        <v>5340</v>
      </c>
      <c r="E865" s="491"/>
      <c r="F865" s="484" t="s">
        <v>3979</v>
      </c>
      <c r="G865" s="484" t="s">
        <v>3079</v>
      </c>
      <c r="H865" s="485" t="s">
        <v>5325</v>
      </c>
      <c r="I865" s="507">
        <v>45860</v>
      </c>
      <c r="J865" s="645">
        <v>45889</v>
      </c>
      <c r="K865" s="484" t="s">
        <v>215</v>
      </c>
      <c r="L865" s="644" t="s">
        <v>3086</v>
      </c>
      <c r="M865" s="484" t="s">
        <v>5341</v>
      </c>
      <c r="N865" s="491"/>
      <c r="O865" s="491"/>
      <c r="P865" s="643"/>
      <c r="Q865" s="650">
        <v>45861</v>
      </c>
      <c r="R865" s="507">
        <v>45870</v>
      </c>
      <c r="S865" s="484"/>
      <c r="T865" s="650">
        <v>45884</v>
      </c>
      <c r="U865" s="648">
        <v>45894</v>
      </c>
      <c r="V865" s="613"/>
      <c r="W865" s="650">
        <f>J865+14</f>
        <v>45903</v>
      </c>
      <c r="X865" s="512"/>
      <c r="Y865" s="508"/>
      <c r="Z865" s="512"/>
      <c r="AA865" s="512"/>
    </row>
    <row r="866" s="178" customFormat="1" ht="15.75" customHeight="1" spans="1:27">
      <c r="A866" s="485" t="s">
        <v>910</v>
      </c>
      <c r="B866" s="484" t="s">
        <v>4329</v>
      </c>
      <c r="C866" s="637" t="s">
        <v>5342</v>
      </c>
      <c r="D866" s="484" t="s">
        <v>5343</v>
      </c>
      <c r="E866" s="491"/>
      <c r="F866" s="518" t="s">
        <v>4018</v>
      </c>
      <c r="G866" s="484" t="s">
        <v>3032</v>
      </c>
      <c r="H866" s="484" t="s">
        <v>5344</v>
      </c>
      <c r="I866" s="507">
        <v>45871</v>
      </c>
      <c r="J866" s="507">
        <v>45889</v>
      </c>
      <c r="K866" s="484" t="s">
        <v>18</v>
      </c>
      <c r="L866" s="644" t="s">
        <v>5306</v>
      </c>
      <c r="M866" s="485" t="s">
        <v>309</v>
      </c>
      <c r="N866" s="491"/>
      <c r="O866" s="491"/>
      <c r="P866" s="643"/>
      <c r="Q866" s="507">
        <v>45875</v>
      </c>
      <c r="R866" s="650">
        <v>45884</v>
      </c>
      <c r="S866" s="484"/>
      <c r="T866" s="650">
        <v>45889</v>
      </c>
      <c r="U866" s="650">
        <v>45896</v>
      </c>
      <c r="V866" s="484"/>
      <c r="W866" s="650">
        <f t="shared" ref="W866:W908" si="39">J866+21</f>
        <v>45910</v>
      </c>
      <c r="X866" s="512"/>
      <c r="Y866" s="653"/>
      <c r="Z866" s="512"/>
      <c r="AA866" s="512"/>
    </row>
    <row r="867" s="178" customFormat="1" ht="15.75" customHeight="1" spans="1:27">
      <c r="A867" s="484" t="s">
        <v>2728</v>
      </c>
      <c r="B867" s="484" t="s">
        <v>4329</v>
      </c>
      <c r="C867" s="637" t="s">
        <v>5345</v>
      </c>
      <c r="D867" s="638" t="s">
        <v>5346</v>
      </c>
      <c r="E867" s="491"/>
      <c r="F867" s="518" t="s">
        <v>4018</v>
      </c>
      <c r="G867" s="484" t="s">
        <v>3032</v>
      </c>
      <c r="H867" s="485" t="s">
        <v>5344</v>
      </c>
      <c r="I867" s="507">
        <v>45871</v>
      </c>
      <c r="J867" s="507">
        <v>45889</v>
      </c>
      <c r="K867" s="484" t="s">
        <v>18</v>
      </c>
      <c r="L867" s="644" t="s">
        <v>4407</v>
      </c>
      <c r="M867" s="485" t="s">
        <v>309</v>
      </c>
      <c r="N867" s="491"/>
      <c r="O867" s="491"/>
      <c r="P867" s="643"/>
      <c r="Q867" s="507">
        <v>45873</v>
      </c>
      <c r="R867" s="650">
        <v>45884</v>
      </c>
      <c r="S867" s="484"/>
      <c r="T867" s="650">
        <v>45889</v>
      </c>
      <c r="U867" s="650">
        <v>45894</v>
      </c>
      <c r="V867" s="484"/>
      <c r="W867" s="650">
        <f t="shared" si="39"/>
        <v>45910</v>
      </c>
      <c r="X867" s="512"/>
      <c r="Y867" s="653"/>
      <c r="Z867" s="512"/>
      <c r="AA867" s="512"/>
    </row>
    <row r="868" s="178" customFormat="1" ht="15.75" customHeight="1" spans="1:27">
      <c r="A868" s="484" t="s">
        <v>2728</v>
      </c>
      <c r="B868" s="484" t="s">
        <v>4329</v>
      </c>
      <c r="C868" s="637" t="s">
        <v>5347</v>
      </c>
      <c r="D868" s="638" t="s">
        <v>5348</v>
      </c>
      <c r="E868" s="491"/>
      <c r="F868" s="518" t="s">
        <v>4018</v>
      </c>
      <c r="G868" s="484" t="s">
        <v>3032</v>
      </c>
      <c r="H868" s="484" t="s">
        <v>5344</v>
      </c>
      <c r="I868" s="507">
        <v>45871</v>
      </c>
      <c r="J868" s="507">
        <v>45889</v>
      </c>
      <c r="K868" s="484" t="s">
        <v>18</v>
      </c>
      <c r="L868" s="644" t="s">
        <v>4407</v>
      </c>
      <c r="M868" s="485" t="s">
        <v>309</v>
      </c>
      <c r="N868" s="491"/>
      <c r="O868" s="491"/>
      <c r="P868" s="643"/>
      <c r="Q868" s="507">
        <v>45873</v>
      </c>
      <c r="R868" s="650">
        <v>45884</v>
      </c>
      <c r="S868" s="484"/>
      <c r="T868" s="650">
        <v>45889</v>
      </c>
      <c r="U868" s="650">
        <v>45895</v>
      </c>
      <c r="V868" s="484"/>
      <c r="W868" s="507">
        <f t="shared" si="39"/>
        <v>45910</v>
      </c>
      <c r="X868" s="512"/>
      <c r="Y868" s="653"/>
      <c r="Z868" s="512"/>
      <c r="AA868" s="512"/>
    </row>
    <row r="869" s="178" customFormat="1" ht="15.75" customHeight="1" spans="1:27">
      <c r="A869" s="484" t="s">
        <v>2728</v>
      </c>
      <c r="B869" s="484" t="s">
        <v>4329</v>
      </c>
      <c r="C869" s="637" t="s">
        <v>5349</v>
      </c>
      <c r="D869" s="638" t="s">
        <v>5350</v>
      </c>
      <c r="E869" s="491"/>
      <c r="F869" s="518" t="s">
        <v>4018</v>
      </c>
      <c r="G869" s="484" t="s">
        <v>3032</v>
      </c>
      <c r="H869" s="484" t="s">
        <v>5344</v>
      </c>
      <c r="I869" s="507">
        <v>45871</v>
      </c>
      <c r="J869" s="507">
        <v>45889</v>
      </c>
      <c r="K869" s="484" t="s">
        <v>18</v>
      </c>
      <c r="L869" s="644" t="s">
        <v>3457</v>
      </c>
      <c r="M869" s="484" t="s">
        <v>309</v>
      </c>
      <c r="N869" s="491"/>
      <c r="O869" s="491"/>
      <c r="P869" s="643"/>
      <c r="Q869" s="507">
        <v>45874</v>
      </c>
      <c r="R869" s="650">
        <v>45884</v>
      </c>
      <c r="S869" s="484"/>
      <c r="T869" s="650">
        <v>45889</v>
      </c>
      <c r="U869" s="650">
        <v>45895</v>
      </c>
      <c r="V869" s="484"/>
      <c r="W869" s="507">
        <f t="shared" si="39"/>
        <v>45910</v>
      </c>
      <c r="X869" s="512"/>
      <c r="Y869" s="653"/>
      <c r="Z869" s="512"/>
      <c r="AA869" s="512"/>
    </row>
    <row r="870" s="178" customFormat="1" ht="15.75" customHeight="1" spans="1:27">
      <c r="A870" s="484" t="s">
        <v>2728</v>
      </c>
      <c r="B870" s="484" t="s">
        <v>4329</v>
      </c>
      <c r="C870" s="637" t="s">
        <v>5351</v>
      </c>
      <c r="D870" s="638" t="s">
        <v>5352</v>
      </c>
      <c r="E870" s="491"/>
      <c r="F870" s="518" t="s">
        <v>4018</v>
      </c>
      <c r="G870" s="484" t="s">
        <v>3032</v>
      </c>
      <c r="H870" s="484" t="s">
        <v>5344</v>
      </c>
      <c r="I870" s="507">
        <v>45871</v>
      </c>
      <c r="J870" s="507">
        <v>45889</v>
      </c>
      <c r="K870" s="484" t="s">
        <v>18</v>
      </c>
      <c r="L870" s="644" t="s">
        <v>4407</v>
      </c>
      <c r="M870" s="484" t="s">
        <v>309</v>
      </c>
      <c r="N870" s="491"/>
      <c r="O870" s="491"/>
      <c r="P870" s="643"/>
      <c r="Q870" s="507">
        <v>45874</v>
      </c>
      <c r="R870" s="650">
        <v>45884</v>
      </c>
      <c r="S870" s="484"/>
      <c r="T870" s="650">
        <v>45889</v>
      </c>
      <c r="U870" s="650">
        <v>45895</v>
      </c>
      <c r="V870" s="484"/>
      <c r="W870" s="507">
        <f t="shared" si="39"/>
        <v>45910</v>
      </c>
      <c r="X870" s="512"/>
      <c r="Y870" s="653"/>
      <c r="Z870" s="512"/>
      <c r="AA870" s="512"/>
    </row>
    <row r="871" s="178" customFormat="1" ht="15.75" customHeight="1" spans="1:27">
      <c r="A871" s="484" t="s">
        <v>2728</v>
      </c>
      <c r="B871" s="484" t="s">
        <v>4329</v>
      </c>
      <c r="C871" s="637" t="s">
        <v>5353</v>
      </c>
      <c r="D871" s="638" t="s">
        <v>5354</v>
      </c>
      <c r="E871" s="491"/>
      <c r="F871" s="518" t="s">
        <v>4018</v>
      </c>
      <c r="G871" s="484" t="s">
        <v>3032</v>
      </c>
      <c r="H871" s="484" t="s">
        <v>5344</v>
      </c>
      <c r="I871" s="507">
        <v>45871</v>
      </c>
      <c r="J871" s="507">
        <v>45889</v>
      </c>
      <c r="K871" s="484" t="s">
        <v>18</v>
      </c>
      <c r="L871" s="644" t="s">
        <v>4407</v>
      </c>
      <c r="M871" s="484" t="s">
        <v>309</v>
      </c>
      <c r="N871" s="491"/>
      <c r="O871" s="491"/>
      <c r="P871" s="643"/>
      <c r="Q871" s="507">
        <v>45874</v>
      </c>
      <c r="R871" s="650">
        <v>45884</v>
      </c>
      <c r="S871" s="484"/>
      <c r="T871" s="650">
        <v>45889</v>
      </c>
      <c r="U871" s="650">
        <v>45894</v>
      </c>
      <c r="V871" s="484"/>
      <c r="W871" s="507">
        <f t="shared" si="39"/>
        <v>45910</v>
      </c>
      <c r="X871" s="512"/>
      <c r="Y871" s="653"/>
      <c r="Z871" s="512"/>
      <c r="AA871" s="512"/>
    </row>
    <row r="872" s="178" customFormat="1" ht="15.75" customHeight="1" spans="1:27">
      <c r="A872" s="484" t="s">
        <v>2728</v>
      </c>
      <c r="B872" s="484" t="s">
        <v>4329</v>
      </c>
      <c r="C872" s="641" t="s">
        <v>5355</v>
      </c>
      <c r="D872" s="638" t="s">
        <v>5356</v>
      </c>
      <c r="E872" s="491"/>
      <c r="F872" s="518" t="s">
        <v>4018</v>
      </c>
      <c r="G872" s="484" t="s">
        <v>3032</v>
      </c>
      <c r="H872" s="484" t="s">
        <v>5344</v>
      </c>
      <c r="I872" s="507">
        <v>45871</v>
      </c>
      <c r="J872" s="507">
        <v>45889</v>
      </c>
      <c r="K872" s="484" t="s">
        <v>18</v>
      </c>
      <c r="L872" s="644" t="s">
        <v>4407</v>
      </c>
      <c r="M872" s="484" t="s">
        <v>309</v>
      </c>
      <c r="N872" s="491"/>
      <c r="O872" s="491"/>
      <c r="P872" s="643"/>
      <c r="Q872" s="507">
        <v>45874</v>
      </c>
      <c r="R872" s="650">
        <v>45884</v>
      </c>
      <c r="S872" s="484"/>
      <c r="T872" s="650">
        <v>45889</v>
      </c>
      <c r="U872" s="650">
        <v>45895</v>
      </c>
      <c r="V872" s="484"/>
      <c r="W872" s="507">
        <f t="shared" si="39"/>
        <v>45910</v>
      </c>
      <c r="X872" s="512"/>
      <c r="Y872" s="653"/>
      <c r="Z872" s="512"/>
      <c r="AA872" s="512"/>
    </row>
    <row r="873" s="178" customFormat="1" ht="15.75" customHeight="1" spans="1:27">
      <c r="A873" s="484" t="s">
        <v>2728</v>
      </c>
      <c r="B873" s="484" t="s">
        <v>4329</v>
      </c>
      <c r="C873" s="637" t="s">
        <v>5357</v>
      </c>
      <c r="D873" s="638" t="s">
        <v>5358</v>
      </c>
      <c r="E873" s="491"/>
      <c r="F873" s="518" t="s">
        <v>4018</v>
      </c>
      <c r="G873" s="484" t="s">
        <v>3032</v>
      </c>
      <c r="H873" s="484" t="s">
        <v>5344</v>
      </c>
      <c r="I873" s="507">
        <v>45871</v>
      </c>
      <c r="J873" s="507">
        <v>45889</v>
      </c>
      <c r="K873" s="484" t="s">
        <v>18</v>
      </c>
      <c r="L873" s="644" t="s">
        <v>4407</v>
      </c>
      <c r="M873" s="484" t="s">
        <v>309</v>
      </c>
      <c r="N873" s="491"/>
      <c r="O873" s="491"/>
      <c r="P873" s="643"/>
      <c r="Q873" s="507">
        <v>45874</v>
      </c>
      <c r="R873" s="650">
        <v>45884</v>
      </c>
      <c r="S873" s="484"/>
      <c r="T873" s="650">
        <v>45889</v>
      </c>
      <c r="U873" s="650">
        <v>45894</v>
      </c>
      <c r="V873" s="484"/>
      <c r="W873" s="507">
        <f t="shared" si="39"/>
        <v>45910</v>
      </c>
      <c r="X873" s="512"/>
      <c r="Y873" s="653"/>
      <c r="Z873" s="512"/>
      <c r="AA873" s="512"/>
    </row>
    <row r="874" s="178" customFormat="1" ht="15.75" customHeight="1" spans="1:27">
      <c r="A874" s="484" t="s">
        <v>2728</v>
      </c>
      <c r="B874" s="484" t="s">
        <v>4329</v>
      </c>
      <c r="C874" s="637" t="s">
        <v>5359</v>
      </c>
      <c r="D874" s="638" t="s">
        <v>5360</v>
      </c>
      <c r="E874" s="484"/>
      <c r="F874" s="518" t="s">
        <v>4018</v>
      </c>
      <c r="G874" s="484" t="s">
        <v>3032</v>
      </c>
      <c r="H874" s="484" t="s">
        <v>5344</v>
      </c>
      <c r="I874" s="507">
        <v>45871</v>
      </c>
      <c r="J874" s="507">
        <v>45889</v>
      </c>
      <c r="K874" s="484" t="s">
        <v>18</v>
      </c>
      <c r="L874" s="644" t="s">
        <v>3457</v>
      </c>
      <c r="M874" s="484" t="s">
        <v>309</v>
      </c>
      <c r="N874" s="491"/>
      <c r="O874" s="491"/>
      <c r="P874" s="643"/>
      <c r="Q874" s="507">
        <v>45875</v>
      </c>
      <c r="R874" s="650">
        <v>45884</v>
      </c>
      <c r="S874" s="484"/>
      <c r="T874" s="650">
        <v>45889</v>
      </c>
      <c r="U874" s="650">
        <v>45895</v>
      </c>
      <c r="V874" s="484"/>
      <c r="W874" s="507">
        <f t="shared" si="39"/>
        <v>45910</v>
      </c>
      <c r="X874" s="512"/>
      <c r="Y874" s="653"/>
      <c r="Z874" s="512"/>
      <c r="AA874" s="512"/>
    </row>
    <row r="875" s="178" customFormat="1" ht="15.75" customHeight="1" spans="1:27">
      <c r="A875" s="484" t="s">
        <v>2728</v>
      </c>
      <c r="B875" s="484" t="s">
        <v>4329</v>
      </c>
      <c r="C875" s="637" t="s">
        <v>5361</v>
      </c>
      <c r="D875" s="638" t="s">
        <v>5362</v>
      </c>
      <c r="E875" s="484"/>
      <c r="F875" s="518" t="s">
        <v>4018</v>
      </c>
      <c r="G875" s="484" t="s">
        <v>3032</v>
      </c>
      <c r="H875" s="484" t="s">
        <v>5344</v>
      </c>
      <c r="I875" s="507">
        <v>45871</v>
      </c>
      <c r="J875" s="507">
        <v>45889</v>
      </c>
      <c r="K875" s="484" t="s">
        <v>18</v>
      </c>
      <c r="L875" s="644" t="s">
        <v>3457</v>
      </c>
      <c r="M875" s="484" t="s">
        <v>309</v>
      </c>
      <c r="N875" s="491"/>
      <c r="O875" s="491"/>
      <c r="P875" s="643"/>
      <c r="Q875" s="650">
        <v>45875</v>
      </c>
      <c r="R875" s="650">
        <v>45884</v>
      </c>
      <c r="S875" s="484"/>
      <c r="T875" s="650">
        <v>45889</v>
      </c>
      <c r="U875" s="650">
        <v>45895</v>
      </c>
      <c r="V875" s="484"/>
      <c r="W875" s="507">
        <f t="shared" si="39"/>
        <v>45910</v>
      </c>
      <c r="X875" s="512"/>
      <c r="Y875" s="653"/>
      <c r="Z875" s="512"/>
      <c r="AA875" s="512"/>
    </row>
    <row r="876" s="178" customFormat="1" ht="15.75" customHeight="1" spans="1:27">
      <c r="A876" s="484" t="s">
        <v>2728</v>
      </c>
      <c r="B876" s="484" t="s">
        <v>4329</v>
      </c>
      <c r="C876" s="637" t="s">
        <v>5363</v>
      </c>
      <c r="D876" s="638" t="s">
        <v>5364</v>
      </c>
      <c r="E876" s="484"/>
      <c r="F876" s="518" t="s">
        <v>4018</v>
      </c>
      <c r="G876" s="484" t="s">
        <v>3032</v>
      </c>
      <c r="H876" s="484" t="s">
        <v>5344</v>
      </c>
      <c r="I876" s="507">
        <v>45871</v>
      </c>
      <c r="J876" s="507">
        <v>45889</v>
      </c>
      <c r="K876" s="484" t="s">
        <v>18</v>
      </c>
      <c r="L876" s="644" t="s">
        <v>4407</v>
      </c>
      <c r="M876" s="484" t="s">
        <v>309</v>
      </c>
      <c r="N876" s="491"/>
      <c r="O876" s="491"/>
      <c r="P876" s="643"/>
      <c r="Q876" s="507">
        <v>45875</v>
      </c>
      <c r="R876" s="650">
        <v>45884</v>
      </c>
      <c r="S876" s="484"/>
      <c r="T876" s="650">
        <v>45889</v>
      </c>
      <c r="U876" s="650">
        <v>45894</v>
      </c>
      <c r="V876" s="518" t="s">
        <v>20</v>
      </c>
      <c r="W876" s="507">
        <f t="shared" si="39"/>
        <v>45910</v>
      </c>
      <c r="X876" s="512"/>
      <c r="Y876" s="653"/>
      <c r="Z876" s="512"/>
      <c r="AA876" s="512"/>
    </row>
    <row r="877" s="178" customFormat="1" ht="15.75" customHeight="1" spans="1:27">
      <c r="A877" s="484" t="s">
        <v>2728</v>
      </c>
      <c r="B877" s="484" t="s">
        <v>4329</v>
      </c>
      <c r="C877" s="637" t="s">
        <v>5365</v>
      </c>
      <c r="D877" s="638" t="s">
        <v>5366</v>
      </c>
      <c r="E877" s="484"/>
      <c r="F877" s="518" t="s">
        <v>4018</v>
      </c>
      <c r="G877" s="484" t="s">
        <v>3032</v>
      </c>
      <c r="H877" s="484" t="s">
        <v>5344</v>
      </c>
      <c r="I877" s="507">
        <v>45871</v>
      </c>
      <c r="J877" s="507">
        <v>45889</v>
      </c>
      <c r="K877" s="484" t="s">
        <v>18</v>
      </c>
      <c r="L877" s="644" t="s">
        <v>4407</v>
      </c>
      <c r="M877" s="484" t="s">
        <v>2687</v>
      </c>
      <c r="N877" s="491"/>
      <c r="O877" s="491"/>
      <c r="P877" s="643"/>
      <c r="Q877" s="507">
        <v>45874</v>
      </c>
      <c r="R877" s="650">
        <v>45884</v>
      </c>
      <c r="S877" s="484"/>
      <c r="T877" s="650">
        <v>45889</v>
      </c>
      <c r="U877" s="650">
        <v>45894</v>
      </c>
      <c r="V877" s="484"/>
      <c r="W877" s="507">
        <f t="shared" si="39"/>
        <v>45910</v>
      </c>
      <c r="X877" s="512"/>
      <c r="Y877" s="653"/>
      <c r="Z877" s="512"/>
      <c r="AA877" s="512"/>
    </row>
    <row r="878" s="178" customFormat="1" ht="15.75" customHeight="1" spans="1:27">
      <c r="A878" s="484" t="s">
        <v>2728</v>
      </c>
      <c r="B878" s="484" t="s">
        <v>4329</v>
      </c>
      <c r="C878" s="637" t="s">
        <v>5367</v>
      </c>
      <c r="D878" s="638" t="s">
        <v>5368</v>
      </c>
      <c r="E878" s="484"/>
      <c r="F878" s="518" t="s">
        <v>4018</v>
      </c>
      <c r="G878" s="484" t="s">
        <v>3032</v>
      </c>
      <c r="H878" s="484" t="s">
        <v>5344</v>
      </c>
      <c r="I878" s="507">
        <v>45871</v>
      </c>
      <c r="J878" s="507">
        <v>45889</v>
      </c>
      <c r="K878" s="484" t="s">
        <v>18</v>
      </c>
      <c r="L878" s="644" t="s">
        <v>3457</v>
      </c>
      <c r="M878" s="484" t="s">
        <v>5369</v>
      </c>
      <c r="N878" s="491"/>
      <c r="O878" s="491"/>
      <c r="P878" s="643"/>
      <c r="Q878" s="507">
        <v>45874</v>
      </c>
      <c r="R878" s="650">
        <v>45884</v>
      </c>
      <c r="S878" s="484"/>
      <c r="T878" s="650">
        <v>45889</v>
      </c>
      <c r="U878" s="650">
        <v>45895</v>
      </c>
      <c r="V878" s="484"/>
      <c r="W878" s="507">
        <f t="shared" si="39"/>
        <v>45910</v>
      </c>
      <c r="X878" s="512"/>
      <c r="Y878" s="653"/>
      <c r="Z878" s="512"/>
      <c r="AA878" s="512"/>
    </row>
    <row r="879" s="178" customFormat="1" ht="15.75" customHeight="1" spans="1:27">
      <c r="A879" s="485" t="s">
        <v>1495</v>
      </c>
      <c r="B879" s="484" t="s">
        <v>4300</v>
      </c>
      <c r="C879" s="485" t="s">
        <v>5370</v>
      </c>
      <c r="D879" s="486" t="s">
        <v>5371</v>
      </c>
      <c r="E879" s="491"/>
      <c r="F879" s="484" t="s">
        <v>3979</v>
      </c>
      <c r="G879" s="484" t="s">
        <v>3146</v>
      </c>
      <c r="H879" s="485" t="s">
        <v>5305</v>
      </c>
      <c r="I879" s="507">
        <v>45857</v>
      </c>
      <c r="J879" s="645">
        <v>45893</v>
      </c>
      <c r="K879" s="485" t="s">
        <v>39</v>
      </c>
      <c r="L879" s="644" t="s">
        <v>3437</v>
      </c>
      <c r="M879" s="485" t="s">
        <v>309</v>
      </c>
      <c r="N879" s="491"/>
      <c r="O879" s="491"/>
      <c r="P879" s="643"/>
      <c r="Q879" s="650">
        <v>45863</v>
      </c>
      <c r="R879" s="650">
        <v>45883</v>
      </c>
      <c r="S879" s="484"/>
      <c r="T879" s="650">
        <v>45888</v>
      </c>
      <c r="U879" s="650">
        <v>45896</v>
      </c>
      <c r="V879" s="484"/>
      <c r="W879" s="507">
        <f t="shared" si="39"/>
        <v>45914</v>
      </c>
      <c r="X879" s="652"/>
      <c r="Y879" s="508"/>
      <c r="Z879" s="512"/>
      <c r="AA879" s="512"/>
    </row>
    <row r="880" s="178" customFormat="1" ht="15.75" customHeight="1" spans="1:27">
      <c r="A880" s="485" t="s">
        <v>1345</v>
      </c>
      <c r="B880" s="484" t="s">
        <v>4300</v>
      </c>
      <c r="C880" s="485" t="s">
        <v>5372</v>
      </c>
      <c r="D880" s="485" t="s">
        <v>5373</v>
      </c>
      <c r="E880" s="491"/>
      <c r="F880" s="484" t="s">
        <v>3979</v>
      </c>
      <c r="G880" s="485" t="s">
        <v>3067</v>
      </c>
      <c r="H880" s="485" t="s">
        <v>5374</v>
      </c>
      <c r="I880" s="507">
        <v>45860</v>
      </c>
      <c r="J880" s="645">
        <v>45894</v>
      </c>
      <c r="K880" s="484" t="s">
        <v>18</v>
      </c>
      <c r="L880" s="644" t="s">
        <v>4407</v>
      </c>
      <c r="M880" s="485" t="s">
        <v>309</v>
      </c>
      <c r="N880" s="491"/>
      <c r="O880" s="491"/>
      <c r="P880" s="643"/>
      <c r="Q880" s="650">
        <v>45870</v>
      </c>
      <c r="R880" s="650">
        <v>45887</v>
      </c>
      <c r="S880" s="484"/>
      <c r="T880" s="650">
        <v>45890</v>
      </c>
      <c r="U880" s="491"/>
      <c r="V880" s="491"/>
      <c r="W880" s="650">
        <f t="shared" si="39"/>
        <v>45915</v>
      </c>
      <c r="X880" s="203"/>
      <c r="Y880" s="508"/>
      <c r="Z880" s="203"/>
      <c r="AA880" s="203"/>
    </row>
    <row r="881" s="178" customFormat="1" ht="15.75" customHeight="1" spans="1:27">
      <c r="A881" s="485" t="s">
        <v>1345</v>
      </c>
      <c r="B881" s="484" t="s">
        <v>4300</v>
      </c>
      <c r="C881" s="485" t="s">
        <v>5375</v>
      </c>
      <c r="D881" s="485" t="s">
        <v>5376</v>
      </c>
      <c r="E881" s="491"/>
      <c r="F881" s="484" t="s">
        <v>3979</v>
      </c>
      <c r="G881" s="484" t="s">
        <v>3067</v>
      </c>
      <c r="H881" s="485" t="s">
        <v>5374</v>
      </c>
      <c r="I881" s="507">
        <v>45860</v>
      </c>
      <c r="J881" s="645">
        <v>45894</v>
      </c>
      <c r="K881" s="484" t="s">
        <v>18</v>
      </c>
      <c r="L881" s="644" t="s">
        <v>4407</v>
      </c>
      <c r="M881" s="485" t="s">
        <v>309</v>
      </c>
      <c r="N881" s="491"/>
      <c r="O881" s="491"/>
      <c r="P881" s="643"/>
      <c r="Q881" s="650">
        <v>45870</v>
      </c>
      <c r="R881" s="650">
        <v>45884</v>
      </c>
      <c r="S881" s="484"/>
      <c r="T881" s="650">
        <v>45890</v>
      </c>
      <c r="U881" s="491"/>
      <c r="V881" s="491"/>
      <c r="W881" s="507">
        <f t="shared" si="39"/>
        <v>45915</v>
      </c>
      <c r="X881" s="203"/>
      <c r="Y881" s="508"/>
      <c r="Z881" s="203"/>
      <c r="AA881" s="203"/>
    </row>
    <row r="882" s="178" customFormat="1" ht="15.75" customHeight="1" spans="1:27">
      <c r="A882" s="485" t="s">
        <v>1345</v>
      </c>
      <c r="B882" s="484" t="s">
        <v>4300</v>
      </c>
      <c r="C882" s="485" t="s">
        <v>5377</v>
      </c>
      <c r="D882" s="485" t="s">
        <v>5378</v>
      </c>
      <c r="E882" s="491"/>
      <c r="F882" s="484" t="s">
        <v>3979</v>
      </c>
      <c r="G882" s="484" t="s">
        <v>3067</v>
      </c>
      <c r="H882" s="485" t="s">
        <v>5374</v>
      </c>
      <c r="I882" s="507">
        <v>45860</v>
      </c>
      <c r="J882" s="645">
        <v>45894</v>
      </c>
      <c r="K882" s="484" t="s">
        <v>18</v>
      </c>
      <c r="L882" s="644" t="s">
        <v>4407</v>
      </c>
      <c r="M882" s="485" t="s">
        <v>309</v>
      </c>
      <c r="N882" s="491"/>
      <c r="O882" s="491"/>
      <c r="P882" s="643"/>
      <c r="Q882" s="650">
        <v>45870</v>
      </c>
      <c r="R882" s="650">
        <v>45887</v>
      </c>
      <c r="S882" s="484"/>
      <c r="T882" s="650">
        <v>45890</v>
      </c>
      <c r="U882" s="491"/>
      <c r="V882" s="491"/>
      <c r="W882" s="507">
        <f t="shared" si="39"/>
        <v>45915</v>
      </c>
      <c r="X882" s="203"/>
      <c r="Y882" s="508"/>
      <c r="Z882" s="203"/>
      <c r="AA882" s="203"/>
    </row>
    <row r="883" s="178" customFormat="1" ht="15.75" customHeight="1" spans="1:27">
      <c r="A883" s="485" t="s">
        <v>1345</v>
      </c>
      <c r="B883" s="484" t="s">
        <v>4300</v>
      </c>
      <c r="C883" s="485" t="s">
        <v>5379</v>
      </c>
      <c r="D883" s="485" t="s">
        <v>5380</v>
      </c>
      <c r="E883" s="491"/>
      <c r="F883" s="484" t="s">
        <v>3979</v>
      </c>
      <c r="G883" s="484" t="s">
        <v>3067</v>
      </c>
      <c r="H883" s="485" t="s">
        <v>5374</v>
      </c>
      <c r="I883" s="507">
        <v>45860</v>
      </c>
      <c r="J883" s="648">
        <v>45894</v>
      </c>
      <c r="K883" s="484" t="s">
        <v>18</v>
      </c>
      <c r="L883" s="644" t="s">
        <v>4407</v>
      </c>
      <c r="M883" s="485" t="s">
        <v>309</v>
      </c>
      <c r="N883" s="491"/>
      <c r="O883" s="491"/>
      <c r="P883" s="643"/>
      <c r="Q883" s="650">
        <v>45870</v>
      </c>
      <c r="R883" s="650">
        <v>45884</v>
      </c>
      <c r="S883" s="484"/>
      <c r="T883" s="650">
        <v>45890</v>
      </c>
      <c r="U883" s="491"/>
      <c r="V883" s="491"/>
      <c r="W883" s="507">
        <f t="shared" si="39"/>
        <v>45915</v>
      </c>
      <c r="X883" s="203"/>
      <c r="Y883" s="508"/>
      <c r="Z883" s="203"/>
      <c r="AA883" s="203"/>
    </row>
    <row r="884" s="178" customFormat="1" ht="15.75" customHeight="1" spans="1:27">
      <c r="A884" s="485" t="s">
        <v>1345</v>
      </c>
      <c r="B884" s="484" t="s">
        <v>4300</v>
      </c>
      <c r="C884" s="485" t="s">
        <v>5381</v>
      </c>
      <c r="D884" s="485" t="s">
        <v>5382</v>
      </c>
      <c r="E884" s="491"/>
      <c r="F884" s="484" t="s">
        <v>3979</v>
      </c>
      <c r="G884" s="484" t="s">
        <v>3067</v>
      </c>
      <c r="H884" s="485" t="s">
        <v>5374</v>
      </c>
      <c r="I884" s="507">
        <v>45860</v>
      </c>
      <c r="J884" s="648">
        <v>45894</v>
      </c>
      <c r="K884" s="484" t="s">
        <v>18</v>
      </c>
      <c r="L884" s="644" t="s">
        <v>4407</v>
      </c>
      <c r="M884" s="485" t="s">
        <v>309</v>
      </c>
      <c r="N884" s="491"/>
      <c r="O884" s="491"/>
      <c r="P884" s="643"/>
      <c r="Q884" s="650">
        <v>45870</v>
      </c>
      <c r="R884" s="650">
        <v>45887</v>
      </c>
      <c r="S884" s="484"/>
      <c r="T884" s="650">
        <v>45890</v>
      </c>
      <c r="U884" s="491"/>
      <c r="V884" s="491"/>
      <c r="W884" s="507">
        <f t="shared" si="39"/>
        <v>45915</v>
      </c>
      <c r="X884" s="203"/>
      <c r="Y884" s="508"/>
      <c r="Z884" s="203"/>
      <c r="AA884" s="203"/>
    </row>
    <row r="885" s="178" customFormat="1" ht="15.75" customHeight="1" spans="1:27">
      <c r="A885" s="485" t="s">
        <v>1345</v>
      </c>
      <c r="B885" s="484" t="s">
        <v>4300</v>
      </c>
      <c r="C885" s="485" t="s">
        <v>5383</v>
      </c>
      <c r="D885" s="485" t="s">
        <v>5384</v>
      </c>
      <c r="E885" s="484"/>
      <c r="F885" s="484" t="s">
        <v>3979</v>
      </c>
      <c r="G885" s="484" t="s">
        <v>3079</v>
      </c>
      <c r="H885" s="485" t="s">
        <v>5385</v>
      </c>
      <c r="I885" s="507">
        <v>45863</v>
      </c>
      <c r="J885" s="648">
        <v>45895</v>
      </c>
      <c r="K885" s="484" t="s">
        <v>18</v>
      </c>
      <c r="L885" s="644" t="s">
        <v>4407</v>
      </c>
      <c r="M885" s="485" t="s">
        <v>309</v>
      </c>
      <c r="N885" s="491"/>
      <c r="O885" s="491"/>
      <c r="P885" s="643"/>
      <c r="Q885" s="650">
        <v>45870</v>
      </c>
      <c r="R885" s="650">
        <v>45884</v>
      </c>
      <c r="S885" s="484"/>
      <c r="T885" s="650">
        <v>45890</v>
      </c>
      <c r="U885" s="484"/>
      <c r="V885" s="484"/>
      <c r="W885" s="507">
        <f t="shared" si="39"/>
        <v>45916</v>
      </c>
      <c r="X885" s="512"/>
      <c r="Y885" s="508"/>
      <c r="Z885" s="512"/>
      <c r="AA885" s="512"/>
    </row>
    <row r="886" s="178" customFormat="1" ht="15.75" customHeight="1" spans="1:27">
      <c r="A886" s="485" t="s">
        <v>1345</v>
      </c>
      <c r="B886" s="485" t="s">
        <v>4300</v>
      </c>
      <c r="C886" s="485" t="s">
        <v>5386</v>
      </c>
      <c r="D886" s="485" t="s">
        <v>5387</v>
      </c>
      <c r="E886" s="491"/>
      <c r="F886" s="484" t="s">
        <v>3979</v>
      </c>
      <c r="G886" s="485" t="s">
        <v>3079</v>
      </c>
      <c r="H886" s="485" t="s">
        <v>5388</v>
      </c>
      <c r="I886" s="507">
        <v>45863</v>
      </c>
      <c r="J886" s="648">
        <v>45895</v>
      </c>
      <c r="K886" s="484" t="s">
        <v>18</v>
      </c>
      <c r="L886" s="644" t="s">
        <v>4407</v>
      </c>
      <c r="M886" s="485" t="s">
        <v>309</v>
      </c>
      <c r="N886" s="484"/>
      <c r="O886" s="484"/>
      <c r="P886" s="499"/>
      <c r="Q886" s="650">
        <v>45873</v>
      </c>
      <c r="R886" s="650">
        <v>45884</v>
      </c>
      <c r="S886" s="484"/>
      <c r="T886" s="650">
        <v>45890</v>
      </c>
      <c r="U886" s="484"/>
      <c r="V886" s="484"/>
      <c r="W886" s="507">
        <f t="shared" si="39"/>
        <v>45916</v>
      </c>
      <c r="X886" s="512"/>
      <c r="Y886" s="508"/>
      <c r="Z886" s="512"/>
      <c r="AA886" s="512"/>
    </row>
    <row r="887" s="178" customFormat="1" ht="15.75" customHeight="1" spans="1:27">
      <c r="A887" s="485" t="s">
        <v>1345</v>
      </c>
      <c r="B887" s="484" t="s">
        <v>4300</v>
      </c>
      <c r="C887" s="485" t="s">
        <v>5389</v>
      </c>
      <c r="D887" s="485" t="s">
        <v>5390</v>
      </c>
      <c r="E887" s="491"/>
      <c r="F887" s="484" t="s">
        <v>3979</v>
      </c>
      <c r="G887" s="484" t="s">
        <v>3079</v>
      </c>
      <c r="H887" s="485" t="s">
        <v>5385</v>
      </c>
      <c r="I887" s="507">
        <v>45863</v>
      </c>
      <c r="J887" s="648">
        <v>45895</v>
      </c>
      <c r="K887" s="484" t="s">
        <v>18</v>
      </c>
      <c r="L887" s="644" t="s">
        <v>4407</v>
      </c>
      <c r="M887" s="485" t="s">
        <v>309</v>
      </c>
      <c r="N887" s="484"/>
      <c r="O887" s="484"/>
      <c r="P887" s="499"/>
      <c r="Q887" s="650">
        <v>45870</v>
      </c>
      <c r="R887" s="650">
        <v>45884</v>
      </c>
      <c r="S887" s="484"/>
      <c r="T887" s="650">
        <v>45890</v>
      </c>
      <c r="U887" s="484"/>
      <c r="V887" s="484"/>
      <c r="W887" s="507">
        <f t="shared" si="39"/>
        <v>45916</v>
      </c>
      <c r="X887" s="512"/>
      <c r="Y887" s="508"/>
      <c r="Z887" s="512"/>
      <c r="AA887" s="512"/>
    </row>
    <row r="888" s="178" customFormat="1" ht="15.75" customHeight="1" spans="1:27">
      <c r="A888" s="485" t="s">
        <v>1345</v>
      </c>
      <c r="B888" s="484" t="s">
        <v>4300</v>
      </c>
      <c r="C888" s="485" t="s">
        <v>5391</v>
      </c>
      <c r="D888" s="485" t="s">
        <v>5392</v>
      </c>
      <c r="E888" s="491"/>
      <c r="F888" s="484" t="s">
        <v>3979</v>
      </c>
      <c r="G888" s="484" t="s">
        <v>3079</v>
      </c>
      <c r="H888" s="485" t="s">
        <v>5388</v>
      </c>
      <c r="I888" s="507">
        <v>45863</v>
      </c>
      <c r="J888" s="648">
        <v>45895</v>
      </c>
      <c r="K888" s="484" t="s">
        <v>18</v>
      </c>
      <c r="L888" s="644" t="s">
        <v>4407</v>
      </c>
      <c r="M888" s="485" t="s">
        <v>309</v>
      </c>
      <c r="N888" s="484"/>
      <c r="O888" s="484"/>
      <c r="P888" s="499"/>
      <c r="Q888" s="650">
        <v>45870</v>
      </c>
      <c r="R888" s="650">
        <v>45884</v>
      </c>
      <c r="S888" s="484"/>
      <c r="T888" s="650">
        <v>45890</v>
      </c>
      <c r="U888" s="484"/>
      <c r="V888" s="484"/>
      <c r="W888" s="507">
        <f t="shared" si="39"/>
        <v>45916</v>
      </c>
      <c r="X888" s="512"/>
      <c r="Y888" s="508"/>
      <c r="Z888" s="512"/>
      <c r="AA888" s="512"/>
    </row>
    <row r="889" s="178" customFormat="1" ht="15.75" customHeight="1" spans="1:27">
      <c r="A889" s="485" t="s">
        <v>1345</v>
      </c>
      <c r="B889" s="484" t="s">
        <v>4300</v>
      </c>
      <c r="C889" s="485" t="s">
        <v>5393</v>
      </c>
      <c r="D889" s="485" t="s">
        <v>5394</v>
      </c>
      <c r="E889" s="491"/>
      <c r="F889" s="484" t="s">
        <v>3979</v>
      </c>
      <c r="G889" s="484" t="s">
        <v>3079</v>
      </c>
      <c r="H889" s="485" t="s">
        <v>5388</v>
      </c>
      <c r="I889" s="507">
        <v>45863</v>
      </c>
      <c r="J889" s="648">
        <v>45895</v>
      </c>
      <c r="K889" s="484" t="s">
        <v>18</v>
      </c>
      <c r="L889" s="644" t="s">
        <v>4407</v>
      </c>
      <c r="M889" s="485" t="s">
        <v>309</v>
      </c>
      <c r="N889" s="484"/>
      <c r="O889" s="484"/>
      <c r="P889" s="499"/>
      <c r="Q889" s="650">
        <v>45870</v>
      </c>
      <c r="R889" s="650">
        <v>45884</v>
      </c>
      <c r="S889" s="484"/>
      <c r="T889" s="650">
        <v>45890</v>
      </c>
      <c r="U889" s="484"/>
      <c r="V889" s="484"/>
      <c r="W889" s="507">
        <f t="shared" si="39"/>
        <v>45916</v>
      </c>
      <c r="X889" s="512"/>
      <c r="Y889" s="508"/>
      <c r="Z889" s="512"/>
      <c r="AA889" s="512"/>
    </row>
    <row r="890" s="178" customFormat="1" ht="15.75" customHeight="1" spans="1:27">
      <c r="A890" s="484" t="s">
        <v>910</v>
      </c>
      <c r="B890" s="484" t="s">
        <v>4300</v>
      </c>
      <c r="C890" s="485" t="s">
        <v>5395</v>
      </c>
      <c r="D890" s="484" t="s">
        <v>5396</v>
      </c>
      <c r="E890" s="491"/>
      <c r="F890" s="484" t="s">
        <v>3979</v>
      </c>
      <c r="G890" s="484" t="s">
        <v>3146</v>
      </c>
      <c r="H890" s="485" t="s">
        <v>5397</v>
      </c>
      <c r="I890" s="507">
        <v>45863</v>
      </c>
      <c r="J890" s="648">
        <v>45895</v>
      </c>
      <c r="K890" s="484" t="s">
        <v>18</v>
      </c>
      <c r="L890" s="649" t="s">
        <v>5306</v>
      </c>
      <c r="M890" s="484" t="s">
        <v>309</v>
      </c>
      <c r="N890" s="491"/>
      <c r="O890" s="491"/>
      <c r="P890" s="643"/>
      <c r="Q890" s="650">
        <v>45869</v>
      </c>
      <c r="R890" s="650">
        <v>45882</v>
      </c>
      <c r="S890" s="484"/>
      <c r="T890" s="650">
        <v>45887</v>
      </c>
      <c r="U890" s="484"/>
      <c r="V890" s="484"/>
      <c r="W890" s="507">
        <f t="shared" si="39"/>
        <v>45916</v>
      </c>
      <c r="X890" s="512"/>
      <c r="Y890" s="508"/>
      <c r="Z890" s="512"/>
      <c r="AA890" s="512"/>
    </row>
    <row r="891" s="178" customFormat="1" ht="15.75" customHeight="1" spans="1:27">
      <c r="A891" s="484" t="s">
        <v>910</v>
      </c>
      <c r="B891" s="484" t="s">
        <v>4300</v>
      </c>
      <c r="C891" s="485" t="s">
        <v>5398</v>
      </c>
      <c r="D891" s="484" t="s">
        <v>5399</v>
      </c>
      <c r="E891" s="491"/>
      <c r="F891" s="484" t="s">
        <v>3979</v>
      </c>
      <c r="G891" s="484" t="s">
        <v>3146</v>
      </c>
      <c r="H891" s="485" t="s">
        <v>5397</v>
      </c>
      <c r="I891" s="507">
        <v>45863</v>
      </c>
      <c r="J891" s="648">
        <v>45895</v>
      </c>
      <c r="K891" s="484" t="s">
        <v>18</v>
      </c>
      <c r="L891" s="649" t="s">
        <v>5306</v>
      </c>
      <c r="M891" s="484" t="s">
        <v>309</v>
      </c>
      <c r="N891" s="491"/>
      <c r="O891" s="491"/>
      <c r="P891" s="643"/>
      <c r="Q891" s="650">
        <v>45869</v>
      </c>
      <c r="R891" s="650">
        <v>45882</v>
      </c>
      <c r="S891" s="484"/>
      <c r="T891" s="650">
        <v>45887</v>
      </c>
      <c r="U891" s="484"/>
      <c r="V891" s="484"/>
      <c r="W891" s="507">
        <f t="shared" si="39"/>
        <v>45916</v>
      </c>
      <c r="X891" s="512"/>
      <c r="Y891" s="508"/>
      <c r="Z891" s="512"/>
      <c r="AA891" s="512">
        <f>SUM(A891:Z891)</f>
        <v>275312</v>
      </c>
    </row>
    <row r="892" s="178" customFormat="1" ht="15.75" customHeight="1" spans="1:27">
      <c r="A892" s="484" t="s">
        <v>2728</v>
      </c>
      <c r="B892" s="484" t="s">
        <v>4329</v>
      </c>
      <c r="C892" s="485" t="s">
        <v>5400</v>
      </c>
      <c r="D892" s="638" t="s">
        <v>5401</v>
      </c>
      <c r="E892" s="491"/>
      <c r="F892" s="485" t="s">
        <v>4115</v>
      </c>
      <c r="G892" s="484" t="s">
        <v>4235</v>
      </c>
      <c r="H892" s="485" t="s">
        <v>5402</v>
      </c>
      <c r="I892" s="507">
        <v>45868</v>
      </c>
      <c r="J892" s="648">
        <v>45896</v>
      </c>
      <c r="K892" s="484" t="s">
        <v>18</v>
      </c>
      <c r="L892" s="649" t="s">
        <v>4407</v>
      </c>
      <c r="M892" s="485" t="s">
        <v>2687</v>
      </c>
      <c r="N892" s="491"/>
      <c r="O892" s="491"/>
      <c r="P892" s="643"/>
      <c r="Q892" s="650">
        <v>45889</v>
      </c>
      <c r="R892" s="650">
        <v>45889</v>
      </c>
      <c r="S892" s="484"/>
      <c r="T892" s="491"/>
      <c r="U892" s="491"/>
      <c r="V892" s="491"/>
      <c r="W892" s="507">
        <f t="shared" si="39"/>
        <v>45917</v>
      </c>
      <c r="X892" s="203"/>
      <c r="Y892" s="655"/>
      <c r="Z892" s="203"/>
      <c r="AA892" s="203"/>
    </row>
    <row r="893" s="178" customFormat="1" ht="15.75" customHeight="1" spans="1:27">
      <c r="A893" s="484" t="s">
        <v>2728</v>
      </c>
      <c r="B893" s="484" t="s">
        <v>4329</v>
      </c>
      <c r="C893" s="484" t="s">
        <v>5400</v>
      </c>
      <c r="D893" s="639" t="s">
        <v>5403</v>
      </c>
      <c r="E893" s="491"/>
      <c r="F893" s="485" t="s">
        <v>4115</v>
      </c>
      <c r="G893" s="484" t="s">
        <v>4235</v>
      </c>
      <c r="H893" s="484" t="s">
        <v>5402</v>
      </c>
      <c r="I893" s="507">
        <v>45868</v>
      </c>
      <c r="J893" s="648">
        <v>45896</v>
      </c>
      <c r="K893" s="484" t="s">
        <v>18</v>
      </c>
      <c r="L893" s="649" t="s">
        <v>4407</v>
      </c>
      <c r="M893" s="485" t="s">
        <v>309</v>
      </c>
      <c r="N893" s="491"/>
      <c r="O893" s="491"/>
      <c r="P893" s="643"/>
      <c r="Q893" s="650">
        <v>45889</v>
      </c>
      <c r="R893" s="650">
        <v>45889</v>
      </c>
      <c r="S893" s="484"/>
      <c r="T893" s="491"/>
      <c r="U893" s="491"/>
      <c r="V893" s="491"/>
      <c r="W893" s="507">
        <f t="shared" si="39"/>
        <v>45917</v>
      </c>
      <c r="X893" s="203"/>
      <c r="Y893" s="655"/>
      <c r="Z893" s="203"/>
      <c r="AA893" s="203"/>
    </row>
    <row r="894" s="178" customFormat="1" ht="15.75" customHeight="1" spans="1:27">
      <c r="A894" s="484" t="s">
        <v>2728</v>
      </c>
      <c r="B894" s="484" t="s">
        <v>4329</v>
      </c>
      <c r="C894" s="484" t="s">
        <v>5400</v>
      </c>
      <c r="D894" s="639" t="s">
        <v>5404</v>
      </c>
      <c r="E894" s="491"/>
      <c r="F894" s="485" t="s">
        <v>4115</v>
      </c>
      <c r="G894" s="484" t="s">
        <v>4235</v>
      </c>
      <c r="H894" s="484" t="s">
        <v>5402</v>
      </c>
      <c r="I894" s="507">
        <v>45868</v>
      </c>
      <c r="J894" s="648">
        <v>45896</v>
      </c>
      <c r="K894" s="484" t="s">
        <v>18</v>
      </c>
      <c r="L894" s="649" t="s">
        <v>4407</v>
      </c>
      <c r="M894" s="485" t="s">
        <v>309</v>
      </c>
      <c r="N894" s="491"/>
      <c r="O894" s="491"/>
      <c r="P894" s="643"/>
      <c r="Q894" s="650">
        <v>45889</v>
      </c>
      <c r="R894" s="650">
        <v>45889</v>
      </c>
      <c r="S894" s="484"/>
      <c r="T894" s="491"/>
      <c r="U894" s="491"/>
      <c r="V894" s="491"/>
      <c r="W894" s="507">
        <f t="shared" si="39"/>
        <v>45917</v>
      </c>
      <c r="X894" s="203"/>
      <c r="Y894" s="655"/>
      <c r="Z894" s="203"/>
      <c r="AA894" s="203"/>
    </row>
    <row r="895" s="178" customFormat="1" ht="15.75" customHeight="1" spans="1:27">
      <c r="A895" s="484" t="s">
        <v>2728</v>
      </c>
      <c r="B895" s="484" t="s">
        <v>4329</v>
      </c>
      <c r="C895" s="484" t="s">
        <v>5400</v>
      </c>
      <c r="D895" s="639" t="s">
        <v>5405</v>
      </c>
      <c r="E895" s="491"/>
      <c r="F895" s="485" t="s">
        <v>4115</v>
      </c>
      <c r="G895" s="484" t="s">
        <v>4235</v>
      </c>
      <c r="H895" s="484" t="s">
        <v>5402</v>
      </c>
      <c r="I895" s="507">
        <v>45868</v>
      </c>
      <c r="J895" s="648">
        <v>45896</v>
      </c>
      <c r="K895" s="484" t="s">
        <v>18</v>
      </c>
      <c r="L895" s="649" t="s">
        <v>3457</v>
      </c>
      <c r="M895" s="485" t="s">
        <v>309</v>
      </c>
      <c r="N895" s="491"/>
      <c r="O895" s="491"/>
      <c r="P895" s="643"/>
      <c r="Q895" s="650">
        <v>45889</v>
      </c>
      <c r="R895" s="650">
        <v>45889</v>
      </c>
      <c r="S895" s="484"/>
      <c r="T895" s="491"/>
      <c r="U895" s="491"/>
      <c r="V895" s="491"/>
      <c r="W895" s="507">
        <f t="shared" si="39"/>
        <v>45917</v>
      </c>
      <c r="X895" s="203"/>
      <c r="Y895" s="655"/>
      <c r="Z895" s="203"/>
      <c r="AA895" s="203"/>
    </row>
    <row r="896" s="178" customFormat="1" ht="15.75" customHeight="1" spans="1:27">
      <c r="A896" s="484" t="s">
        <v>2728</v>
      </c>
      <c r="B896" s="484" t="s">
        <v>4329</v>
      </c>
      <c r="C896" s="484" t="s">
        <v>5400</v>
      </c>
      <c r="D896" s="639" t="s">
        <v>5406</v>
      </c>
      <c r="E896" s="491"/>
      <c r="F896" s="485" t="s">
        <v>4115</v>
      </c>
      <c r="G896" s="484" t="s">
        <v>4235</v>
      </c>
      <c r="H896" s="484" t="s">
        <v>5402</v>
      </c>
      <c r="I896" s="507">
        <v>45868</v>
      </c>
      <c r="J896" s="648">
        <v>45896</v>
      </c>
      <c r="K896" s="484" t="s">
        <v>18</v>
      </c>
      <c r="L896" s="649" t="s">
        <v>3457</v>
      </c>
      <c r="M896" s="485" t="s">
        <v>309</v>
      </c>
      <c r="N896" s="491"/>
      <c r="O896" s="491"/>
      <c r="P896" s="643"/>
      <c r="Q896" s="650">
        <v>45889</v>
      </c>
      <c r="R896" s="650">
        <v>45889</v>
      </c>
      <c r="S896" s="484"/>
      <c r="T896" s="491"/>
      <c r="U896" s="491"/>
      <c r="V896" s="491"/>
      <c r="W896" s="507">
        <f t="shared" si="39"/>
        <v>45917</v>
      </c>
      <c r="X896" s="203"/>
      <c r="Y896" s="655"/>
      <c r="Z896" s="203"/>
      <c r="AA896" s="203"/>
    </row>
    <row r="897" s="178" customFormat="1" ht="15.75" customHeight="1" spans="1:27">
      <c r="A897" s="484" t="s">
        <v>1603</v>
      </c>
      <c r="B897" s="484" t="s">
        <v>4300</v>
      </c>
      <c r="C897" s="485" t="s">
        <v>5407</v>
      </c>
      <c r="D897" s="484" t="s">
        <v>5408</v>
      </c>
      <c r="E897" s="491"/>
      <c r="F897" s="484" t="s">
        <v>3979</v>
      </c>
      <c r="G897" s="484" t="s">
        <v>3067</v>
      </c>
      <c r="H897" s="485" t="s">
        <v>5409</v>
      </c>
      <c r="I897" s="507">
        <v>45873</v>
      </c>
      <c r="J897" s="648">
        <v>45896</v>
      </c>
      <c r="K897" s="484" t="s">
        <v>18</v>
      </c>
      <c r="L897" s="649" t="s">
        <v>3452</v>
      </c>
      <c r="M897" s="484" t="s">
        <v>1607</v>
      </c>
      <c r="N897" s="491"/>
      <c r="O897" s="491"/>
      <c r="P897" s="643"/>
      <c r="Q897" s="650">
        <v>45881</v>
      </c>
      <c r="R897" s="650">
        <v>45889</v>
      </c>
      <c r="S897" s="484"/>
      <c r="T897" s="486"/>
      <c r="U897" s="491"/>
      <c r="V897" s="491"/>
      <c r="W897" s="507">
        <f t="shared" si="39"/>
        <v>45917</v>
      </c>
      <c r="X897" s="203"/>
      <c r="Y897" s="655"/>
      <c r="Z897" s="203"/>
      <c r="AA897" s="203"/>
    </row>
    <row r="898" s="480" customFormat="1" ht="15.75" customHeight="1" spans="1:27">
      <c r="A898" s="484" t="s">
        <v>1280</v>
      </c>
      <c r="B898" s="484" t="s">
        <v>4300</v>
      </c>
      <c r="C898" s="484" t="s">
        <v>5410</v>
      </c>
      <c r="D898" s="484" t="s">
        <v>5411</v>
      </c>
      <c r="E898" s="491"/>
      <c r="F898" s="484" t="s">
        <v>3979</v>
      </c>
      <c r="G898" s="484" t="s">
        <v>3067</v>
      </c>
      <c r="H898" s="484" t="s">
        <v>5409</v>
      </c>
      <c r="I898" s="507">
        <v>45873</v>
      </c>
      <c r="J898" s="648">
        <v>45900</v>
      </c>
      <c r="K898" s="484" t="s">
        <v>39</v>
      </c>
      <c r="L898" s="508" t="s">
        <v>5087</v>
      </c>
      <c r="M898" s="484" t="s">
        <v>1611</v>
      </c>
      <c r="N898" s="484"/>
      <c r="O898" s="484"/>
      <c r="P898" s="499"/>
      <c r="Q898" s="645">
        <v>45882</v>
      </c>
      <c r="R898" s="507">
        <v>45890</v>
      </c>
      <c r="S898" s="484"/>
      <c r="T898" s="491"/>
      <c r="U898" s="491"/>
      <c r="V898" s="491"/>
      <c r="W898" s="650">
        <f t="shared" si="39"/>
        <v>45921</v>
      </c>
      <c r="X898" s="658"/>
      <c r="Y898" s="655"/>
      <c r="Z898" s="491"/>
      <c r="AA898" s="491"/>
    </row>
    <row r="899" s="178" customFormat="1" ht="15.75" customHeight="1" spans="1:27">
      <c r="A899" s="484" t="s">
        <v>1345</v>
      </c>
      <c r="B899" s="484" t="s">
        <v>4300</v>
      </c>
      <c r="C899" s="485" t="s">
        <v>5412</v>
      </c>
      <c r="D899" s="485" t="s">
        <v>5413</v>
      </c>
      <c r="E899" s="491"/>
      <c r="F899" s="484" t="s">
        <v>3979</v>
      </c>
      <c r="G899" s="484" t="s">
        <v>3079</v>
      </c>
      <c r="H899" s="485" t="s">
        <v>5414</v>
      </c>
      <c r="I899" s="507">
        <v>45870</v>
      </c>
      <c r="J899" s="648">
        <v>45901</v>
      </c>
      <c r="K899" s="484" t="s">
        <v>18</v>
      </c>
      <c r="L899" s="644" t="s">
        <v>5306</v>
      </c>
      <c r="M899" s="485" t="s">
        <v>309</v>
      </c>
      <c r="N899" s="491"/>
      <c r="O899" s="491"/>
      <c r="P899" s="643"/>
      <c r="Q899" s="650">
        <v>45876</v>
      </c>
      <c r="R899" s="650">
        <v>45894</v>
      </c>
      <c r="S899" s="484"/>
      <c r="T899" s="491"/>
      <c r="U899" s="491"/>
      <c r="V899" s="491"/>
      <c r="W899" s="507">
        <f t="shared" si="39"/>
        <v>45922</v>
      </c>
      <c r="X899" s="203"/>
      <c r="Y899" s="508"/>
      <c r="Z899" s="203"/>
      <c r="AA899" s="203"/>
    </row>
    <row r="900" s="178" customFormat="1" ht="15.75" customHeight="1" spans="1:27">
      <c r="A900" s="484" t="s">
        <v>1345</v>
      </c>
      <c r="B900" s="484" t="s">
        <v>4300</v>
      </c>
      <c r="C900" s="485" t="s">
        <v>5415</v>
      </c>
      <c r="D900" s="485" t="s">
        <v>5416</v>
      </c>
      <c r="E900" s="491"/>
      <c r="F900" s="484" t="s">
        <v>3979</v>
      </c>
      <c r="G900" s="484" t="s">
        <v>3067</v>
      </c>
      <c r="H900" s="485" t="s">
        <v>5417</v>
      </c>
      <c r="I900" s="507">
        <v>45870</v>
      </c>
      <c r="J900" s="648">
        <v>45901</v>
      </c>
      <c r="K900" s="484" t="s">
        <v>18</v>
      </c>
      <c r="L900" s="646" t="s">
        <v>5306</v>
      </c>
      <c r="M900" s="484" t="s">
        <v>309</v>
      </c>
      <c r="N900" s="491"/>
      <c r="O900" s="491"/>
      <c r="P900" s="643"/>
      <c r="Q900" s="650">
        <v>45876</v>
      </c>
      <c r="R900" s="650">
        <v>45890</v>
      </c>
      <c r="S900" s="484"/>
      <c r="T900" s="180"/>
      <c r="U900" s="491"/>
      <c r="V900" s="491"/>
      <c r="W900" s="650">
        <f t="shared" si="39"/>
        <v>45922</v>
      </c>
      <c r="X900" s="203"/>
      <c r="Y900" s="508"/>
      <c r="Z900" s="203"/>
      <c r="AA900" s="203"/>
    </row>
    <row r="901" s="178" customFormat="1" ht="15.75" customHeight="1" spans="1:27">
      <c r="A901" s="484" t="s">
        <v>1345</v>
      </c>
      <c r="B901" s="484" t="s">
        <v>4300</v>
      </c>
      <c r="C901" s="485" t="s">
        <v>5418</v>
      </c>
      <c r="D901" s="485" t="s">
        <v>5419</v>
      </c>
      <c r="E901" s="491"/>
      <c r="F901" s="484" t="s">
        <v>3979</v>
      </c>
      <c r="G901" s="484" t="s">
        <v>3067</v>
      </c>
      <c r="H901" s="485" t="s">
        <v>5417</v>
      </c>
      <c r="I901" s="507">
        <v>45870</v>
      </c>
      <c r="J901" s="648">
        <v>45901</v>
      </c>
      <c r="K901" s="484" t="s">
        <v>18</v>
      </c>
      <c r="L901" s="646" t="s">
        <v>5306</v>
      </c>
      <c r="M901" s="485" t="s">
        <v>309</v>
      </c>
      <c r="N901" s="491"/>
      <c r="O901" s="491"/>
      <c r="P901" s="643"/>
      <c r="Q901" s="650">
        <v>45876</v>
      </c>
      <c r="R901" s="650">
        <v>45890</v>
      </c>
      <c r="S901" s="484"/>
      <c r="T901" s="491"/>
      <c r="U901" s="491"/>
      <c r="V901" s="491"/>
      <c r="W901" s="507">
        <f t="shared" si="39"/>
        <v>45922</v>
      </c>
      <c r="X901" s="203"/>
      <c r="Y901" s="508"/>
      <c r="Z901" s="203"/>
      <c r="AA901" s="203"/>
    </row>
    <row r="902" s="178" customFormat="1" ht="15.75" customHeight="1" spans="1:27">
      <c r="A902" s="484" t="s">
        <v>1345</v>
      </c>
      <c r="B902" s="484" t="s">
        <v>4300</v>
      </c>
      <c r="C902" s="485" t="s">
        <v>5420</v>
      </c>
      <c r="D902" s="485" t="s">
        <v>5421</v>
      </c>
      <c r="E902" s="491"/>
      <c r="F902" s="484" t="s">
        <v>3979</v>
      </c>
      <c r="G902" s="484" t="s">
        <v>3067</v>
      </c>
      <c r="H902" s="485" t="s">
        <v>5417</v>
      </c>
      <c r="I902" s="507">
        <v>45870</v>
      </c>
      <c r="J902" s="648">
        <v>45901</v>
      </c>
      <c r="K902" s="484" t="s">
        <v>18</v>
      </c>
      <c r="L902" s="644" t="s">
        <v>5306</v>
      </c>
      <c r="M902" s="484" t="s">
        <v>309</v>
      </c>
      <c r="N902" s="491"/>
      <c r="O902" s="491"/>
      <c r="P902" s="643"/>
      <c r="Q902" s="650">
        <v>45876</v>
      </c>
      <c r="R902" s="650">
        <v>45890</v>
      </c>
      <c r="S902" s="484"/>
      <c r="T902" s="491"/>
      <c r="U902" s="491"/>
      <c r="V902" s="491"/>
      <c r="W902" s="507">
        <f t="shared" si="39"/>
        <v>45922</v>
      </c>
      <c r="X902" s="203"/>
      <c r="Y902" s="508"/>
      <c r="Z902" s="203"/>
      <c r="AA902" s="203"/>
    </row>
    <row r="903" s="178" customFormat="1" ht="15.75" customHeight="1" spans="1:27">
      <c r="A903" s="484" t="s">
        <v>1345</v>
      </c>
      <c r="B903" s="484" t="s">
        <v>4300</v>
      </c>
      <c r="C903" s="485" t="s">
        <v>5422</v>
      </c>
      <c r="D903" s="485" t="s">
        <v>5423</v>
      </c>
      <c r="E903" s="491"/>
      <c r="F903" s="484" t="s">
        <v>3979</v>
      </c>
      <c r="G903" s="484" t="s">
        <v>3067</v>
      </c>
      <c r="H903" s="485" t="s">
        <v>5417</v>
      </c>
      <c r="I903" s="507">
        <v>45870</v>
      </c>
      <c r="J903" s="648">
        <v>45901</v>
      </c>
      <c r="K903" s="484" t="s">
        <v>18</v>
      </c>
      <c r="L903" s="644" t="s">
        <v>5306</v>
      </c>
      <c r="M903" s="485" t="s">
        <v>309</v>
      </c>
      <c r="N903" s="491"/>
      <c r="O903" s="491"/>
      <c r="P903" s="643"/>
      <c r="Q903" s="650">
        <v>45880</v>
      </c>
      <c r="R903" s="650">
        <v>45890</v>
      </c>
      <c r="S903" s="484"/>
      <c r="T903" s="491"/>
      <c r="U903" s="491"/>
      <c r="V903" s="491"/>
      <c r="W903" s="507">
        <f t="shared" si="39"/>
        <v>45922</v>
      </c>
      <c r="X903" s="203"/>
      <c r="Y903" s="508"/>
      <c r="Z903" s="203"/>
      <c r="AA903" s="203"/>
    </row>
    <row r="904" s="178" customFormat="1" ht="15.75" customHeight="1" spans="1:27">
      <c r="A904" s="485" t="s">
        <v>1345</v>
      </c>
      <c r="B904" s="484" t="s">
        <v>4300</v>
      </c>
      <c r="C904" s="485" t="s">
        <v>5424</v>
      </c>
      <c r="D904" s="485" t="s">
        <v>5425</v>
      </c>
      <c r="E904" s="491"/>
      <c r="F904" s="484" t="s">
        <v>3979</v>
      </c>
      <c r="G904" s="518" t="s">
        <v>3067</v>
      </c>
      <c r="H904" s="485" t="s">
        <v>5417</v>
      </c>
      <c r="I904" s="507">
        <v>45870</v>
      </c>
      <c r="J904" s="648">
        <v>45901</v>
      </c>
      <c r="K904" s="484" t="s">
        <v>18</v>
      </c>
      <c r="L904" s="646" t="s">
        <v>5306</v>
      </c>
      <c r="M904" s="485" t="s">
        <v>309</v>
      </c>
      <c r="N904" s="491"/>
      <c r="O904" s="491"/>
      <c r="P904" s="643"/>
      <c r="Q904" s="645">
        <v>45876</v>
      </c>
      <c r="R904" s="650">
        <v>45890</v>
      </c>
      <c r="S904" s="484"/>
      <c r="T904" s="491"/>
      <c r="U904" s="491"/>
      <c r="V904" s="491"/>
      <c r="W904" s="650">
        <f t="shared" si="39"/>
        <v>45922</v>
      </c>
      <c r="X904" s="203"/>
      <c r="Y904" s="508"/>
      <c r="Z904" s="203"/>
      <c r="AA904" s="203"/>
    </row>
    <row r="905" s="178" customFormat="1" ht="15.75" customHeight="1" spans="1:27">
      <c r="A905" s="484" t="s">
        <v>1345</v>
      </c>
      <c r="B905" s="484" t="s">
        <v>4300</v>
      </c>
      <c r="C905" s="485" t="s">
        <v>5426</v>
      </c>
      <c r="D905" s="485" t="s">
        <v>5427</v>
      </c>
      <c r="E905" s="491"/>
      <c r="F905" s="484" t="s">
        <v>3979</v>
      </c>
      <c r="G905" s="484" t="s">
        <v>3079</v>
      </c>
      <c r="H905" s="485" t="s">
        <v>5428</v>
      </c>
      <c r="I905" s="507">
        <v>45870</v>
      </c>
      <c r="J905" s="648">
        <v>45902</v>
      </c>
      <c r="K905" s="484" t="s">
        <v>18</v>
      </c>
      <c r="L905" s="644" t="s">
        <v>5306</v>
      </c>
      <c r="M905" s="484" t="s">
        <v>309</v>
      </c>
      <c r="N905" s="491"/>
      <c r="O905" s="491"/>
      <c r="P905" s="643"/>
      <c r="Q905" s="650">
        <v>45876</v>
      </c>
      <c r="R905" s="507">
        <v>45887</v>
      </c>
      <c r="S905" s="484"/>
      <c r="T905" s="491"/>
      <c r="U905" s="491"/>
      <c r="V905" s="491"/>
      <c r="W905" s="507">
        <f t="shared" si="39"/>
        <v>45923</v>
      </c>
      <c r="X905" s="203"/>
      <c r="Y905" s="508"/>
      <c r="Z905" s="203"/>
      <c r="AA905" s="203"/>
    </row>
    <row r="906" s="178" customFormat="1" ht="15.75" customHeight="1" spans="1:27">
      <c r="A906" s="484" t="s">
        <v>1345</v>
      </c>
      <c r="B906" s="484" t="s">
        <v>4300</v>
      </c>
      <c r="C906" s="485" t="s">
        <v>5429</v>
      </c>
      <c r="D906" s="485" t="s">
        <v>5430</v>
      </c>
      <c r="E906" s="491"/>
      <c r="F906" s="484" t="s">
        <v>3979</v>
      </c>
      <c r="G906" s="484" t="s">
        <v>3079</v>
      </c>
      <c r="H906" s="485" t="s">
        <v>5428</v>
      </c>
      <c r="I906" s="507">
        <v>45870</v>
      </c>
      <c r="J906" s="648">
        <v>45902</v>
      </c>
      <c r="K906" s="484" t="s">
        <v>18</v>
      </c>
      <c r="L906" s="644" t="s">
        <v>5306</v>
      </c>
      <c r="M906" s="484" t="s">
        <v>309</v>
      </c>
      <c r="N906" s="491"/>
      <c r="O906" s="491"/>
      <c r="P906" s="643"/>
      <c r="Q906" s="650">
        <v>45880</v>
      </c>
      <c r="R906" s="507">
        <v>45887</v>
      </c>
      <c r="S906" s="484"/>
      <c r="T906" s="491"/>
      <c r="U906" s="491"/>
      <c r="V906" s="491"/>
      <c r="W906" s="507">
        <f t="shared" si="39"/>
        <v>45923</v>
      </c>
      <c r="X906" s="203"/>
      <c r="Y906" s="508"/>
      <c r="Z906" s="203"/>
      <c r="AA906" s="203"/>
    </row>
    <row r="907" s="178" customFormat="1" ht="15.75" customHeight="1" spans="1:27">
      <c r="A907" s="484" t="s">
        <v>1345</v>
      </c>
      <c r="B907" s="484" t="s">
        <v>4300</v>
      </c>
      <c r="C907" s="485" t="s">
        <v>5431</v>
      </c>
      <c r="D907" s="485" t="s">
        <v>5432</v>
      </c>
      <c r="E907" s="491"/>
      <c r="F907" s="484" t="s">
        <v>3979</v>
      </c>
      <c r="G907" s="484" t="s">
        <v>3079</v>
      </c>
      <c r="H907" s="485" t="s">
        <v>5428</v>
      </c>
      <c r="I907" s="507">
        <v>45870</v>
      </c>
      <c r="J907" s="648">
        <v>45902</v>
      </c>
      <c r="K907" s="484" t="s">
        <v>18</v>
      </c>
      <c r="L907" s="644" t="s">
        <v>5306</v>
      </c>
      <c r="M907" s="484" t="s">
        <v>309</v>
      </c>
      <c r="N907" s="491"/>
      <c r="O907" s="491"/>
      <c r="P907" s="643"/>
      <c r="Q907" s="650">
        <v>45876</v>
      </c>
      <c r="R907" s="507">
        <v>45887</v>
      </c>
      <c r="S907" s="484"/>
      <c r="T907" s="491"/>
      <c r="U907" s="491"/>
      <c r="V907" s="491"/>
      <c r="W907" s="507">
        <f t="shared" si="39"/>
        <v>45923</v>
      </c>
      <c r="X907" s="203"/>
      <c r="Y907" s="508"/>
      <c r="Z907" s="203"/>
      <c r="AA907" s="203"/>
    </row>
    <row r="908" s="178" customFormat="1" ht="15.75" customHeight="1" spans="1:27">
      <c r="A908" s="484" t="s">
        <v>1345</v>
      </c>
      <c r="B908" s="484" t="s">
        <v>4300</v>
      </c>
      <c r="C908" s="485" t="s">
        <v>5433</v>
      </c>
      <c r="D908" s="484" t="s">
        <v>5434</v>
      </c>
      <c r="E908" s="491"/>
      <c r="F908" s="484" t="s">
        <v>3979</v>
      </c>
      <c r="G908" s="484" t="s">
        <v>3079</v>
      </c>
      <c r="H908" s="486" t="s">
        <v>5428</v>
      </c>
      <c r="I908" s="507">
        <v>45870</v>
      </c>
      <c r="J908" s="648">
        <v>45902</v>
      </c>
      <c r="K908" s="484" t="s">
        <v>18</v>
      </c>
      <c r="L908" s="644" t="s">
        <v>5306</v>
      </c>
      <c r="M908" s="484" t="s">
        <v>309</v>
      </c>
      <c r="N908" s="491"/>
      <c r="O908" s="491"/>
      <c r="P908" s="643"/>
      <c r="Q908" s="650">
        <v>45880</v>
      </c>
      <c r="R908" s="507">
        <v>45887</v>
      </c>
      <c r="S908" s="484"/>
      <c r="T908" s="491"/>
      <c r="U908" s="484"/>
      <c r="V908" s="484"/>
      <c r="W908" s="507">
        <f t="shared" si="39"/>
        <v>45923</v>
      </c>
      <c r="X908" s="512"/>
      <c r="Y908" s="508"/>
      <c r="Z908" s="512"/>
      <c r="AA908" s="512"/>
    </row>
    <row r="909" s="178" customFormat="1" ht="15.75" customHeight="1" spans="1:27">
      <c r="A909" s="484" t="s">
        <v>1294</v>
      </c>
      <c r="B909" s="484" t="s">
        <v>4300</v>
      </c>
      <c r="C909" s="485" t="s">
        <v>5435</v>
      </c>
      <c r="D909" s="484" t="s">
        <v>5436</v>
      </c>
      <c r="E909" s="491"/>
      <c r="F909" s="484" t="s">
        <v>3979</v>
      </c>
      <c r="G909" s="484" t="s">
        <v>3079</v>
      </c>
      <c r="H909" s="485" t="s">
        <v>5437</v>
      </c>
      <c r="I909" s="507">
        <v>45871</v>
      </c>
      <c r="J909" s="648">
        <v>45904</v>
      </c>
      <c r="K909" s="484" t="s">
        <v>207</v>
      </c>
      <c r="L909" s="511" t="s">
        <v>3069</v>
      </c>
      <c r="M909" s="484" t="s">
        <v>5438</v>
      </c>
      <c r="N909" s="491"/>
      <c r="O909" s="491"/>
      <c r="P909" s="643"/>
      <c r="Q909" s="650">
        <v>45881</v>
      </c>
      <c r="R909" s="484"/>
      <c r="S909" s="484"/>
      <c r="T909" s="484"/>
      <c r="U909" s="484"/>
      <c r="V909" s="484"/>
      <c r="W909" s="507">
        <f>J909+14</f>
        <v>45918</v>
      </c>
      <c r="X909" s="512"/>
      <c r="Y909" s="508"/>
      <c r="Z909" s="512"/>
      <c r="AA909" s="512"/>
    </row>
    <row r="910" s="480" customFormat="1" ht="15.75" customHeight="1" spans="1:27">
      <c r="A910" s="484" t="s">
        <v>1345</v>
      </c>
      <c r="B910" s="484" t="s">
        <v>4300</v>
      </c>
      <c r="C910" s="484" t="s">
        <v>5439</v>
      </c>
      <c r="D910" s="484" t="s">
        <v>5440</v>
      </c>
      <c r="E910" s="491"/>
      <c r="F910" s="484" t="s">
        <v>3979</v>
      </c>
      <c r="G910" s="484" t="s">
        <v>4235</v>
      </c>
      <c r="H910" s="484" t="s">
        <v>5441</v>
      </c>
      <c r="I910" s="507">
        <v>45874</v>
      </c>
      <c r="J910" s="648">
        <v>45904</v>
      </c>
      <c r="K910" s="484" t="s">
        <v>18</v>
      </c>
      <c r="L910" s="657" t="s">
        <v>5442</v>
      </c>
      <c r="M910" s="484" t="s">
        <v>309</v>
      </c>
      <c r="N910" s="484"/>
      <c r="O910" s="484"/>
      <c r="P910" s="499"/>
      <c r="Q910" s="650">
        <v>45883</v>
      </c>
      <c r="R910" s="484"/>
      <c r="S910" s="484"/>
      <c r="T910" s="484"/>
      <c r="U910" s="613"/>
      <c r="V910" s="491"/>
      <c r="W910" s="650">
        <f t="shared" ref="W910:W941" si="40">J910+21</f>
        <v>45925</v>
      </c>
      <c r="X910" s="491"/>
      <c r="Y910" s="655"/>
      <c r="Z910" s="491"/>
      <c r="AA910" s="491"/>
    </row>
    <row r="911" s="480" customFormat="1" ht="15.75" customHeight="1" spans="1:27">
      <c r="A911" s="484" t="s">
        <v>1345</v>
      </c>
      <c r="B911" s="484" t="s">
        <v>4300</v>
      </c>
      <c r="C911" s="484" t="s">
        <v>5443</v>
      </c>
      <c r="D911" s="484" t="s">
        <v>5444</v>
      </c>
      <c r="E911" s="491"/>
      <c r="F911" s="484" t="s">
        <v>3979</v>
      </c>
      <c r="G911" s="484" t="s">
        <v>4235</v>
      </c>
      <c r="H911" s="484" t="s">
        <v>5441</v>
      </c>
      <c r="I911" s="507">
        <v>45874</v>
      </c>
      <c r="J911" s="648">
        <v>45904</v>
      </c>
      <c r="K911" s="484" t="s">
        <v>18</v>
      </c>
      <c r="L911" s="657" t="s">
        <v>5442</v>
      </c>
      <c r="M911" s="484" t="s">
        <v>309</v>
      </c>
      <c r="N911" s="484"/>
      <c r="O911" s="484"/>
      <c r="P911" s="499"/>
      <c r="Q911" s="650">
        <v>45881</v>
      </c>
      <c r="R911" s="484"/>
      <c r="S911" s="484"/>
      <c r="T911" s="484"/>
      <c r="U911" s="484"/>
      <c r="V911" s="491"/>
      <c r="W911" s="650">
        <f t="shared" si="40"/>
        <v>45925</v>
      </c>
      <c r="X911" s="491"/>
      <c r="Y911" s="655"/>
      <c r="Z911" s="491"/>
      <c r="AA911" s="491"/>
    </row>
    <row r="912" s="480" customFormat="1" ht="15.75" customHeight="1" spans="1:27">
      <c r="A912" s="484" t="s">
        <v>1345</v>
      </c>
      <c r="B912" s="484" t="s">
        <v>4300</v>
      </c>
      <c r="C912" s="484" t="s">
        <v>5445</v>
      </c>
      <c r="D912" s="484" t="s">
        <v>5446</v>
      </c>
      <c r="E912" s="491"/>
      <c r="F912" s="484" t="s">
        <v>3979</v>
      </c>
      <c r="G912" s="484" t="s">
        <v>4235</v>
      </c>
      <c r="H912" s="484" t="s">
        <v>5441</v>
      </c>
      <c r="I912" s="507">
        <v>45874</v>
      </c>
      <c r="J912" s="648">
        <v>45904</v>
      </c>
      <c r="K912" s="484" t="s">
        <v>18</v>
      </c>
      <c r="L912" s="657" t="s">
        <v>5442</v>
      </c>
      <c r="M912" s="484" t="s">
        <v>309</v>
      </c>
      <c r="N912" s="484"/>
      <c r="O912" s="484"/>
      <c r="P912" s="499"/>
      <c r="Q912" s="650">
        <v>45881</v>
      </c>
      <c r="R912" s="484"/>
      <c r="S912" s="484"/>
      <c r="T912" s="484"/>
      <c r="U912" s="491"/>
      <c r="V912" s="491"/>
      <c r="W912" s="650">
        <f t="shared" si="40"/>
        <v>45925</v>
      </c>
      <c r="X912" s="491"/>
      <c r="Y912" s="655"/>
      <c r="Z912" s="491"/>
      <c r="AA912" s="491"/>
    </row>
    <row r="913" s="480" customFormat="1" ht="15.75" customHeight="1" spans="1:27">
      <c r="A913" s="484" t="s">
        <v>910</v>
      </c>
      <c r="B913" s="484" t="s">
        <v>4300</v>
      </c>
      <c r="C913" s="484" t="s">
        <v>5447</v>
      </c>
      <c r="D913" s="484" t="s">
        <v>5448</v>
      </c>
      <c r="E913" s="491"/>
      <c r="F913" s="484" t="s">
        <v>3979</v>
      </c>
      <c r="G913" s="484" t="s">
        <v>3146</v>
      </c>
      <c r="H913" s="484" t="s">
        <v>5449</v>
      </c>
      <c r="I913" s="507">
        <v>45880</v>
      </c>
      <c r="J913" s="648">
        <v>45905</v>
      </c>
      <c r="K913" s="484" t="s">
        <v>18</v>
      </c>
      <c r="L913" s="644" t="s">
        <v>5306</v>
      </c>
      <c r="M913" s="484" t="s">
        <v>309</v>
      </c>
      <c r="N913" s="484"/>
      <c r="O913" s="484"/>
      <c r="P913" s="499"/>
      <c r="Q913" s="650">
        <v>45884</v>
      </c>
      <c r="R913" s="484"/>
      <c r="S913" s="484"/>
      <c r="T913" s="484"/>
      <c r="U913" s="491"/>
      <c r="V913" s="491"/>
      <c r="W913" s="650">
        <f t="shared" si="40"/>
        <v>45926</v>
      </c>
      <c r="X913" s="491"/>
      <c r="Y913" s="655"/>
      <c r="Z913" s="491"/>
      <c r="AA913" s="491"/>
    </row>
    <row r="914" s="480" customFormat="1" ht="15.75" customHeight="1" spans="1:27">
      <c r="A914" s="484" t="s">
        <v>910</v>
      </c>
      <c r="B914" s="484" t="s">
        <v>4300</v>
      </c>
      <c r="C914" s="484" t="s">
        <v>5450</v>
      </c>
      <c r="D914" s="484" t="s">
        <v>5451</v>
      </c>
      <c r="E914" s="491"/>
      <c r="F914" s="484" t="s">
        <v>3979</v>
      </c>
      <c r="G914" s="484" t="s">
        <v>3146</v>
      </c>
      <c r="H914" s="484" t="s">
        <v>5449</v>
      </c>
      <c r="I914" s="507">
        <v>45880</v>
      </c>
      <c r="J914" s="648">
        <v>45905</v>
      </c>
      <c r="K914" s="484" t="s">
        <v>18</v>
      </c>
      <c r="L914" s="644" t="s">
        <v>5306</v>
      </c>
      <c r="M914" s="484" t="s">
        <v>309</v>
      </c>
      <c r="N914" s="484"/>
      <c r="O914" s="484"/>
      <c r="P914" s="499"/>
      <c r="Q914" s="650">
        <v>45884</v>
      </c>
      <c r="R914" s="484"/>
      <c r="S914" s="484"/>
      <c r="T914" s="484"/>
      <c r="U914" s="491"/>
      <c r="V914" s="491"/>
      <c r="W914" s="650">
        <f t="shared" si="40"/>
        <v>45926</v>
      </c>
      <c r="X914" s="491"/>
      <c r="Y914" s="655"/>
      <c r="Z914" s="491"/>
      <c r="AA914" s="491"/>
    </row>
    <row r="915" s="178" customFormat="1" ht="15.75" customHeight="1" spans="1:27">
      <c r="A915" s="484" t="s">
        <v>910</v>
      </c>
      <c r="B915" s="484" t="s">
        <v>4300</v>
      </c>
      <c r="C915" s="484" t="s">
        <v>5452</v>
      </c>
      <c r="D915" s="574" t="s">
        <v>5453</v>
      </c>
      <c r="E915" s="491"/>
      <c r="F915" s="484" t="s">
        <v>3979</v>
      </c>
      <c r="G915" s="484" t="s">
        <v>3146</v>
      </c>
      <c r="H915" s="484" t="s">
        <v>5449</v>
      </c>
      <c r="I915" s="507">
        <v>45880</v>
      </c>
      <c r="J915" s="648">
        <v>45905</v>
      </c>
      <c r="K915" s="484" t="s">
        <v>18</v>
      </c>
      <c r="L915" s="646" t="s">
        <v>3457</v>
      </c>
      <c r="M915" s="485" t="s">
        <v>309</v>
      </c>
      <c r="N915" s="484"/>
      <c r="O915" s="484"/>
      <c r="P915" s="499"/>
      <c r="Q915" s="645">
        <v>45887</v>
      </c>
      <c r="R915" s="484"/>
      <c r="S915" s="484"/>
      <c r="T915" s="484"/>
      <c r="U915" s="491"/>
      <c r="V915" s="491"/>
      <c r="W915" s="507">
        <f t="shared" si="40"/>
        <v>45926</v>
      </c>
      <c r="X915" s="203"/>
      <c r="Y915" s="655"/>
      <c r="Z915" s="203"/>
      <c r="AA915" s="203"/>
    </row>
    <row r="916" s="480" customFormat="1" ht="15.75" customHeight="1" spans="1:27">
      <c r="A916" s="484" t="s">
        <v>910</v>
      </c>
      <c r="B916" s="484" t="s">
        <v>4300</v>
      </c>
      <c r="C916" s="484" t="s">
        <v>5454</v>
      </c>
      <c r="D916" s="484" t="s">
        <v>5455</v>
      </c>
      <c r="E916" s="491"/>
      <c r="F916" s="484" t="s">
        <v>3979</v>
      </c>
      <c r="G916" s="484" t="s">
        <v>3067</v>
      </c>
      <c r="H916" s="484" t="s">
        <v>5456</v>
      </c>
      <c r="I916" s="507">
        <v>45874</v>
      </c>
      <c r="J916" s="648">
        <v>45906</v>
      </c>
      <c r="K916" s="484" t="s">
        <v>18</v>
      </c>
      <c r="L916" s="657" t="s">
        <v>5442</v>
      </c>
      <c r="M916" s="484" t="s">
        <v>309</v>
      </c>
      <c r="N916" s="484"/>
      <c r="O916" s="484"/>
      <c r="P916" s="499"/>
      <c r="Q916" s="650">
        <v>45883</v>
      </c>
      <c r="R916" s="484"/>
      <c r="S916" s="484"/>
      <c r="T916" s="484"/>
      <c r="U916" s="491"/>
      <c r="V916" s="491"/>
      <c r="W916" s="650">
        <f t="shared" si="40"/>
        <v>45927</v>
      </c>
      <c r="X916" s="491"/>
      <c r="Y916" s="655"/>
      <c r="Z916" s="491"/>
      <c r="AA916" s="491"/>
    </row>
    <row r="917" s="480" customFormat="1" ht="15.75" customHeight="1" spans="1:27">
      <c r="A917" s="484" t="s">
        <v>910</v>
      </c>
      <c r="B917" s="484" t="s">
        <v>4300</v>
      </c>
      <c r="C917" s="484" t="s">
        <v>5457</v>
      </c>
      <c r="D917" s="484" t="s">
        <v>5458</v>
      </c>
      <c r="E917" s="491"/>
      <c r="F917" s="484" t="s">
        <v>3979</v>
      </c>
      <c r="G917" s="484" t="s">
        <v>3067</v>
      </c>
      <c r="H917" s="484" t="s">
        <v>5459</v>
      </c>
      <c r="I917" s="507">
        <v>45876</v>
      </c>
      <c r="J917" s="648">
        <v>45906</v>
      </c>
      <c r="K917" s="484" t="s">
        <v>18</v>
      </c>
      <c r="L917" s="657" t="s">
        <v>5442</v>
      </c>
      <c r="M917" s="484" t="s">
        <v>309</v>
      </c>
      <c r="N917" s="484"/>
      <c r="O917" s="484"/>
      <c r="P917" s="499"/>
      <c r="Q917" s="650">
        <v>45882</v>
      </c>
      <c r="R917" s="484"/>
      <c r="S917" s="484"/>
      <c r="T917" s="484"/>
      <c r="U917" s="491"/>
      <c r="V917" s="491"/>
      <c r="W917" s="650">
        <f t="shared" si="40"/>
        <v>45927</v>
      </c>
      <c r="X917" s="491"/>
      <c r="Y917" s="655"/>
      <c r="Z917" s="491"/>
      <c r="AA917" s="491"/>
    </row>
    <row r="918" s="480" customFormat="1" ht="15.75" customHeight="1" spans="1:27">
      <c r="A918" s="484" t="s">
        <v>910</v>
      </c>
      <c r="B918" s="484" t="s">
        <v>4300</v>
      </c>
      <c r="C918" s="484" t="s">
        <v>5460</v>
      </c>
      <c r="D918" s="484" t="s">
        <v>5461</v>
      </c>
      <c r="E918" s="491"/>
      <c r="F918" s="484" t="s">
        <v>3979</v>
      </c>
      <c r="G918" s="484" t="s">
        <v>3067</v>
      </c>
      <c r="H918" s="484" t="s">
        <v>5459</v>
      </c>
      <c r="I918" s="507">
        <v>45876</v>
      </c>
      <c r="J918" s="648">
        <v>45906</v>
      </c>
      <c r="K918" s="484" t="s">
        <v>18</v>
      </c>
      <c r="L918" s="657" t="s">
        <v>5442</v>
      </c>
      <c r="M918" s="484" t="s">
        <v>309</v>
      </c>
      <c r="N918" s="484"/>
      <c r="O918" s="484"/>
      <c r="P918" s="499"/>
      <c r="Q918" s="650">
        <v>45882</v>
      </c>
      <c r="R918" s="484"/>
      <c r="S918" s="484"/>
      <c r="T918" s="484"/>
      <c r="U918" s="491"/>
      <c r="V918" s="491"/>
      <c r="W918" s="650">
        <f t="shared" si="40"/>
        <v>45927</v>
      </c>
      <c r="X918" s="491"/>
      <c r="Y918" s="655"/>
      <c r="Z918" s="491"/>
      <c r="AA918" s="491"/>
    </row>
    <row r="919" s="480" customFormat="1" ht="15.75" customHeight="1" spans="1:27">
      <c r="A919" s="484" t="s">
        <v>910</v>
      </c>
      <c r="B919" s="484" t="s">
        <v>4300</v>
      </c>
      <c r="C919" s="484" t="s">
        <v>5462</v>
      </c>
      <c r="D919" s="613" t="s">
        <v>5463</v>
      </c>
      <c r="E919" s="491"/>
      <c r="F919" s="484" t="s">
        <v>3979</v>
      </c>
      <c r="G919" s="484" t="s">
        <v>3079</v>
      </c>
      <c r="H919" s="484" t="s">
        <v>5464</v>
      </c>
      <c r="I919" s="507">
        <v>45874</v>
      </c>
      <c r="J919" s="648">
        <v>45907</v>
      </c>
      <c r="K919" s="484" t="s">
        <v>18</v>
      </c>
      <c r="L919" s="657" t="s">
        <v>5442</v>
      </c>
      <c r="M919" s="484" t="s">
        <v>309</v>
      </c>
      <c r="N919" s="484"/>
      <c r="O919" s="484"/>
      <c r="P919" s="499"/>
      <c r="Q919" s="650">
        <v>45881</v>
      </c>
      <c r="R919" s="484"/>
      <c r="S919" s="484"/>
      <c r="T919" s="484"/>
      <c r="U919" s="491"/>
      <c r="V919" s="491"/>
      <c r="W919" s="650">
        <f t="shared" si="40"/>
        <v>45928</v>
      </c>
      <c r="X919" s="491"/>
      <c r="Y919" s="655"/>
      <c r="Z919" s="491"/>
      <c r="AA919" s="491"/>
    </row>
    <row r="920" s="480" customFormat="1" ht="15.75" customHeight="1" spans="1:27">
      <c r="A920" s="484" t="s">
        <v>910</v>
      </c>
      <c r="B920" s="484" t="s">
        <v>4300</v>
      </c>
      <c r="C920" s="484" t="s">
        <v>5465</v>
      </c>
      <c r="D920" s="484" t="s">
        <v>5466</v>
      </c>
      <c r="E920" s="491"/>
      <c r="F920" s="484" t="s">
        <v>3979</v>
      </c>
      <c r="G920" s="484" t="s">
        <v>3079</v>
      </c>
      <c r="H920" s="484" t="s">
        <v>5467</v>
      </c>
      <c r="I920" s="507">
        <v>45874</v>
      </c>
      <c r="J920" s="648">
        <v>45907</v>
      </c>
      <c r="K920" s="484" t="s">
        <v>18</v>
      </c>
      <c r="L920" s="657" t="s">
        <v>5442</v>
      </c>
      <c r="M920" s="484" t="s">
        <v>309</v>
      </c>
      <c r="N920" s="484"/>
      <c r="O920" s="484"/>
      <c r="P920" s="499"/>
      <c r="Q920" s="650">
        <v>45881</v>
      </c>
      <c r="R920" s="484"/>
      <c r="S920" s="484"/>
      <c r="T920" s="484"/>
      <c r="U920" s="491"/>
      <c r="V920" s="491"/>
      <c r="W920" s="650">
        <f t="shared" si="40"/>
        <v>45928</v>
      </c>
      <c r="X920" s="491"/>
      <c r="Y920" s="655"/>
      <c r="Z920" s="491"/>
      <c r="AA920" s="491"/>
    </row>
    <row r="921" s="480" customFormat="1" ht="15.75" customHeight="1" spans="1:27">
      <c r="A921" s="484" t="s">
        <v>910</v>
      </c>
      <c r="B921" s="484" t="s">
        <v>4300</v>
      </c>
      <c r="C921" s="484" t="s">
        <v>5468</v>
      </c>
      <c r="D921" s="484" t="s">
        <v>5469</v>
      </c>
      <c r="E921" s="491"/>
      <c r="F921" s="484" t="s">
        <v>3979</v>
      </c>
      <c r="G921" s="484" t="s">
        <v>3079</v>
      </c>
      <c r="H921" s="484" t="s">
        <v>5464</v>
      </c>
      <c r="I921" s="507">
        <v>45874</v>
      </c>
      <c r="J921" s="648">
        <v>45907</v>
      </c>
      <c r="K921" s="484" t="s">
        <v>18</v>
      </c>
      <c r="L921" s="657" t="s">
        <v>5442</v>
      </c>
      <c r="M921" s="484" t="s">
        <v>309</v>
      </c>
      <c r="N921" s="484"/>
      <c r="O921" s="484"/>
      <c r="P921" s="499"/>
      <c r="Q921" s="650">
        <v>45881</v>
      </c>
      <c r="R921" s="484"/>
      <c r="S921" s="484"/>
      <c r="T921" s="484"/>
      <c r="U921" s="491"/>
      <c r="V921" s="491"/>
      <c r="W921" s="650">
        <f t="shared" si="40"/>
        <v>45928</v>
      </c>
      <c r="X921" s="491"/>
      <c r="Y921" s="655"/>
      <c r="Z921" s="491"/>
      <c r="AA921" s="491"/>
    </row>
    <row r="922" s="480" customFormat="1" ht="15.75" customHeight="1" spans="1:27">
      <c r="A922" s="484" t="s">
        <v>910</v>
      </c>
      <c r="B922" s="484" t="s">
        <v>4300</v>
      </c>
      <c r="C922" s="484" t="s">
        <v>5470</v>
      </c>
      <c r="D922" s="484" t="s">
        <v>5471</v>
      </c>
      <c r="E922" s="491"/>
      <c r="F922" s="484" t="s">
        <v>3979</v>
      </c>
      <c r="G922" s="484" t="s">
        <v>3079</v>
      </c>
      <c r="H922" s="484" t="s">
        <v>5467</v>
      </c>
      <c r="I922" s="507">
        <v>45874</v>
      </c>
      <c r="J922" s="648">
        <v>45907</v>
      </c>
      <c r="K922" s="484" t="s">
        <v>18</v>
      </c>
      <c r="L922" s="657" t="s">
        <v>5442</v>
      </c>
      <c r="M922" s="484" t="s">
        <v>309</v>
      </c>
      <c r="N922" s="484"/>
      <c r="O922" s="484"/>
      <c r="P922" s="499"/>
      <c r="Q922" s="650">
        <v>45881</v>
      </c>
      <c r="R922" s="484"/>
      <c r="S922" s="484"/>
      <c r="T922" s="484"/>
      <c r="U922" s="491"/>
      <c r="V922" s="491"/>
      <c r="W922" s="650">
        <f t="shared" si="40"/>
        <v>45928</v>
      </c>
      <c r="X922" s="491"/>
      <c r="Y922" s="655"/>
      <c r="Z922" s="491"/>
      <c r="AA922" s="491"/>
    </row>
    <row r="923" s="178" customFormat="1" ht="15.75" customHeight="1" spans="1:27">
      <c r="A923" s="484" t="s">
        <v>910</v>
      </c>
      <c r="B923" s="484" t="s">
        <v>4300</v>
      </c>
      <c r="C923" s="485" t="s">
        <v>5472</v>
      </c>
      <c r="D923" s="484" t="s">
        <v>5473</v>
      </c>
      <c r="E923" s="491"/>
      <c r="F923" s="484" t="s">
        <v>3979</v>
      </c>
      <c r="G923" s="484" t="s">
        <v>3146</v>
      </c>
      <c r="H923" s="485" t="s">
        <v>5474</v>
      </c>
      <c r="I923" s="507">
        <v>45884</v>
      </c>
      <c r="J923" s="648">
        <v>45908</v>
      </c>
      <c r="K923" s="484" t="s">
        <v>18</v>
      </c>
      <c r="L923" s="657" t="s">
        <v>5442</v>
      </c>
      <c r="M923" s="484" t="s">
        <v>309</v>
      </c>
      <c r="N923" s="491"/>
      <c r="O923" s="491"/>
      <c r="P923" s="643"/>
      <c r="Q923" s="650">
        <v>45890</v>
      </c>
      <c r="R923" s="484"/>
      <c r="S923" s="484"/>
      <c r="T923" s="484"/>
      <c r="U923" s="491"/>
      <c r="V923" s="491"/>
      <c r="W923" s="650">
        <f t="shared" si="40"/>
        <v>45929</v>
      </c>
      <c r="X923" s="203"/>
      <c r="Y923" s="655"/>
      <c r="Z923" s="203"/>
      <c r="AA923" s="203"/>
    </row>
    <row r="924" s="178" customFormat="1" ht="15.75" customHeight="1" spans="1:27">
      <c r="A924" s="484" t="s">
        <v>1507</v>
      </c>
      <c r="B924" s="484" t="s">
        <v>4300</v>
      </c>
      <c r="C924" s="485" t="s">
        <v>5475</v>
      </c>
      <c r="D924" s="484" t="s">
        <v>5476</v>
      </c>
      <c r="E924" s="491"/>
      <c r="F924" s="484" t="s">
        <v>3979</v>
      </c>
      <c r="G924" s="484" t="s">
        <v>3146</v>
      </c>
      <c r="H924" s="485" t="s">
        <v>5474</v>
      </c>
      <c r="I924" s="507">
        <v>45884</v>
      </c>
      <c r="J924" s="648">
        <v>45908</v>
      </c>
      <c r="K924" s="484" t="s">
        <v>18</v>
      </c>
      <c r="L924" s="508" t="s">
        <v>3452</v>
      </c>
      <c r="M924" s="484" t="s">
        <v>5477</v>
      </c>
      <c r="N924" s="491"/>
      <c r="O924" s="491"/>
      <c r="P924" s="643"/>
      <c r="Q924" s="650">
        <v>45889</v>
      </c>
      <c r="R924" s="484"/>
      <c r="S924" s="484"/>
      <c r="T924" s="484"/>
      <c r="U924" s="491"/>
      <c r="V924" s="491"/>
      <c r="W924" s="650">
        <f t="shared" si="40"/>
        <v>45929</v>
      </c>
      <c r="X924" s="203"/>
      <c r="Y924" s="655"/>
      <c r="Z924" s="203"/>
      <c r="AA924" s="203"/>
    </row>
    <row r="925" s="178" customFormat="1" ht="15.75" customHeight="1" spans="1:27">
      <c r="A925" s="485" t="s">
        <v>1651</v>
      </c>
      <c r="B925" s="484" t="s">
        <v>4300</v>
      </c>
      <c r="C925" s="485" t="s">
        <v>5478</v>
      </c>
      <c r="D925" s="485" t="s">
        <v>5479</v>
      </c>
      <c r="E925" s="491"/>
      <c r="F925" s="484" t="s">
        <v>3979</v>
      </c>
      <c r="G925" s="484" t="s">
        <v>3079</v>
      </c>
      <c r="H925" s="485" t="s">
        <v>5480</v>
      </c>
      <c r="I925" s="507">
        <v>45876</v>
      </c>
      <c r="J925" s="648">
        <v>45908</v>
      </c>
      <c r="K925" s="484" t="s">
        <v>207</v>
      </c>
      <c r="L925" s="511" t="s">
        <v>3069</v>
      </c>
      <c r="M925" s="485" t="s">
        <v>5481</v>
      </c>
      <c r="N925" s="491"/>
      <c r="O925" s="491"/>
      <c r="P925" s="643"/>
      <c r="Q925" s="650">
        <v>45881</v>
      </c>
      <c r="R925" s="484"/>
      <c r="S925" s="484"/>
      <c r="T925" s="484"/>
      <c r="U925" s="491"/>
      <c r="V925" s="491"/>
      <c r="W925" s="507">
        <f t="shared" si="40"/>
        <v>45929</v>
      </c>
      <c r="X925" s="203"/>
      <c r="Y925" s="655"/>
      <c r="Z925" s="203"/>
      <c r="AA925" s="203"/>
    </row>
    <row r="926" s="178" customFormat="1" ht="15.75" customHeight="1" spans="1:27">
      <c r="A926" s="484" t="s">
        <v>910</v>
      </c>
      <c r="B926" s="484" t="s">
        <v>4300</v>
      </c>
      <c r="C926" s="485" t="s">
        <v>5482</v>
      </c>
      <c r="D926" s="485" t="s">
        <v>5483</v>
      </c>
      <c r="E926" s="491"/>
      <c r="F926" s="484" t="s">
        <v>3979</v>
      </c>
      <c r="G926" s="485" t="s">
        <v>3067</v>
      </c>
      <c r="H926" s="485" t="s">
        <v>5484</v>
      </c>
      <c r="I926" s="507">
        <v>45881</v>
      </c>
      <c r="J926" s="650">
        <v>45908</v>
      </c>
      <c r="K926" s="484" t="s">
        <v>18</v>
      </c>
      <c r="L926" s="657" t="s">
        <v>5442</v>
      </c>
      <c r="M926" s="485" t="s">
        <v>309</v>
      </c>
      <c r="N926" s="491"/>
      <c r="O926" s="491"/>
      <c r="P926" s="643"/>
      <c r="Q926" s="507">
        <v>45884</v>
      </c>
      <c r="R926" s="484"/>
      <c r="S926" s="484"/>
      <c r="T926" s="484"/>
      <c r="U926" s="491"/>
      <c r="V926" s="491"/>
      <c r="W926" s="650">
        <f t="shared" si="40"/>
        <v>45929</v>
      </c>
      <c r="X926" s="203"/>
      <c r="Y926" s="655"/>
      <c r="Z926" s="203"/>
      <c r="AA926" s="203"/>
    </row>
    <row r="927" s="178" customFormat="1" ht="15.75" customHeight="1" spans="1:27">
      <c r="A927" s="484" t="s">
        <v>910</v>
      </c>
      <c r="B927" s="484" t="s">
        <v>4300</v>
      </c>
      <c r="C927" s="485" t="s">
        <v>5485</v>
      </c>
      <c r="D927" s="485" t="s">
        <v>5486</v>
      </c>
      <c r="E927" s="491"/>
      <c r="F927" s="484" t="s">
        <v>3979</v>
      </c>
      <c r="G927" s="484" t="s">
        <v>3067</v>
      </c>
      <c r="H927" s="485" t="s">
        <v>5484</v>
      </c>
      <c r="I927" s="507">
        <v>45881</v>
      </c>
      <c r="J927" s="507">
        <v>45908</v>
      </c>
      <c r="K927" s="484" t="s">
        <v>18</v>
      </c>
      <c r="L927" s="657" t="s">
        <v>5442</v>
      </c>
      <c r="M927" s="485" t="s">
        <v>309</v>
      </c>
      <c r="N927" s="491"/>
      <c r="O927" s="491"/>
      <c r="P927" s="643"/>
      <c r="Q927" s="507">
        <v>45884</v>
      </c>
      <c r="R927" s="484"/>
      <c r="S927" s="484"/>
      <c r="T927" s="484"/>
      <c r="U927" s="491"/>
      <c r="V927" s="491"/>
      <c r="W927" s="650">
        <f t="shared" si="40"/>
        <v>45929</v>
      </c>
      <c r="X927" s="203"/>
      <c r="Y927" s="655"/>
      <c r="Z927" s="203"/>
      <c r="AA927" s="203"/>
    </row>
    <row r="928" s="178" customFormat="1" ht="15.75" customHeight="1" spans="1:27">
      <c r="A928" s="484" t="s">
        <v>910</v>
      </c>
      <c r="B928" s="484" t="s">
        <v>4300</v>
      </c>
      <c r="C928" s="485" t="s">
        <v>5487</v>
      </c>
      <c r="D928" s="485" t="s">
        <v>5488</v>
      </c>
      <c r="E928" s="491"/>
      <c r="F928" s="484" t="s">
        <v>3979</v>
      </c>
      <c r="G928" s="484" t="s">
        <v>3067</v>
      </c>
      <c r="H928" s="485" t="s">
        <v>5484</v>
      </c>
      <c r="I928" s="507">
        <v>45881</v>
      </c>
      <c r="J928" s="507">
        <v>45908</v>
      </c>
      <c r="K928" s="484" t="s">
        <v>18</v>
      </c>
      <c r="L928" s="657" t="s">
        <v>5442</v>
      </c>
      <c r="M928" s="485" t="s">
        <v>309</v>
      </c>
      <c r="N928" s="491"/>
      <c r="O928" s="491"/>
      <c r="P928" s="643"/>
      <c r="Q928" s="507">
        <v>45884</v>
      </c>
      <c r="R928" s="484"/>
      <c r="S928" s="484"/>
      <c r="T928" s="484"/>
      <c r="U928" s="491"/>
      <c r="V928" s="491"/>
      <c r="W928" s="650">
        <f t="shared" si="40"/>
        <v>45929</v>
      </c>
      <c r="X928" s="203"/>
      <c r="Y928" s="655"/>
      <c r="Z928" s="203"/>
      <c r="AA928" s="203"/>
    </row>
    <row r="929" s="178" customFormat="1" ht="15.75" customHeight="1" spans="1:27">
      <c r="A929" s="485" t="s">
        <v>910</v>
      </c>
      <c r="B929" s="484" t="s">
        <v>4300</v>
      </c>
      <c r="C929" s="485" t="s">
        <v>5489</v>
      </c>
      <c r="D929" s="484" t="s">
        <v>5490</v>
      </c>
      <c r="E929" s="491"/>
      <c r="F929" s="484" t="s">
        <v>3979</v>
      </c>
      <c r="G929" s="485" t="s">
        <v>3079</v>
      </c>
      <c r="H929" s="485" t="s">
        <v>5491</v>
      </c>
      <c r="I929" s="507">
        <v>45881</v>
      </c>
      <c r="J929" s="650">
        <v>45910</v>
      </c>
      <c r="K929" s="485" t="s">
        <v>18</v>
      </c>
      <c r="L929" s="656" t="s">
        <v>5442</v>
      </c>
      <c r="M929" s="485" t="s">
        <v>309</v>
      </c>
      <c r="N929" s="491"/>
      <c r="O929" s="491"/>
      <c r="P929" s="643"/>
      <c r="Q929" s="507">
        <v>45887</v>
      </c>
      <c r="R929" s="484"/>
      <c r="S929" s="484"/>
      <c r="T929" s="484"/>
      <c r="U929" s="491"/>
      <c r="V929" s="491"/>
      <c r="W929" s="650">
        <f t="shared" si="40"/>
        <v>45931</v>
      </c>
      <c r="X929" s="203"/>
      <c r="Y929" s="655"/>
      <c r="Z929" s="203"/>
      <c r="AA929" s="203"/>
    </row>
    <row r="930" s="178" customFormat="1" ht="15.75" customHeight="1" spans="1:27">
      <c r="A930" s="484" t="s">
        <v>910</v>
      </c>
      <c r="B930" s="484" t="s">
        <v>4300</v>
      </c>
      <c r="C930" s="485" t="s">
        <v>5492</v>
      </c>
      <c r="D930" s="485" t="s">
        <v>5493</v>
      </c>
      <c r="E930" s="491"/>
      <c r="F930" s="484" t="s">
        <v>3979</v>
      </c>
      <c r="G930" s="484" t="s">
        <v>3079</v>
      </c>
      <c r="H930" s="485" t="s">
        <v>5491</v>
      </c>
      <c r="I930" s="507">
        <v>45881</v>
      </c>
      <c r="J930" s="507">
        <v>45910</v>
      </c>
      <c r="K930" s="484" t="s">
        <v>18</v>
      </c>
      <c r="L930" s="657" t="s">
        <v>5442</v>
      </c>
      <c r="M930" s="485" t="s">
        <v>309</v>
      </c>
      <c r="N930" s="491"/>
      <c r="O930" s="491"/>
      <c r="P930" s="643"/>
      <c r="Q930" s="507">
        <v>45887</v>
      </c>
      <c r="R930" s="484"/>
      <c r="S930" s="484"/>
      <c r="T930" s="484"/>
      <c r="U930" s="491"/>
      <c r="V930" s="491"/>
      <c r="W930" s="650">
        <f t="shared" si="40"/>
        <v>45931</v>
      </c>
      <c r="X930" s="203"/>
      <c r="Y930" s="655"/>
      <c r="Z930" s="203"/>
      <c r="AA930" s="203"/>
    </row>
    <row r="931" s="178" customFormat="1" ht="15.75" customHeight="1" spans="1:27">
      <c r="A931" s="484" t="s">
        <v>910</v>
      </c>
      <c r="B931" s="484" t="s">
        <v>4300</v>
      </c>
      <c r="C931" s="485" t="s">
        <v>5494</v>
      </c>
      <c r="D931" s="485" t="s">
        <v>5495</v>
      </c>
      <c r="E931" s="491"/>
      <c r="F931" s="484" t="s">
        <v>3979</v>
      </c>
      <c r="G931" s="484" t="s">
        <v>3079</v>
      </c>
      <c r="H931" s="485" t="s">
        <v>5491</v>
      </c>
      <c r="I931" s="507">
        <v>45881</v>
      </c>
      <c r="J931" s="507">
        <v>45910</v>
      </c>
      <c r="K931" s="484" t="s">
        <v>18</v>
      </c>
      <c r="L931" s="657" t="s">
        <v>5442</v>
      </c>
      <c r="M931" s="485" t="s">
        <v>309</v>
      </c>
      <c r="N931" s="491"/>
      <c r="O931" s="491"/>
      <c r="P931" s="643"/>
      <c r="Q931" s="507">
        <v>45887</v>
      </c>
      <c r="R931" s="484"/>
      <c r="S931" s="484"/>
      <c r="T931" s="484"/>
      <c r="U931" s="491"/>
      <c r="V931" s="491"/>
      <c r="W931" s="650">
        <f t="shared" si="40"/>
        <v>45931</v>
      </c>
      <c r="X931" s="203"/>
      <c r="Y931" s="655"/>
      <c r="Z931" s="203"/>
      <c r="AA931" s="203"/>
    </row>
    <row r="932" s="178" customFormat="1" ht="15.75" customHeight="1" spans="1:27">
      <c r="A932" s="484" t="s">
        <v>910</v>
      </c>
      <c r="B932" s="484" t="s">
        <v>4300</v>
      </c>
      <c r="C932" s="485" t="s">
        <v>5496</v>
      </c>
      <c r="D932" s="485" t="s">
        <v>5497</v>
      </c>
      <c r="E932" s="491"/>
      <c r="F932" s="484" t="s">
        <v>3979</v>
      </c>
      <c r="G932" s="484" t="s">
        <v>3079</v>
      </c>
      <c r="H932" s="485" t="s">
        <v>5491</v>
      </c>
      <c r="I932" s="507">
        <v>45881</v>
      </c>
      <c r="J932" s="507">
        <v>45910</v>
      </c>
      <c r="K932" s="484" t="s">
        <v>18</v>
      </c>
      <c r="L932" s="657" t="s">
        <v>5442</v>
      </c>
      <c r="M932" s="485" t="s">
        <v>309</v>
      </c>
      <c r="N932" s="491"/>
      <c r="O932" s="491"/>
      <c r="P932" s="643"/>
      <c r="Q932" s="507">
        <v>45887</v>
      </c>
      <c r="R932" s="484"/>
      <c r="S932" s="484"/>
      <c r="T932" s="484"/>
      <c r="U932" s="491"/>
      <c r="V932" s="491"/>
      <c r="W932" s="650">
        <f t="shared" si="40"/>
        <v>45931</v>
      </c>
      <c r="X932" s="203"/>
      <c r="Y932" s="655"/>
      <c r="Z932" s="203"/>
      <c r="AA932" s="203"/>
    </row>
    <row r="933" s="178" customFormat="1" ht="15.75" customHeight="1" spans="1:27">
      <c r="A933" s="484" t="s">
        <v>910</v>
      </c>
      <c r="B933" s="484" t="s">
        <v>4300</v>
      </c>
      <c r="C933" s="485" t="s">
        <v>5498</v>
      </c>
      <c r="D933" s="485" t="s">
        <v>5499</v>
      </c>
      <c r="E933" s="491"/>
      <c r="F933" s="484" t="s">
        <v>3979</v>
      </c>
      <c r="G933" s="484" t="s">
        <v>3079</v>
      </c>
      <c r="H933" s="485" t="s">
        <v>5491</v>
      </c>
      <c r="I933" s="507">
        <v>45881</v>
      </c>
      <c r="J933" s="507">
        <v>45910</v>
      </c>
      <c r="K933" s="484" t="s">
        <v>18</v>
      </c>
      <c r="L933" s="657" t="s">
        <v>5442</v>
      </c>
      <c r="M933" s="485" t="s">
        <v>309</v>
      </c>
      <c r="N933" s="491"/>
      <c r="O933" s="491"/>
      <c r="P933" s="643"/>
      <c r="Q933" s="507">
        <v>45887</v>
      </c>
      <c r="R933" s="484"/>
      <c r="S933" s="484"/>
      <c r="T933" s="484"/>
      <c r="U933" s="491"/>
      <c r="V933" s="491"/>
      <c r="W933" s="650">
        <f t="shared" si="40"/>
        <v>45931</v>
      </c>
      <c r="X933" s="203"/>
      <c r="Y933" s="655"/>
      <c r="Z933" s="203"/>
      <c r="AA933" s="203"/>
    </row>
    <row r="934" s="480" customFormat="1" ht="15.75" customHeight="1" spans="1:27">
      <c r="A934" s="484" t="s">
        <v>1345</v>
      </c>
      <c r="B934" s="484" t="s">
        <v>4300</v>
      </c>
      <c r="C934" s="484" t="s">
        <v>5500</v>
      </c>
      <c r="D934" s="484" t="s">
        <v>5501</v>
      </c>
      <c r="E934" s="491"/>
      <c r="F934" s="484" t="s">
        <v>3979</v>
      </c>
      <c r="G934" s="484" t="s">
        <v>3067</v>
      </c>
      <c r="H934" s="484" t="s">
        <v>5459</v>
      </c>
      <c r="I934" s="507">
        <v>45876</v>
      </c>
      <c r="J934" s="507">
        <v>45911</v>
      </c>
      <c r="K934" s="484" t="s">
        <v>39</v>
      </c>
      <c r="L934" s="644" t="s">
        <v>3437</v>
      </c>
      <c r="M934" s="484" t="s">
        <v>309</v>
      </c>
      <c r="N934" s="484"/>
      <c r="O934" s="484"/>
      <c r="P934" s="499"/>
      <c r="Q934" s="650">
        <v>45882</v>
      </c>
      <c r="R934" s="484"/>
      <c r="S934" s="484"/>
      <c r="T934" s="484"/>
      <c r="U934" s="491"/>
      <c r="V934" s="491"/>
      <c r="W934" s="650">
        <f t="shared" si="40"/>
        <v>45932</v>
      </c>
      <c r="X934" s="491"/>
      <c r="Y934" s="655"/>
      <c r="Z934" s="491"/>
      <c r="AA934" s="491"/>
    </row>
    <row r="935" s="178" customFormat="1" ht="15.75" customHeight="1" spans="1:27">
      <c r="A935" s="484" t="s">
        <v>910</v>
      </c>
      <c r="B935" s="484" t="s">
        <v>4300</v>
      </c>
      <c r="C935" s="484"/>
      <c r="D935" s="485" t="s">
        <v>5502</v>
      </c>
      <c r="E935" s="491"/>
      <c r="F935" s="484" t="s">
        <v>3979</v>
      </c>
      <c r="G935" s="484" t="s">
        <v>3146</v>
      </c>
      <c r="H935" s="484"/>
      <c r="I935" s="507">
        <v>45891</v>
      </c>
      <c r="J935" s="650">
        <v>45911</v>
      </c>
      <c r="K935" s="484" t="s">
        <v>18</v>
      </c>
      <c r="L935" s="657" t="s">
        <v>5442</v>
      </c>
      <c r="M935" s="484" t="s">
        <v>309</v>
      </c>
      <c r="N935" s="491"/>
      <c r="O935" s="491"/>
      <c r="P935" s="643"/>
      <c r="Q935" s="491"/>
      <c r="R935" s="484"/>
      <c r="S935" s="484"/>
      <c r="T935" s="484"/>
      <c r="U935" s="491"/>
      <c r="V935" s="491"/>
      <c r="W935" s="650">
        <f t="shared" si="40"/>
        <v>45932</v>
      </c>
      <c r="X935" s="203"/>
      <c r="Y935" s="655"/>
      <c r="Z935" s="203"/>
      <c r="AA935" s="203"/>
    </row>
    <row r="936" s="178" customFormat="1" ht="15.75" customHeight="1" spans="1:27">
      <c r="A936" s="484" t="s">
        <v>910</v>
      </c>
      <c r="B936" s="484" t="s">
        <v>4300</v>
      </c>
      <c r="C936" s="484"/>
      <c r="D936" s="484" t="s">
        <v>5503</v>
      </c>
      <c r="E936" s="491"/>
      <c r="F936" s="484" t="s">
        <v>3979</v>
      </c>
      <c r="G936" s="484" t="s">
        <v>3146</v>
      </c>
      <c r="H936" s="484"/>
      <c r="I936" s="507">
        <v>45891</v>
      </c>
      <c r="J936" s="507">
        <v>45911</v>
      </c>
      <c r="K936" s="484" t="s">
        <v>18</v>
      </c>
      <c r="L936" s="657" t="s">
        <v>5442</v>
      </c>
      <c r="M936" s="484" t="s">
        <v>309</v>
      </c>
      <c r="N936" s="491"/>
      <c r="O936" s="491"/>
      <c r="P936" s="643"/>
      <c r="Q936" s="491"/>
      <c r="R936" s="484"/>
      <c r="S936" s="484"/>
      <c r="T936" s="484"/>
      <c r="U936" s="491"/>
      <c r="V936" s="491"/>
      <c r="W936" s="650">
        <f t="shared" si="40"/>
        <v>45932</v>
      </c>
      <c r="X936" s="203"/>
      <c r="Y936" s="655"/>
      <c r="Z936" s="203"/>
      <c r="AA936" s="203"/>
    </row>
    <row r="937" s="178" customFormat="1" ht="15.75" customHeight="1" spans="1:27">
      <c r="A937" s="484" t="s">
        <v>910</v>
      </c>
      <c r="B937" s="484" t="s">
        <v>4300</v>
      </c>
      <c r="C937" s="484"/>
      <c r="D937" s="484" t="s">
        <v>5504</v>
      </c>
      <c r="E937" s="491"/>
      <c r="F937" s="484" t="s">
        <v>3979</v>
      </c>
      <c r="G937" s="484" t="s">
        <v>3146</v>
      </c>
      <c r="H937" s="484"/>
      <c r="I937" s="507">
        <v>45891</v>
      </c>
      <c r="J937" s="650">
        <v>45911</v>
      </c>
      <c r="K937" s="484" t="s">
        <v>18</v>
      </c>
      <c r="L937" s="657" t="s">
        <v>5442</v>
      </c>
      <c r="M937" s="484" t="s">
        <v>309</v>
      </c>
      <c r="N937" s="491"/>
      <c r="O937" s="491"/>
      <c r="P937" s="643"/>
      <c r="Q937" s="491"/>
      <c r="R937" s="484"/>
      <c r="S937" s="484"/>
      <c r="T937" s="484"/>
      <c r="U937" s="491"/>
      <c r="V937" s="491"/>
      <c r="W937" s="650">
        <f t="shared" si="40"/>
        <v>45932</v>
      </c>
      <c r="X937" s="203"/>
      <c r="Y937" s="655"/>
      <c r="Z937" s="203"/>
      <c r="AA937" s="203"/>
    </row>
    <row r="938" s="480" customFormat="1" ht="15.75" customHeight="1" spans="1:27">
      <c r="A938" s="484" t="s">
        <v>1345</v>
      </c>
      <c r="B938" s="484" t="s">
        <v>4300</v>
      </c>
      <c r="C938" s="484" t="s">
        <v>5505</v>
      </c>
      <c r="D938" s="484" t="s">
        <v>5506</v>
      </c>
      <c r="E938" s="491"/>
      <c r="F938" s="484" t="s">
        <v>3979</v>
      </c>
      <c r="G938" s="484" t="s">
        <v>3079</v>
      </c>
      <c r="H938" s="484" t="s">
        <v>5464</v>
      </c>
      <c r="I938" s="507">
        <v>45874</v>
      </c>
      <c r="J938" s="507">
        <v>45912</v>
      </c>
      <c r="K938" s="484" t="s">
        <v>39</v>
      </c>
      <c r="L938" s="644" t="s">
        <v>3437</v>
      </c>
      <c r="M938" s="484" t="s">
        <v>309</v>
      </c>
      <c r="N938" s="484"/>
      <c r="O938" s="484"/>
      <c r="P938" s="499"/>
      <c r="Q938" s="650">
        <v>45881</v>
      </c>
      <c r="R938" s="484"/>
      <c r="S938" s="484"/>
      <c r="T938" s="484"/>
      <c r="U938" s="491"/>
      <c r="V938" s="491"/>
      <c r="W938" s="650">
        <f t="shared" si="40"/>
        <v>45933</v>
      </c>
      <c r="X938" s="491"/>
      <c r="Y938" s="655"/>
      <c r="Z938" s="491"/>
      <c r="AA938" s="491"/>
    </row>
    <row r="939" s="178" customFormat="1" ht="15.75" customHeight="1" spans="1:27">
      <c r="A939" s="484" t="s">
        <v>910</v>
      </c>
      <c r="B939" s="484" t="s">
        <v>4300</v>
      </c>
      <c r="C939" s="484"/>
      <c r="D939" s="484" t="s">
        <v>5507</v>
      </c>
      <c r="E939" s="491"/>
      <c r="F939" s="484" t="s">
        <v>3979</v>
      </c>
      <c r="G939" s="484" t="s">
        <v>3079</v>
      </c>
      <c r="H939" s="484"/>
      <c r="I939" s="507">
        <v>45891</v>
      </c>
      <c r="J939" s="507">
        <v>45918</v>
      </c>
      <c r="K939" s="484" t="s">
        <v>18</v>
      </c>
      <c r="L939" s="657" t="s">
        <v>5442</v>
      </c>
      <c r="M939" s="484" t="s">
        <v>309</v>
      </c>
      <c r="N939" s="491"/>
      <c r="O939" s="491"/>
      <c r="P939" s="643"/>
      <c r="Q939" s="491"/>
      <c r="R939" s="484"/>
      <c r="S939" s="484"/>
      <c r="T939" s="484"/>
      <c r="U939" s="491"/>
      <c r="V939" s="491"/>
      <c r="W939" s="650">
        <f t="shared" si="40"/>
        <v>45939</v>
      </c>
      <c r="X939" s="203"/>
      <c r="Y939" s="655"/>
      <c r="Z939" s="203"/>
      <c r="AA939" s="203"/>
    </row>
    <row r="940" s="178" customFormat="1" ht="15.75" customHeight="1" spans="1:27">
      <c r="A940" s="484" t="s">
        <v>910</v>
      </c>
      <c r="B940" s="484" t="s">
        <v>4300</v>
      </c>
      <c r="C940" s="484"/>
      <c r="D940" s="484" t="s">
        <v>5508</v>
      </c>
      <c r="E940" s="491"/>
      <c r="F940" s="484" t="s">
        <v>3979</v>
      </c>
      <c r="G940" s="484" t="s">
        <v>3079</v>
      </c>
      <c r="H940" s="484"/>
      <c r="I940" s="507">
        <v>45891</v>
      </c>
      <c r="J940" s="507">
        <v>45918</v>
      </c>
      <c r="K940" s="484" t="s">
        <v>18</v>
      </c>
      <c r="L940" s="657" t="s">
        <v>5442</v>
      </c>
      <c r="M940" s="484" t="s">
        <v>309</v>
      </c>
      <c r="N940" s="491"/>
      <c r="O940" s="491"/>
      <c r="P940" s="643"/>
      <c r="Q940" s="491"/>
      <c r="R940" s="484"/>
      <c r="S940" s="484"/>
      <c r="T940" s="484"/>
      <c r="U940" s="491"/>
      <c r="V940" s="491"/>
      <c r="W940" s="650">
        <f t="shared" si="40"/>
        <v>45939</v>
      </c>
      <c r="X940" s="203"/>
      <c r="Y940" s="655"/>
      <c r="Z940" s="203"/>
      <c r="AA940" s="203"/>
    </row>
    <row r="941" s="178" customFormat="1" ht="15.75" customHeight="1" spans="1:27">
      <c r="A941" s="484" t="s">
        <v>910</v>
      </c>
      <c r="B941" s="484" t="s">
        <v>4300</v>
      </c>
      <c r="C941" s="484"/>
      <c r="D941" s="485" t="s">
        <v>5509</v>
      </c>
      <c r="E941" s="491"/>
      <c r="F941" s="484" t="s">
        <v>3979</v>
      </c>
      <c r="G941" s="484" t="s">
        <v>3079</v>
      </c>
      <c r="H941" s="484"/>
      <c r="I941" s="507">
        <v>45891</v>
      </c>
      <c r="J941" s="507">
        <v>45918</v>
      </c>
      <c r="K941" s="484" t="s">
        <v>18</v>
      </c>
      <c r="L941" s="657" t="s">
        <v>5442</v>
      </c>
      <c r="M941" s="484" t="s">
        <v>309</v>
      </c>
      <c r="N941" s="491"/>
      <c r="O941" s="491"/>
      <c r="P941" s="643"/>
      <c r="Q941" s="491"/>
      <c r="R941" s="484"/>
      <c r="S941" s="484"/>
      <c r="T941" s="484"/>
      <c r="U941" s="491"/>
      <c r="V941" s="491"/>
      <c r="W941" s="650">
        <f t="shared" si="40"/>
        <v>45939</v>
      </c>
      <c r="X941" s="203"/>
      <c r="Y941" s="655"/>
      <c r="Z941" s="203"/>
      <c r="AA941" s="203"/>
    </row>
    <row r="942" s="178" customFormat="1" ht="15.75" customHeight="1" spans="1:27">
      <c r="A942" s="484"/>
      <c r="B942" s="484"/>
      <c r="C942" s="484"/>
      <c r="D942" s="484"/>
      <c r="E942" s="491"/>
      <c r="F942" s="484"/>
      <c r="G942" s="484"/>
      <c r="H942" s="484"/>
      <c r="I942" s="484"/>
      <c r="J942" s="491"/>
      <c r="K942" s="484"/>
      <c r="L942" s="508"/>
      <c r="M942" s="484"/>
      <c r="N942" s="491"/>
      <c r="O942" s="491"/>
      <c r="P942" s="643"/>
      <c r="Q942" s="491"/>
      <c r="R942" s="484"/>
      <c r="S942" s="484"/>
      <c r="T942" s="484"/>
      <c r="U942" s="491"/>
      <c r="V942" s="491"/>
      <c r="W942" s="650"/>
      <c r="X942" s="203"/>
      <c r="Y942" s="655"/>
      <c r="Z942" s="203"/>
      <c r="AA942" s="203"/>
    </row>
    <row r="943" s="178" customFormat="1" ht="15.75" customHeight="1" spans="1:27">
      <c r="A943" s="484"/>
      <c r="B943" s="484"/>
      <c r="C943" s="484"/>
      <c r="D943" s="484"/>
      <c r="E943" s="491"/>
      <c r="F943" s="484"/>
      <c r="G943" s="484"/>
      <c r="H943" s="484"/>
      <c r="I943" s="484"/>
      <c r="J943" s="491"/>
      <c r="K943" s="484"/>
      <c r="L943" s="508"/>
      <c r="M943" s="484"/>
      <c r="N943" s="491"/>
      <c r="O943" s="491"/>
      <c r="P943" s="643"/>
      <c r="Q943" s="484"/>
      <c r="R943" s="484"/>
      <c r="S943" s="484"/>
      <c r="T943" s="484"/>
      <c r="U943" s="491"/>
      <c r="V943" s="491"/>
      <c r="W943" s="650"/>
      <c r="X943" s="203"/>
      <c r="Y943" s="655"/>
      <c r="Z943" s="203"/>
      <c r="AA943" s="203"/>
    </row>
    <row r="944" s="178" customFormat="1" ht="15.75" customHeight="1" spans="1:27">
      <c r="A944" s="484"/>
      <c r="B944" s="484"/>
      <c r="C944" s="484"/>
      <c r="D944" s="484"/>
      <c r="E944" s="491"/>
      <c r="F944" s="484"/>
      <c r="G944" s="484"/>
      <c r="H944" s="484"/>
      <c r="I944" s="484"/>
      <c r="J944" s="491"/>
      <c r="K944" s="484"/>
      <c r="L944" s="508"/>
      <c r="M944" s="484"/>
      <c r="N944" s="491"/>
      <c r="O944" s="491"/>
      <c r="P944" s="643"/>
      <c r="Q944" s="484"/>
      <c r="R944" s="484"/>
      <c r="S944" s="484"/>
      <c r="T944" s="484"/>
      <c r="U944" s="491"/>
      <c r="V944" s="491"/>
      <c r="W944" s="650"/>
      <c r="X944" s="203"/>
      <c r="Y944" s="655"/>
      <c r="Z944" s="203"/>
      <c r="AA944" s="203"/>
    </row>
    <row r="945" s="178" customFormat="1" ht="15.75" customHeight="1" spans="1:27">
      <c r="A945" s="484"/>
      <c r="B945" s="484"/>
      <c r="C945" s="484"/>
      <c r="D945" s="484"/>
      <c r="E945" s="491"/>
      <c r="F945" s="484"/>
      <c r="G945" s="484"/>
      <c r="H945" s="484"/>
      <c r="I945" s="484"/>
      <c r="J945" s="491"/>
      <c r="K945" s="484"/>
      <c r="L945" s="508"/>
      <c r="M945" s="484"/>
      <c r="N945" s="491"/>
      <c r="O945" s="491"/>
      <c r="P945" s="643"/>
      <c r="Q945" s="484"/>
      <c r="R945" s="484"/>
      <c r="S945" s="484"/>
      <c r="T945" s="484"/>
      <c r="U945" s="491"/>
      <c r="V945" s="491"/>
      <c r="W945" s="650"/>
      <c r="X945" s="203"/>
      <c r="Y945" s="655"/>
      <c r="Z945" s="203"/>
      <c r="AA945" s="203"/>
    </row>
    <row r="946" s="178" customFormat="1" ht="15.75" customHeight="1" spans="1:27">
      <c r="A946" s="484"/>
      <c r="B946" s="484"/>
      <c r="C946" s="484"/>
      <c r="D946" s="484"/>
      <c r="E946" s="491"/>
      <c r="F946" s="484"/>
      <c r="G946" s="484"/>
      <c r="H946" s="484"/>
      <c r="I946" s="484"/>
      <c r="J946" s="491"/>
      <c r="K946" s="484"/>
      <c r="L946" s="508"/>
      <c r="M946" s="484"/>
      <c r="N946" s="491"/>
      <c r="O946" s="491"/>
      <c r="P946" s="643"/>
      <c r="Q946" s="484"/>
      <c r="R946" s="484"/>
      <c r="S946" s="484"/>
      <c r="T946" s="484"/>
      <c r="U946" s="491"/>
      <c r="W946" s="650"/>
      <c r="X946" s="203"/>
      <c r="Y946" s="655"/>
      <c r="Z946" s="203"/>
      <c r="AA946" s="203"/>
    </row>
    <row r="947" s="178" customFormat="1" ht="15.75" customHeight="1" spans="1:27">
      <c r="A947" s="484"/>
      <c r="B947" s="656"/>
      <c r="C947" s="484"/>
      <c r="D947" s="484"/>
      <c r="E947" s="491"/>
      <c r="F947" s="484"/>
      <c r="G947" s="484"/>
      <c r="H947" s="484"/>
      <c r="I947" s="484"/>
      <c r="J947" s="491"/>
      <c r="K947" s="484"/>
      <c r="L947" s="508"/>
      <c r="M947" s="484"/>
      <c r="N947" s="491"/>
      <c r="O947" s="491"/>
      <c r="P947" s="643"/>
      <c r="Q947" s="484"/>
      <c r="R947" s="484"/>
      <c r="S947" s="484"/>
      <c r="T947" s="484"/>
      <c r="U947" s="491"/>
      <c r="W947" s="650"/>
      <c r="X947" s="203"/>
      <c r="Y947" s="655"/>
      <c r="Z947" s="203"/>
      <c r="AA947" s="203"/>
    </row>
    <row r="948" s="178" customFormat="1" ht="15.75" customHeight="1" spans="1:27">
      <c r="A948" s="484"/>
      <c r="B948" s="484"/>
      <c r="C948" s="484"/>
      <c r="D948" s="484"/>
      <c r="E948" s="491"/>
      <c r="F948" s="484"/>
      <c r="G948" s="484"/>
      <c r="H948" s="484"/>
      <c r="I948" s="484"/>
      <c r="J948" s="491"/>
      <c r="K948" s="484"/>
      <c r="L948" s="508"/>
      <c r="M948" s="484"/>
      <c r="N948" s="491"/>
      <c r="O948" s="491"/>
      <c r="P948" s="643"/>
      <c r="Q948" s="484"/>
      <c r="R948" s="484"/>
      <c r="S948" s="484"/>
      <c r="T948" s="484"/>
      <c r="U948" s="491"/>
      <c r="V948" s="491"/>
      <c r="W948" s="650"/>
      <c r="X948" s="203"/>
      <c r="Y948" s="655"/>
      <c r="Z948" s="203"/>
      <c r="AA948" s="203"/>
    </row>
    <row r="949" s="178" customFormat="1" ht="15.75" customHeight="1" spans="1:27">
      <c r="A949" s="484"/>
      <c r="B949" s="484"/>
      <c r="C949" s="484"/>
      <c r="D949" s="484"/>
      <c r="E949" s="491"/>
      <c r="F949" s="484"/>
      <c r="G949" s="484"/>
      <c r="H949" s="484"/>
      <c r="I949" s="484"/>
      <c r="J949" s="491"/>
      <c r="K949" s="484"/>
      <c r="L949" s="508"/>
      <c r="M949" s="484"/>
      <c r="N949" s="491"/>
      <c r="O949" s="491"/>
      <c r="P949" s="643"/>
      <c r="Q949" s="484"/>
      <c r="R949" s="484"/>
      <c r="S949" s="484"/>
      <c r="T949" s="484"/>
      <c r="U949" s="491"/>
      <c r="V949" s="491"/>
      <c r="W949" s="650"/>
      <c r="X949" s="203"/>
      <c r="Y949" s="655"/>
      <c r="Z949" s="203"/>
      <c r="AA949" s="203"/>
    </row>
    <row r="950" s="178" customFormat="1" ht="15.75" customHeight="1" spans="1:27">
      <c r="A950" s="484"/>
      <c r="B950" s="484"/>
      <c r="C950" s="484"/>
      <c r="D950" s="484"/>
      <c r="E950" s="491"/>
      <c r="F950" s="484"/>
      <c r="G950" s="484"/>
      <c r="H950" s="484"/>
      <c r="I950" s="484"/>
      <c r="J950" s="491"/>
      <c r="K950" s="484"/>
      <c r="L950" s="508"/>
      <c r="M950" s="484"/>
      <c r="N950" s="491"/>
      <c r="O950" s="491"/>
      <c r="P950" s="643"/>
      <c r="Q950" s="484"/>
      <c r="R950" s="484"/>
      <c r="S950" s="484"/>
      <c r="T950" s="484"/>
      <c r="U950" s="491"/>
      <c r="V950" s="491"/>
      <c r="W950" s="650"/>
      <c r="X950" s="203"/>
      <c r="Y950" s="655"/>
      <c r="Z950" s="203"/>
      <c r="AA950" s="203"/>
    </row>
    <row r="951" s="178" customFormat="1" ht="15.75" customHeight="1" spans="1:27">
      <c r="A951" s="484"/>
      <c r="B951" s="484"/>
      <c r="C951" s="484"/>
      <c r="D951" s="484"/>
      <c r="E951" s="491"/>
      <c r="F951" s="484"/>
      <c r="G951" s="484"/>
      <c r="H951" s="484"/>
      <c r="I951" s="484"/>
      <c r="J951" s="491"/>
      <c r="K951" s="484"/>
      <c r="L951" s="508"/>
      <c r="M951" s="484"/>
      <c r="N951" s="491"/>
      <c r="O951" s="491"/>
      <c r="P951" s="643"/>
      <c r="Q951" s="484"/>
      <c r="R951" s="484"/>
      <c r="S951" s="484"/>
      <c r="T951" s="484"/>
      <c r="U951" s="491"/>
      <c r="V951" s="491"/>
      <c r="W951" s="650"/>
      <c r="X951" s="203"/>
      <c r="Y951" s="655"/>
      <c r="Z951" s="203"/>
      <c r="AA951" s="203"/>
    </row>
    <row r="952" s="178" customFormat="1" ht="15.75" customHeight="1" spans="1:27">
      <c r="A952" s="484"/>
      <c r="B952" s="484"/>
      <c r="C952" s="484"/>
      <c r="D952" s="484"/>
      <c r="E952" s="491"/>
      <c r="F952" s="484"/>
      <c r="G952" s="484"/>
      <c r="H952" s="484"/>
      <c r="I952" s="484"/>
      <c r="J952" s="491"/>
      <c r="K952" s="484"/>
      <c r="L952" s="508"/>
      <c r="M952" s="484"/>
      <c r="N952" s="491"/>
      <c r="O952" s="491"/>
      <c r="P952" s="643"/>
      <c r="Q952" s="484"/>
      <c r="R952" s="484"/>
      <c r="S952" s="484"/>
      <c r="T952" s="484"/>
      <c r="U952" s="491"/>
      <c r="V952" s="491"/>
      <c r="W952" s="650"/>
      <c r="X952" s="203"/>
      <c r="Y952" s="655"/>
      <c r="Z952" s="203"/>
      <c r="AA952" s="203"/>
    </row>
    <row r="953" s="178" customFormat="1" ht="15.75" customHeight="1" spans="1:27">
      <c r="A953" s="484"/>
      <c r="B953" s="484"/>
      <c r="C953" s="484"/>
      <c r="D953" s="484"/>
      <c r="E953" s="491"/>
      <c r="F953" s="484"/>
      <c r="G953" s="484"/>
      <c r="H953" s="484"/>
      <c r="I953" s="484"/>
      <c r="J953" s="491"/>
      <c r="K953" s="484"/>
      <c r="L953" s="508"/>
      <c r="M953" s="484"/>
      <c r="N953" s="491"/>
      <c r="O953" s="491"/>
      <c r="P953" s="643"/>
      <c r="Q953" s="484"/>
      <c r="R953" s="484"/>
      <c r="S953" s="484"/>
      <c r="T953" s="484"/>
      <c r="U953" s="491"/>
      <c r="V953" s="491"/>
      <c r="W953" s="650"/>
      <c r="X953" s="203"/>
      <c r="Y953" s="655"/>
      <c r="Z953" s="203"/>
      <c r="AA953" s="203"/>
    </row>
    <row r="954" s="178" customFormat="1" ht="15.75" customHeight="1" spans="1:27">
      <c r="A954" s="484"/>
      <c r="B954" s="484"/>
      <c r="C954" s="484"/>
      <c r="D954" s="484"/>
      <c r="E954" s="491"/>
      <c r="F954" s="484"/>
      <c r="G954" s="484"/>
      <c r="H954" s="484"/>
      <c r="I954" s="484"/>
      <c r="J954" s="491"/>
      <c r="K954" s="484"/>
      <c r="L954" s="508"/>
      <c r="M954" s="484"/>
      <c r="N954" s="491"/>
      <c r="O954" s="491"/>
      <c r="P954" s="643"/>
      <c r="Q954" s="484"/>
      <c r="R954" s="484"/>
      <c r="S954" s="484"/>
      <c r="T954" s="484"/>
      <c r="U954" s="491"/>
      <c r="V954" s="491"/>
      <c r="W954" s="650"/>
      <c r="X954" s="203"/>
      <c r="Y954" s="655"/>
      <c r="Z954" s="203"/>
      <c r="AA954" s="203"/>
    </row>
    <row r="955" s="178" customFormat="1" ht="15.75" customHeight="1" spans="1:27">
      <c r="A955" s="484"/>
      <c r="B955" s="484"/>
      <c r="C955" s="484"/>
      <c r="D955" s="484"/>
      <c r="E955" s="491"/>
      <c r="F955" s="484"/>
      <c r="G955" s="484"/>
      <c r="H955" s="484"/>
      <c r="I955" s="484"/>
      <c r="J955" s="491"/>
      <c r="K955" s="484"/>
      <c r="L955" s="508"/>
      <c r="M955" s="484"/>
      <c r="N955" s="491"/>
      <c r="O955" s="491"/>
      <c r="P955" s="643"/>
      <c r="Q955" s="484"/>
      <c r="R955" s="484"/>
      <c r="S955" s="484"/>
      <c r="T955" s="484"/>
      <c r="U955" s="491"/>
      <c r="V955" s="491"/>
      <c r="W955" s="650"/>
      <c r="X955" s="203"/>
      <c r="Y955" s="655"/>
      <c r="Z955" s="203"/>
      <c r="AA955" s="203"/>
    </row>
    <row r="956" s="178" customFormat="1" ht="15.75" customHeight="1" spans="1:27">
      <c r="A956" s="484"/>
      <c r="B956" s="484"/>
      <c r="C956" s="484"/>
      <c r="D956" s="484"/>
      <c r="E956" s="491"/>
      <c r="F956" s="484"/>
      <c r="G956" s="484"/>
      <c r="H956" s="484"/>
      <c r="I956" s="484"/>
      <c r="J956" s="491"/>
      <c r="K956" s="484"/>
      <c r="L956" s="508"/>
      <c r="M956" s="484"/>
      <c r="N956" s="491"/>
      <c r="O956" s="491"/>
      <c r="P956" s="643"/>
      <c r="Q956" s="484"/>
      <c r="R956" s="484"/>
      <c r="S956" s="484"/>
      <c r="T956" s="484"/>
      <c r="U956" s="491"/>
      <c r="V956" s="491"/>
      <c r="W956" s="650"/>
      <c r="X956" s="203"/>
      <c r="Y956" s="655"/>
      <c r="Z956" s="203"/>
      <c r="AA956" s="203"/>
    </row>
    <row r="957" s="178" customFormat="1" ht="15.75" customHeight="1" spans="1:27">
      <c r="A957" s="484"/>
      <c r="B957" s="484"/>
      <c r="C957" s="484"/>
      <c r="D957" s="484"/>
      <c r="E957" s="491"/>
      <c r="F957" s="484"/>
      <c r="G957" s="484"/>
      <c r="H957" s="484"/>
      <c r="I957" s="484"/>
      <c r="J957" s="491"/>
      <c r="K957" s="484"/>
      <c r="L957" s="508"/>
      <c r="M957" s="484"/>
      <c r="N957" s="491"/>
      <c r="O957" s="491"/>
      <c r="P957" s="643"/>
      <c r="Q957" s="484"/>
      <c r="R957" s="484"/>
      <c r="S957" s="484"/>
      <c r="T957" s="484"/>
      <c r="U957" s="491"/>
      <c r="V957" s="491"/>
      <c r="W957" s="650"/>
      <c r="X957" s="203"/>
      <c r="Y957" s="655"/>
      <c r="Z957" s="203"/>
      <c r="AA957" s="203"/>
    </row>
    <row r="958" s="178" customFormat="1" ht="15.75" customHeight="1" spans="1:27">
      <c r="A958" s="484"/>
      <c r="B958" s="484"/>
      <c r="C958" s="484"/>
      <c r="D958" s="484"/>
      <c r="E958" s="491"/>
      <c r="F958" s="484"/>
      <c r="G958" s="484"/>
      <c r="H958" s="484"/>
      <c r="I958" s="484"/>
      <c r="J958" s="491"/>
      <c r="K958" s="484"/>
      <c r="L958" s="508"/>
      <c r="M958" s="484"/>
      <c r="N958" s="491"/>
      <c r="O958" s="491"/>
      <c r="P958" s="643"/>
      <c r="Q958" s="484"/>
      <c r="R958" s="484"/>
      <c r="S958" s="484"/>
      <c r="T958" s="484"/>
      <c r="U958" s="491"/>
      <c r="V958" s="491"/>
      <c r="W958" s="650"/>
      <c r="X958" s="203"/>
      <c r="Y958" s="655"/>
      <c r="Z958" s="203"/>
      <c r="AA958" s="203"/>
    </row>
    <row r="959" s="178" customFormat="1" ht="15.75" customHeight="1" spans="1:27">
      <c r="A959" s="484"/>
      <c r="B959" s="484"/>
      <c r="C959" s="484"/>
      <c r="D959" s="484"/>
      <c r="E959" s="491"/>
      <c r="F959" s="484"/>
      <c r="G959" s="484"/>
      <c r="H959" s="484"/>
      <c r="I959" s="484"/>
      <c r="J959" s="491"/>
      <c r="K959" s="484"/>
      <c r="L959" s="508"/>
      <c r="M959" s="484"/>
      <c r="N959" s="491"/>
      <c r="O959" s="491"/>
      <c r="P959" s="643"/>
      <c r="Q959" s="484"/>
      <c r="R959" s="484"/>
      <c r="S959" s="484"/>
      <c r="T959" s="484"/>
      <c r="U959" s="491"/>
      <c r="V959" s="491"/>
      <c r="W959" s="650"/>
      <c r="X959" s="203"/>
      <c r="Y959" s="655"/>
      <c r="Z959" s="203"/>
      <c r="AA959" s="203"/>
    </row>
    <row r="960" s="178" customFormat="1" ht="15.75" customHeight="1" spans="1:27">
      <c r="A960" s="484"/>
      <c r="B960" s="484"/>
      <c r="C960" s="484"/>
      <c r="D960" s="484"/>
      <c r="E960" s="491"/>
      <c r="F960" s="484"/>
      <c r="G960" s="484"/>
      <c r="H960" s="484"/>
      <c r="I960" s="484"/>
      <c r="J960" s="491"/>
      <c r="K960" s="484"/>
      <c r="L960" s="508"/>
      <c r="M960" s="484"/>
      <c r="N960" s="491"/>
      <c r="O960" s="491"/>
      <c r="P960" s="643"/>
      <c r="Q960" s="484"/>
      <c r="R960" s="484"/>
      <c r="S960" s="484"/>
      <c r="T960" s="484"/>
      <c r="U960" s="491"/>
      <c r="V960" s="491"/>
      <c r="W960" s="650"/>
      <c r="X960" s="203"/>
      <c r="Y960" s="655"/>
      <c r="Z960" s="203"/>
      <c r="AA960" s="203"/>
    </row>
    <row r="961" s="178" customFormat="1" ht="15.75" customHeight="1" spans="1:27">
      <c r="A961" s="484"/>
      <c r="B961" s="484"/>
      <c r="C961" s="484"/>
      <c r="D961" s="484"/>
      <c r="E961" s="491"/>
      <c r="F961" s="484"/>
      <c r="G961" s="484"/>
      <c r="H961" s="484"/>
      <c r="I961" s="484"/>
      <c r="J961" s="491"/>
      <c r="K961" s="484"/>
      <c r="L961" s="508"/>
      <c r="M961" s="484"/>
      <c r="N961" s="491"/>
      <c r="O961" s="491"/>
      <c r="P961" s="643"/>
      <c r="Q961" s="484"/>
      <c r="R961" s="484"/>
      <c r="S961" s="484"/>
      <c r="T961" s="484"/>
      <c r="U961" s="491"/>
      <c r="V961" s="491"/>
      <c r="W961" s="650"/>
      <c r="X961" s="203"/>
      <c r="Y961" s="655"/>
      <c r="Z961" s="203"/>
      <c r="AA961" s="203"/>
    </row>
    <row r="962" s="178" customFormat="1" ht="15.75" customHeight="1" spans="1:27">
      <c r="A962" s="484"/>
      <c r="B962" s="484"/>
      <c r="C962" s="484"/>
      <c r="D962" s="484"/>
      <c r="E962" s="491"/>
      <c r="F962" s="484"/>
      <c r="G962" s="484"/>
      <c r="H962" s="484"/>
      <c r="I962" s="484"/>
      <c r="J962" s="491"/>
      <c r="K962" s="484"/>
      <c r="L962" s="508"/>
      <c r="M962" s="484"/>
      <c r="N962" s="491"/>
      <c r="O962" s="491"/>
      <c r="P962" s="643"/>
      <c r="Q962" s="484"/>
      <c r="R962" s="484"/>
      <c r="S962" s="484"/>
      <c r="T962" s="484"/>
      <c r="U962" s="491"/>
      <c r="V962" s="491"/>
      <c r="W962" s="650"/>
      <c r="X962" s="203"/>
      <c r="Y962" s="655"/>
      <c r="Z962" s="203"/>
      <c r="AA962" s="203"/>
    </row>
    <row r="963" s="178" customFormat="1" ht="15.75" customHeight="1" spans="1:27">
      <c r="A963" s="484"/>
      <c r="B963" s="484"/>
      <c r="C963" s="484"/>
      <c r="D963" s="484"/>
      <c r="E963" s="491"/>
      <c r="F963" s="484"/>
      <c r="G963" s="484"/>
      <c r="H963" s="484"/>
      <c r="I963" s="484"/>
      <c r="J963" s="491"/>
      <c r="K963" s="484"/>
      <c r="L963" s="508"/>
      <c r="M963" s="484"/>
      <c r="N963" s="491"/>
      <c r="O963" s="491"/>
      <c r="P963" s="643"/>
      <c r="Q963" s="484"/>
      <c r="R963" s="484"/>
      <c r="S963" s="484"/>
      <c r="T963" s="484"/>
      <c r="U963" s="491"/>
      <c r="V963" s="491"/>
      <c r="W963" s="650"/>
      <c r="X963" s="203"/>
      <c r="Y963" s="655"/>
      <c r="Z963" s="203"/>
      <c r="AA963" s="203"/>
    </row>
    <row r="964" s="178" customFormat="1" ht="15.75" customHeight="1" spans="1:27">
      <c r="A964" s="484"/>
      <c r="B964" s="484"/>
      <c r="C964" s="484"/>
      <c r="D964" s="484"/>
      <c r="E964" s="491"/>
      <c r="F964" s="484"/>
      <c r="G964" s="484"/>
      <c r="H964" s="484"/>
      <c r="I964" s="484"/>
      <c r="J964" s="491"/>
      <c r="K964" s="484"/>
      <c r="L964" s="508"/>
      <c r="M964" s="484"/>
      <c r="N964" s="491"/>
      <c r="O964" s="491"/>
      <c r="P964" s="643"/>
      <c r="Q964" s="484"/>
      <c r="R964" s="484"/>
      <c r="S964" s="484"/>
      <c r="T964" s="484"/>
      <c r="U964" s="491"/>
      <c r="V964" s="491"/>
      <c r="W964" s="650"/>
      <c r="X964" s="203"/>
      <c r="Y964" s="655"/>
      <c r="Z964" s="203"/>
      <c r="AA964" s="203"/>
    </row>
    <row r="965" s="178" customFormat="1" ht="15.75" customHeight="1" spans="1:27">
      <c r="A965" s="484"/>
      <c r="B965" s="484"/>
      <c r="C965" s="484"/>
      <c r="D965" s="484"/>
      <c r="E965" s="491"/>
      <c r="F965" s="484"/>
      <c r="G965" s="484"/>
      <c r="H965" s="484"/>
      <c r="I965" s="484"/>
      <c r="J965" s="491"/>
      <c r="K965" s="484"/>
      <c r="L965" s="508"/>
      <c r="M965" s="484"/>
      <c r="N965" s="491"/>
      <c r="O965" s="491"/>
      <c r="P965" s="643"/>
      <c r="Q965" s="484"/>
      <c r="R965" s="484"/>
      <c r="S965" s="484"/>
      <c r="T965" s="484"/>
      <c r="U965" s="491"/>
      <c r="V965" s="491"/>
      <c r="W965" s="650"/>
      <c r="X965" s="203"/>
      <c r="Y965" s="655"/>
      <c r="Z965" s="203"/>
      <c r="AA965" s="203"/>
    </row>
    <row r="966" s="178" customFormat="1" ht="15.75" customHeight="1" spans="1:27">
      <c r="A966" s="484"/>
      <c r="B966" s="484"/>
      <c r="C966" s="484"/>
      <c r="D966" s="484"/>
      <c r="E966" s="491"/>
      <c r="F966" s="484"/>
      <c r="G966" s="484"/>
      <c r="H966" s="484"/>
      <c r="I966" s="484"/>
      <c r="J966" s="491"/>
      <c r="K966" s="484"/>
      <c r="L966" s="508"/>
      <c r="M966" s="484"/>
      <c r="N966" s="491"/>
      <c r="O966" s="491"/>
      <c r="P966" s="643"/>
      <c r="Q966" s="484"/>
      <c r="R966" s="484"/>
      <c r="S966" s="484"/>
      <c r="T966" s="484"/>
      <c r="U966" s="491"/>
      <c r="V966" s="491"/>
      <c r="W966" s="650"/>
      <c r="X966" s="203"/>
      <c r="Y966" s="655"/>
      <c r="Z966" s="203"/>
      <c r="AA966" s="203"/>
    </row>
    <row r="967" s="178" customFormat="1" ht="15.75" customHeight="1" spans="1:27">
      <c r="A967" s="484"/>
      <c r="B967" s="484"/>
      <c r="C967" s="484"/>
      <c r="D967" s="484"/>
      <c r="E967" s="491"/>
      <c r="F967" s="484"/>
      <c r="G967" s="484"/>
      <c r="H967" s="484"/>
      <c r="I967" s="484"/>
      <c r="J967" s="491"/>
      <c r="K967" s="484"/>
      <c r="L967" s="508"/>
      <c r="M967" s="484"/>
      <c r="N967" s="491"/>
      <c r="O967" s="491"/>
      <c r="P967" s="643"/>
      <c r="Q967" s="484"/>
      <c r="R967" s="484"/>
      <c r="S967" s="484"/>
      <c r="T967" s="484"/>
      <c r="U967" s="491"/>
      <c r="V967" s="491"/>
      <c r="W967" s="650"/>
      <c r="X967" s="203"/>
      <c r="Y967" s="655"/>
      <c r="Z967" s="203"/>
      <c r="AA967" s="203"/>
    </row>
    <row r="968" s="178" customFormat="1" ht="15.75" customHeight="1" spans="1:27">
      <c r="A968" s="484"/>
      <c r="B968" s="484"/>
      <c r="C968" s="484"/>
      <c r="D968" s="484"/>
      <c r="E968" s="491"/>
      <c r="F968" s="484"/>
      <c r="G968" s="484"/>
      <c r="H968" s="484"/>
      <c r="I968" s="484"/>
      <c r="J968" s="491"/>
      <c r="K968" s="484"/>
      <c r="L968" s="508"/>
      <c r="M968" s="484"/>
      <c r="N968" s="491"/>
      <c r="O968" s="491"/>
      <c r="P968" s="643"/>
      <c r="Q968" s="484"/>
      <c r="R968" s="484"/>
      <c r="S968" s="484"/>
      <c r="T968" s="484"/>
      <c r="U968" s="491"/>
      <c r="V968" s="491"/>
      <c r="W968" s="650"/>
      <c r="X968" s="203"/>
      <c r="Y968" s="655"/>
      <c r="Z968" s="203"/>
      <c r="AA968" s="203"/>
    </row>
    <row r="969" s="178" customFormat="1" ht="15.75" customHeight="1" spans="1:27">
      <c r="A969" s="484"/>
      <c r="B969" s="484"/>
      <c r="C969" s="484"/>
      <c r="D969" s="484"/>
      <c r="E969" s="491"/>
      <c r="F969" s="484"/>
      <c r="G969" s="484"/>
      <c r="H969" s="484"/>
      <c r="I969" s="484"/>
      <c r="J969" s="491"/>
      <c r="K969" s="484"/>
      <c r="L969" s="508"/>
      <c r="M969" s="484"/>
      <c r="N969" s="491"/>
      <c r="O969" s="491"/>
      <c r="P969" s="643"/>
      <c r="Q969" s="484"/>
      <c r="R969" s="484"/>
      <c r="S969" s="484"/>
      <c r="T969" s="484"/>
      <c r="U969" s="491"/>
      <c r="V969" s="491"/>
      <c r="W969" s="650"/>
      <c r="X969" s="203"/>
      <c r="Y969" s="655"/>
      <c r="Z969" s="203"/>
      <c r="AA969" s="203"/>
    </row>
    <row r="970" s="178" customFormat="1" ht="15.75" customHeight="1" spans="1:27">
      <c r="A970" s="484"/>
      <c r="B970" s="484"/>
      <c r="C970" s="484"/>
      <c r="D970" s="484"/>
      <c r="E970" s="491"/>
      <c r="F970" s="484"/>
      <c r="G970" s="484"/>
      <c r="H970" s="484"/>
      <c r="I970" s="484"/>
      <c r="J970" s="491"/>
      <c r="K970" s="484"/>
      <c r="L970" s="508"/>
      <c r="M970" s="484"/>
      <c r="N970" s="491"/>
      <c r="O970" s="491"/>
      <c r="P970" s="643"/>
      <c r="Q970" s="484"/>
      <c r="R970" s="484"/>
      <c r="S970" s="484"/>
      <c r="T970" s="484"/>
      <c r="U970" s="491"/>
      <c r="V970" s="491"/>
      <c r="W970" s="650"/>
      <c r="X970" s="203"/>
      <c r="Y970" s="655"/>
      <c r="Z970" s="203"/>
      <c r="AA970" s="203"/>
    </row>
    <row r="971" s="178" customFormat="1" ht="15.75" customHeight="1" spans="1:27">
      <c r="A971" s="484"/>
      <c r="B971" s="484"/>
      <c r="C971" s="484"/>
      <c r="D971" s="484"/>
      <c r="E971" s="491"/>
      <c r="F971" s="484"/>
      <c r="G971" s="484"/>
      <c r="H971" s="484"/>
      <c r="I971" s="484"/>
      <c r="J971" s="491"/>
      <c r="K971" s="484"/>
      <c r="L971" s="508"/>
      <c r="M971" s="484"/>
      <c r="N971" s="491"/>
      <c r="O971" s="491"/>
      <c r="P971" s="643"/>
      <c r="Q971" s="484"/>
      <c r="R971" s="484"/>
      <c r="S971" s="484"/>
      <c r="T971" s="484"/>
      <c r="U971" s="491"/>
      <c r="V971" s="491"/>
      <c r="W971" s="650"/>
      <c r="X971" s="203"/>
      <c r="Y971" s="655"/>
      <c r="Z971" s="203"/>
      <c r="AA971" s="203"/>
    </row>
    <row r="972" s="178" customFormat="1" ht="15.75" customHeight="1" spans="1:27">
      <c r="A972" s="484"/>
      <c r="B972" s="484"/>
      <c r="C972" s="484"/>
      <c r="D972" s="484"/>
      <c r="E972" s="491"/>
      <c r="F972" s="484"/>
      <c r="G972" s="484"/>
      <c r="H972" s="484"/>
      <c r="I972" s="484"/>
      <c r="J972" s="491"/>
      <c r="K972" s="484"/>
      <c r="L972" s="508"/>
      <c r="M972" s="484"/>
      <c r="N972" s="491"/>
      <c r="O972" s="491"/>
      <c r="P972" s="643"/>
      <c r="Q972" s="484"/>
      <c r="R972" s="484"/>
      <c r="S972" s="484"/>
      <c r="T972" s="484"/>
      <c r="U972" s="491"/>
      <c r="V972" s="491"/>
      <c r="W972" s="650"/>
      <c r="X972" s="203"/>
      <c r="Y972" s="655"/>
      <c r="Z972" s="203"/>
      <c r="AA972" s="203"/>
    </row>
    <row r="973" s="178" customFormat="1" ht="15.75" customHeight="1" spans="1:27">
      <c r="A973" s="484"/>
      <c r="B973" s="484"/>
      <c r="C973" s="484"/>
      <c r="D973" s="484"/>
      <c r="E973" s="491"/>
      <c r="F973" s="484"/>
      <c r="G973" s="484"/>
      <c r="H973" s="484"/>
      <c r="I973" s="484"/>
      <c r="J973" s="491"/>
      <c r="K973" s="484"/>
      <c r="L973" s="508"/>
      <c r="M973" s="484"/>
      <c r="N973" s="491"/>
      <c r="O973" s="491"/>
      <c r="P973" s="643"/>
      <c r="Q973" s="484"/>
      <c r="R973" s="484"/>
      <c r="S973" s="484"/>
      <c r="T973" s="484"/>
      <c r="U973" s="491"/>
      <c r="V973" s="491"/>
      <c r="W973" s="650"/>
      <c r="X973" s="203"/>
      <c r="Y973" s="655"/>
      <c r="Z973" s="203"/>
      <c r="AA973" s="203"/>
    </row>
    <row r="974" s="178" customFormat="1" ht="15.75" customHeight="1" spans="1:27">
      <c r="A974" s="484"/>
      <c r="B974" s="484"/>
      <c r="C974" s="484"/>
      <c r="D974" s="484"/>
      <c r="E974" s="491"/>
      <c r="F974" s="484"/>
      <c r="G974" s="484"/>
      <c r="H974" s="484"/>
      <c r="I974" s="484"/>
      <c r="J974" s="491"/>
      <c r="K974" s="484"/>
      <c r="L974" s="508"/>
      <c r="M974" s="484"/>
      <c r="N974" s="491"/>
      <c r="O974" s="491"/>
      <c r="P974" s="643"/>
      <c r="Q974" s="484"/>
      <c r="R974" s="484"/>
      <c r="S974" s="484"/>
      <c r="T974" s="484"/>
      <c r="U974" s="491"/>
      <c r="V974" s="491"/>
      <c r="W974" s="650"/>
      <c r="X974" s="203"/>
      <c r="Y974" s="655"/>
      <c r="Z974" s="203"/>
      <c r="AA974" s="203"/>
    </row>
    <row r="975" s="178" customFormat="1" ht="15.75" customHeight="1" spans="1:27">
      <c r="A975" s="484"/>
      <c r="B975" s="484"/>
      <c r="C975" s="484"/>
      <c r="D975" s="484"/>
      <c r="E975" s="491"/>
      <c r="F975" s="484"/>
      <c r="G975" s="484"/>
      <c r="H975" s="484"/>
      <c r="I975" s="484"/>
      <c r="J975" s="491"/>
      <c r="K975" s="484"/>
      <c r="L975" s="508"/>
      <c r="M975" s="484"/>
      <c r="N975" s="491"/>
      <c r="O975" s="491"/>
      <c r="P975" s="643"/>
      <c r="Q975" s="484"/>
      <c r="R975" s="484"/>
      <c r="S975" s="484"/>
      <c r="T975" s="484"/>
      <c r="U975" s="491"/>
      <c r="V975" s="491"/>
      <c r="W975" s="650"/>
      <c r="X975" s="203"/>
      <c r="Y975" s="655"/>
      <c r="Z975" s="203"/>
      <c r="AA975" s="203"/>
    </row>
    <row r="976" s="178" customFormat="1" ht="15.75" customHeight="1" spans="1:27">
      <c r="A976" s="484"/>
      <c r="B976" s="484"/>
      <c r="C976" s="484"/>
      <c r="D976" s="484"/>
      <c r="E976" s="491"/>
      <c r="F976" s="484"/>
      <c r="G976" s="484"/>
      <c r="H976" s="484"/>
      <c r="I976" s="484"/>
      <c r="J976" s="491"/>
      <c r="K976" s="484"/>
      <c r="L976" s="508"/>
      <c r="M976" s="484"/>
      <c r="N976" s="491"/>
      <c r="O976" s="491"/>
      <c r="P976" s="643"/>
      <c r="Q976" s="484"/>
      <c r="R976" s="484"/>
      <c r="S976" s="484"/>
      <c r="T976" s="484"/>
      <c r="U976" s="491"/>
      <c r="V976" s="491"/>
      <c r="W976" s="650"/>
      <c r="X976" s="203"/>
      <c r="Y976" s="655"/>
      <c r="Z976" s="203"/>
      <c r="AA976" s="203"/>
    </row>
    <row r="977" s="178" customFormat="1" ht="15.75" customHeight="1" spans="1:27">
      <c r="A977" s="484"/>
      <c r="B977" s="484"/>
      <c r="C977" s="484"/>
      <c r="D977" s="484"/>
      <c r="E977" s="491"/>
      <c r="F977" s="484"/>
      <c r="G977" s="484"/>
      <c r="H977" s="484"/>
      <c r="I977" s="484"/>
      <c r="J977" s="491"/>
      <c r="K977" s="484"/>
      <c r="L977" s="508"/>
      <c r="M977" s="484"/>
      <c r="N977" s="491"/>
      <c r="O977" s="491"/>
      <c r="P977" s="643"/>
      <c r="Q977" s="484"/>
      <c r="R977" s="484"/>
      <c r="S977" s="484"/>
      <c r="T977" s="484"/>
      <c r="U977" s="491"/>
      <c r="V977" s="491"/>
      <c r="W977" s="650"/>
      <c r="X977" s="203"/>
      <c r="Y977" s="655"/>
      <c r="Z977" s="203"/>
      <c r="AA977" s="203"/>
    </row>
    <row r="978" s="178" customFormat="1" ht="15.75" customHeight="1" spans="1:27">
      <c r="A978" s="484"/>
      <c r="B978" s="484"/>
      <c r="C978" s="484"/>
      <c r="D978" s="484"/>
      <c r="E978" s="491"/>
      <c r="F978" s="484"/>
      <c r="G978" s="484"/>
      <c r="H978" s="484"/>
      <c r="I978" s="484"/>
      <c r="J978" s="491"/>
      <c r="K978" s="484"/>
      <c r="L978" s="508"/>
      <c r="M978" s="484"/>
      <c r="N978" s="491"/>
      <c r="O978" s="491"/>
      <c r="P978" s="643"/>
      <c r="Q978" s="484"/>
      <c r="R978" s="484"/>
      <c r="S978" s="484"/>
      <c r="T978" s="484"/>
      <c r="U978" s="491"/>
      <c r="V978" s="491"/>
      <c r="W978" s="650"/>
      <c r="X978" s="203"/>
      <c r="Y978" s="655"/>
      <c r="Z978" s="203"/>
      <c r="AA978" s="203"/>
    </row>
    <row r="979" s="178" customFormat="1" ht="15.75" customHeight="1" spans="1:27">
      <c r="A979" s="484"/>
      <c r="B979" s="484"/>
      <c r="C979" s="484"/>
      <c r="D979" s="484"/>
      <c r="E979" s="491"/>
      <c r="F979" s="484"/>
      <c r="G979" s="484"/>
      <c r="H979" s="484"/>
      <c r="I979" s="484"/>
      <c r="J979" s="491"/>
      <c r="K979" s="484"/>
      <c r="L979" s="508"/>
      <c r="M979" s="484"/>
      <c r="N979" s="491"/>
      <c r="O979" s="491"/>
      <c r="P979" s="643"/>
      <c r="Q979" s="484"/>
      <c r="R979" s="484"/>
      <c r="S979" s="484"/>
      <c r="T979" s="484"/>
      <c r="U979" s="491"/>
      <c r="V979" s="491"/>
      <c r="W979" s="650"/>
      <c r="X979" s="203"/>
      <c r="Y979" s="655"/>
      <c r="Z979" s="203"/>
      <c r="AA979" s="203"/>
    </row>
    <row r="980" s="178" customFormat="1" ht="15.75" customHeight="1" spans="1:27">
      <c r="A980" s="484"/>
      <c r="B980" s="484"/>
      <c r="C980" s="484"/>
      <c r="D980" s="484"/>
      <c r="E980" s="491"/>
      <c r="F980" s="484"/>
      <c r="G980" s="484"/>
      <c r="H980" s="484"/>
      <c r="I980" s="484"/>
      <c r="J980" s="491"/>
      <c r="K980" s="484"/>
      <c r="L980" s="508"/>
      <c r="M980" s="484"/>
      <c r="N980" s="491"/>
      <c r="O980" s="491"/>
      <c r="P980" s="643"/>
      <c r="Q980" s="484"/>
      <c r="R980" s="484"/>
      <c r="S980" s="484"/>
      <c r="T980" s="484"/>
      <c r="U980" s="491"/>
      <c r="V980" s="491"/>
      <c r="W980" s="650"/>
      <c r="X980" s="203"/>
      <c r="Y980" s="655"/>
      <c r="Z980" s="203"/>
      <c r="AA980" s="203"/>
    </row>
    <row r="981" s="178" customFormat="1" ht="15.75" customHeight="1" spans="1:27">
      <c r="A981" s="484"/>
      <c r="B981" s="484"/>
      <c r="C981" s="484"/>
      <c r="D981" s="484"/>
      <c r="E981" s="491"/>
      <c r="F981" s="484"/>
      <c r="G981" s="484"/>
      <c r="H981" s="484"/>
      <c r="I981" s="484"/>
      <c r="J981" s="491"/>
      <c r="K981" s="484"/>
      <c r="L981" s="508"/>
      <c r="M981" s="484"/>
      <c r="N981" s="491"/>
      <c r="O981" s="491"/>
      <c r="P981" s="643"/>
      <c r="Q981" s="484"/>
      <c r="R981" s="484"/>
      <c r="S981" s="484"/>
      <c r="T981" s="484"/>
      <c r="U981" s="491"/>
      <c r="V981" s="491"/>
      <c r="W981" s="650"/>
      <c r="X981" s="203"/>
      <c r="Y981" s="655"/>
      <c r="Z981" s="203"/>
      <c r="AA981" s="203"/>
    </row>
    <row r="982" s="178" customFormat="1" ht="15.75" customHeight="1" spans="1:27">
      <c r="A982" s="484"/>
      <c r="B982" s="484"/>
      <c r="C982" s="484"/>
      <c r="D982" s="484"/>
      <c r="E982" s="491"/>
      <c r="F982" s="484"/>
      <c r="G982" s="484"/>
      <c r="H982" s="484"/>
      <c r="I982" s="484"/>
      <c r="J982" s="491"/>
      <c r="K982" s="484"/>
      <c r="L982" s="508"/>
      <c r="M982" s="484"/>
      <c r="N982" s="491"/>
      <c r="O982" s="491"/>
      <c r="P982" s="643"/>
      <c r="Q982" s="484"/>
      <c r="R982" s="484"/>
      <c r="S982" s="484"/>
      <c r="T982" s="484"/>
      <c r="U982" s="491"/>
      <c r="V982" s="491"/>
      <c r="W982" s="650"/>
      <c r="X982" s="203"/>
      <c r="Y982" s="655"/>
      <c r="Z982" s="203"/>
      <c r="AA982" s="203"/>
    </row>
    <row r="983" s="178" customFormat="1" ht="15.75" customHeight="1" spans="1:27">
      <c r="A983" s="484"/>
      <c r="B983" s="484"/>
      <c r="C983" s="484"/>
      <c r="D983" s="484"/>
      <c r="E983" s="491"/>
      <c r="F983" s="484"/>
      <c r="G983" s="484"/>
      <c r="H983" s="484"/>
      <c r="I983" s="484"/>
      <c r="J983" s="491"/>
      <c r="K983" s="484"/>
      <c r="L983" s="508"/>
      <c r="M983" s="484"/>
      <c r="N983" s="491"/>
      <c r="O983" s="491"/>
      <c r="P983" s="643"/>
      <c r="Q983" s="484"/>
      <c r="R983" s="484"/>
      <c r="S983" s="484"/>
      <c r="T983" s="484"/>
      <c r="U983" s="491"/>
      <c r="V983" s="491"/>
      <c r="W983" s="650"/>
      <c r="X983" s="203"/>
      <c r="Y983" s="655"/>
      <c r="Z983" s="203"/>
      <c r="AA983" s="203"/>
    </row>
    <row r="984" s="178" customFormat="1" ht="15.75" customHeight="1" spans="1:27">
      <c r="A984" s="484"/>
      <c r="B984" s="484"/>
      <c r="C984" s="484"/>
      <c r="D984" s="484"/>
      <c r="E984" s="491"/>
      <c r="F984" s="484"/>
      <c r="G984" s="484"/>
      <c r="H984" s="484"/>
      <c r="I984" s="484"/>
      <c r="J984" s="491"/>
      <c r="K984" s="484"/>
      <c r="L984" s="508"/>
      <c r="M984" s="484"/>
      <c r="N984" s="491"/>
      <c r="O984" s="491"/>
      <c r="P984" s="643"/>
      <c r="Q984" s="484"/>
      <c r="R984" s="484"/>
      <c r="S984" s="484"/>
      <c r="T984" s="484"/>
      <c r="U984" s="491"/>
      <c r="V984" s="491"/>
      <c r="W984" s="650"/>
      <c r="X984" s="203"/>
      <c r="Y984" s="655"/>
      <c r="Z984" s="203"/>
      <c r="AA984" s="203"/>
    </row>
    <row r="985" s="178" customFormat="1" ht="15.75" customHeight="1" spans="1:27">
      <c r="A985" s="484"/>
      <c r="B985" s="484"/>
      <c r="C985" s="484"/>
      <c r="D985" s="484"/>
      <c r="E985" s="491"/>
      <c r="F985" s="484"/>
      <c r="G985" s="484"/>
      <c r="H985" s="484"/>
      <c r="I985" s="484"/>
      <c r="J985" s="491"/>
      <c r="K985" s="484"/>
      <c r="L985" s="508"/>
      <c r="M985" s="484"/>
      <c r="N985" s="491"/>
      <c r="O985" s="491"/>
      <c r="P985" s="643"/>
      <c r="Q985" s="484"/>
      <c r="R985" s="484"/>
      <c r="S985" s="484"/>
      <c r="T985" s="484"/>
      <c r="U985" s="491"/>
      <c r="V985" s="491"/>
      <c r="W985" s="650"/>
      <c r="X985" s="203"/>
      <c r="Y985" s="655"/>
      <c r="Z985" s="203"/>
      <c r="AA985" s="203"/>
    </row>
    <row r="986" s="178" customFormat="1" ht="15.75" customHeight="1" spans="1:27">
      <c r="A986" s="484"/>
      <c r="B986" s="484"/>
      <c r="C986" s="484"/>
      <c r="D986" s="484"/>
      <c r="E986" s="491"/>
      <c r="F986" s="484"/>
      <c r="G986" s="484"/>
      <c r="H986" s="484"/>
      <c r="I986" s="484"/>
      <c r="J986" s="491"/>
      <c r="K986" s="484"/>
      <c r="L986" s="508"/>
      <c r="M986" s="484"/>
      <c r="N986" s="491"/>
      <c r="O986" s="491"/>
      <c r="P986" s="643"/>
      <c r="Q986" s="484"/>
      <c r="R986" s="484"/>
      <c r="S986" s="484"/>
      <c r="T986" s="484"/>
      <c r="U986" s="491"/>
      <c r="V986" s="491"/>
      <c r="W986" s="650"/>
      <c r="X986" s="203"/>
      <c r="Y986" s="655"/>
      <c r="Z986" s="203"/>
      <c r="AA986" s="203"/>
    </row>
    <row r="987" s="178" customFormat="1" ht="15.75" customHeight="1" spans="1:27">
      <c r="A987" s="484"/>
      <c r="B987" s="484"/>
      <c r="C987" s="484"/>
      <c r="D987" s="484"/>
      <c r="E987" s="491"/>
      <c r="F987" s="484"/>
      <c r="G987" s="484"/>
      <c r="H987" s="484"/>
      <c r="I987" s="484"/>
      <c r="J987" s="491"/>
      <c r="K987" s="484"/>
      <c r="L987" s="508"/>
      <c r="M987" s="484"/>
      <c r="N987" s="491"/>
      <c r="O987" s="491"/>
      <c r="P987" s="643"/>
      <c r="Q987" s="484"/>
      <c r="R987" s="484"/>
      <c r="S987" s="484"/>
      <c r="T987" s="484"/>
      <c r="U987" s="491"/>
      <c r="V987" s="491"/>
      <c r="W987" s="650"/>
      <c r="X987" s="203"/>
      <c r="Y987" s="655"/>
      <c r="Z987" s="203"/>
      <c r="AA987" s="203"/>
    </row>
    <row r="988" s="178" customFormat="1" ht="15.75" customHeight="1" spans="1:27">
      <c r="A988" s="484"/>
      <c r="B988" s="484"/>
      <c r="C988" s="484"/>
      <c r="D988" s="484"/>
      <c r="E988" s="491"/>
      <c r="F988" s="484"/>
      <c r="G988" s="484"/>
      <c r="H988" s="484"/>
      <c r="I988" s="484"/>
      <c r="J988" s="491"/>
      <c r="K988" s="484"/>
      <c r="L988" s="508"/>
      <c r="M988" s="484"/>
      <c r="N988" s="491"/>
      <c r="O988" s="491"/>
      <c r="P988" s="643"/>
      <c r="Q988" s="484"/>
      <c r="R988" s="484"/>
      <c r="S988" s="484"/>
      <c r="T988" s="484"/>
      <c r="U988" s="491"/>
      <c r="V988" s="491"/>
      <c r="W988" s="650"/>
      <c r="X988" s="203"/>
      <c r="Y988" s="655"/>
      <c r="Z988" s="203"/>
      <c r="AA988" s="203"/>
    </row>
    <row r="989" s="178" customFormat="1" ht="15.75" customHeight="1" spans="1:27">
      <c r="A989" s="484"/>
      <c r="B989" s="484"/>
      <c r="C989" s="484"/>
      <c r="D989" s="484"/>
      <c r="E989" s="491"/>
      <c r="F989" s="484"/>
      <c r="G989" s="484"/>
      <c r="H989" s="484"/>
      <c r="I989" s="484"/>
      <c r="J989" s="491"/>
      <c r="K989" s="484"/>
      <c r="L989" s="508"/>
      <c r="M989" s="484"/>
      <c r="N989" s="491"/>
      <c r="O989" s="491"/>
      <c r="P989" s="643"/>
      <c r="Q989" s="484"/>
      <c r="R989" s="484"/>
      <c r="S989" s="484"/>
      <c r="T989" s="484"/>
      <c r="U989" s="491"/>
      <c r="V989" s="491"/>
      <c r="W989" s="650"/>
      <c r="X989" s="203"/>
      <c r="Y989" s="655"/>
      <c r="Z989" s="203"/>
      <c r="AA989" s="203"/>
    </row>
    <row r="990" s="178" customFormat="1" ht="15.75" customHeight="1" spans="1:27">
      <c r="A990" s="484"/>
      <c r="B990" s="484"/>
      <c r="C990" s="484"/>
      <c r="D990" s="484"/>
      <c r="E990" s="491"/>
      <c r="F990" s="484"/>
      <c r="G990" s="484"/>
      <c r="H990" s="484"/>
      <c r="I990" s="484"/>
      <c r="J990" s="491"/>
      <c r="K990" s="484"/>
      <c r="L990" s="508"/>
      <c r="M990" s="484"/>
      <c r="N990" s="491"/>
      <c r="O990" s="491"/>
      <c r="P990" s="643"/>
      <c r="Q990" s="484"/>
      <c r="R990" s="484"/>
      <c r="S990" s="484"/>
      <c r="T990" s="484"/>
      <c r="U990" s="491"/>
      <c r="V990" s="491"/>
      <c r="W990" s="650"/>
      <c r="X990" s="203"/>
      <c r="Y990" s="655"/>
      <c r="Z990" s="203"/>
      <c r="AA990" s="203"/>
    </row>
    <row r="991" s="178" customFormat="1" ht="15.75" customHeight="1" spans="1:27">
      <c r="A991" s="484"/>
      <c r="B991" s="484"/>
      <c r="C991" s="484"/>
      <c r="D991" s="484"/>
      <c r="E991" s="491"/>
      <c r="F991" s="484"/>
      <c r="G991" s="484"/>
      <c r="H991" s="484"/>
      <c r="I991" s="484"/>
      <c r="J991" s="491"/>
      <c r="K991" s="484"/>
      <c r="L991" s="508"/>
      <c r="M991" s="484"/>
      <c r="N991" s="491"/>
      <c r="O991" s="491"/>
      <c r="P991" s="643"/>
      <c r="Q991" s="484"/>
      <c r="R991" s="484"/>
      <c r="S991" s="484"/>
      <c r="T991" s="484"/>
      <c r="U991" s="491"/>
      <c r="V991" s="491"/>
      <c r="W991" s="650"/>
      <c r="X991" s="203"/>
      <c r="Y991" s="655"/>
      <c r="Z991" s="203"/>
      <c r="AA991" s="203"/>
    </row>
    <row r="992" s="178" customFormat="1" ht="15.75" customHeight="1" spans="1:27">
      <c r="A992" s="484"/>
      <c r="B992" s="484"/>
      <c r="C992" s="484"/>
      <c r="D992" s="484"/>
      <c r="E992" s="491"/>
      <c r="F992" s="484"/>
      <c r="G992" s="484"/>
      <c r="H992" s="484"/>
      <c r="I992" s="484"/>
      <c r="J992" s="491"/>
      <c r="K992" s="484"/>
      <c r="L992" s="508"/>
      <c r="M992" s="484"/>
      <c r="N992" s="491"/>
      <c r="O992" s="491"/>
      <c r="P992" s="643"/>
      <c r="Q992" s="484"/>
      <c r="R992" s="484"/>
      <c r="S992" s="484"/>
      <c r="T992" s="484"/>
      <c r="U992" s="491"/>
      <c r="V992" s="491"/>
      <c r="W992" s="650"/>
      <c r="X992" s="203"/>
      <c r="Y992" s="655"/>
      <c r="Z992" s="203"/>
      <c r="AA992" s="203"/>
    </row>
    <row r="993" s="178" customFormat="1" ht="15.75" customHeight="1" spans="1:27">
      <c r="A993" s="484"/>
      <c r="B993" s="484"/>
      <c r="C993" s="484"/>
      <c r="D993" s="484"/>
      <c r="E993" s="491"/>
      <c r="F993" s="484"/>
      <c r="G993" s="484"/>
      <c r="H993" s="484"/>
      <c r="I993" s="484"/>
      <c r="J993" s="491"/>
      <c r="K993" s="484"/>
      <c r="L993" s="508"/>
      <c r="M993" s="484"/>
      <c r="N993" s="491"/>
      <c r="O993" s="491"/>
      <c r="P993" s="643"/>
      <c r="Q993" s="484"/>
      <c r="R993" s="484"/>
      <c r="S993" s="484"/>
      <c r="T993" s="484"/>
      <c r="U993" s="491"/>
      <c r="V993" s="491"/>
      <c r="W993" s="650"/>
      <c r="X993" s="203"/>
      <c r="Y993" s="655"/>
      <c r="Z993" s="203"/>
      <c r="AA993" s="203"/>
    </row>
    <row r="994" s="178" customFormat="1" ht="15.75" customHeight="1" spans="1:27">
      <c r="A994" s="484"/>
      <c r="B994" s="484"/>
      <c r="C994" s="484"/>
      <c r="D994" s="484"/>
      <c r="E994" s="491"/>
      <c r="F994" s="484"/>
      <c r="G994" s="484"/>
      <c r="H994" s="484"/>
      <c r="I994" s="484"/>
      <c r="J994" s="491"/>
      <c r="K994" s="484"/>
      <c r="L994" s="508"/>
      <c r="M994" s="484"/>
      <c r="N994" s="491"/>
      <c r="O994" s="491"/>
      <c r="P994" s="643"/>
      <c r="Q994" s="484"/>
      <c r="R994" s="484"/>
      <c r="S994" s="484"/>
      <c r="T994" s="484"/>
      <c r="U994" s="491"/>
      <c r="V994" s="491"/>
      <c r="W994" s="650"/>
      <c r="X994" s="203"/>
      <c r="Y994" s="655"/>
      <c r="Z994" s="203"/>
      <c r="AA994" s="203"/>
    </row>
    <row r="995" s="178" customFormat="1" ht="15.75" customHeight="1" spans="1:27">
      <c r="A995" s="484"/>
      <c r="B995" s="484"/>
      <c r="C995" s="484"/>
      <c r="D995" s="484"/>
      <c r="E995" s="491"/>
      <c r="F995" s="484"/>
      <c r="G995" s="484"/>
      <c r="H995" s="484"/>
      <c r="I995" s="484"/>
      <c r="J995" s="491"/>
      <c r="K995" s="484"/>
      <c r="L995" s="508"/>
      <c r="M995" s="484"/>
      <c r="N995" s="491"/>
      <c r="O995" s="491"/>
      <c r="P995" s="643"/>
      <c r="Q995" s="484"/>
      <c r="R995" s="484"/>
      <c r="S995" s="484"/>
      <c r="T995" s="484"/>
      <c r="U995" s="491"/>
      <c r="V995" s="491"/>
      <c r="W995" s="650"/>
      <c r="X995" s="203"/>
      <c r="Y995" s="655"/>
      <c r="Z995" s="203"/>
      <c r="AA995" s="203"/>
    </row>
    <row r="996" s="178" customFormat="1" ht="15.75" customHeight="1" spans="1:27">
      <c r="A996" s="484"/>
      <c r="B996" s="484"/>
      <c r="C996" s="484"/>
      <c r="D996" s="484"/>
      <c r="E996" s="491"/>
      <c r="F996" s="484"/>
      <c r="G996" s="484"/>
      <c r="H996" s="484"/>
      <c r="I996" s="484"/>
      <c r="J996" s="491"/>
      <c r="K996" s="484"/>
      <c r="L996" s="508"/>
      <c r="M996" s="484"/>
      <c r="N996" s="491"/>
      <c r="O996" s="491"/>
      <c r="P996" s="643"/>
      <c r="Q996" s="484"/>
      <c r="R996" s="484"/>
      <c r="S996" s="484"/>
      <c r="T996" s="484"/>
      <c r="U996" s="491"/>
      <c r="V996" s="491"/>
      <c r="W996" s="650"/>
      <c r="X996" s="203"/>
      <c r="Y996" s="655"/>
      <c r="Z996" s="203"/>
      <c r="AA996" s="203"/>
    </row>
    <row r="997" s="178" customFormat="1" ht="15.75" customHeight="1" spans="1:27">
      <c r="A997" s="484"/>
      <c r="B997" s="484"/>
      <c r="C997" s="484"/>
      <c r="D997" s="484"/>
      <c r="E997" s="491"/>
      <c r="F997" s="484"/>
      <c r="G997" s="484"/>
      <c r="H997" s="484"/>
      <c r="I997" s="484"/>
      <c r="J997" s="491"/>
      <c r="K997" s="484"/>
      <c r="L997" s="508"/>
      <c r="M997" s="484"/>
      <c r="N997" s="491"/>
      <c r="O997" s="491"/>
      <c r="P997" s="643"/>
      <c r="Q997" s="484"/>
      <c r="R997" s="484"/>
      <c r="S997" s="484"/>
      <c r="T997" s="484"/>
      <c r="U997" s="491"/>
      <c r="V997" s="491"/>
      <c r="W997" s="650"/>
      <c r="X997" s="203"/>
      <c r="Y997" s="655"/>
      <c r="Z997" s="203"/>
      <c r="AA997" s="203"/>
    </row>
    <row r="998" s="178" customFormat="1" ht="15.75" customHeight="1" spans="1:27">
      <c r="A998" s="484"/>
      <c r="B998" s="484"/>
      <c r="C998" s="484"/>
      <c r="D998" s="484"/>
      <c r="E998" s="491"/>
      <c r="F998" s="484"/>
      <c r="G998" s="484"/>
      <c r="H998" s="484"/>
      <c r="I998" s="484"/>
      <c r="J998" s="491"/>
      <c r="K998" s="484"/>
      <c r="L998" s="508"/>
      <c r="M998" s="484"/>
      <c r="N998" s="491"/>
      <c r="O998" s="491"/>
      <c r="P998" s="643"/>
      <c r="Q998" s="484"/>
      <c r="R998" s="484"/>
      <c r="S998" s="484"/>
      <c r="T998" s="484"/>
      <c r="U998" s="491"/>
      <c r="V998" s="491"/>
      <c r="W998" s="650"/>
      <c r="X998" s="203"/>
      <c r="Y998" s="655"/>
      <c r="Z998" s="203"/>
      <c r="AA998" s="203"/>
    </row>
    <row r="999" s="178" customFormat="1" ht="15.75" customHeight="1" spans="1:27">
      <c r="A999" s="484"/>
      <c r="B999" s="484"/>
      <c r="C999" s="484"/>
      <c r="D999" s="484"/>
      <c r="E999" s="491"/>
      <c r="F999" s="484"/>
      <c r="G999" s="484"/>
      <c r="H999" s="484"/>
      <c r="I999" s="484"/>
      <c r="J999" s="491"/>
      <c r="K999" s="484"/>
      <c r="L999" s="508"/>
      <c r="M999" s="484"/>
      <c r="N999" s="491"/>
      <c r="O999" s="491"/>
      <c r="P999" s="643"/>
      <c r="Q999" s="484"/>
      <c r="R999" s="484"/>
      <c r="S999" s="484"/>
      <c r="T999" s="484"/>
      <c r="U999" s="491"/>
      <c r="V999" s="491"/>
      <c r="W999" s="650"/>
      <c r="X999" s="203"/>
      <c r="Y999" s="655"/>
      <c r="Z999" s="203"/>
      <c r="AA999" s="203"/>
    </row>
    <row r="1000" s="178" customFormat="1" ht="15.75" customHeight="1" spans="1:27">
      <c r="A1000" s="484"/>
      <c r="B1000" s="484"/>
      <c r="C1000" s="484"/>
      <c r="D1000" s="484"/>
      <c r="E1000" s="491"/>
      <c r="F1000" s="484"/>
      <c r="G1000" s="484"/>
      <c r="H1000" s="484"/>
      <c r="I1000" s="484"/>
      <c r="J1000" s="491"/>
      <c r="K1000" s="484"/>
      <c r="L1000" s="508"/>
      <c r="M1000" s="484"/>
      <c r="N1000" s="491"/>
      <c r="O1000" s="491"/>
      <c r="P1000" s="643"/>
      <c r="Q1000" s="484"/>
      <c r="R1000" s="484"/>
      <c r="S1000" s="484"/>
      <c r="T1000" s="484"/>
      <c r="U1000" s="491"/>
      <c r="V1000" s="491"/>
      <c r="W1000" s="650"/>
      <c r="X1000" s="203"/>
      <c r="Y1000" s="655"/>
      <c r="Z1000" s="203"/>
      <c r="AA1000" s="203"/>
    </row>
    <row r="1001" s="178" customFormat="1" ht="15.75" customHeight="1" spans="1:27">
      <c r="A1001" s="484"/>
      <c r="B1001" s="484"/>
      <c r="C1001" s="484"/>
      <c r="D1001" s="484"/>
      <c r="E1001" s="491"/>
      <c r="F1001" s="484"/>
      <c r="G1001" s="484"/>
      <c r="H1001" s="484"/>
      <c r="I1001" s="484"/>
      <c r="J1001" s="491"/>
      <c r="K1001" s="484"/>
      <c r="L1001" s="508"/>
      <c r="M1001" s="484"/>
      <c r="N1001" s="491"/>
      <c r="O1001" s="491"/>
      <c r="P1001" s="643"/>
      <c r="Q1001" s="484"/>
      <c r="R1001" s="484"/>
      <c r="S1001" s="484"/>
      <c r="T1001" s="484"/>
      <c r="U1001" s="491"/>
      <c r="V1001" s="491"/>
      <c r="W1001" s="650"/>
      <c r="X1001" s="203"/>
      <c r="Y1001" s="655"/>
      <c r="Z1001" s="203"/>
      <c r="AA1001" s="203"/>
    </row>
  </sheetData>
  <hyperlinks>
    <hyperlink ref="H678" r:id="rId4" display="WIDE ALPHA 517S"/>
    <hyperlink ref="H679" r:id="rId4" display="WIDE ALPHA 517S"/>
    <hyperlink ref="H680" r:id="rId4" display="WIDE ALPHA 517S"/>
    <hyperlink ref="H681" r:id="rId4" display="WIDE ALPHA 517S"/>
    <hyperlink ref="H682" r:id="rId4" display="WIDE ALPHA 517S"/>
  </hyperlinks>
  <pageMargins left="0.75" right="0.75" top="1" bottom="1" header="0.5" footer="0.5"/>
  <headerFooter/>
  <ignoredErrors>
    <ignoredError sqref="C353 C575:C576 C670:C673 C750" numberStoredAsText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A651"/>
  <sheetViews>
    <sheetView zoomScale="80" zoomScaleNormal="80" workbookViewId="0">
      <pane ySplit="1" topLeftCell="A576" activePane="bottomLeft" state="frozen"/>
      <selection/>
      <selection pane="bottomLeft" activeCell="B630" sqref="B630:B651"/>
    </sheetView>
  </sheetViews>
  <sheetFormatPr defaultColWidth="8.725" defaultRowHeight="13.5"/>
  <cols>
    <col min="1" max="1" width="19.1833333333333" style="181" customWidth="1"/>
    <col min="2" max="2" width="23.675" style="178" customWidth="1"/>
    <col min="3" max="3" width="18.8833333333333" style="178" customWidth="1"/>
    <col min="4" max="4" width="54.45" style="178" customWidth="1"/>
    <col min="5" max="5" width="6.2" style="178" customWidth="1"/>
    <col min="6" max="6" width="24.275" style="178" customWidth="1"/>
    <col min="7" max="7" width="13.35" style="178" customWidth="1"/>
    <col min="8" max="8" width="12.2583333333333" style="178" customWidth="1"/>
    <col min="9" max="9" width="47.3416666666667" style="178" customWidth="1"/>
    <col min="10" max="10" width="16.8" style="178" customWidth="1"/>
    <col min="11" max="11" width="14.35" style="178" customWidth="1"/>
    <col min="12" max="12" width="27.8416666666667" style="178" customWidth="1"/>
    <col min="13" max="27" width="8.725" style="178"/>
  </cols>
  <sheetData>
    <row r="1" ht="15" spans="1:27">
      <c r="A1" s="182" t="s">
        <v>5510</v>
      </c>
      <c r="B1" s="183" t="s">
        <v>5511</v>
      </c>
      <c r="C1" s="182" t="s">
        <v>5512</v>
      </c>
      <c r="D1" s="182" t="s">
        <v>5513</v>
      </c>
      <c r="E1" s="183" t="s">
        <v>5514</v>
      </c>
      <c r="F1" s="182" t="s">
        <v>5515</v>
      </c>
      <c r="G1" s="182" t="s">
        <v>9</v>
      </c>
      <c r="H1" s="184" t="s">
        <v>7</v>
      </c>
      <c r="I1" s="183" t="s">
        <v>12</v>
      </c>
      <c r="J1" s="202"/>
      <c r="K1" s="202"/>
      <c r="L1" s="202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</row>
    <row r="2" ht="15" spans="1:27">
      <c r="A2" s="185" t="s">
        <v>309</v>
      </c>
      <c r="B2" s="186" t="s">
        <v>3960</v>
      </c>
      <c r="C2" s="187" t="s">
        <v>5516</v>
      </c>
      <c r="D2" s="187" t="s">
        <v>5517</v>
      </c>
      <c r="E2" s="187">
        <v>1</v>
      </c>
      <c r="F2" s="187" t="s">
        <v>5518</v>
      </c>
      <c r="G2" s="187" t="s">
        <v>18</v>
      </c>
      <c r="H2" s="188">
        <v>45617</v>
      </c>
      <c r="I2" s="185" t="s">
        <v>5519</v>
      </c>
      <c r="J2" s="202"/>
      <c r="K2" s="202"/>
      <c r="L2" s="202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</row>
    <row r="3" ht="15" spans="1:27">
      <c r="A3" s="189"/>
      <c r="B3" s="189"/>
      <c r="C3" s="187" t="s">
        <v>5520</v>
      </c>
      <c r="D3" s="187" t="s">
        <v>5521</v>
      </c>
      <c r="E3" s="187">
        <v>1</v>
      </c>
      <c r="F3" s="187" t="s">
        <v>5518</v>
      </c>
      <c r="G3" s="187" t="s">
        <v>18</v>
      </c>
      <c r="H3" s="190"/>
      <c r="I3" s="189"/>
      <c r="J3" s="202"/>
      <c r="K3" s="202"/>
      <c r="L3" s="202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</row>
    <row r="4" ht="15" spans="1:27">
      <c r="A4" s="189"/>
      <c r="B4" s="189"/>
      <c r="C4" s="187" t="s">
        <v>5522</v>
      </c>
      <c r="D4" s="187" t="s">
        <v>5523</v>
      </c>
      <c r="E4" s="187">
        <v>1</v>
      </c>
      <c r="F4" s="187" t="s">
        <v>5518</v>
      </c>
      <c r="G4" s="187" t="s">
        <v>18</v>
      </c>
      <c r="H4" s="190"/>
      <c r="I4" s="189"/>
      <c r="J4" s="202"/>
      <c r="K4" s="202"/>
      <c r="L4" s="202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</row>
    <row r="5" ht="15" spans="1:27">
      <c r="A5" s="189"/>
      <c r="B5" s="189"/>
      <c r="C5" s="187" t="s">
        <v>5524</v>
      </c>
      <c r="D5" s="187" t="s">
        <v>5525</v>
      </c>
      <c r="E5" s="187">
        <v>1</v>
      </c>
      <c r="F5" s="187" t="s">
        <v>5518</v>
      </c>
      <c r="G5" s="187" t="s">
        <v>18</v>
      </c>
      <c r="H5" s="190"/>
      <c r="I5" s="189"/>
      <c r="J5" s="202"/>
      <c r="K5" s="202"/>
      <c r="L5" s="202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</row>
    <row r="6" ht="15" spans="1:27">
      <c r="A6" s="189"/>
      <c r="B6" s="189"/>
      <c r="C6" s="187" t="s">
        <v>5526</v>
      </c>
      <c r="D6" s="187" t="s">
        <v>5527</v>
      </c>
      <c r="E6" s="187">
        <v>1</v>
      </c>
      <c r="F6" s="187" t="s">
        <v>5518</v>
      </c>
      <c r="G6" s="187" t="s">
        <v>18</v>
      </c>
      <c r="H6" s="190"/>
      <c r="I6" s="189"/>
      <c r="J6" s="202"/>
      <c r="K6" s="202"/>
      <c r="L6" s="202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</row>
    <row r="7" ht="15" spans="1:27">
      <c r="A7" s="189"/>
      <c r="B7" s="189"/>
      <c r="C7" s="187" t="s">
        <v>5528</v>
      </c>
      <c r="D7" s="187" t="s">
        <v>5529</v>
      </c>
      <c r="E7" s="187">
        <v>1</v>
      </c>
      <c r="F7" s="187" t="s">
        <v>5518</v>
      </c>
      <c r="G7" s="187" t="s">
        <v>18</v>
      </c>
      <c r="H7" s="190"/>
      <c r="I7" s="189"/>
      <c r="J7" s="202"/>
      <c r="K7" s="202"/>
      <c r="L7" s="202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</row>
    <row r="8" ht="15" spans="1:27">
      <c r="A8" s="189"/>
      <c r="B8" s="189"/>
      <c r="C8" s="187" t="s">
        <v>309</v>
      </c>
      <c r="D8" s="187" t="s">
        <v>5530</v>
      </c>
      <c r="E8" s="187">
        <v>1</v>
      </c>
      <c r="F8" s="187" t="s">
        <v>5518</v>
      </c>
      <c r="G8" s="187" t="s">
        <v>18</v>
      </c>
      <c r="H8" s="190"/>
      <c r="I8" s="191"/>
      <c r="J8" s="202"/>
      <c r="K8" s="202"/>
      <c r="L8" s="202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</row>
    <row r="9" ht="15" spans="1:27">
      <c r="A9" s="191"/>
      <c r="B9" s="191"/>
      <c r="C9" s="187" t="s">
        <v>309</v>
      </c>
      <c r="D9" s="187" t="s">
        <v>5531</v>
      </c>
      <c r="E9" s="187">
        <v>200</v>
      </c>
      <c r="F9" s="187" t="s">
        <v>5518</v>
      </c>
      <c r="G9" s="187" t="s">
        <v>18</v>
      </c>
      <c r="H9" s="192"/>
      <c r="I9" s="187" t="s">
        <v>5532</v>
      </c>
      <c r="J9" s="202"/>
      <c r="K9" s="202"/>
      <c r="L9" s="202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</row>
    <row r="10" ht="15" spans="1:27">
      <c r="A10" s="193" t="s">
        <v>5533</v>
      </c>
      <c r="B10" s="194" t="s">
        <v>3988</v>
      </c>
      <c r="C10" s="193" t="s">
        <v>5534</v>
      </c>
      <c r="D10" s="193" t="s">
        <v>5535</v>
      </c>
      <c r="E10" s="193">
        <v>10</v>
      </c>
      <c r="F10" s="193" t="s">
        <v>5536</v>
      </c>
      <c r="G10" s="193" t="s">
        <v>18</v>
      </c>
      <c r="H10" s="195">
        <v>45630</v>
      </c>
      <c r="I10" s="193"/>
      <c r="J10" s="202"/>
      <c r="K10" s="202"/>
      <c r="L10" s="202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</row>
    <row r="11" ht="15" spans="1:27">
      <c r="A11" s="196" t="s">
        <v>5537</v>
      </c>
      <c r="B11" s="197"/>
      <c r="C11" s="193" t="s">
        <v>5538</v>
      </c>
      <c r="D11" s="193" t="s">
        <v>5539</v>
      </c>
      <c r="E11" s="193">
        <v>1</v>
      </c>
      <c r="F11" s="198" t="s">
        <v>5540</v>
      </c>
      <c r="G11" s="193" t="s">
        <v>18</v>
      </c>
      <c r="H11" s="190"/>
      <c r="I11" s="197" t="s">
        <v>5541</v>
      </c>
      <c r="J11" s="202"/>
      <c r="K11" s="202"/>
      <c r="L11" s="202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</row>
    <row r="12" ht="15" spans="1:27">
      <c r="A12" s="196" t="s">
        <v>5537</v>
      </c>
      <c r="B12" s="197"/>
      <c r="C12" s="193" t="s">
        <v>5542</v>
      </c>
      <c r="D12" s="193" t="s">
        <v>5543</v>
      </c>
      <c r="E12" s="193">
        <v>1</v>
      </c>
      <c r="F12" s="198" t="s">
        <v>5540</v>
      </c>
      <c r="G12" s="193" t="s">
        <v>18</v>
      </c>
      <c r="H12" s="190"/>
      <c r="I12" s="197"/>
      <c r="J12" s="202"/>
      <c r="K12" s="202"/>
      <c r="L12" s="202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</row>
    <row r="13" ht="15" spans="1:27">
      <c r="A13" s="199" t="s">
        <v>5544</v>
      </c>
      <c r="B13" s="197"/>
      <c r="C13" s="193" t="s">
        <v>5545</v>
      </c>
      <c r="D13" s="193" t="s">
        <v>5546</v>
      </c>
      <c r="E13" s="193">
        <v>2</v>
      </c>
      <c r="F13" s="198" t="s">
        <v>5540</v>
      </c>
      <c r="G13" s="193" t="s">
        <v>18</v>
      </c>
      <c r="H13" s="190"/>
      <c r="I13" s="204"/>
      <c r="J13" s="202"/>
      <c r="K13" s="202"/>
      <c r="L13" s="202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</row>
    <row r="14" ht="15" spans="1:27">
      <c r="A14" s="200" t="s">
        <v>309</v>
      </c>
      <c r="B14" s="197"/>
      <c r="C14" s="201" t="s">
        <v>5547</v>
      </c>
      <c r="D14" s="201" t="s">
        <v>5548</v>
      </c>
      <c r="E14" s="201">
        <v>20</v>
      </c>
      <c r="F14" s="193" t="s">
        <v>5549</v>
      </c>
      <c r="G14" s="193" t="s">
        <v>18</v>
      </c>
      <c r="H14" s="190"/>
      <c r="I14" s="205" t="s">
        <v>5550</v>
      </c>
      <c r="J14" s="202"/>
      <c r="K14" s="202"/>
      <c r="L14" s="202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</row>
    <row r="15" ht="15" spans="1:27">
      <c r="A15" s="197"/>
      <c r="B15" s="197"/>
      <c r="C15" s="201" t="s">
        <v>5551</v>
      </c>
      <c r="D15" s="201" t="s">
        <v>5552</v>
      </c>
      <c r="E15" s="201">
        <v>8</v>
      </c>
      <c r="F15" s="193" t="s">
        <v>5549</v>
      </c>
      <c r="G15" s="193" t="s">
        <v>18</v>
      </c>
      <c r="H15" s="190"/>
      <c r="I15" s="197"/>
      <c r="J15" s="202"/>
      <c r="K15" s="202"/>
      <c r="L15" s="202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</row>
    <row r="16" ht="15" spans="1:27">
      <c r="A16" s="197"/>
      <c r="B16" s="197"/>
      <c r="C16" s="201" t="s">
        <v>5553</v>
      </c>
      <c r="D16" s="201" t="s">
        <v>5552</v>
      </c>
      <c r="E16" s="201">
        <v>26</v>
      </c>
      <c r="F16" s="193" t="s">
        <v>5549</v>
      </c>
      <c r="G16" s="193" t="s">
        <v>18</v>
      </c>
      <c r="H16" s="190"/>
      <c r="I16" s="197"/>
      <c r="J16" s="202"/>
      <c r="K16" s="202"/>
      <c r="L16" s="202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</row>
    <row r="17" ht="15" spans="1:27">
      <c r="A17" s="197"/>
      <c r="B17" s="197"/>
      <c r="C17" s="201" t="s">
        <v>5554</v>
      </c>
      <c r="D17" s="201" t="s">
        <v>5552</v>
      </c>
      <c r="E17" s="201">
        <v>10</v>
      </c>
      <c r="F17" s="193" t="s">
        <v>5549</v>
      </c>
      <c r="G17" s="193" t="s">
        <v>18</v>
      </c>
      <c r="H17" s="190"/>
      <c r="I17" s="197"/>
      <c r="J17" s="202"/>
      <c r="K17" s="202"/>
      <c r="L17" s="202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</row>
    <row r="18" ht="15" spans="1:27">
      <c r="A18" s="197"/>
      <c r="B18" s="197"/>
      <c r="C18" s="201" t="s">
        <v>5555</v>
      </c>
      <c r="D18" s="201" t="s">
        <v>5552</v>
      </c>
      <c r="E18" s="201">
        <v>10</v>
      </c>
      <c r="F18" s="193" t="s">
        <v>5549</v>
      </c>
      <c r="G18" s="193" t="s">
        <v>18</v>
      </c>
      <c r="H18" s="190"/>
      <c r="I18" s="197"/>
      <c r="J18" s="202"/>
      <c r="K18" s="202"/>
      <c r="L18" s="202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</row>
    <row r="19" ht="15" spans="1:27">
      <c r="A19" s="197"/>
      <c r="B19" s="197"/>
      <c r="C19" s="201" t="s">
        <v>5556</v>
      </c>
      <c r="D19" s="201" t="s">
        <v>5552</v>
      </c>
      <c r="E19" s="201">
        <v>20</v>
      </c>
      <c r="F19" s="193" t="s">
        <v>5549</v>
      </c>
      <c r="G19" s="193" t="s">
        <v>18</v>
      </c>
      <c r="H19" s="190"/>
      <c r="I19" s="197"/>
      <c r="J19" s="202"/>
      <c r="K19" s="202"/>
      <c r="L19" s="202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</row>
    <row r="20" ht="15" spans="1:27">
      <c r="A20" s="197"/>
      <c r="B20" s="197"/>
      <c r="C20" s="201" t="s">
        <v>5557</v>
      </c>
      <c r="D20" s="201" t="s">
        <v>5552</v>
      </c>
      <c r="E20" s="201">
        <v>5</v>
      </c>
      <c r="F20" s="193" t="s">
        <v>5549</v>
      </c>
      <c r="G20" s="193" t="s">
        <v>18</v>
      </c>
      <c r="H20" s="190"/>
      <c r="I20" s="197"/>
      <c r="J20" s="202"/>
      <c r="K20" s="202"/>
      <c r="L20" s="202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</row>
    <row r="21" ht="15" spans="1:27">
      <c r="A21" s="197"/>
      <c r="B21" s="197"/>
      <c r="C21" s="201" t="s">
        <v>5558</v>
      </c>
      <c r="D21" s="201" t="s">
        <v>5552</v>
      </c>
      <c r="E21" s="201">
        <v>10</v>
      </c>
      <c r="F21" s="193" t="s">
        <v>5549</v>
      </c>
      <c r="G21" s="193" t="s">
        <v>18</v>
      </c>
      <c r="H21" s="190"/>
      <c r="I21" s="197"/>
      <c r="J21" s="202"/>
      <c r="K21" s="202"/>
      <c r="L21" s="202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</row>
    <row r="22" ht="15" spans="1:27">
      <c r="A22" s="197"/>
      <c r="B22" s="197"/>
      <c r="C22" s="201" t="s">
        <v>5559</v>
      </c>
      <c r="D22" s="201" t="s">
        <v>5552</v>
      </c>
      <c r="E22" s="201">
        <v>4</v>
      </c>
      <c r="F22" s="193" t="s">
        <v>5549</v>
      </c>
      <c r="G22" s="193" t="s">
        <v>18</v>
      </c>
      <c r="H22" s="190"/>
      <c r="I22" s="197"/>
      <c r="J22" s="202"/>
      <c r="K22" s="202"/>
      <c r="L22" s="202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</row>
    <row r="23" ht="15" spans="1:27">
      <c r="A23" s="197"/>
      <c r="B23" s="197"/>
      <c r="C23" s="201" t="s">
        <v>5560</v>
      </c>
      <c r="D23" s="201" t="s">
        <v>5561</v>
      </c>
      <c r="E23" s="201">
        <v>30</v>
      </c>
      <c r="F23" s="193" t="s">
        <v>5549</v>
      </c>
      <c r="G23" s="193" t="s">
        <v>18</v>
      </c>
      <c r="H23" s="190"/>
      <c r="I23" s="197"/>
      <c r="J23" s="202"/>
      <c r="K23" s="202"/>
      <c r="L23" s="202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</row>
    <row r="24" ht="15" spans="1:27">
      <c r="A24" s="197"/>
      <c r="B24" s="197"/>
      <c r="C24" s="201" t="s">
        <v>5562</v>
      </c>
      <c r="D24" s="201" t="s">
        <v>5552</v>
      </c>
      <c r="E24" s="201">
        <v>15</v>
      </c>
      <c r="F24" s="193" t="s">
        <v>5549</v>
      </c>
      <c r="G24" s="193" t="s">
        <v>18</v>
      </c>
      <c r="H24" s="190"/>
      <c r="I24" s="197"/>
      <c r="J24" s="202"/>
      <c r="K24" s="202"/>
      <c r="L24" s="202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</row>
    <row r="25" ht="15" spans="1:27">
      <c r="A25" s="197"/>
      <c r="B25" s="197"/>
      <c r="C25" s="201" t="s">
        <v>5563</v>
      </c>
      <c r="D25" s="201" t="s">
        <v>5552</v>
      </c>
      <c r="E25" s="201">
        <v>15</v>
      </c>
      <c r="F25" s="193" t="s">
        <v>5549</v>
      </c>
      <c r="G25" s="193" t="s">
        <v>18</v>
      </c>
      <c r="H25" s="190"/>
      <c r="I25" s="197"/>
      <c r="J25" s="202"/>
      <c r="K25" s="202"/>
      <c r="L25" s="202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</row>
    <row r="26" ht="15" spans="1:27">
      <c r="A26" s="197"/>
      <c r="B26" s="197"/>
      <c r="C26" s="201" t="s">
        <v>5564</v>
      </c>
      <c r="D26" s="201" t="s">
        <v>5552</v>
      </c>
      <c r="E26" s="201">
        <v>7</v>
      </c>
      <c r="F26" s="193" t="s">
        <v>5549</v>
      </c>
      <c r="G26" s="193" t="s">
        <v>18</v>
      </c>
      <c r="H26" s="190"/>
      <c r="I26" s="197"/>
      <c r="J26" s="202"/>
      <c r="K26" s="202"/>
      <c r="L26" s="202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</row>
    <row r="27" ht="15" spans="1:27">
      <c r="A27" s="197"/>
      <c r="B27" s="197"/>
      <c r="C27" s="201" t="s">
        <v>5565</v>
      </c>
      <c r="D27" s="201" t="s">
        <v>5552</v>
      </c>
      <c r="E27" s="201">
        <v>10</v>
      </c>
      <c r="F27" s="193" t="s">
        <v>5549</v>
      </c>
      <c r="G27" s="193" t="s">
        <v>18</v>
      </c>
      <c r="H27" s="190"/>
      <c r="I27" s="197"/>
      <c r="J27" s="202"/>
      <c r="K27" s="202"/>
      <c r="L27" s="202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</row>
    <row r="28" ht="15" spans="1:27">
      <c r="A28" s="197"/>
      <c r="B28" s="197"/>
      <c r="C28" s="201" t="s">
        <v>5566</v>
      </c>
      <c r="D28" s="201" t="s">
        <v>5552</v>
      </c>
      <c r="E28" s="201">
        <v>17</v>
      </c>
      <c r="F28" s="193" t="s">
        <v>5549</v>
      </c>
      <c r="G28" s="193" t="s">
        <v>18</v>
      </c>
      <c r="H28" s="190"/>
      <c r="I28" s="197"/>
      <c r="J28" s="202"/>
      <c r="K28" s="202"/>
      <c r="L28" s="202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</row>
    <row r="29" ht="15" spans="1:27">
      <c r="A29" s="197"/>
      <c r="B29" s="197"/>
      <c r="C29" s="201" t="s">
        <v>5567</v>
      </c>
      <c r="D29" s="201" t="s">
        <v>5552</v>
      </c>
      <c r="E29" s="201">
        <v>5</v>
      </c>
      <c r="F29" s="193" t="s">
        <v>5549</v>
      </c>
      <c r="G29" s="193" t="s">
        <v>18</v>
      </c>
      <c r="H29" s="190"/>
      <c r="I29" s="197"/>
      <c r="J29" s="202"/>
      <c r="K29" s="202"/>
      <c r="L29" s="202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</row>
    <row r="30" ht="15" spans="1:27">
      <c r="A30" s="197"/>
      <c r="B30" s="197"/>
      <c r="C30" s="201" t="s">
        <v>5568</v>
      </c>
      <c r="D30" s="201" t="s">
        <v>5569</v>
      </c>
      <c r="E30" s="201">
        <v>30</v>
      </c>
      <c r="F30" s="193" t="s">
        <v>5549</v>
      </c>
      <c r="G30" s="193" t="s">
        <v>18</v>
      </c>
      <c r="H30" s="190"/>
      <c r="I30" s="197"/>
      <c r="J30" s="202"/>
      <c r="K30" s="202"/>
      <c r="L30" s="202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</row>
    <row r="31" ht="15" spans="1:27">
      <c r="A31" s="197"/>
      <c r="B31" s="197"/>
      <c r="C31" s="201" t="s">
        <v>5570</v>
      </c>
      <c r="D31" s="201" t="s">
        <v>5571</v>
      </c>
      <c r="E31" s="201">
        <v>3</v>
      </c>
      <c r="F31" s="193" t="s">
        <v>5549</v>
      </c>
      <c r="G31" s="193" t="s">
        <v>18</v>
      </c>
      <c r="H31" s="190"/>
      <c r="I31" s="197"/>
      <c r="J31" s="202"/>
      <c r="K31" s="202"/>
      <c r="L31" s="202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</row>
    <row r="32" ht="15" spans="1:27">
      <c r="A32" s="197"/>
      <c r="B32" s="197"/>
      <c r="C32" s="201" t="s">
        <v>5572</v>
      </c>
      <c r="D32" s="201" t="s">
        <v>5571</v>
      </c>
      <c r="E32" s="201">
        <v>30</v>
      </c>
      <c r="F32" s="193" t="s">
        <v>5549</v>
      </c>
      <c r="G32" s="193" t="s">
        <v>18</v>
      </c>
      <c r="H32" s="190"/>
      <c r="I32" s="197"/>
      <c r="J32" s="202"/>
      <c r="K32" s="202"/>
      <c r="L32" s="202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</row>
    <row r="33" ht="15" spans="1:27">
      <c r="A33" s="197"/>
      <c r="B33" s="197"/>
      <c r="C33" s="201" t="s">
        <v>5573</v>
      </c>
      <c r="D33" s="201" t="s">
        <v>5539</v>
      </c>
      <c r="E33" s="201">
        <v>10</v>
      </c>
      <c r="F33" s="193" t="s">
        <v>5549</v>
      </c>
      <c r="G33" s="193" t="s">
        <v>18</v>
      </c>
      <c r="H33" s="190"/>
      <c r="I33" s="197"/>
      <c r="J33" s="202"/>
      <c r="K33" s="202"/>
      <c r="L33" s="202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</row>
    <row r="34" ht="15" spans="1:27">
      <c r="A34" s="197"/>
      <c r="B34" s="197"/>
      <c r="C34" s="201" t="s">
        <v>5574</v>
      </c>
      <c r="D34" s="201" t="s">
        <v>5575</v>
      </c>
      <c r="E34" s="201">
        <v>25</v>
      </c>
      <c r="F34" s="193" t="s">
        <v>5549</v>
      </c>
      <c r="G34" s="193" t="s">
        <v>18</v>
      </c>
      <c r="H34" s="190"/>
      <c r="I34" s="197"/>
      <c r="J34" s="202"/>
      <c r="K34" s="202"/>
      <c r="L34" s="202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</row>
    <row r="35" ht="15" spans="1:27">
      <c r="A35" s="197"/>
      <c r="B35" s="197"/>
      <c r="C35" s="201" t="s">
        <v>5576</v>
      </c>
      <c r="D35" s="201" t="s">
        <v>5539</v>
      </c>
      <c r="E35" s="201">
        <v>20</v>
      </c>
      <c r="F35" s="193" t="s">
        <v>5549</v>
      </c>
      <c r="G35" s="193" t="s">
        <v>18</v>
      </c>
      <c r="H35" s="190"/>
      <c r="I35" s="197"/>
      <c r="J35" s="202"/>
      <c r="K35" s="202"/>
      <c r="L35" s="202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</row>
    <row r="36" ht="15" spans="1:27">
      <c r="A36" s="197"/>
      <c r="B36" s="197"/>
      <c r="C36" s="201" t="s">
        <v>5577</v>
      </c>
      <c r="D36" s="201" t="s">
        <v>5571</v>
      </c>
      <c r="E36" s="201">
        <v>20</v>
      </c>
      <c r="F36" s="193" t="s">
        <v>5549</v>
      </c>
      <c r="G36" s="193" t="s">
        <v>18</v>
      </c>
      <c r="H36" s="190"/>
      <c r="I36" s="197"/>
      <c r="J36" s="202"/>
      <c r="K36" s="202"/>
      <c r="L36" s="202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</row>
    <row r="37" ht="15" spans="1:27">
      <c r="A37" s="197"/>
      <c r="B37" s="197"/>
      <c r="C37" s="201" t="s">
        <v>5578</v>
      </c>
      <c r="D37" s="201" t="s">
        <v>5571</v>
      </c>
      <c r="E37" s="201">
        <v>20</v>
      </c>
      <c r="F37" s="193" t="s">
        <v>5549</v>
      </c>
      <c r="G37" s="193" t="s">
        <v>18</v>
      </c>
      <c r="H37" s="190"/>
      <c r="I37" s="197"/>
      <c r="J37" s="202"/>
      <c r="K37" s="202"/>
      <c r="L37" s="202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</row>
    <row r="38" ht="15" spans="1:27">
      <c r="A38" s="197"/>
      <c r="B38" s="197"/>
      <c r="C38" s="201" t="s">
        <v>5579</v>
      </c>
      <c r="D38" s="201" t="s">
        <v>5571</v>
      </c>
      <c r="E38" s="201">
        <v>5</v>
      </c>
      <c r="F38" s="193" t="s">
        <v>5549</v>
      </c>
      <c r="G38" s="193" t="s">
        <v>18</v>
      </c>
      <c r="H38" s="190"/>
      <c r="I38" s="197"/>
      <c r="J38" s="202"/>
      <c r="K38" s="202"/>
      <c r="L38" s="202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</row>
    <row r="39" ht="15" spans="1:27">
      <c r="A39" s="197"/>
      <c r="B39" s="197"/>
      <c r="C39" s="201" t="s">
        <v>5580</v>
      </c>
      <c r="D39" s="201" t="s">
        <v>5539</v>
      </c>
      <c r="E39" s="201">
        <v>20</v>
      </c>
      <c r="F39" s="193" t="s">
        <v>5549</v>
      </c>
      <c r="G39" s="193" t="s">
        <v>18</v>
      </c>
      <c r="H39" s="190"/>
      <c r="I39" s="197"/>
      <c r="J39" s="202"/>
      <c r="K39" s="202"/>
      <c r="L39" s="202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</row>
    <row r="40" ht="15" spans="1:27">
      <c r="A40" s="197"/>
      <c r="B40" s="197"/>
      <c r="C40" s="201" t="s">
        <v>5581</v>
      </c>
      <c r="D40" s="201" t="s">
        <v>5582</v>
      </c>
      <c r="E40" s="201">
        <v>2</v>
      </c>
      <c r="F40" s="193" t="s">
        <v>5549</v>
      </c>
      <c r="G40" s="193" t="s">
        <v>18</v>
      </c>
      <c r="H40" s="190"/>
      <c r="I40" s="197"/>
      <c r="J40" s="202"/>
      <c r="K40" s="202"/>
      <c r="L40" s="202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</row>
    <row r="41" ht="15" spans="1:27">
      <c r="A41" s="197"/>
      <c r="B41" s="197"/>
      <c r="C41" s="201" t="s">
        <v>5583</v>
      </c>
      <c r="D41" s="201" t="s">
        <v>5582</v>
      </c>
      <c r="E41" s="201">
        <v>2</v>
      </c>
      <c r="F41" s="193" t="s">
        <v>5549</v>
      </c>
      <c r="G41" s="193" t="s">
        <v>18</v>
      </c>
      <c r="H41" s="190"/>
      <c r="I41" s="197"/>
      <c r="J41" s="202"/>
      <c r="K41" s="202"/>
      <c r="L41" s="202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</row>
    <row r="42" ht="15" spans="1:27">
      <c r="A42" s="197"/>
      <c r="B42" s="197"/>
      <c r="C42" s="201" t="s">
        <v>5584</v>
      </c>
      <c r="D42" s="201" t="s">
        <v>5582</v>
      </c>
      <c r="E42" s="201">
        <v>2</v>
      </c>
      <c r="F42" s="193" t="s">
        <v>5549</v>
      </c>
      <c r="G42" s="193" t="s">
        <v>18</v>
      </c>
      <c r="H42" s="190"/>
      <c r="I42" s="197"/>
      <c r="J42" s="202"/>
      <c r="K42" s="202"/>
      <c r="L42" s="202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</row>
    <row r="43" ht="15" spans="1:27">
      <c r="A43" s="197"/>
      <c r="B43" s="197"/>
      <c r="C43" s="201" t="s">
        <v>5585</v>
      </c>
      <c r="D43" s="201" t="s">
        <v>5582</v>
      </c>
      <c r="E43" s="201">
        <v>2</v>
      </c>
      <c r="F43" s="193" t="s">
        <v>5549</v>
      </c>
      <c r="G43" s="193" t="s">
        <v>18</v>
      </c>
      <c r="H43" s="190"/>
      <c r="I43" s="197"/>
      <c r="J43" s="202"/>
      <c r="K43" s="202"/>
      <c r="L43" s="202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</row>
    <row r="44" ht="15" spans="1:27">
      <c r="A44" s="197"/>
      <c r="B44" s="197"/>
      <c r="C44" s="201" t="s">
        <v>5586</v>
      </c>
      <c r="D44" s="201" t="s">
        <v>5587</v>
      </c>
      <c r="E44" s="201">
        <v>10</v>
      </c>
      <c r="F44" s="193" t="s">
        <v>5549</v>
      </c>
      <c r="G44" s="193" t="s">
        <v>18</v>
      </c>
      <c r="H44" s="190"/>
      <c r="I44" s="197"/>
      <c r="J44" s="202"/>
      <c r="K44" s="202"/>
      <c r="L44" s="202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</row>
    <row r="45" ht="15" spans="1:27">
      <c r="A45" s="197"/>
      <c r="B45" s="197"/>
      <c r="C45" s="201" t="s">
        <v>5588</v>
      </c>
      <c r="D45" s="201" t="s">
        <v>5587</v>
      </c>
      <c r="E45" s="201">
        <v>11</v>
      </c>
      <c r="F45" s="193" t="s">
        <v>5549</v>
      </c>
      <c r="G45" s="193" t="s">
        <v>18</v>
      </c>
      <c r="H45" s="190"/>
      <c r="I45" s="197"/>
      <c r="J45" s="202"/>
      <c r="K45" s="202"/>
      <c r="L45" s="202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</row>
    <row r="46" ht="15" spans="1:27">
      <c r="A46" s="197"/>
      <c r="B46" s="197"/>
      <c r="C46" s="201" t="s">
        <v>5589</v>
      </c>
      <c r="D46" s="201" t="s">
        <v>5582</v>
      </c>
      <c r="E46" s="201">
        <v>2</v>
      </c>
      <c r="F46" s="193" t="s">
        <v>5549</v>
      </c>
      <c r="G46" s="193" t="s">
        <v>18</v>
      </c>
      <c r="H46" s="190"/>
      <c r="I46" s="197"/>
      <c r="J46" s="202"/>
      <c r="K46" s="202"/>
      <c r="L46" s="202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</row>
    <row r="47" ht="15" spans="1:27">
      <c r="A47" s="197"/>
      <c r="B47" s="197"/>
      <c r="C47" s="201" t="s">
        <v>5590</v>
      </c>
      <c r="D47" s="201" t="s">
        <v>5591</v>
      </c>
      <c r="E47" s="201">
        <v>7</v>
      </c>
      <c r="F47" s="193" t="s">
        <v>5549</v>
      </c>
      <c r="G47" s="193" t="s">
        <v>18</v>
      </c>
      <c r="H47" s="190"/>
      <c r="I47" s="197"/>
      <c r="J47" s="202"/>
      <c r="K47" s="202"/>
      <c r="L47" s="202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</row>
    <row r="48" ht="15" spans="1:27">
      <c r="A48" s="197"/>
      <c r="B48" s="197"/>
      <c r="C48" s="201" t="s">
        <v>5592</v>
      </c>
      <c r="D48" s="201" t="s">
        <v>5593</v>
      </c>
      <c r="E48" s="201">
        <v>2</v>
      </c>
      <c r="F48" s="193" t="s">
        <v>5549</v>
      </c>
      <c r="G48" s="193" t="s">
        <v>18</v>
      </c>
      <c r="H48" s="190"/>
      <c r="I48" s="197"/>
      <c r="J48" s="202"/>
      <c r="K48" s="202"/>
      <c r="L48" s="202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</row>
    <row r="49" ht="15" spans="1:27">
      <c r="A49" s="197"/>
      <c r="B49" s="197"/>
      <c r="C49" s="201" t="s">
        <v>5594</v>
      </c>
      <c r="D49" s="201" t="s">
        <v>5593</v>
      </c>
      <c r="E49" s="201">
        <v>3</v>
      </c>
      <c r="F49" s="193" t="s">
        <v>5549</v>
      </c>
      <c r="G49" s="193" t="s">
        <v>18</v>
      </c>
      <c r="H49" s="190"/>
      <c r="I49" s="197"/>
      <c r="J49" s="202"/>
      <c r="K49" s="202"/>
      <c r="L49" s="202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</row>
    <row r="50" ht="15" spans="1:27">
      <c r="A50" s="197"/>
      <c r="B50" s="197"/>
      <c r="C50" s="201" t="s">
        <v>5595</v>
      </c>
      <c r="D50" s="201" t="s">
        <v>5596</v>
      </c>
      <c r="E50" s="201">
        <v>5</v>
      </c>
      <c r="F50" s="193" t="s">
        <v>5549</v>
      </c>
      <c r="G50" s="193" t="s">
        <v>18</v>
      </c>
      <c r="H50" s="190"/>
      <c r="I50" s="197"/>
      <c r="J50" s="202"/>
      <c r="K50" s="202"/>
      <c r="L50" s="202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</row>
    <row r="51" ht="15" spans="1:27">
      <c r="A51" s="197"/>
      <c r="B51" s="197"/>
      <c r="C51" s="201" t="s">
        <v>5597</v>
      </c>
      <c r="D51" s="201" t="s">
        <v>5598</v>
      </c>
      <c r="E51" s="201">
        <v>3</v>
      </c>
      <c r="F51" s="193" t="s">
        <v>5549</v>
      </c>
      <c r="G51" s="193" t="s">
        <v>18</v>
      </c>
      <c r="H51" s="190"/>
      <c r="I51" s="197"/>
      <c r="J51" s="202"/>
      <c r="K51" s="202"/>
      <c r="L51" s="202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</row>
    <row r="52" ht="15" spans="1:27">
      <c r="A52" s="197"/>
      <c r="B52" s="197"/>
      <c r="C52" s="201" t="s">
        <v>5599</v>
      </c>
      <c r="D52" s="201" t="s">
        <v>5600</v>
      </c>
      <c r="E52" s="201">
        <v>2</v>
      </c>
      <c r="F52" s="193" t="s">
        <v>5549</v>
      </c>
      <c r="G52" s="193" t="s">
        <v>18</v>
      </c>
      <c r="H52" s="190"/>
      <c r="I52" s="197"/>
      <c r="J52" s="202"/>
      <c r="K52" s="202"/>
      <c r="L52" s="202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</row>
    <row r="53" ht="15" spans="1:27">
      <c r="A53" s="197"/>
      <c r="B53" s="197"/>
      <c r="C53" s="201" t="s">
        <v>5601</v>
      </c>
      <c r="D53" s="201" t="s">
        <v>5602</v>
      </c>
      <c r="E53" s="201">
        <v>2</v>
      </c>
      <c r="F53" s="193" t="s">
        <v>5549</v>
      </c>
      <c r="G53" s="193" t="s">
        <v>18</v>
      </c>
      <c r="H53" s="190"/>
      <c r="I53" s="197"/>
      <c r="J53" s="202"/>
      <c r="K53" s="202"/>
      <c r="L53" s="202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</row>
    <row r="54" ht="15" spans="1:27">
      <c r="A54" s="197"/>
      <c r="B54" s="197"/>
      <c r="C54" s="201" t="s">
        <v>5603</v>
      </c>
      <c r="D54" s="201" t="s">
        <v>5602</v>
      </c>
      <c r="E54" s="201">
        <v>5</v>
      </c>
      <c r="F54" s="193" t="s">
        <v>5549</v>
      </c>
      <c r="G54" s="193" t="s">
        <v>18</v>
      </c>
      <c r="H54" s="190"/>
      <c r="I54" s="197"/>
      <c r="J54" s="202"/>
      <c r="K54" s="202"/>
      <c r="L54" s="202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</row>
    <row r="55" ht="15" spans="1:27">
      <c r="A55" s="197"/>
      <c r="B55" s="197"/>
      <c r="C55" s="201" t="s">
        <v>5604</v>
      </c>
      <c r="D55" s="201" t="s">
        <v>5605</v>
      </c>
      <c r="E55" s="201">
        <v>5</v>
      </c>
      <c r="F55" s="193" t="s">
        <v>5549</v>
      </c>
      <c r="G55" s="193" t="s">
        <v>18</v>
      </c>
      <c r="H55" s="190"/>
      <c r="I55" s="197"/>
      <c r="J55" s="202"/>
      <c r="K55" s="202"/>
      <c r="L55" s="202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</row>
    <row r="56" ht="15" spans="1:27">
      <c r="A56" s="197"/>
      <c r="B56" s="197"/>
      <c r="C56" s="201" t="s">
        <v>5606</v>
      </c>
      <c r="D56" s="201" t="s">
        <v>5607</v>
      </c>
      <c r="E56" s="201">
        <v>2</v>
      </c>
      <c r="F56" s="193" t="s">
        <v>5549</v>
      </c>
      <c r="G56" s="193" t="s">
        <v>18</v>
      </c>
      <c r="H56" s="190"/>
      <c r="I56" s="197"/>
      <c r="J56" s="202"/>
      <c r="K56" s="202"/>
      <c r="L56" s="202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</row>
    <row r="57" ht="15" spans="1:27">
      <c r="A57" s="197"/>
      <c r="B57" s="197"/>
      <c r="C57" s="201" t="s">
        <v>5608</v>
      </c>
      <c r="D57" s="201" t="s">
        <v>5607</v>
      </c>
      <c r="E57" s="201">
        <v>5</v>
      </c>
      <c r="F57" s="193" t="s">
        <v>5549</v>
      </c>
      <c r="G57" s="193" t="s">
        <v>18</v>
      </c>
      <c r="H57" s="190"/>
      <c r="I57" s="197"/>
      <c r="J57" s="202"/>
      <c r="K57" s="202"/>
      <c r="L57" s="202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</row>
    <row r="58" ht="15" spans="1:27">
      <c r="A58" s="197"/>
      <c r="B58" s="197"/>
      <c r="C58" s="201" t="s">
        <v>5609</v>
      </c>
      <c r="D58" s="201" t="s">
        <v>5607</v>
      </c>
      <c r="E58" s="201">
        <v>3</v>
      </c>
      <c r="F58" s="193" t="s">
        <v>5549</v>
      </c>
      <c r="G58" s="193" t="s">
        <v>18</v>
      </c>
      <c r="H58" s="190"/>
      <c r="I58" s="197"/>
      <c r="J58" s="202"/>
      <c r="K58" s="202"/>
      <c r="L58" s="202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</row>
    <row r="59" ht="15" spans="1:27">
      <c r="A59" s="197"/>
      <c r="B59" s="197"/>
      <c r="C59" s="201" t="s">
        <v>5610</v>
      </c>
      <c r="D59" s="201" t="s">
        <v>5607</v>
      </c>
      <c r="E59" s="201">
        <v>2</v>
      </c>
      <c r="F59" s="193" t="s">
        <v>5549</v>
      </c>
      <c r="G59" s="193" t="s">
        <v>18</v>
      </c>
      <c r="H59" s="190"/>
      <c r="I59" s="197"/>
      <c r="J59" s="202"/>
      <c r="K59" s="202"/>
      <c r="L59" s="202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</row>
    <row r="60" ht="15" spans="1:27">
      <c r="A60" s="197"/>
      <c r="B60" s="197"/>
      <c r="C60" s="201" t="s">
        <v>5611</v>
      </c>
      <c r="D60" s="201" t="s">
        <v>5607</v>
      </c>
      <c r="E60" s="201">
        <v>2</v>
      </c>
      <c r="F60" s="193" t="s">
        <v>5549</v>
      </c>
      <c r="G60" s="193" t="s">
        <v>18</v>
      </c>
      <c r="H60" s="190"/>
      <c r="I60" s="197"/>
      <c r="J60" s="202"/>
      <c r="K60" s="202"/>
      <c r="L60" s="202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</row>
    <row r="61" ht="15" spans="1:27">
      <c r="A61" s="197"/>
      <c r="B61" s="197"/>
      <c r="C61" s="201" t="s">
        <v>5612</v>
      </c>
      <c r="D61" s="201" t="s">
        <v>5613</v>
      </c>
      <c r="E61" s="201">
        <v>10</v>
      </c>
      <c r="F61" s="193" t="s">
        <v>5549</v>
      </c>
      <c r="G61" s="193" t="s">
        <v>18</v>
      </c>
      <c r="H61" s="190"/>
      <c r="I61" s="197"/>
      <c r="J61" s="202"/>
      <c r="K61" s="202"/>
      <c r="L61" s="202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</row>
    <row r="62" ht="15" spans="1:27">
      <c r="A62" s="197"/>
      <c r="B62" s="197"/>
      <c r="C62" s="201" t="s">
        <v>5614</v>
      </c>
      <c r="D62" s="201" t="s">
        <v>5615</v>
      </c>
      <c r="E62" s="201">
        <v>20</v>
      </c>
      <c r="F62" s="193" t="s">
        <v>5549</v>
      </c>
      <c r="G62" s="193" t="s">
        <v>18</v>
      </c>
      <c r="H62" s="190"/>
      <c r="I62" s="197"/>
      <c r="J62" s="202"/>
      <c r="K62" s="202"/>
      <c r="L62" s="202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</row>
    <row r="63" ht="15" spans="1:27">
      <c r="A63" s="197"/>
      <c r="B63" s="197"/>
      <c r="C63" s="201" t="s">
        <v>5616</v>
      </c>
      <c r="D63" s="201" t="s">
        <v>5613</v>
      </c>
      <c r="E63" s="201">
        <v>10</v>
      </c>
      <c r="F63" s="193" t="s">
        <v>5549</v>
      </c>
      <c r="G63" s="193" t="s">
        <v>18</v>
      </c>
      <c r="H63" s="190"/>
      <c r="I63" s="197"/>
      <c r="J63" s="202"/>
      <c r="K63" s="202"/>
      <c r="L63" s="202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</row>
    <row r="64" ht="15" spans="1:27">
      <c r="A64" s="197"/>
      <c r="B64" s="197"/>
      <c r="C64" s="201" t="s">
        <v>5617</v>
      </c>
      <c r="D64" s="201" t="s">
        <v>5618</v>
      </c>
      <c r="E64" s="201">
        <v>50</v>
      </c>
      <c r="F64" s="193" t="s">
        <v>5549</v>
      </c>
      <c r="G64" s="193" t="s">
        <v>18</v>
      </c>
      <c r="H64" s="190"/>
      <c r="I64" s="197"/>
      <c r="J64" s="202"/>
      <c r="K64" s="202"/>
      <c r="L64" s="202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</row>
    <row r="65" ht="15" spans="1:27">
      <c r="A65" s="197"/>
      <c r="B65" s="197"/>
      <c r="C65" s="201" t="s">
        <v>5619</v>
      </c>
      <c r="D65" s="201" t="s">
        <v>5618</v>
      </c>
      <c r="E65" s="201">
        <v>50</v>
      </c>
      <c r="F65" s="193" t="s">
        <v>5549</v>
      </c>
      <c r="G65" s="193" t="s">
        <v>18</v>
      </c>
      <c r="H65" s="190"/>
      <c r="I65" s="197"/>
      <c r="J65" s="202"/>
      <c r="K65" s="202"/>
      <c r="L65" s="202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</row>
    <row r="66" ht="15" spans="1:27">
      <c r="A66" s="197"/>
      <c r="B66" s="197"/>
      <c r="C66" s="201" t="s">
        <v>5620</v>
      </c>
      <c r="D66" s="201" t="s">
        <v>5615</v>
      </c>
      <c r="E66" s="201">
        <v>20</v>
      </c>
      <c r="F66" s="193" t="s">
        <v>5549</v>
      </c>
      <c r="G66" s="193" t="s">
        <v>18</v>
      </c>
      <c r="H66" s="190"/>
      <c r="I66" s="197"/>
      <c r="J66" s="202"/>
      <c r="K66" s="202"/>
      <c r="L66" s="202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</row>
    <row r="67" ht="15" spans="1:27">
      <c r="A67" s="197"/>
      <c r="B67" s="197"/>
      <c r="C67" s="201" t="s">
        <v>5621</v>
      </c>
      <c r="D67" s="201" t="s">
        <v>5618</v>
      </c>
      <c r="E67" s="201">
        <v>3</v>
      </c>
      <c r="F67" s="193" t="s">
        <v>5549</v>
      </c>
      <c r="G67" s="193" t="s">
        <v>18</v>
      </c>
      <c r="H67" s="190"/>
      <c r="I67" s="197"/>
      <c r="J67" s="202"/>
      <c r="K67" s="202"/>
      <c r="L67" s="202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</row>
    <row r="68" ht="15" spans="1:27">
      <c r="A68" s="197"/>
      <c r="B68" s="197"/>
      <c r="C68" s="201" t="s">
        <v>5622</v>
      </c>
      <c r="D68" s="201" t="s">
        <v>5623</v>
      </c>
      <c r="E68" s="201">
        <v>3</v>
      </c>
      <c r="F68" s="193" t="s">
        <v>5549</v>
      </c>
      <c r="G68" s="193" t="s">
        <v>18</v>
      </c>
      <c r="H68" s="190"/>
      <c r="I68" s="197"/>
      <c r="J68" s="202"/>
      <c r="K68" s="202"/>
      <c r="L68" s="202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</row>
    <row r="69" ht="15" spans="1:27">
      <c r="A69" s="197"/>
      <c r="B69" s="197"/>
      <c r="C69" s="201" t="s">
        <v>5624</v>
      </c>
      <c r="D69" s="201" t="s">
        <v>5625</v>
      </c>
      <c r="E69" s="201">
        <v>10</v>
      </c>
      <c r="F69" s="193" t="s">
        <v>5549</v>
      </c>
      <c r="G69" s="193" t="s">
        <v>18</v>
      </c>
      <c r="H69" s="190"/>
      <c r="I69" s="197"/>
      <c r="J69" s="202"/>
      <c r="K69" s="202"/>
      <c r="L69" s="202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</row>
    <row r="70" ht="15" spans="1:27">
      <c r="A70" s="197"/>
      <c r="B70" s="197"/>
      <c r="C70" s="201" t="s">
        <v>5626</v>
      </c>
      <c r="D70" s="201" t="s">
        <v>5623</v>
      </c>
      <c r="E70" s="201">
        <v>8</v>
      </c>
      <c r="F70" s="193" t="s">
        <v>5549</v>
      </c>
      <c r="G70" s="193" t="s">
        <v>18</v>
      </c>
      <c r="H70" s="190"/>
      <c r="I70" s="197"/>
      <c r="J70" s="202"/>
      <c r="K70" s="202"/>
      <c r="L70" s="202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</row>
    <row r="71" ht="15" spans="1:27">
      <c r="A71" s="197"/>
      <c r="B71" s="197"/>
      <c r="C71" s="201" t="s">
        <v>5627</v>
      </c>
      <c r="D71" s="201" t="s">
        <v>5628</v>
      </c>
      <c r="E71" s="201">
        <v>3</v>
      </c>
      <c r="F71" s="193" t="s">
        <v>5549</v>
      </c>
      <c r="G71" s="193" t="s">
        <v>18</v>
      </c>
      <c r="H71" s="190"/>
      <c r="I71" s="197"/>
      <c r="J71" s="202"/>
      <c r="K71" s="202"/>
      <c r="L71" s="202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</row>
    <row r="72" ht="15" spans="1:27">
      <c r="A72" s="197"/>
      <c r="B72" s="197"/>
      <c r="C72" s="201" t="s">
        <v>5629</v>
      </c>
      <c r="D72" s="201" t="s">
        <v>5630</v>
      </c>
      <c r="E72" s="201">
        <v>15</v>
      </c>
      <c r="F72" s="193" t="s">
        <v>5549</v>
      </c>
      <c r="G72" s="193" t="s">
        <v>18</v>
      </c>
      <c r="H72" s="190"/>
      <c r="I72" s="197"/>
      <c r="J72" s="202"/>
      <c r="K72" s="202"/>
      <c r="L72" s="202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</row>
    <row r="73" ht="15" spans="1:27">
      <c r="A73" s="197"/>
      <c r="B73" s="197"/>
      <c r="C73" s="201" t="s">
        <v>5631</v>
      </c>
      <c r="D73" s="201" t="s">
        <v>5623</v>
      </c>
      <c r="E73" s="201">
        <v>15</v>
      </c>
      <c r="F73" s="193" t="s">
        <v>5549</v>
      </c>
      <c r="G73" s="193" t="s">
        <v>18</v>
      </c>
      <c r="H73" s="190"/>
      <c r="I73" s="197"/>
      <c r="J73" s="202"/>
      <c r="K73" s="202"/>
      <c r="L73" s="202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</row>
    <row r="74" ht="15" spans="1:27">
      <c r="A74" s="197"/>
      <c r="B74" s="197"/>
      <c r="C74" s="201" t="s">
        <v>5632</v>
      </c>
      <c r="D74" s="201" t="s">
        <v>5630</v>
      </c>
      <c r="E74" s="201">
        <v>15</v>
      </c>
      <c r="F74" s="193" t="s">
        <v>5549</v>
      </c>
      <c r="G74" s="193" t="s">
        <v>18</v>
      </c>
      <c r="H74" s="190"/>
      <c r="I74" s="197"/>
      <c r="J74" s="202"/>
      <c r="K74" s="202"/>
      <c r="L74" s="202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</row>
    <row r="75" ht="15" spans="1:27">
      <c r="A75" s="197"/>
      <c r="B75" s="197"/>
      <c r="C75" s="201" t="s">
        <v>5633</v>
      </c>
      <c r="D75" s="201" t="s">
        <v>5634</v>
      </c>
      <c r="E75" s="201">
        <v>20</v>
      </c>
      <c r="F75" s="193" t="s">
        <v>5549</v>
      </c>
      <c r="G75" s="193" t="s">
        <v>18</v>
      </c>
      <c r="H75" s="190"/>
      <c r="I75" s="197"/>
      <c r="J75" s="202"/>
      <c r="K75" s="202"/>
      <c r="L75" s="202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</row>
    <row r="76" ht="15" spans="1:27">
      <c r="A76" s="197"/>
      <c r="B76" s="197"/>
      <c r="C76" s="201" t="s">
        <v>5635</v>
      </c>
      <c r="D76" s="201" t="s">
        <v>5630</v>
      </c>
      <c r="E76" s="201">
        <v>10</v>
      </c>
      <c r="F76" s="193" t="s">
        <v>5549</v>
      </c>
      <c r="G76" s="193" t="s">
        <v>18</v>
      </c>
      <c r="H76" s="190"/>
      <c r="I76" s="197"/>
      <c r="J76" s="202"/>
      <c r="K76" s="202"/>
      <c r="L76" s="202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</row>
    <row r="77" ht="15" spans="1:27">
      <c r="A77" s="197"/>
      <c r="B77" s="197"/>
      <c r="C77" s="201" t="s">
        <v>5636</v>
      </c>
      <c r="D77" s="201" t="s">
        <v>5623</v>
      </c>
      <c r="E77" s="201">
        <v>15</v>
      </c>
      <c r="F77" s="193" t="s">
        <v>5549</v>
      </c>
      <c r="G77" s="193" t="s">
        <v>18</v>
      </c>
      <c r="H77" s="190"/>
      <c r="I77" s="197"/>
      <c r="J77" s="202"/>
      <c r="K77" s="202"/>
      <c r="L77" s="202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</row>
    <row r="78" ht="15" spans="1:27">
      <c r="A78" s="197"/>
      <c r="B78" s="197"/>
      <c r="C78" s="201" t="s">
        <v>5637</v>
      </c>
      <c r="D78" s="201" t="s">
        <v>5638</v>
      </c>
      <c r="E78" s="201">
        <v>5</v>
      </c>
      <c r="F78" s="193" t="s">
        <v>5549</v>
      </c>
      <c r="G78" s="193" t="s">
        <v>18</v>
      </c>
      <c r="H78" s="190"/>
      <c r="I78" s="197"/>
      <c r="J78" s="202"/>
      <c r="K78" s="202"/>
      <c r="L78" s="202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</row>
    <row r="79" ht="15" spans="1:27">
      <c r="A79" s="197"/>
      <c r="B79" s="197"/>
      <c r="C79" s="201" t="s">
        <v>5639</v>
      </c>
      <c r="D79" s="201" t="s">
        <v>5640</v>
      </c>
      <c r="E79" s="201">
        <v>15</v>
      </c>
      <c r="F79" s="193" t="s">
        <v>5549</v>
      </c>
      <c r="G79" s="193" t="s">
        <v>18</v>
      </c>
      <c r="H79" s="190"/>
      <c r="I79" s="197"/>
      <c r="J79" s="202"/>
      <c r="K79" s="202"/>
      <c r="L79" s="202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</row>
    <row r="80" ht="15" spans="1:27">
      <c r="A80" s="197"/>
      <c r="B80" s="197"/>
      <c r="C80" s="201" t="s">
        <v>5641</v>
      </c>
      <c r="D80" s="201" t="s">
        <v>5642</v>
      </c>
      <c r="E80" s="201">
        <v>20</v>
      </c>
      <c r="F80" s="193" t="s">
        <v>5549</v>
      </c>
      <c r="G80" s="193" t="s">
        <v>18</v>
      </c>
      <c r="H80" s="190"/>
      <c r="I80" s="197"/>
      <c r="J80" s="202"/>
      <c r="K80" s="202"/>
      <c r="L80" s="202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</row>
    <row r="81" ht="15" spans="1:27">
      <c r="A81" s="197"/>
      <c r="B81" s="197"/>
      <c r="C81" s="201" t="s">
        <v>5643</v>
      </c>
      <c r="D81" s="201" t="s">
        <v>5623</v>
      </c>
      <c r="E81" s="201">
        <v>10</v>
      </c>
      <c r="F81" s="193" t="s">
        <v>5549</v>
      </c>
      <c r="G81" s="193" t="s">
        <v>18</v>
      </c>
      <c r="H81" s="190"/>
      <c r="I81" s="197"/>
      <c r="J81" s="202"/>
      <c r="K81" s="202"/>
      <c r="L81" s="202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</row>
    <row r="82" ht="15" spans="1:27">
      <c r="A82" s="197"/>
      <c r="B82" s="197"/>
      <c r="C82" s="201" t="s">
        <v>5644</v>
      </c>
      <c r="D82" s="201" t="s">
        <v>5623</v>
      </c>
      <c r="E82" s="201">
        <v>20</v>
      </c>
      <c r="F82" s="193" t="s">
        <v>5549</v>
      </c>
      <c r="G82" s="193" t="s">
        <v>18</v>
      </c>
      <c r="H82" s="190"/>
      <c r="I82" s="197"/>
      <c r="J82" s="202"/>
      <c r="K82" s="202"/>
      <c r="L82" s="202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</row>
    <row r="83" ht="15" spans="1:27">
      <c r="A83" s="197"/>
      <c r="B83" s="197"/>
      <c r="C83" s="201" t="s">
        <v>5645</v>
      </c>
      <c r="D83" s="201" t="s">
        <v>5646</v>
      </c>
      <c r="E83" s="201">
        <v>20</v>
      </c>
      <c r="F83" s="193" t="s">
        <v>5549</v>
      </c>
      <c r="G83" s="193" t="s">
        <v>18</v>
      </c>
      <c r="H83" s="190"/>
      <c r="I83" s="197"/>
      <c r="J83" s="202"/>
      <c r="K83" s="202"/>
      <c r="L83" s="202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</row>
    <row r="84" ht="15" spans="1:27">
      <c r="A84" s="197"/>
      <c r="B84" s="197"/>
      <c r="C84" s="201" t="s">
        <v>5645</v>
      </c>
      <c r="D84" s="201" t="s">
        <v>5646</v>
      </c>
      <c r="E84" s="201">
        <v>70</v>
      </c>
      <c r="F84" s="193" t="s">
        <v>5549</v>
      </c>
      <c r="G84" s="193" t="s">
        <v>18</v>
      </c>
      <c r="H84" s="190"/>
      <c r="I84" s="197"/>
      <c r="J84" s="202"/>
      <c r="K84" s="202"/>
      <c r="L84" s="202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</row>
    <row r="85" ht="15" spans="1:27">
      <c r="A85" s="197"/>
      <c r="B85" s="197"/>
      <c r="C85" s="201" t="s">
        <v>5647</v>
      </c>
      <c r="D85" s="201" t="s">
        <v>5648</v>
      </c>
      <c r="E85" s="201">
        <v>20</v>
      </c>
      <c r="F85" s="193" t="s">
        <v>5549</v>
      </c>
      <c r="G85" s="193" t="s">
        <v>18</v>
      </c>
      <c r="H85" s="190"/>
      <c r="I85" s="197"/>
      <c r="J85" s="202"/>
      <c r="K85" s="202"/>
      <c r="L85" s="202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</row>
    <row r="86" ht="15" spans="1:27">
      <c r="A86" s="197"/>
      <c r="B86" s="197"/>
      <c r="C86" s="201" t="s">
        <v>5649</v>
      </c>
      <c r="D86" s="201" t="s">
        <v>5646</v>
      </c>
      <c r="E86" s="201">
        <v>30</v>
      </c>
      <c r="F86" s="193" t="s">
        <v>5549</v>
      </c>
      <c r="G86" s="193" t="s">
        <v>18</v>
      </c>
      <c r="H86" s="190"/>
      <c r="I86" s="197"/>
      <c r="J86" s="202"/>
      <c r="K86" s="202"/>
      <c r="L86" s="202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</row>
    <row r="87" ht="15" spans="1:27">
      <c r="A87" s="204"/>
      <c r="B87" s="197"/>
      <c r="C87" s="201" t="s">
        <v>5650</v>
      </c>
      <c r="D87" s="201" t="s">
        <v>5651</v>
      </c>
      <c r="E87" s="201">
        <v>40</v>
      </c>
      <c r="F87" s="193" t="s">
        <v>5549</v>
      </c>
      <c r="G87" s="193" t="s">
        <v>18</v>
      </c>
      <c r="H87" s="192"/>
      <c r="I87" s="204"/>
      <c r="J87" s="202"/>
      <c r="K87" s="202"/>
      <c r="L87" s="202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</row>
    <row r="88" ht="15" spans="1:27">
      <c r="A88" s="193" t="s">
        <v>309</v>
      </c>
      <c r="B88" s="194" t="s">
        <v>4015</v>
      </c>
      <c r="C88" s="193" t="s">
        <v>5652</v>
      </c>
      <c r="D88" s="206" t="s">
        <v>5613</v>
      </c>
      <c r="E88" s="193">
        <v>5</v>
      </c>
      <c r="F88" s="193" t="s">
        <v>5653</v>
      </c>
      <c r="G88" s="193" t="s">
        <v>18</v>
      </c>
      <c r="H88" s="207">
        <v>45648</v>
      </c>
      <c r="I88" s="193" t="s">
        <v>5654</v>
      </c>
      <c r="J88" s="202"/>
      <c r="K88" s="202"/>
      <c r="L88" s="202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</row>
    <row r="89" ht="15" spans="1:27">
      <c r="A89" s="193" t="s">
        <v>5655</v>
      </c>
      <c r="B89" s="204"/>
      <c r="C89" s="208" t="s">
        <v>5656</v>
      </c>
      <c r="D89" s="193" t="s">
        <v>5657</v>
      </c>
      <c r="E89" s="193">
        <v>1</v>
      </c>
      <c r="F89" s="193" t="s">
        <v>5658</v>
      </c>
      <c r="G89" s="193" t="s">
        <v>18</v>
      </c>
      <c r="H89" s="192"/>
      <c r="I89" s="193"/>
      <c r="J89" s="202"/>
      <c r="K89" s="202"/>
      <c r="L89" s="202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</row>
    <row r="90" ht="15" spans="1:27">
      <c r="A90" s="209" t="s">
        <v>148</v>
      </c>
      <c r="B90" s="210" t="s">
        <v>4068</v>
      </c>
      <c r="C90" s="211">
        <v>17122300003794</v>
      </c>
      <c r="D90" s="209" t="s">
        <v>5659</v>
      </c>
      <c r="E90" s="209">
        <v>1</v>
      </c>
      <c r="F90" s="209" t="s">
        <v>5660</v>
      </c>
      <c r="G90" s="212" t="s">
        <v>39</v>
      </c>
      <c r="H90" s="213">
        <v>45678</v>
      </c>
      <c r="I90" s="224" t="s">
        <v>5661</v>
      </c>
      <c r="J90" s="202"/>
      <c r="K90" s="202"/>
      <c r="L90" s="202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</row>
    <row r="91" ht="15" spans="1:27">
      <c r="A91" s="209" t="s">
        <v>309</v>
      </c>
      <c r="B91" s="214" t="s">
        <v>4199</v>
      </c>
      <c r="C91" s="209" t="s">
        <v>5662</v>
      </c>
      <c r="D91" s="209" t="s">
        <v>5663</v>
      </c>
      <c r="E91" s="209">
        <v>3</v>
      </c>
      <c r="F91" s="209" t="s">
        <v>5664</v>
      </c>
      <c r="G91" s="209" t="s">
        <v>18</v>
      </c>
      <c r="H91" s="215">
        <v>45708</v>
      </c>
      <c r="I91" s="209" t="s">
        <v>5665</v>
      </c>
      <c r="J91" s="202"/>
      <c r="K91" s="202"/>
      <c r="L91" s="202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</row>
    <row r="92" ht="15" spans="1:27">
      <c r="A92" s="209" t="s">
        <v>5666</v>
      </c>
      <c r="B92" s="216"/>
      <c r="C92" s="209" t="s">
        <v>5667</v>
      </c>
      <c r="D92" s="209" t="s">
        <v>5668</v>
      </c>
      <c r="E92" s="209">
        <v>12</v>
      </c>
      <c r="F92" s="217" t="s">
        <v>5669</v>
      </c>
      <c r="G92" s="209" t="s">
        <v>18</v>
      </c>
      <c r="H92"/>
      <c r="I92" s="209"/>
      <c r="J92" s="202"/>
      <c r="K92" s="202"/>
      <c r="L92" s="202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</row>
    <row r="93" ht="15" spans="1:27">
      <c r="A93" s="209" t="s">
        <v>5670</v>
      </c>
      <c r="B93" s="216"/>
      <c r="C93" s="209" t="s">
        <v>309</v>
      </c>
      <c r="D93" s="209" t="s">
        <v>71</v>
      </c>
      <c r="E93" s="218">
        <v>1</v>
      </c>
      <c r="F93" s="209" t="s">
        <v>312</v>
      </c>
      <c r="G93" s="219" t="s">
        <v>18</v>
      </c>
      <c r="H93" s="216"/>
      <c r="I93" s="219" t="s">
        <v>5671</v>
      </c>
      <c r="J93" s="202"/>
      <c r="K93" s="202"/>
      <c r="L93" s="202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</row>
    <row r="94" ht="15" spans="1:27">
      <c r="A94" s="209" t="s">
        <v>5670</v>
      </c>
      <c r="B94" s="216"/>
      <c r="C94" s="209" t="s">
        <v>309</v>
      </c>
      <c r="D94" s="209" t="s">
        <v>129</v>
      </c>
      <c r="E94" s="209">
        <v>30</v>
      </c>
      <c r="F94" s="209" t="s">
        <v>312</v>
      </c>
      <c r="G94" s="220"/>
      <c r="H94" s="216"/>
      <c r="I94" s="220"/>
      <c r="J94" s="202"/>
      <c r="K94" s="202"/>
      <c r="L94" s="202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</row>
    <row r="95" ht="15" spans="1:27">
      <c r="A95" s="209" t="s">
        <v>5670</v>
      </c>
      <c r="B95" s="216"/>
      <c r="C95" s="209" t="s">
        <v>309</v>
      </c>
      <c r="D95" s="209" t="s">
        <v>133</v>
      </c>
      <c r="E95" s="209">
        <v>30</v>
      </c>
      <c r="F95" s="209" t="s">
        <v>312</v>
      </c>
      <c r="G95" s="220"/>
      <c r="H95" s="216"/>
      <c r="I95" s="220"/>
      <c r="J95" s="202"/>
      <c r="K95" s="202"/>
      <c r="L95" s="202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</row>
    <row r="96" ht="15" spans="1:27">
      <c r="A96" s="209" t="s">
        <v>5670</v>
      </c>
      <c r="B96" s="216"/>
      <c r="C96" s="209" t="s">
        <v>309</v>
      </c>
      <c r="D96" s="209" t="s">
        <v>135</v>
      </c>
      <c r="E96" s="209">
        <v>40</v>
      </c>
      <c r="F96" s="209" t="s">
        <v>312</v>
      </c>
      <c r="G96" s="220"/>
      <c r="H96" s="216"/>
      <c r="I96" s="220"/>
      <c r="J96" s="202"/>
      <c r="K96" s="202"/>
      <c r="L96" s="202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</row>
    <row r="97" ht="15" spans="1:27">
      <c r="A97" s="209" t="s">
        <v>5670</v>
      </c>
      <c r="B97" s="216"/>
      <c r="C97" s="209" t="s">
        <v>309</v>
      </c>
      <c r="D97" s="209" t="s">
        <v>136</v>
      </c>
      <c r="E97" s="209">
        <v>40</v>
      </c>
      <c r="F97" s="209" t="s">
        <v>312</v>
      </c>
      <c r="G97" s="220"/>
      <c r="H97" s="216"/>
      <c r="I97" s="220"/>
      <c r="J97" s="202"/>
      <c r="K97" s="202"/>
      <c r="L97" s="202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</row>
    <row r="98" ht="15" spans="1:27">
      <c r="A98" s="209" t="s">
        <v>5670</v>
      </c>
      <c r="B98" s="216"/>
      <c r="C98" s="209" t="s">
        <v>309</v>
      </c>
      <c r="D98" s="209" t="s">
        <v>27</v>
      </c>
      <c r="E98" s="209">
        <v>15</v>
      </c>
      <c r="F98" s="209" t="s">
        <v>312</v>
      </c>
      <c r="G98" s="220"/>
      <c r="H98" s="216"/>
      <c r="I98" s="220"/>
      <c r="J98" s="202"/>
      <c r="K98" s="202"/>
      <c r="L98" s="202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</row>
    <row r="99" ht="15" spans="1:27">
      <c r="A99" s="209" t="s">
        <v>5670</v>
      </c>
      <c r="B99" s="216"/>
      <c r="C99" s="209" t="s">
        <v>309</v>
      </c>
      <c r="D99" s="209" t="s">
        <v>28</v>
      </c>
      <c r="E99" s="209">
        <v>15</v>
      </c>
      <c r="F99" s="209" t="s">
        <v>312</v>
      </c>
      <c r="G99" s="220"/>
      <c r="H99" s="216"/>
      <c r="I99" s="220"/>
      <c r="J99" s="202"/>
      <c r="K99" s="202"/>
      <c r="L99" s="202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</row>
    <row r="100" ht="15" spans="1:27">
      <c r="A100" s="209" t="s">
        <v>5670</v>
      </c>
      <c r="B100" s="216"/>
      <c r="C100" s="209" t="s">
        <v>309</v>
      </c>
      <c r="D100" s="209" t="s">
        <v>156</v>
      </c>
      <c r="E100" s="209">
        <v>2</v>
      </c>
      <c r="F100" s="209" t="s">
        <v>312</v>
      </c>
      <c r="G100" s="221"/>
      <c r="H100" s="216"/>
      <c r="I100" s="221"/>
      <c r="J100" s="202"/>
      <c r="K100" s="202"/>
      <c r="L100" s="202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</row>
    <row r="101" ht="23" customHeight="1" spans="1:27">
      <c r="A101" s="209" t="s">
        <v>5672</v>
      </c>
      <c r="B101" s="216"/>
      <c r="C101" s="222" t="s">
        <v>5609</v>
      </c>
      <c r="D101" s="222" t="s">
        <v>5673</v>
      </c>
      <c r="E101" s="222">
        <v>10</v>
      </c>
      <c r="F101" s="223" t="s">
        <v>5674</v>
      </c>
      <c r="G101" s="209" t="s">
        <v>18</v>
      </c>
      <c r="H101" s="216"/>
      <c r="I101" s="225" t="s">
        <v>5675</v>
      </c>
      <c r="J101" s="202"/>
      <c r="K101" s="202"/>
      <c r="L101" s="202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</row>
    <row r="102" ht="63" customHeight="1" spans="1:27">
      <c r="A102" s="209" t="s">
        <v>5672</v>
      </c>
      <c r="B102" s="216"/>
      <c r="C102" s="222" t="s">
        <v>5676</v>
      </c>
      <c r="D102" s="222" t="s">
        <v>5677</v>
      </c>
      <c r="E102" s="222">
        <v>4</v>
      </c>
      <c r="F102" s="223" t="s">
        <v>5674</v>
      </c>
      <c r="G102" s="209" t="s">
        <v>18</v>
      </c>
      <c r="H102" s="216"/>
      <c r="I102" s="216"/>
      <c r="J102" s="202"/>
      <c r="K102" s="202"/>
      <c r="L102" s="202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</row>
    <row r="103" ht="38" customHeight="1" spans="1:27">
      <c r="A103" s="209" t="s">
        <v>5672</v>
      </c>
      <c r="B103" s="216"/>
      <c r="C103" s="222" t="s">
        <v>5678</v>
      </c>
      <c r="D103" s="222" t="s">
        <v>5679</v>
      </c>
      <c r="E103" s="222">
        <v>6</v>
      </c>
      <c r="F103" s="223" t="s">
        <v>5674</v>
      </c>
      <c r="G103" s="209" t="s">
        <v>18</v>
      </c>
      <c r="H103" s="216"/>
      <c r="I103" s="216"/>
      <c r="J103" s="202"/>
      <c r="K103" s="202"/>
      <c r="L103" s="202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</row>
    <row r="104" ht="63" customHeight="1" spans="1:27">
      <c r="A104" s="209" t="s">
        <v>5672</v>
      </c>
      <c r="B104" s="216"/>
      <c r="C104" s="222" t="s">
        <v>5680</v>
      </c>
      <c r="D104" s="222" t="s">
        <v>5681</v>
      </c>
      <c r="E104" s="222">
        <v>5</v>
      </c>
      <c r="F104" s="223" t="s">
        <v>5674</v>
      </c>
      <c r="G104" s="209" t="s">
        <v>18</v>
      </c>
      <c r="H104" s="216"/>
      <c r="I104" s="216"/>
      <c r="J104" s="202"/>
      <c r="K104" s="202"/>
      <c r="L104" s="202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</row>
    <row r="105" ht="38" customHeight="1" spans="1:27">
      <c r="A105" s="209" t="s">
        <v>5672</v>
      </c>
      <c r="B105" s="216"/>
      <c r="C105" s="222" t="s">
        <v>5621</v>
      </c>
      <c r="D105" s="222" t="s">
        <v>5682</v>
      </c>
      <c r="E105" s="222">
        <v>5</v>
      </c>
      <c r="F105" s="223" t="s">
        <v>5674</v>
      </c>
      <c r="G105" s="209" t="s">
        <v>18</v>
      </c>
      <c r="H105" s="216"/>
      <c r="I105" s="216"/>
      <c r="J105" s="202"/>
      <c r="K105" s="202"/>
      <c r="L105" s="202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</row>
    <row r="106" ht="43" customHeight="1" spans="1:27">
      <c r="A106" s="209" t="s">
        <v>5672</v>
      </c>
      <c r="B106" s="216"/>
      <c r="C106" s="222" t="s">
        <v>5683</v>
      </c>
      <c r="D106" s="222" t="s">
        <v>5684</v>
      </c>
      <c r="E106" s="222">
        <v>5</v>
      </c>
      <c r="F106" s="223" t="s">
        <v>5674</v>
      </c>
      <c r="G106" s="209" t="s">
        <v>18</v>
      </c>
      <c r="H106" s="216"/>
      <c r="I106" s="216"/>
      <c r="J106" s="202"/>
      <c r="K106" s="202"/>
      <c r="L106" s="202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</row>
    <row r="107" ht="43" customHeight="1" spans="1:27">
      <c r="A107" s="209" t="s">
        <v>5672</v>
      </c>
      <c r="B107" s="216"/>
      <c r="C107" s="222" t="s">
        <v>5685</v>
      </c>
      <c r="D107" s="222" t="s">
        <v>5686</v>
      </c>
      <c r="E107" s="222">
        <v>5</v>
      </c>
      <c r="F107" s="223" t="s">
        <v>5674</v>
      </c>
      <c r="G107" s="209" t="s">
        <v>18</v>
      </c>
      <c r="H107" s="216"/>
      <c r="I107" s="216"/>
      <c r="J107" s="202"/>
      <c r="K107" s="202"/>
      <c r="L107" s="202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</row>
    <row r="108" ht="38" customHeight="1" spans="1:27">
      <c r="A108" s="209" t="s">
        <v>5672</v>
      </c>
      <c r="B108" s="216"/>
      <c r="C108" s="222" t="s">
        <v>5687</v>
      </c>
      <c r="D108" s="222" t="s">
        <v>5688</v>
      </c>
      <c r="E108" s="222">
        <v>5</v>
      </c>
      <c r="F108" s="223" t="s">
        <v>5674</v>
      </c>
      <c r="G108" s="209" t="s">
        <v>18</v>
      </c>
      <c r="H108" s="216"/>
      <c r="I108" s="216"/>
      <c r="J108" s="202"/>
      <c r="K108" s="202"/>
      <c r="L108" s="202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</row>
    <row r="109" ht="38" customHeight="1" spans="1:27">
      <c r="A109" s="209" t="s">
        <v>5672</v>
      </c>
      <c r="B109" s="216"/>
      <c r="C109" s="222" t="s">
        <v>5689</v>
      </c>
      <c r="D109" s="222" t="s">
        <v>5690</v>
      </c>
      <c r="E109" s="222">
        <v>4</v>
      </c>
      <c r="F109" s="223" t="s">
        <v>5674</v>
      </c>
      <c r="G109" s="209" t="s">
        <v>18</v>
      </c>
      <c r="H109" s="216"/>
      <c r="I109" s="216"/>
      <c r="J109" s="202"/>
      <c r="K109" s="202"/>
      <c r="L109" s="202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</row>
    <row r="110" ht="38" customHeight="1" spans="1:27">
      <c r="A110" s="209" t="s">
        <v>5672</v>
      </c>
      <c r="B110" s="216"/>
      <c r="C110" s="222" t="s">
        <v>5691</v>
      </c>
      <c r="D110" s="222" t="s">
        <v>5692</v>
      </c>
      <c r="E110" s="222">
        <v>5</v>
      </c>
      <c r="F110" s="223" t="s">
        <v>5674</v>
      </c>
      <c r="G110" s="209" t="s">
        <v>18</v>
      </c>
      <c r="H110" s="216"/>
      <c r="I110" s="216"/>
      <c r="J110" s="202"/>
      <c r="K110" s="202"/>
      <c r="L110" s="202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</row>
    <row r="111" ht="38" customHeight="1" spans="1:27">
      <c r="A111" s="209" t="s">
        <v>5672</v>
      </c>
      <c r="B111" s="216"/>
      <c r="C111" s="222" t="s">
        <v>5693</v>
      </c>
      <c r="D111" s="222" t="s">
        <v>5694</v>
      </c>
      <c r="E111" s="222">
        <v>5</v>
      </c>
      <c r="F111" s="223" t="s">
        <v>5674</v>
      </c>
      <c r="G111" s="209" t="s">
        <v>18</v>
      </c>
      <c r="H111" s="216"/>
      <c r="I111" s="216"/>
      <c r="J111" s="202"/>
      <c r="K111" s="202"/>
      <c r="L111" s="202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</row>
    <row r="112" ht="23" customHeight="1" spans="1:27">
      <c r="A112" s="209" t="s">
        <v>5672</v>
      </c>
      <c r="B112" s="216"/>
      <c r="C112" s="222" t="s">
        <v>5695</v>
      </c>
      <c r="D112" s="222" t="s">
        <v>5696</v>
      </c>
      <c r="E112" s="222">
        <v>20</v>
      </c>
      <c r="F112" s="223" t="s">
        <v>5674</v>
      </c>
      <c r="G112" s="209" t="s">
        <v>18</v>
      </c>
      <c r="H112" s="216"/>
      <c r="I112" s="216"/>
      <c r="J112" s="202"/>
      <c r="K112" s="202"/>
      <c r="L112" s="202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</row>
    <row r="113" ht="38" customHeight="1" spans="1:27">
      <c r="A113" s="209" t="s">
        <v>5672</v>
      </c>
      <c r="B113" s="216"/>
      <c r="C113" s="222" t="s">
        <v>5697</v>
      </c>
      <c r="D113" s="222" t="s">
        <v>5698</v>
      </c>
      <c r="E113" s="222">
        <v>5</v>
      </c>
      <c r="F113" s="223" t="s">
        <v>5674</v>
      </c>
      <c r="G113" s="209" t="s">
        <v>18</v>
      </c>
      <c r="H113" s="216"/>
      <c r="I113" s="216"/>
      <c r="J113" s="202"/>
      <c r="K113" s="202"/>
      <c r="L113" s="202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</row>
    <row r="114" ht="38" customHeight="1" spans="1:27">
      <c r="A114" s="209" t="s">
        <v>5672</v>
      </c>
      <c r="B114" s="216"/>
      <c r="C114" s="222" t="s">
        <v>5699</v>
      </c>
      <c r="D114" s="222" t="s">
        <v>5700</v>
      </c>
      <c r="E114" s="222">
        <v>5</v>
      </c>
      <c r="F114" s="223" t="s">
        <v>5674</v>
      </c>
      <c r="G114" s="209" t="s">
        <v>18</v>
      </c>
      <c r="H114" s="216"/>
      <c r="I114" s="216"/>
      <c r="J114" s="202"/>
      <c r="K114" s="202"/>
      <c r="L114" s="202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</row>
    <row r="115" ht="63" customHeight="1" spans="1:27">
      <c r="A115" s="209" t="s">
        <v>5672</v>
      </c>
      <c r="B115" s="216"/>
      <c r="C115" s="222" t="s">
        <v>5619</v>
      </c>
      <c r="D115" s="222" t="s">
        <v>5701</v>
      </c>
      <c r="E115" s="222">
        <v>20</v>
      </c>
      <c r="F115" s="223" t="s">
        <v>5674</v>
      </c>
      <c r="G115" s="209" t="s">
        <v>18</v>
      </c>
      <c r="H115" s="216"/>
      <c r="I115" s="216"/>
      <c r="J115" s="202"/>
      <c r="K115" s="202"/>
      <c r="L115" s="202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</row>
    <row r="116" ht="38" customHeight="1" spans="1:27">
      <c r="A116" s="209" t="s">
        <v>5672</v>
      </c>
      <c r="B116" s="216"/>
      <c r="C116" s="222" t="s">
        <v>5702</v>
      </c>
      <c r="D116" s="222" t="s">
        <v>5703</v>
      </c>
      <c r="E116" s="222">
        <v>5</v>
      </c>
      <c r="F116" s="223" t="s">
        <v>5674</v>
      </c>
      <c r="G116" s="209" t="s">
        <v>18</v>
      </c>
      <c r="H116" s="216"/>
      <c r="I116" s="216"/>
      <c r="J116" s="202"/>
      <c r="K116" s="202"/>
      <c r="L116" s="202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</row>
    <row r="117" ht="38" customHeight="1" spans="1:27">
      <c r="A117" s="209" t="s">
        <v>5672</v>
      </c>
      <c r="B117" s="216"/>
      <c r="C117" s="222" t="s">
        <v>5704</v>
      </c>
      <c r="D117" s="222" t="s">
        <v>5705</v>
      </c>
      <c r="E117" s="222">
        <v>5</v>
      </c>
      <c r="F117" s="223" t="s">
        <v>5674</v>
      </c>
      <c r="G117" s="209" t="s">
        <v>18</v>
      </c>
      <c r="H117" s="216"/>
      <c r="I117" s="216"/>
      <c r="J117" s="202"/>
      <c r="K117" s="202"/>
      <c r="L117" s="202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</row>
    <row r="118" ht="51" customHeight="1" spans="1:27">
      <c r="A118" s="209" t="s">
        <v>5672</v>
      </c>
      <c r="B118" s="216"/>
      <c r="C118" s="222" t="s">
        <v>5706</v>
      </c>
      <c r="D118" s="222" t="s">
        <v>5707</v>
      </c>
      <c r="E118" s="222">
        <v>5</v>
      </c>
      <c r="F118" s="223" t="s">
        <v>5674</v>
      </c>
      <c r="G118" s="209" t="s">
        <v>18</v>
      </c>
      <c r="H118" s="216"/>
      <c r="I118" s="216"/>
      <c r="J118" s="202"/>
      <c r="K118" s="202"/>
      <c r="L118" s="202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</row>
    <row r="119" ht="43" customHeight="1" spans="1:27">
      <c r="A119" s="209" t="s">
        <v>5672</v>
      </c>
      <c r="B119" s="216"/>
      <c r="C119" s="222" t="s">
        <v>5708</v>
      </c>
      <c r="D119" s="222" t="s">
        <v>5709</v>
      </c>
      <c r="E119" s="222">
        <v>5</v>
      </c>
      <c r="F119" s="223" t="s">
        <v>5674</v>
      </c>
      <c r="G119" s="209" t="s">
        <v>18</v>
      </c>
      <c r="H119" s="216"/>
      <c r="I119" s="216"/>
      <c r="J119" s="202"/>
      <c r="K119" s="202"/>
      <c r="L119" s="202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</row>
    <row r="120" ht="51" customHeight="1" spans="1:27">
      <c r="A120" s="209" t="s">
        <v>5672</v>
      </c>
      <c r="B120" s="216"/>
      <c r="C120" s="222" t="s">
        <v>5710</v>
      </c>
      <c r="D120" s="222" t="s">
        <v>5711</v>
      </c>
      <c r="E120" s="222">
        <v>4</v>
      </c>
      <c r="F120" s="223" t="s">
        <v>5674</v>
      </c>
      <c r="G120" s="209" t="s">
        <v>18</v>
      </c>
      <c r="H120" s="216"/>
      <c r="I120" s="216"/>
      <c r="J120" s="202"/>
      <c r="K120" s="202"/>
      <c r="L120" s="202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</row>
    <row r="121" ht="51" customHeight="1" spans="1:27">
      <c r="A121" s="209" t="s">
        <v>5672</v>
      </c>
      <c r="B121" s="216"/>
      <c r="C121" s="222" t="s">
        <v>5712</v>
      </c>
      <c r="D121" s="222" t="s">
        <v>5713</v>
      </c>
      <c r="E121" s="222">
        <v>4</v>
      </c>
      <c r="F121" s="223" t="s">
        <v>5674</v>
      </c>
      <c r="G121" s="209" t="s">
        <v>18</v>
      </c>
      <c r="H121" s="216"/>
      <c r="I121" s="216"/>
      <c r="J121" s="202"/>
      <c r="K121" s="202"/>
      <c r="L121" s="202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</row>
    <row r="122" ht="51" customHeight="1" spans="1:27">
      <c r="A122" s="209" t="s">
        <v>5672</v>
      </c>
      <c r="B122" s="216"/>
      <c r="C122" s="222" t="s">
        <v>5714</v>
      </c>
      <c r="D122" s="222" t="s">
        <v>5715</v>
      </c>
      <c r="E122" s="222">
        <v>4</v>
      </c>
      <c r="F122" s="223" t="s">
        <v>5674</v>
      </c>
      <c r="G122" s="209" t="s">
        <v>18</v>
      </c>
      <c r="H122" s="216"/>
      <c r="I122" s="216"/>
      <c r="J122" s="202"/>
      <c r="K122" s="202"/>
      <c r="L122" s="202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</row>
    <row r="123" ht="23" customHeight="1" spans="1:27">
      <c r="A123" s="209" t="s">
        <v>5672</v>
      </c>
      <c r="B123" s="216"/>
      <c r="C123" s="222" t="s">
        <v>5620</v>
      </c>
      <c r="D123" s="222" t="s">
        <v>5716</v>
      </c>
      <c r="E123" s="222">
        <v>30</v>
      </c>
      <c r="F123" s="223" t="s">
        <v>5674</v>
      </c>
      <c r="G123" s="209" t="s">
        <v>18</v>
      </c>
      <c r="H123" s="216"/>
      <c r="I123" s="216"/>
      <c r="J123" s="202"/>
      <c r="K123" s="202"/>
      <c r="L123" s="202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</row>
    <row r="124" ht="23" customHeight="1" spans="1:27">
      <c r="A124" s="209" t="s">
        <v>5672</v>
      </c>
      <c r="B124" s="216"/>
      <c r="C124" s="222" t="s">
        <v>5717</v>
      </c>
      <c r="D124" s="222" t="s">
        <v>5718</v>
      </c>
      <c r="E124" s="222">
        <v>5</v>
      </c>
      <c r="F124" s="223" t="s">
        <v>5674</v>
      </c>
      <c r="G124" s="209" t="s">
        <v>18</v>
      </c>
      <c r="H124" s="216"/>
      <c r="I124" s="216"/>
      <c r="J124" s="202"/>
      <c r="K124" s="202"/>
      <c r="L124" s="202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</row>
    <row r="125" ht="51" customHeight="1" spans="1:27">
      <c r="A125" s="209" t="s">
        <v>5672</v>
      </c>
      <c r="B125" s="216"/>
      <c r="C125" s="222" t="s">
        <v>5719</v>
      </c>
      <c r="D125" s="222" t="s">
        <v>5720</v>
      </c>
      <c r="E125" s="222">
        <v>4</v>
      </c>
      <c r="F125" s="223" t="s">
        <v>5674</v>
      </c>
      <c r="G125" s="209" t="s">
        <v>18</v>
      </c>
      <c r="H125" s="216"/>
      <c r="I125" s="216"/>
      <c r="J125" s="202"/>
      <c r="K125" s="202"/>
      <c r="L125" s="202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</row>
    <row r="126" ht="38" customHeight="1" spans="1:27">
      <c r="A126" s="209" t="s">
        <v>5672</v>
      </c>
      <c r="B126" s="216"/>
      <c r="C126" s="222" t="s">
        <v>5721</v>
      </c>
      <c r="D126" s="222" t="s">
        <v>5722</v>
      </c>
      <c r="E126" s="222">
        <v>4</v>
      </c>
      <c r="F126" s="223" t="s">
        <v>5674</v>
      </c>
      <c r="G126" s="209" t="s">
        <v>18</v>
      </c>
      <c r="H126" s="216"/>
      <c r="I126" s="216"/>
      <c r="J126" s="202"/>
      <c r="K126" s="202"/>
      <c r="L126" s="202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</row>
    <row r="127" ht="52" customHeight="1" spans="1:27">
      <c r="A127" s="209" t="s">
        <v>5672</v>
      </c>
      <c r="B127" s="216"/>
      <c r="C127" s="222" t="s">
        <v>5723</v>
      </c>
      <c r="D127" s="222" t="s">
        <v>5724</v>
      </c>
      <c r="E127" s="222">
        <v>10</v>
      </c>
      <c r="F127" s="223" t="s">
        <v>5674</v>
      </c>
      <c r="G127" s="209" t="s">
        <v>18</v>
      </c>
      <c r="H127" s="216"/>
      <c r="I127" s="216"/>
      <c r="J127" s="202"/>
      <c r="K127" s="202"/>
      <c r="L127" s="202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</row>
    <row r="128" ht="61" customHeight="1" spans="1:27">
      <c r="A128" s="209" t="s">
        <v>5672</v>
      </c>
      <c r="B128" s="216"/>
      <c r="C128" s="222" t="s">
        <v>5725</v>
      </c>
      <c r="D128" s="222" t="s">
        <v>5726</v>
      </c>
      <c r="E128" s="222">
        <v>4</v>
      </c>
      <c r="F128" s="223" t="s">
        <v>5674</v>
      </c>
      <c r="G128" s="209" t="s">
        <v>18</v>
      </c>
      <c r="H128" s="216"/>
      <c r="I128" s="216"/>
      <c r="J128" s="202"/>
      <c r="K128" s="202"/>
      <c r="L128" s="202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</row>
    <row r="129" ht="63" customHeight="1" spans="1:27">
      <c r="A129" s="209" t="s">
        <v>5672</v>
      </c>
      <c r="B129" s="216"/>
      <c r="C129" s="222" t="s">
        <v>5727</v>
      </c>
      <c r="D129" s="222" t="s">
        <v>5728</v>
      </c>
      <c r="E129" s="222">
        <v>8</v>
      </c>
      <c r="F129" s="223" t="s">
        <v>5674</v>
      </c>
      <c r="G129" s="209" t="s">
        <v>18</v>
      </c>
      <c r="H129" s="216"/>
      <c r="I129" s="216"/>
      <c r="J129" s="202"/>
      <c r="K129" s="202"/>
      <c r="L129" s="202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</row>
    <row r="130" ht="51" customHeight="1" spans="1:27">
      <c r="A130" s="209" t="s">
        <v>5672</v>
      </c>
      <c r="B130" s="216"/>
      <c r="C130" s="222" t="s">
        <v>5729</v>
      </c>
      <c r="D130" s="222" t="s">
        <v>5730</v>
      </c>
      <c r="E130" s="222">
        <v>4</v>
      </c>
      <c r="F130" s="223" t="s">
        <v>5674</v>
      </c>
      <c r="G130" s="209" t="s">
        <v>18</v>
      </c>
      <c r="H130" s="216"/>
      <c r="I130" s="216"/>
      <c r="J130" s="202"/>
      <c r="K130" s="202"/>
      <c r="L130" s="202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</row>
    <row r="131" ht="23" customHeight="1" spans="1:27">
      <c r="A131" s="209" t="s">
        <v>5672</v>
      </c>
      <c r="B131" s="216"/>
      <c r="C131" s="222" t="s">
        <v>5731</v>
      </c>
      <c r="D131" s="222" t="s">
        <v>5732</v>
      </c>
      <c r="E131" s="222">
        <v>5</v>
      </c>
      <c r="F131" s="223" t="s">
        <v>5674</v>
      </c>
      <c r="G131" s="209" t="s">
        <v>18</v>
      </c>
      <c r="H131" s="216"/>
      <c r="I131" s="216"/>
      <c r="J131" s="202"/>
      <c r="K131" s="202"/>
      <c r="L131" s="202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</row>
    <row r="132" ht="23" customHeight="1" spans="1:27">
      <c r="A132" s="209" t="s">
        <v>5672</v>
      </c>
      <c r="B132" s="216"/>
      <c r="C132" s="222" t="s">
        <v>5733</v>
      </c>
      <c r="D132" s="222" t="s">
        <v>5734</v>
      </c>
      <c r="E132" s="222">
        <v>5</v>
      </c>
      <c r="F132" s="223" t="s">
        <v>5674</v>
      </c>
      <c r="G132" s="209" t="s">
        <v>18</v>
      </c>
      <c r="H132" s="216"/>
      <c r="I132" s="216"/>
      <c r="J132" s="202"/>
      <c r="K132" s="202"/>
      <c r="L132" s="202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</row>
    <row r="133" ht="43" customHeight="1" spans="1:27">
      <c r="A133" s="209" t="s">
        <v>5672</v>
      </c>
      <c r="B133" s="216"/>
      <c r="C133" s="222" t="s">
        <v>5735</v>
      </c>
      <c r="D133" s="222" t="s">
        <v>5736</v>
      </c>
      <c r="E133" s="222">
        <v>20</v>
      </c>
      <c r="F133" s="223" t="s">
        <v>5674</v>
      </c>
      <c r="G133" s="209" t="s">
        <v>18</v>
      </c>
      <c r="H133" s="216"/>
      <c r="I133" s="216"/>
      <c r="J133" s="202"/>
      <c r="K133" s="202"/>
      <c r="L133" s="202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</row>
    <row r="134" ht="38" customHeight="1" spans="1:27">
      <c r="A134" s="209" t="s">
        <v>5672</v>
      </c>
      <c r="B134" s="216"/>
      <c r="C134" s="222" t="s">
        <v>5737</v>
      </c>
      <c r="D134" s="222" t="s">
        <v>5738</v>
      </c>
      <c r="E134" s="222">
        <v>70</v>
      </c>
      <c r="F134" s="223" t="s">
        <v>5674</v>
      </c>
      <c r="G134" s="209" t="s">
        <v>18</v>
      </c>
      <c r="H134" s="216"/>
      <c r="I134" s="216"/>
      <c r="J134" s="202"/>
      <c r="K134" s="202"/>
      <c r="L134" s="202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</row>
    <row r="135" ht="38" customHeight="1" spans="1:27">
      <c r="A135" s="209" t="s">
        <v>5672</v>
      </c>
      <c r="B135" s="216"/>
      <c r="C135" s="222" t="s">
        <v>5614</v>
      </c>
      <c r="D135" s="222" t="s">
        <v>5739</v>
      </c>
      <c r="E135" s="222">
        <v>20</v>
      </c>
      <c r="F135" s="223" t="s">
        <v>5674</v>
      </c>
      <c r="G135" s="209" t="s">
        <v>18</v>
      </c>
      <c r="H135" s="216"/>
      <c r="I135" s="216"/>
      <c r="J135" s="202"/>
      <c r="K135" s="202"/>
      <c r="L135" s="202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</row>
    <row r="136" ht="63" customHeight="1" spans="1:27">
      <c r="A136" s="209" t="s">
        <v>5672</v>
      </c>
      <c r="B136" s="216"/>
      <c r="C136" s="222" t="s">
        <v>5740</v>
      </c>
      <c r="D136" s="222" t="s">
        <v>5741</v>
      </c>
      <c r="E136" s="222">
        <v>20</v>
      </c>
      <c r="F136" s="223" t="s">
        <v>5674</v>
      </c>
      <c r="G136" s="209" t="s">
        <v>18</v>
      </c>
      <c r="H136" s="216"/>
      <c r="I136" s="216"/>
      <c r="J136" s="202"/>
      <c r="K136" s="202"/>
      <c r="L136" s="202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</row>
    <row r="137" ht="38" customHeight="1" spans="1:27">
      <c r="A137" s="209" t="s">
        <v>5672</v>
      </c>
      <c r="B137" s="216"/>
      <c r="C137" s="222" t="s">
        <v>5742</v>
      </c>
      <c r="D137" s="222" t="s">
        <v>5743</v>
      </c>
      <c r="E137" s="222">
        <v>20</v>
      </c>
      <c r="F137" s="223" t="s">
        <v>5674</v>
      </c>
      <c r="G137" s="209" t="s">
        <v>18</v>
      </c>
      <c r="H137" s="216"/>
      <c r="I137" s="216"/>
      <c r="J137" s="202"/>
      <c r="K137" s="202"/>
      <c r="L137" s="202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</row>
    <row r="138" ht="63" customHeight="1" spans="1:27">
      <c r="A138" s="209" t="s">
        <v>5672</v>
      </c>
      <c r="B138" s="216"/>
      <c r="C138" s="222" t="s">
        <v>5744</v>
      </c>
      <c r="D138" s="222" t="s">
        <v>5745</v>
      </c>
      <c r="E138" s="222">
        <v>20</v>
      </c>
      <c r="F138" s="223" t="s">
        <v>5674</v>
      </c>
      <c r="G138" s="209" t="s">
        <v>18</v>
      </c>
      <c r="H138" s="216"/>
      <c r="I138" s="216"/>
      <c r="J138" s="202"/>
      <c r="K138" s="202"/>
      <c r="L138" s="202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</row>
    <row r="139" ht="52" customHeight="1" spans="1:27">
      <c r="A139" s="209" t="s">
        <v>5672</v>
      </c>
      <c r="B139" s="216"/>
      <c r="C139" s="222" t="s">
        <v>5746</v>
      </c>
      <c r="D139" s="222" t="s">
        <v>5747</v>
      </c>
      <c r="E139" s="222">
        <v>20</v>
      </c>
      <c r="F139" s="223" t="s">
        <v>5674</v>
      </c>
      <c r="G139" s="209" t="s">
        <v>18</v>
      </c>
      <c r="H139" s="216"/>
      <c r="I139" s="216"/>
      <c r="J139" s="202"/>
      <c r="K139" s="202"/>
      <c r="L139" s="202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</row>
    <row r="140" ht="67.5" customHeight="1" spans="1:27">
      <c r="A140" s="209" t="s">
        <v>5672</v>
      </c>
      <c r="B140" s="216"/>
      <c r="C140" s="222" t="s">
        <v>5612</v>
      </c>
      <c r="D140" s="222" t="s">
        <v>5748</v>
      </c>
      <c r="E140" s="222">
        <v>20</v>
      </c>
      <c r="F140" s="223" t="s">
        <v>5674</v>
      </c>
      <c r="G140" s="209" t="s">
        <v>18</v>
      </c>
      <c r="H140" s="216"/>
      <c r="I140" s="216"/>
      <c r="J140" s="202"/>
      <c r="K140" s="202"/>
      <c r="L140" s="202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</row>
    <row r="141" ht="58" customHeight="1" spans="1:27">
      <c r="A141" s="209" t="s">
        <v>5672</v>
      </c>
      <c r="B141" s="216"/>
      <c r="C141" s="222" t="s">
        <v>5749</v>
      </c>
      <c r="D141" s="222" t="s">
        <v>5750</v>
      </c>
      <c r="E141" s="222">
        <v>20</v>
      </c>
      <c r="F141" s="223" t="s">
        <v>5674</v>
      </c>
      <c r="G141" s="209" t="s">
        <v>18</v>
      </c>
      <c r="H141" s="216"/>
      <c r="I141" s="216"/>
      <c r="J141" s="202"/>
      <c r="K141" s="202"/>
      <c r="L141" s="202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</row>
    <row r="142" ht="58" customHeight="1" spans="1:27">
      <c r="A142" s="209" t="s">
        <v>5672</v>
      </c>
      <c r="B142" s="216"/>
      <c r="C142" s="222" t="s">
        <v>5624</v>
      </c>
      <c r="D142" s="222" t="s">
        <v>5751</v>
      </c>
      <c r="E142" s="222">
        <v>20</v>
      </c>
      <c r="F142" s="223" t="s">
        <v>5674</v>
      </c>
      <c r="G142" s="209" t="s">
        <v>18</v>
      </c>
      <c r="H142" s="216"/>
      <c r="I142" s="216"/>
      <c r="J142" s="202"/>
      <c r="K142" s="202"/>
      <c r="L142" s="202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</row>
    <row r="143" ht="43" customHeight="1" spans="1:27">
      <c r="A143" s="209" t="s">
        <v>5672</v>
      </c>
      <c r="B143" s="216"/>
      <c r="C143" s="222" t="s">
        <v>5752</v>
      </c>
      <c r="D143" s="222" t="s">
        <v>5753</v>
      </c>
      <c r="E143" s="222">
        <v>10</v>
      </c>
      <c r="F143" s="223" t="s">
        <v>5674</v>
      </c>
      <c r="G143" s="209" t="s">
        <v>18</v>
      </c>
      <c r="H143" s="216"/>
      <c r="I143" s="216"/>
      <c r="J143" s="202"/>
      <c r="K143" s="202"/>
      <c r="L143" s="202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</row>
    <row r="144" ht="58" customHeight="1" spans="1:27">
      <c r="A144" s="209" t="s">
        <v>5672</v>
      </c>
      <c r="B144" s="216"/>
      <c r="C144" s="222" t="s">
        <v>5754</v>
      </c>
      <c r="D144" s="222" t="s">
        <v>5755</v>
      </c>
      <c r="E144" s="222">
        <v>20</v>
      </c>
      <c r="F144" s="223" t="s">
        <v>5674</v>
      </c>
      <c r="G144" s="209" t="s">
        <v>18</v>
      </c>
      <c r="H144" s="216"/>
      <c r="I144" s="216"/>
      <c r="J144" s="202"/>
      <c r="K144" s="202"/>
      <c r="L144" s="202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</row>
    <row r="145" ht="63" customHeight="1" spans="1:27">
      <c r="A145" s="209" t="s">
        <v>5672</v>
      </c>
      <c r="B145" s="216"/>
      <c r="C145" s="222" t="s">
        <v>5756</v>
      </c>
      <c r="D145" s="222" t="s">
        <v>5757</v>
      </c>
      <c r="E145" s="222">
        <v>10</v>
      </c>
      <c r="F145" s="223" t="s">
        <v>5674</v>
      </c>
      <c r="G145" s="209" t="s">
        <v>18</v>
      </c>
      <c r="H145" s="216"/>
      <c r="I145" s="216"/>
      <c r="J145" s="202"/>
      <c r="K145" s="202"/>
      <c r="L145" s="202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</row>
    <row r="146" ht="63" customHeight="1" spans="1:27">
      <c r="A146" s="209" t="s">
        <v>5672</v>
      </c>
      <c r="B146" s="216"/>
      <c r="C146" s="222" t="s">
        <v>5758</v>
      </c>
      <c r="D146" s="222" t="s">
        <v>5759</v>
      </c>
      <c r="E146" s="222">
        <v>10</v>
      </c>
      <c r="F146" s="223" t="s">
        <v>5674</v>
      </c>
      <c r="G146" s="209" t="s">
        <v>18</v>
      </c>
      <c r="H146" s="216"/>
      <c r="I146" s="216"/>
      <c r="J146" s="202"/>
      <c r="K146" s="202"/>
      <c r="L146" s="202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</row>
    <row r="147" ht="63" customHeight="1" spans="1:27">
      <c r="A147" s="209" t="s">
        <v>5672</v>
      </c>
      <c r="B147" s="216"/>
      <c r="C147" s="222" t="s">
        <v>5760</v>
      </c>
      <c r="D147" s="222" t="s">
        <v>5761</v>
      </c>
      <c r="E147" s="222">
        <v>10</v>
      </c>
      <c r="F147" s="223" t="s">
        <v>5674</v>
      </c>
      <c r="G147" s="209" t="s">
        <v>18</v>
      </c>
      <c r="H147" s="216"/>
      <c r="I147" s="216"/>
      <c r="J147" s="202"/>
      <c r="K147" s="202"/>
      <c r="L147" s="202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</row>
    <row r="148" ht="23" customHeight="1" spans="1:27">
      <c r="A148" s="209" t="s">
        <v>5672</v>
      </c>
      <c r="B148" s="216"/>
      <c r="C148" s="222" t="s">
        <v>5762</v>
      </c>
      <c r="D148" s="222" t="s">
        <v>5763</v>
      </c>
      <c r="E148" s="222">
        <v>10</v>
      </c>
      <c r="F148" s="223" t="s">
        <v>5674</v>
      </c>
      <c r="G148" s="209" t="s">
        <v>18</v>
      </c>
      <c r="H148" s="216"/>
      <c r="I148" s="216"/>
      <c r="J148" s="202"/>
      <c r="K148" s="202"/>
      <c r="L148" s="202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</row>
    <row r="149" ht="51" customHeight="1" spans="1:27">
      <c r="A149" s="209" t="s">
        <v>5672</v>
      </c>
      <c r="B149" s="216"/>
      <c r="C149" s="222" t="s">
        <v>5764</v>
      </c>
      <c r="D149" s="222" t="s">
        <v>5765</v>
      </c>
      <c r="E149" s="222">
        <v>10</v>
      </c>
      <c r="F149" s="223" t="s">
        <v>5674</v>
      </c>
      <c r="G149" s="209" t="s">
        <v>18</v>
      </c>
      <c r="H149" s="216"/>
      <c r="I149" s="216"/>
      <c r="J149" s="202"/>
      <c r="K149" s="202"/>
      <c r="L149" s="202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</row>
    <row r="150" ht="63" customHeight="1" spans="1:27">
      <c r="A150" s="209" t="s">
        <v>5672</v>
      </c>
      <c r="B150" s="216"/>
      <c r="C150" s="222" t="s">
        <v>5766</v>
      </c>
      <c r="D150" s="222" t="s">
        <v>5767</v>
      </c>
      <c r="E150" s="222">
        <v>10</v>
      </c>
      <c r="F150" s="223" t="s">
        <v>5674</v>
      </c>
      <c r="G150" s="209" t="s">
        <v>18</v>
      </c>
      <c r="H150" s="216"/>
      <c r="I150" s="216"/>
      <c r="J150" s="202"/>
      <c r="K150" s="202"/>
      <c r="L150" s="202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</row>
    <row r="151" ht="51" customHeight="1" spans="1:27">
      <c r="A151" s="209" t="s">
        <v>5672</v>
      </c>
      <c r="B151" s="216"/>
      <c r="C151" s="222" t="s">
        <v>5768</v>
      </c>
      <c r="D151" s="222" t="s">
        <v>5769</v>
      </c>
      <c r="E151" s="222">
        <v>10</v>
      </c>
      <c r="F151" s="223" t="s">
        <v>5674</v>
      </c>
      <c r="G151" s="209" t="s">
        <v>18</v>
      </c>
      <c r="H151" s="216"/>
      <c r="I151" s="216"/>
      <c r="J151" s="202"/>
      <c r="K151" s="202"/>
      <c r="L151" s="202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</row>
    <row r="152" ht="38" customHeight="1" spans="1:27">
      <c r="A152" s="209" t="s">
        <v>5672</v>
      </c>
      <c r="B152" s="216"/>
      <c r="C152" s="222" t="s">
        <v>5770</v>
      </c>
      <c r="D152" s="222" t="s">
        <v>5771</v>
      </c>
      <c r="E152" s="222">
        <v>10</v>
      </c>
      <c r="F152" s="223" t="s">
        <v>5674</v>
      </c>
      <c r="G152" s="209" t="s">
        <v>18</v>
      </c>
      <c r="H152" s="216"/>
      <c r="I152" s="216"/>
      <c r="J152" s="202"/>
      <c r="K152" s="202"/>
      <c r="L152" s="202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</row>
    <row r="153" ht="38" customHeight="1" spans="1:27">
      <c r="A153" s="209" t="s">
        <v>5672</v>
      </c>
      <c r="B153" s="216"/>
      <c r="C153" s="222" t="s">
        <v>5772</v>
      </c>
      <c r="D153" s="222" t="s">
        <v>5773</v>
      </c>
      <c r="E153" s="222">
        <v>10</v>
      </c>
      <c r="F153" s="223" t="s">
        <v>5674</v>
      </c>
      <c r="G153" s="209" t="s">
        <v>18</v>
      </c>
      <c r="H153" s="216"/>
      <c r="I153" s="216"/>
      <c r="J153" s="202"/>
      <c r="K153" s="202"/>
      <c r="L153" s="202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</row>
    <row r="154" ht="51" customHeight="1" spans="1:27">
      <c r="A154" s="209" t="s">
        <v>5672</v>
      </c>
      <c r="B154" s="216"/>
      <c r="C154" s="222" t="s">
        <v>5774</v>
      </c>
      <c r="D154" s="222" t="s">
        <v>5775</v>
      </c>
      <c r="E154" s="222">
        <v>10</v>
      </c>
      <c r="F154" s="223" t="s">
        <v>5674</v>
      </c>
      <c r="G154" s="209" t="s">
        <v>18</v>
      </c>
      <c r="H154" s="216"/>
      <c r="I154" s="216"/>
      <c r="J154" s="202"/>
      <c r="K154" s="202"/>
      <c r="L154" s="202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</row>
    <row r="155" ht="63" customHeight="1" spans="1:27">
      <c r="A155" s="209" t="s">
        <v>5672</v>
      </c>
      <c r="B155" s="216"/>
      <c r="C155" s="222" t="s">
        <v>5776</v>
      </c>
      <c r="D155" s="222" t="s">
        <v>5777</v>
      </c>
      <c r="E155" s="222">
        <v>10</v>
      </c>
      <c r="F155" s="223" t="s">
        <v>5674</v>
      </c>
      <c r="G155" s="209" t="s">
        <v>18</v>
      </c>
      <c r="H155" s="216"/>
      <c r="I155" s="216"/>
      <c r="J155" s="202"/>
      <c r="K155" s="202"/>
      <c r="L155" s="202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</row>
    <row r="156" ht="52" customHeight="1" spans="1:27">
      <c r="A156" s="209" t="s">
        <v>5672</v>
      </c>
      <c r="B156" s="216"/>
      <c r="C156" s="222" t="s">
        <v>5616</v>
      </c>
      <c r="D156" s="222" t="s">
        <v>5778</v>
      </c>
      <c r="E156" s="222">
        <v>10</v>
      </c>
      <c r="F156" s="223" t="s">
        <v>5674</v>
      </c>
      <c r="G156" s="209" t="s">
        <v>18</v>
      </c>
      <c r="H156" s="216"/>
      <c r="I156" s="216"/>
      <c r="J156" s="202"/>
      <c r="K156" s="202"/>
      <c r="L156" s="202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</row>
    <row r="157" ht="38" customHeight="1" spans="1:27">
      <c r="A157" s="209" t="s">
        <v>5672</v>
      </c>
      <c r="B157" s="216"/>
      <c r="C157" s="222" t="s">
        <v>5614</v>
      </c>
      <c r="D157" s="222" t="s">
        <v>5739</v>
      </c>
      <c r="E157" s="222">
        <v>10</v>
      </c>
      <c r="F157" s="223" t="s">
        <v>5674</v>
      </c>
      <c r="G157" s="209" t="s">
        <v>18</v>
      </c>
      <c r="H157" s="216"/>
      <c r="I157" s="216"/>
      <c r="J157" s="202"/>
      <c r="K157" s="202"/>
      <c r="L157" s="202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</row>
    <row r="158" ht="23" customHeight="1" spans="1:27">
      <c r="A158" s="209" t="s">
        <v>5672</v>
      </c>
      <c r="B158" s="216"/>
      <c r="C158" s="222" t="s">
        <v>5779</v>
      </c>
      <c r="D158" s="222" t="s">
        <v>5780</v>
      </c>
      <c r="E158" s="222">
        <v>10</v>
      </c>
      <c r="F158" s="223" t="s">
        <v>5674</v>
      </c>
      <c r="G158" s="209" t="s">
        <v>18</v>
      </c>
      <c r="H158" s="216"/>
      <c r="I158" s="216"/>
      <c r="J158" s="202"/>
      <c r="K158" s="202"/>
      <c r="L158" s="202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</row>
    <row r="159" ht="51" customHeight="1" spans="1:27">
      <c r="A159" s="209" t="s">
        <v>5672</v>
      </c>
      <c r="B159" s="226"/>
      <c r="C159" s="222" t="s">
        <v>5781</v>
      </c>
      <c r="D159" s="222" t="s">
        <v>5782</v>
      </c>
      <c r="E159" s="222">
        <v>20</v>
      </c>
      <c r="F159" s="223" t="s">
        <v>5674</v>
      </c>
      <c r="G159" s="209" t="s">
        <v>18</v>
      </c>
      <c r="H159" s="226"/>
      <c r="I159" s="226"/>
      <c r="J159" s="202"/>
      <c r="K159" s="202"/>
      <c r="L159" s="202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</row>
    <row r="160" ht="15" spans="1:27">
      <c r="A160" s="223" t="s">
        <v>752</v>
      </c>
      <c r="B160" s="227" t="s">
        <v>2100</v>
      </c>
      <c r="C160" s="228">
        <v>22012900003431</v>
      </c>
      <c r="D160" s="223" t="s">
        <v>5783</v>
      </c>
      <c r="E160" s="223">
        <v>2</v>
      </c>
      <c r="F160" s="223" t="s">
        <v>2102</v>
      </c>
      <c r="G160" s="209" t="s">
        <v>18</v>
      </c>
      <c r="H160" s="229">
        <v>45722</v>
      </c>
      <c r="I160" s="209" t="s">
        <v>5784</v>
      </c>
      <c r="J160" s="202"/>
      <c r="K160" s="202"/>
      <c r="L160" s="202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</row>
    <row r="161" ht="15" spans="1:27">
      <c r="A161" s="223" t="s">
        <v>752</v>
      </c>
      <c r="B161" s="230"/>
      <c r="C161" s="228">
        <v>22012900003270</v>
      </c>
      <c r="D161" s="223" t="s">
        <v>5785</v>
      </c>
      <c r="E161" s="223">
        <v>2</v>
      </c>
      <c r="F161" s="231" t="s">
        <v>2102</v>
      </c>
      <c r="G161" s="209" t="s">
        <v>18</v>
      </c>
      <c r="H161" s="216"/>
      <c r="I161" s="209" t="s">
        <v>5786</v>
      </c>
      <c r="J161" s="202"/>
      <c r="K161" s="202"/>
      <c r="L161" s="202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</row>
    <row r="162" ht="23" customHeight="1" spans="1:27">
      <c r="A162" s="232" t="s">
        <v>5787</v>
      </c>
      <c r="B162" s="230"/>
      <c r="C162" s="209" t="s">
        <v>5788</v>
      </c>
      <c r="D162" s="209" t="s">
        <v>2418</v>
      </c>
      <c r="E162" s="232">
        <v>2</v>
      </c>
      <c r="F162" s="223" t="s">
        <v>2102</v>
      </c>
      <c r="G162" s="209" t="s">
        <v>18</v>
      </c>
      <c r="H162" s="216"/>
      <c r="I162" s="225" t="s">
        <v>5789</v>
      </c>
      <c r="J162" s="202"/>
      <c r="K162" s="202"/>
      <c r="L162" s="202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</row>
    <row r="163" ht="23" customHeight="1" spans="1:27">
      <c r="A163" s="232" t="s">
        <v>5787</v>
      </c>
      <c r="B163" s="230"/>
      <c r="C163" s="217" t="s">
        <v>5790</v>
      </c>
      <c r="D163" s="209" t="s">
        <v>2414</v>
      </c>
      <c r="E163" s="209">
        <v>3</v>
      </c>
      <c r="F163" s="223" t="s">
        <v>2102</v>
      </c>
      <c r="G163" s="209" t="s">
        <v>18</v>
      </c>
      <c r="H163" s="226"/>
      <c r="I163" s="226"/>
      <c r="J163" s="202"/>
      <c r="K163" s="202"/>
      <c r="L163" s="202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</row>
    <row r="164" ht="21" customHeight="1" spans="1:27">
      <c r="A164" s="223" t="s">
        <v>364</v>
      </c>
      <c r="B164" s="210" t="s">
        <v>4265</v>
      </c>
      <c r="C164" s="233" t="s">
        <v>5547</v>
      </c>
      <c r="D164" s="223" t="s">
        <v>5548</v>
      </c>
      <c r="E164" s="223">
        <v>5</v>
      </c>
      <c r="F164" s="223" t="s">
        <v>5791</v>
      </c>
      <c r="G164" s="209" t="s">
        <v>18</v>
      </c>
      <c r="H164" s="234">
        <v>45724</v>
      </c>
      <c r="I164" s="225" t="s">
        <v>5792</v>
      </c>
      <c r="J164" s="202"/>
      <c r="K164" s="202"/>
      <c r="L164" s="202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</row>
    <row r="165" ht="21" customHeight="1" spans="1:27">
      <c r="A165" s="223" t="s">
        <v>364</v>
      </c>
      <c r="B165" s="209"/>
      <c r="C165" s="233" t="s">
        <v>5793</v>
      </c>
      <c r="D165" s="223" t="s">
        <v>5794</v>
      </c>
      <c r="E165" s="223">
        <v>10</v>
      </c>
      <c r="F165" s="223" t="s">
        <v>5795</v>
      </c>
      <c r="G165" s="209" t="s">
        <v>18</v>
      </c>
      <c r="H165" s="216"/>
      <c r="I165" s="216"/>
      <c r="J165" s="202"/>
      <c r="K165" s="202"/>
      <c r="L165" s="202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</row>
    <row r="166" ht="21" customHeight="1" spans="1:27">
      <c r="A166" s="223" t="s">
        <v>364</v>
      </c>
      <c r="B166" s="209"/>
      <c r="C166" s="233" t="s">
        <v>5796</v>
      </c>
      <c r="D166" s="223" t="s">
        <v>5794</v>
      </c>
      <c r="E166" s="223">
        <v>8</v>
      </c>
      <c r="F166" s="223" t="s">
        <v>5795</v>
      </c>
      <c r="G166" s="209" t="s">
        <v>18</v>
      </c>
      <c r="H166" s="216"/>
      <c r="I166" s="216"/>
      <c r="J166" s="202"/>
      <c r="K166" s="202"/>
      <c r="L166" s="202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</row>
    <row r="167" ht="21" customHeight="1" spans="1:27">
      <c r="A167" s="223" t="s">
        <v>364</v>
      </c>
      <c r="B167" s="209"/>
      <c r="C167" s="233" t="s">
        <v>5693</v>
      </c>
      <c r="D167" s="223" t="s">
        <v>5613</v>
      </c>
      <c r="E167" s="223">
        <v>6</v>
      </c>
      <c r="F167" s="223" t="s">
        <v>5791</v>
      </c>
      <c r="G167" s="209" t="s">
        <v>18</v>
      </c>
      <c r="H167" s="216"/>
      <c r="I167" s="216"/>
      <c r="J167" s="202"/>
      <c r="K167" s="202"/>
      <c r="L167" s="202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</row>
    <row r="168" ht="21" customHeight="1" spans="1:27">
      <c r="A168" s="223" t="s">
        <v>364</v>
      </c>
      <c r="B168" s="209"/>
      <c r="C168" s="233" t="s">
        <v>5683</v>
      </c>
      <c r="D168" s="223" t="s">
        <v>5797</v>
      </c>
      <c r="E168" s="223">
        <v>6</v>
      </c>
      <c r="F168" s="223" t="s">
        <v>5791</v>
      </c>
      <c r="G168" s="209" t="s">
        <v>18</v>
      </c>
      <c r="H168" s="216"/>
      <c r="I168" s="226"/>
      <c r="J168" s="202"/>
      <c r="K168" s="202"/>
      <c r="L168" s="202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</row>
    <row r="169" ht="15" spans="1:27">
      <c r="A169" s="209" t="s">
        <v>309</v>
      </c>
      <c r="B169" s="209"/>
      <c r="C169" s="223" t="s">
        <v>5798</v>
      </c>
      <c r="D169" s="223" t="s">
        <v>5799</v>
      </c>
      <c r="E169" s="223">
        <v>1</v>
      </c>
      <c r="F169" s="223" t="s">
        <v>5800</v>
      </c>
      <c r="G169" s="209" t="s">
        <v>18</v>
      </c>
      <c r="H169" s="226"/>
      <c r="I169" s="209" t="s">
        <v>5801</v>
      </c>
      <c r="J169" s="202"/>
      <c r="K169" s="202"/>
      <c r="L169" s="202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</row>
    <row r="170" ht="23" customHeight="1" spans="1:27">
      <c r="A170" s="235" t="s">
        <v>5802</v>
      </c>
      <c r="B170" s="210" t="s">
        <v>4268</v>
      </c>
      <c r="C170" s="236" t="s">
        <v>5803</v>
      </c>
      <c r="D170" s="237" t="s">
        <v>5543</v>
      </c>
      <c r="E170" s="237">
        <v>1</v>
      </c>
      <c r="F170" s="206" t="s">
        <v>2127</v>
      </c>
      <c r="G170" s="209" t="s">
        <v>18</v>
      </c>
      <c r="H170" s="234">
        <v>45728</v>
      </c>
      <c r="I170" s="225" t="s">
        <v>5804</v>
      </c>
      <c r="J170" s="202"/>
      <c r="K170" s="202"/>
      <c r="L170" s="202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</row>
    <row r="171" ht="23" customHeight="1" spans="1:27">
      <c r="A171" s="235" t="s">
        <v>5805</v>
      </c>
      <c r="B171" s="209"/>
      <c r="C171" s="236" t="s">
        <v>5806</v>
      </c>
      <c r="D171" s="237" t="s">
        <v>5657</v>
      </c>
      <c r="E171" s="237">
        <v>2</v>
      </c>
      <c r="F171" s="206"/>
      <c r="G171" s="209" t="s">
        <v>18</v>
      </c>
      <c r="H171" s="216"/>
      <c r="I171" s="216"/>
      <c r="J171" s="202"/>
      <c r="K171" s="202"/>
      <c r="L171" s="202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</row>
    <row r="172" ht="23" customHeight="1" spans="1:27">
      <c r="A172" s="235" t="s">
        <v>5805</v>
      </c>
      <c r="B172" s="209"/>
      <c r="C172" s="236" t="s">
        <v>5807</v>
      </c>
      <c r="D172" s="237" t="s">
        <v>5582</v>
      </c>
      <c r="E172" s="237">
        <v>2</v>
      </c>
      <c r="F172" s="206"/>
      <c r="G172" s="209" t="s">
        <v>18</v>
      </c>
      <c r="H172" s="216"/>
      <c r="I172" s="226"/>
      <c r="J172" s="202"/>
      <c r="K172" s="202"/>
      <c r="L172" s="202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</row>
    <row r="173" ht="20" customHeight="1" spans="1:27">
      <c r="A173" s="235" t="s">
        <v>5808</v>
      </c>
      <c r="B173" s="209"/>
      <c r="C173" s="238" t="s">
        <v>5803</v>
      </c>
      <c r="D173" s="239" t="s">
        <v>5543</v>
      </c>
      <c r="E173" s="237">
        <v>1</v>
      </c>
      <c r="F173" s="206"/>
      <c r="G173" s="209" t="s">
        <v>18</v>
      </c>
      <c r="H173" s="216"/>
      <c r="I173" s="260" t="s">
        <v>5809</v>
      </c>
      <c r="J173" s="202"/>
      <c r="K173" s="202"/>
      <c r="L173" s="202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</row>
    <row r="174" ht="20" customHeight="1" spans="1:27">
      <c r="A174" s="235" t="s">
        <v>5810</v>
      </c>
      <c r="B174" s="209"/>
      <c r="C174" s="238" t="s">
        <v>5803</v>
      </c>
      <c r="D174" s="239" t="s">
        <v>5543</v>
      </c>
      <c r="E174" s="239">
        <v>1</v>
      </c>
      <c r="F174" s="206"/>
      <c r="G174" s="209" t="s">
        <v>18</v>
      </c>
      <c r="H174" s="216"/>
      <c r="I174" s="216"/>
      <c r="J174" s="202"/>
      <c r="K174" s="202"/>
      <c r="L174" s="202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</row>
    <row r="175" ht="20" customHeight="1" spans="1:27">
      <c r="A175" s="235" t="s">
        <v>5808</v>
      </c>
      <c r="B175" s="209"/>
      <c r="C175" s="238" t="s">
        <v>5542</v>
      </c>
      <c r="D175" s="239" t="s">
        <v>5543</v>
      </c>
      <c r="E175" s="239">
        <v>1</v>
      </c>
      <c r="F175" s="206"/>
      <c r="G175" s="209" t="s">
        <v>18</v>
      </c>
      <c r="H175" s="216"/>
      <c r="I175" s="216"/>
      <c r="J175" s="202"/>
      <c r="K175" s="202"/>
      <c r="L175" s="202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</row>
    <row r="176" ht="20" customHeight="1" spans="1:27">
      <c r="A176" s="235" t="s">
        <v>5811</v>
      </c>
      <c r="B176" s="209"/>
      <c r="C176" s="238" t="s">
        <v>5803</v>
      </c>
      <c r="D176" s="239" t="s">
        <v>5543</v>
      </c>
      <c r="E176" s="239">
        <v>1</v>
      </c>
      <c r="F176" s="206"/>
      <c r="G176" s="209" t="s">
        <v>18</v>
      </c>
      <c r="H176" s="226"/>
      <c r="I176" s="226"/>
      <c r="J176" s="202"/>
      <c r="K176" s="202"/>
      <c r="L176" s="202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</row>
    <row r="177" ht="15" spans="1:27">
      <c r="A177" s="240" t="s">
        <v>309</v>
      </c>
      <c r="B177" s="241" t="s">
        <v>4331</v>
      </c>
      <c r="C177" s="242" t="s">
        <v>5812</v>
      </c>
      <c r="D177" s="243" t="s">
        <v>5813</v>
      </c>
      <c r="E177" s="240">
        <v>420</v>
      </c>
      <c r="F177" s="244" t="s">
        <v>2131</v>
      </c>
      <c r="G177" s="240" t="s">
        <v>18</v>
      </c>
      <c r="H177" s="245">
        <v>45737</v>
      </c>
      <c r="I177" s="244" t="s">
        <v>5814</v>
      </c>
      <c r="J177" s="202"/>
      <c r="K177" s="202"/>
      <c r="L177" s="202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</row>
    <row r="178" s="178" customFormat="1" ht="30" spans="1:27">
      <c r="A178" s="246" t="s">
        <v>5815</v>
      </c>
      <c r="B178" s="247" t="s">
        <v>5816</v>
      </c>
      <c r="C178" s="248" t="s">
        <v>5817</v>
      </c>
      <c r="D178" s="248" t="s">
        <v>5638</v>
      </c>
      <c r="E178" s="248">
        <v>50</v>
      </c>
      <c r="F178" s="249" t="s">
        <v>5818</v>
      </c>
      <c r="G178" s="240" t="s">
        <v>18</v>
      </c>
      <c r="H178" s="245">
        <v>45737</v>
      </c>
      <c r="I178" s="240" t="s">
        <v>321</v>
      </c>
      <c r="J178" s="261"/>
      <c r="K178" s="202"/>
      <c r="L178" s="202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</row>
    <row r="179" ht="15" spans="1:27">
      <c r="A179" s="250" t="s">
        <v>5819</v>
      </c>
      <c r="B179" s="251" t="s">
        <v>309</v>
      </c>
      <c r="C179" s="252">
        <v>16027000017650</v>
      </c>
      <c r="D179" s="252" t="s">
        <v>5820</v>
      </c>
      <c r="E179" s="253">
        <v>20</v>
      </c>
      <c r="F179" s="254" t="s">
        <v>5821</v>
      </c>
      <c r="G179" s="255" t="s">
        <v>18</v>
      </c>
      <c r="H179" s="251" t="s">
        <v>5822</v>
      </c>
      <c r="I179" s="251" t="s">
        <v>5823</v>
      </c>
      <c r="J179" s="261"/>
      <c r="K179" s="202"/>
      <c r="L179" s="202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</row>
    <row r="180" ht="15" spans="1:27">
      <c r="A180" s="250" t="s">
        <v>5819</v>
      </c>
      <c r="B180" s="190"/>
      <c r="C180" s="252" t="s">
        <v>5824</v>
      </c>
      <c r="D180" s="252" t="s">
        <v>5825</v>
      </c>
      <c r="E180" s="253">
        <v>20</v>
      </c>
      <c r="F180" s="254" t="s">
        <v>5821</v>
      </c>
      <c r="G180" s="255" t="s">
        <v>18</v>
      </c>
      <c r="H180" s="190"/>
      <c r="I180" s="190"/>
      <c r="J180" s="261"/>
      <c r="K180" s="202"/>
      <c r="L180" s="202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</row>
    <row r="181" ht="15" spans="1:27">
      <c r="A181" s="250" t="s">
        <v>5819</v>
      </c>
      <c r="B181" s="192"/>
      <c r="C181" s="252" t="s">
        <v>5826</v>
      </c>
      <c r="D181" s="252" t="s">
        <v>5827</v>
      </c>
      <c r="E181" s="253">
        <v>20</v>
      </c>
      <c r="F181" s="254" t="s">
        <v>5821</v>
      </c>
      <c r="G181" s="255" t="s">
        <v>18</v>
      </c>
      <c r="H181" s="190"/>
      <c r="I181" s="190"/>
      <c r="J181" s="261"/>
      <c r="K181" s="202"/>
      <c r="L181" s="202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</row>
    <row r="182" s="178" customFormat="1" ht="15" spans="1:27">
      <c r="A182" s="246" t="s">
        <v>5815</v>
      </c>
      <c r="B182" s="250" t="s">
        <v>4459</v>
      </c>
      <c r="C182" s="248" t="s">
        <v>5817</v>
      </c>
      <c r="D182" s="248" t="s">
        <v>5638</v>
      </c>
      <c r="E182" s="248">
        <v>50</v>
      </c>
      <c r="F182" s="248" t="s">
        <v>5828</v>
      </c>
      <c r="G182" s="240" t="s">
        <v>18</v>
      </c>
      <c r="H182" s="245">
        <v>45757</v>
      </c>
      <c r="I182" s="240" t="s">
        <v>321</v>
      </c>
      <c r="J182" s="261"/>
      <c r="K182" s="202"/>
      <c r="L182" s="202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</row>
    <row r="183" ht="20" customHeight="1" spans="1:27">
      <c r="A183" s="248" t="s">
        <v>5829</v>
      </c>
      <c r="B183" s="256" t="s">
        <v>4524</v>
      </c>
      <c r="C183" s="257" t="s">
        <v>5830</v>
      </c>
      <c r="D183" s="257" t="s">
        <v>5831</v>
      </c>
      <c r="E183" s="240">
        <v>6</v>
      </c>
      <c r="F183" s="240" t="s">
        <v>2251</v>
      </c>
      <c r="G183" s="240" t="s">
        <v>18</v>
      </c>
      <c r="H183" s="195">
        <v>45765</v>
      </c>
      <c r="I183" s="262" t="s">
        <v>5832</v>
      </c>
      <c r="J183" s="202"/>
      <c r="K183" s="202"/>
      <c r="L183" s="202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</row>
    <row r="184" ht="20" customHeight="1" spans="1:27">
      <c r="A184" s="248" t="s">
        <v>5829</v>
      </c>
      <c r="B184" s="258"/>
      <c r="C184" s="257" t="s">
        <v>5833</v>
      </c>
      <c r="D184" s="257" t="s">
        <v>5834</v>
      </c>
      <c r="E184" s="240">
        <v>2</v>
      </c>
      <c r="F184" s="240" t="s">
        <v>2251</v>
      </c>
      <c r="G184" s="240" t="s">
        <v>18</v>
      </c>
      <c r="H184" s="216"/>
      <c r="I184" s="216"/>
      <c r="J184" s="202"/>
      <c r="K184" s="202"/>
      <c r="L184" s="202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</row>
    <row r="185" ht="20" customHeight="1" spans="1:27">
      <c r="A185" s="248" t="s">
        <v>5829</v>
      </c>
      <c r="B185" s="258"/>
      <c r="C185" s="257" t="s">
        <v>5835</v>
      </c>
      <c r="D185" s="257" t="s">
        <v>5836</v>
      </c>
      <c r="E185" s="240">
        <v>2</v>
      </c>
      <c r="F185" s="240" t="s">
        <v>2251</v>
      </c>
      <c r="G185" s="240" t="s">
        <v>18</v>
      </c>
      <c r="H185" s="216"/>
      <c r="I185" s="216"/>
      <c r="J185" s="202"/>
      <c r="K185" s="202"/>
      <c r="L185" s="202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</row>
    <row r="186" ht="20" customHeight="1" spans="1:27">
      <c r="A186" s="248" t="s">
        <v>5829</v>
      </c>
      <c r="B186" s="258"/>
      <c r="C186" s="257" t="s">
        <v>5556</v>
      </c>
      <c r="D186" s="257" t="s">
        <v>5552</v>
      </c>
      <c r="E186" s="240">
        <v>3</v>
      </c>
      <c r="F186" s="240" t="s">
        <v>2251</v>
      </c>
      <c r="G186" s="240" t="s">
        <v>18</v>
      </c>
      <c r="H186" s="216"/>
      <c r="I186" s="216"/>
      <c r="J186" s="202"/>
      <c r="K186" s="202"/>
      <c r="L186" s="202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</row>
    <row r="187" ht="20" customHeight="1" spans="1:27">
      <c r="A187" s="248" t="s">
        <v>5829</v>
      </c>
      <c r="B187" s="258"/>
      <c r="C187" s="257" t="s">
        <v>5837</v>
      </c>
      <c r="D187" s="257" t="s">
        <v>5838</v>
      </c>
      <c r="E187" s="240">
        <v>5</v>
      </c>
      <c r="F187" s="240" t="s">
        <v>2251</v>
      </c>
      <c r="G187" s="240" t="s">
        <v>18</v>
      </c>
      <c r="H187" s="216"/>
      <c r="I187" s="216"/>
      <c r="J187" s="202"/>
      <c r="K187" s="202"/>
      <c r="L187" s="202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</row>
    <row r="188" ht="20" customHeight="1" spans="1:27">
      <c r="A188" s="259" t="s">
        <v>5829</v>
      </c>
      <c r="B188" s="258"/>
      <c r="C188" s="257" t="s">
        <v>5839</v>
      </c>
      <c r="D188" s="257" t="s">
        <v>5840</v>
      </c>
      <c r="E188" s="240">
        <v>3</v>
      </c>
      <c r="F188" s="240" t="s">
        <v>2251</v>
      </c>
      <c r="G188" s="240" t="s">
        <v>18</v>
      </c>
      <c r="H188" s="216"/>
      <c r="I188" s="216"/>
      <c r="J188" s="202"/>
      <c r="K188" s="202"/>
      <c r="L188" s="202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</row>
    <row r="189" ht="20" customHeight="1" spans="1:27">
      <c r="A189" s="248" t="s">
        <v>5829</v>
      </c>
      <c r="B189" s="258"/>
      <c r="C189" s="257" t="s">
        <v>5841</v>
      </c>
      <c r="D189" s="257" t="s">
        <v>5842</v>
      </c>
      <c r="E189" s="240">
        <v>5</v>
      </c>
      <c r="F189" s="240" t="s">
        <v>2251</v>
      </c>
      <c r="G189" s="240" t="s">
        <v>18</v>
      </c>
      <c r="H189" s="216"/>
      <c r="I189" s="216"/>
      <c r="J189" s="202"/>
      <c r="K189" s="202"/>
      <c r="L189" s="202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</row>
    <row r="190" ht="20" customHeight="1" spans="1:27">
      <c r="A190" s="248" t="s">
        <v>5829</v>
      </c>
      <c r="B190" s="258"/>
      <c r="C190" s="257" t="s">
        <v>5843</v>
      </c>
      <c r="D190" s="257" t="s">
        <v>5659</v>
      </c>
      <c r="E190" s="240">
        <v>5</v>
      </c>
      <c r="F190" s="240" t="s">
        <v>2251</v>
      </c>
      <c r="G190" s="240" t="s">
        <v>18</v>
      </c>
      <c r="H190" s="216"/>
      <c r="I190" s="216"/>
      <c r="J190" s="202"/>
      <c r="K190" s="202"/>
      <c r="L190" s="202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</row>
    <row r="191" ht="20" customHeight="1" spans="1:27">
      <c r="A191" s="248" t="s">
        <v>5829</v>
      </c>
      <c r="B191" s="258"/>
      <c r="C191" s="257" t="s">
        <v>5844</v>
      </c>
      <c r="D191" s="257" t="s">
        <v>5845</v>
      </c>
      <c r="E191" s="240">
        <v>3</v>
      </c>
      <c r="F191" s="240" t="s">
        <v>2251</v>
      </c>
      <c r="G191" s="240" t="s">
        <v>18</v>
      </c>
      <c r="H191" s="216"/>
      <c r="I191" s="216"/>
      <c r="J191" s="202"/>
      <c r="K191" s="202"/>
      <c r="L191" s="202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</row>
    <row r="192" ht="20" customHeight="1" spans="1:27">
      <c r="A192" s="248" t="s">
        <v>5829</v>
      </c>
      <c r="B192" s="258"/>
      <c r="C192" s="257" t="s">
        <v>5846</v>
      </c>
      <c r="D192" s="257" t="s">
        <v>5847</v>
      </c>
      <c r="E192" s="240">
        <v>3</v>
      </c>
      <c r="F192" s="240" t="s">
        <v>2251</v>
      </c>
      <c r="G192" s="240" t="s">
        <v>18</v>
      </c>
      <c r="H192" s="216"/>
      <c r="I192" s="216"/>
      <c r="J192" s="202"/>
      <c r="K192" s="202"/>
      <c r="L192" s="202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</row>
    <row r="193" ht="20" customHeight="1" spans="1:27">
      <c r="A193" s="248" t="s">
        <v>5829</v>
      </c>
      <c r="B193" s="258"/>
      <c r="C193" s="257" t="s">
        <v>5848</v>
      </c>
      <c r="D193" s="257" t="s">
        <v>5845</v>
      </c>
      <c r="E193" s="240">
        <v>3</v>
      </c>
      <c r="F193" s="240" t="s">
        <v>2251</v>
      </c>
      <c r="G193" s="240" t="s">
        <v>18</v>
      </c>
      <c r="H193" s="216"/>
      <c r="I193" s="216"/>
      <c r="J193" s="202"/>
      <c r="K193" s="202"/>
      <c r="L193" s="202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</row>
    <row r="194" ht="20" customHeight="1" spans="1:27">
      <c r="A194" s="248" t="s">
        <v>5829</v>
      </c>
      <c r="B194" s="258"/>
      <c r="C194" s="257" t="s">
        <v>5849</v>
      </c>
      <c r="D194" s="257" t="s">
        <v>5646</v>
      </c>
      <c r="E194" s="240">
        <v>8</v>
      </c>
      <c r="F194" s="240" t="s">
        <v>2251</v>
      </c>
      <c r="G194" s="240" t="s">
        <v>18</v>
      </c>
      <c r="H194" s="216"/>
      <c r="I194" s="216"/>
      <c r="J194" s="202"/>
      <c r="K194" s="202"/>
      <c r="L194" s="202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</row>
    <row r="195" ht="20" customHeight="1" spans="1:27">
      <c r="A195" s="248" t="s">
        <v>5829</v>
      </c>
      <c r="B195" s="258"/>
      <c r="C195" s="257" t="s">
        <v>5850</v>
      </c>
      <c r="D195" s="257" t="s">
        <v>5575</v>
      </c>
      <c r="E195" s="240">
        <v>10</v>
      </c>
      <c r="F195" s="240" t="s">
        <v>2251</v>
      </c>
      <c r="G195" s="240" t="s">
        <v>18</v>
      </c>
      <c r="H195" s="216"/>
      <c r="I195" s="216"/>
      <c r="J195" s="202"/>
      <c r="K195" s="202"/>
      <c r="L195" s="202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</row>
    <row r="196" ht="20" customHeight="1" spans="1:27">
      <c r="A196" s="248" t="s">
        <v>5829</v>
      </c>
      <c r="B196" s="258"/>
      <c r="C196" s="257" t="s">
        <v>5851</v>
      </c>
      <c r="D196" s="257" t="s">
        <v>5852</v>
      </c>
      <c r="E196" s="240">
        <v>10</v>
      </c>
      <c r="F196" s="240" t="s">
        <v>2251</v>
      </c>
      <c r="G196" s="240" t="s">
        <v>18</v>
      </c>
      <c r="H196" s="216"/>
      <c r="I196" s="216"/>
      <c r="J196" s="202"/>
      <c r="K196" s="202"/>
      <c r="L196" s="202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</row>
    <row r="197" ht="20" customHeight="1" spans="1:27">
      <c r="A197" s="248" t="s">
        <v>5829</v>
      </c>
      <c r="B197" s="258"/>
      <c r="C197" s="257" t="s">
        <v>5853</v>
      </c>
      <c r="D197" s="257" t="s">
        <v>5571</v>
      </c>
      <c r="E197" s="240">
        <v>10</v>
      </c>
      <c r="F197" s="240" t="s">
        <v>2251</v>
      </c>
      <c r="G197" s="240" t="s">
        <v>18</v>
      </c>
      <c r="H197" s="216"/>
      <c r="I197" s="216"/>
      <c r="J197" s="202"/>
      <c r="K197" s="202"/>
      <c r="L197" s="202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</row>
    <row r="198" ht="20" customHeight="1" spans="1:27">
      <c r="A198" s="248" t="s">
        <v>5829</v>
      </c>
      <c r="B198" s="258"/>
      <c r="C198" s="257" t="s">
        <v>5854</v>
      </c>
      <c r="D198" s="257" t="s">
        <v>5571</v>
      </c>
      <c r="E198" s="240">
        <v>10</v>
      </c>
      <c r="F198" s="240" t="s">
        <v>2251</v>
      </c>
      <c r="G198" s="240" t="s">
        <v>18</v>
      </c>
      <c r="H198" s="216"/>
      <c r="I198" s="216"/>
      <c r="J198" s="202"/>
      <c r="K198" s="202"/>
      <c r="L198" s="202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</row>
    <row r="199" ht="20" customHeight="1" spans="1:27">
      <c r="A199" s="248" t="s">
        <v>5829</v>
      </c>
      <c r="B199" s="258"/>
      <c r="C199" s="257" t="s">
        <v>5572</v>
      </c>
      <c r="D199" s="257" t="s">
        <v>5571</v>
      </c>
      <c r="E199" s="240">
        <v>10</v>
      </c>
      <c r="F199" s="240" t="s">
        <v>2251</v>
      </c>
      <c r="G199" s="240" t="s">
        <v>18</v>
      </c>
      <c r="H199" s="216"/>
      <c r="I199" s="216"/>
      <c r="J199" s="202"/>
      <c r="K199" s="202"/>
      <c r="L199" s="202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</row>
    <row r="200" ht="20" customHeight="1" spans="1:27">
      <c r="A200" s="248" t="s">
        <v>5829</v>
      </c>
      <c r="B200" s="258"/>
      <c r="C200" s="257" t="s">
        <v>5855</v>
      </c>
      <c r="D200" s="257" t="s">
        <v>5539</v>
      </c>
      <c r="E200" s="240">
        <v>10</v>
      </c>
      <c r="F200" s="240" t="s">
        <v>2251</v>
      </c>
      <c r="G200" s="240" t="s">
        <v>18</v>
      </c>
      <c r="H200" s="216"/>
      <c r="I200" s="216"/>
      <c r="J200" s="202"/>
      <c r="K200" s="202"/>
      <c r="L200" s="202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</row>
    <row r="201" ht="20" customHeight="1" spans="1:27">
      <c r="A201" s="248" t="s">
        <v>5829</v>
      </c>
      <c r="B201" s="258"/>
      <c r="C201" s="257" t="s">
        <v>5856</v>
      </c>
      <c r="D201" s="257" t="s">
        <v>5857</v>
      </c>
      <c r="E201" s="240">
        <v>8</v>
      </c>
      <c r="F201" s="240" t="s">
        <v>2251</v>
      </c>
      <c r="G201" s="240" t="s">
        <v>18</v>
      </c>
      <c r="H201" s="216"/>
      <c r="I201" s="216"/>
      <c r="J201" s="202"/>
      <c r="K201" s="202"/>
      <c r="L201" s="202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</row>
    <row r="202" ht="20" customHeight="1" spans="1:27">
      <c r="A202" s="248" t="s">
        <v>5829</v>
      </c>
      <c r="B202" s="258"/>
      <c r="C202" s="257" t="s">
        <v>5858</v>
      </c>
      <c r="D202" s="257" t="s">
        <v>5859</v>
      </c>
      <c r="E202" s="240">
        <v>5</v>
      </c>
      <c r="F202" s="240" t="s">
        <v>2251</v>
      </c>
      <c r="G202" s="240" t="s">
        <v>18</v>
      </c>
      <c r="H202" s="216"/>
      <c r="I202" s="216"/>
      <c r="J202" s="202"/>
      <c r="K202" s="202"/>
      <c r="L202" s="202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</row>
    <row r="203" ht="20" customHeight="1" spans="1:27">
      <c r="A203" s="248" t="s">
        <v>5829</v>
      </c>
      <c r="B203" s="258"/>
      <c r="C203" s="257" t="s">
        <v>5860</v>
      </c>
      <c r="D203" s="257" t="s">
        <v>5861</v>
      </c>
      <c r="E203" s="240">
        <v>3</v>
      </c>
      <c r="F203" s="240" t="s">
        <v>2251</v>
      </c>
      <c r="G203" s="240" t="s">
        <v>18</v>
      </c>
      <c r="H203" s="216"/>
      <c r="I203" s="216"/>
      <c r="J203" s="202"/>
      <c r="K203" s="202"/>
      <c r="L203" s="202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</row>
    <row r="204" ht="20" customHeight="1" spans="1:27">
      <c r="A204" s="248" t="s">
        <v>5829</v>
      </c>
      <c r="B204" s="258"/>
      <c r="C204" s="263" t="s">
        <v>5862</v>
      </c>
      <c r="D204" s="263" t="s">
        <v>5659</v>
      </c>
      <c r="E204" s="240">
        <v>1</v>
      </c>
      <c r="F204" s="240" t="s">
        <v>2251</v>
      </c>
      <c r="G204" s="240" t="s">
        <v>18</v>
      </c>
      <c r="H204" s="216"/>
      <c r="I204" s="216"/>
      <c r="J204" s="202"/>
      <c r="K204" s="202"/>
      <c r="L204" s="202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</row>
    <row r="205" ht="20" customHeight="1" spans="1:27">
      <c r="A205" s="248" t="s">
        <v>5829</v>
      </c>
      <c r="B205" s="258"/>
      <c r="C205" s="263" t="s">
        <v>5863</v>
      </c>
      <c r="D205" s="263" t="s">
        <v>5864</v>
      </c>
      <c r="E205" s="240">
        <v>1</v>
      </c>
      <c r="F205" s="240" t="s">
        <v>2251</v>
      </c>
      <c r="G205" s="240" t="s">
        <v>18</v>
      </c>
      <c r="H205" s="216"/>
      <c r="I205" s="216"/>
      <c r="J205" s="202"/>
      <c r="K205" s="202"/>
      <c r="L205" s="202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</row>
    <row r="206" ht="20" customHeight="1" spans="1:27">
      <c r="A206" s="248" t="s">
        <v>5829</v>
      </c>
      <c r="B206" s="258"/>
      <c r="C206" s="263" t="s">
        <v>5865</v>
      </c>
      <c r="D206" s="263" t="s">
        <v>5866</v>
      </c>
      <c r="E206" s="240">
        <v>1</v>
      </c>
      <c r="F206" s="240" t="s">
        <v>2251</v>
      </c>
      <c r="G206" s="240" t="s">
        <v>18</v>
      </c>
      <c r="H206" s="216"/>
      <c r="I206" s="216"/>
      <c r="J206" s="202"/>
      <c r="K206" s="202"/>
      <c r="L206" s="202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</row>
    <row r="207" ht="20" customHeight="1" spans="1:27">
      <c r="A207" s="248" t="s">
        <v>5829</v>
      </c>
      <c r="B207" s="258"/>
      <c r="C207" s="263" t="s">
        <v>5867</v>
      </c>
      <c r="D207" s="263" t="s">
        <v>5571</v>
      </c>
      <c r="E207" s="240">
        <v>1</v>
      </c>
      <c r="F207" s="240" t="s">
        <v>2251</v>
      </c>
      <c r="G207" s="240" t="s">
        <v>18</v>
      </c>
      <c r="H207" s="216"/>
      <c r="I207" s="216"/>
      <c r="J207" s="202"/>
      <c r="K207" s="202"/>
      <c r="L207" s="202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</row>
    <row r="208" ht="20" customHeight="1" spans="1:27">
      <c r="A208" s="248" t="s">
        <v>5829</v>
      </c>
      <c r="B208" s="258"/>
      <c r="C208" s="263" t="s">
        <v>5855</v>
      </c>
      <c r="D208" s="263" t="s">
        <v>5539</v>
      </c>
      <c r="E208" s="240">
        <v>1</v>
      </c>
      <c r="F208" s="240" t="s">
        <v>2251</v>
      </c>
      <c r="G208" s="240" t="s">
        <v>18</v>
      </c>
      <c r="H208" s="216"/>
      <c r="I208" s="216"/>
      <c r="J208" s="202"/>
      <c r="K208" s="202"/>
      <c r="L208" s="202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</row>
    <row r="209" ht="20" customHeight="1" spans="1:27">
      <c r="A209" s="248" t="s">
        <v>5829</v>
      </c>
      <c r="B209" s="258"/>
      <c r="C209" s="263" t="s">
        <v>5868</v>
      </c>
      <c r="D209" s="263" t="s">
        <v>5575</v>
      </c>
      <c r="E209" s="240">
        <v>1</v>
      </c>
      <c r="F209" s="240" t="s">
        <v>2251</v>
      </c>
      <c r="G209" s="240" t="s">
        <v>18</v>
      </c>
      <c r="H209" s="216"/>
      <c r="I209" s="216"/>
      <c r="J209" s="202"/>
      <c r="K209" s="202"/>
      <c r="L209" s="202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</row>
    <row r="210" ht="20" customHeight="1" spans="1:27">
      <c r="A210" s="248" t="s">
        <v>5829</v>
      </c>
      <c r="B210" s="258"/>
      <c r="C210" s="263" t="s">
        <v>5869</v>
      </c>
      <c r="D210" s="263" t="s">
        <v>5659</v>
      </c>
      <c r="E210" s="240">
        <v>1</v>
      </c>
      <c r="F210" s="240" t="s">
        <v>2251</v>
      </c>
      <c r="G210" s="240" t="s">
        <v>18</v>
      </c>
      <c r="H210" s="216"/>
      <c r="I210" s="216"/>
      <c r="J210" s="202"/>
      <c r="K210" s="202"/>
      <c r="L210" s="202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</row>
    <row r="211" ht="20" customHeight="1" spans="1:27">
      <c r="A211" s="248" t="s">
        <v>5829</v>
      </c>
      <c r="B211" s="258"/>
      <c r="C211" s="263" t="s">
        <v>5870</v>
      </c>
      <c r="D211" s="263" t="s">
        <v>5866</v>
      </c>
      <c r="E211" s="240">
        <v>1</v>
      </c>
      <c r="F211" s="240" t="s">
        <v>2251</v>
      </c>
      <c r="G211" s="240" t="s">
        <v>18</v>
      </c>
      <c r="H211" s="216"/>
      <c r="I211" s="216"/>
      <c r="J211" s="202"/>
      <c r="K211" s="202"/>
      <c r="L211" s="202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</row>
    <row r="212" ht="20" customHeight="1" spans="1:27">
      <c r="A212" s="248" t="s">
        <v>5829</v>
      </c>
      <c r="B212" s="258"/>
      <c r="C212" s="263" t="s">
        <v>5871</v>
      </c>
      <c r="D212" s="263" t="s">
        <v>5872</v>
      </c>
      <c r="E212" s="240">
        <v>1</v>
      </c>
      <c r="F212" s="240" t="s">
        <v>2251</v>
      </c>
      <c r="G212" s="240" t="s">
        <v>18</v>
      </c>
      <c r="H212" s="216"/>
      <c r="I212" s="216"/>
      <c r="J212" s="202"/>
      <c r="K212" s="202"/>
      <c r="L212" s="202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  <c r="AA212" s="203"/>
    </row>
    <row r="213" ht="20" customHeight="1" spans="1:27">
      <c r="A213" s="248" t="s">
        <v>5829</v>
      </c>
      <c r="B213" s="258"/>
      <c r="C213" s="263" t="s">
        <v>5873</v>
      </c>
      <c r="D213" s="263" t="s">
        <v>5864</v>
      </c>
      <c r="E213" s="240">
        <v>1</v>
      </c>
      <c r="F213" s="240" t="s">
        <v>2251</v>
      </c>
      <c r="G213" s="240" t="s">
        <v>18</v>
      </c>
      <c r="H213" s="216"/>
      <c r="I213" s="216"/>
      <c r="J213" s="202"/>
      <c r="K213" s="202"/>
      <c r="L213" s="202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  <c r="AA213" s="203"/>
    </row>
    <row r="214" ht="20" customHeight="1" spans="1:27">
      <c r="A214" s="248" t="s">
        <v>5829</v>
      </c>
      <c r="B214" s="258"/>
      <c r="C214" s="263" t="s">
        <v>5874</v>
      </c>
      <c r="D214" s="263" t="s">
        <v>5575</v>
      </c>
      <c r="E214" s="240">
        <v>1</v>
      </c>
      <c r="F214" s="240" t="s">
        <v>2251</v>
      </c>
      <c r="G214" s="240" t="s">
        <v>18</v>
      </c>
      <c r="H214" s="216"/>
      <c r="I214" s="216"/>
      <c r="J214" s="202"/>
      <c r="K214" s="202"/>
      <c r="L214" s="202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  <c r="AA214" s="203"/>
    </row>
    <row r="215" ht="20" customHeight="1" spans="1:27">
      <c r="A215" s="248" t="s">
        <v>5829</v>
      </c>
      <c r="B215" s="258"/>
      <c r="C215" s="263" t="s">
        <v>5875</v>
      </c>
      <c r="D215" s="263" t="s">
        <v>5571</v>
      </c>
      <c r="E215" s="240">
        <v>1</v>
      </c>
      <c r="F215" s="240" t="s">
        <v>2251</v>
      </c>
      <c r="G215" s="240" t="s">
        <v>18</v>
      </c>
      <c r="H215" s="216"/>
      <c r="I215" s="216"/>
      <c r="J215" s="202"/>
      <c r="K215" s="202"/>
      <c r="L215" s="202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  <c r="AA215" s="203"/>
    </row>
    <row r="216" ht="20" customHeight="1" spans="1:27">
      <c r="A216" s="248" t="s">
        <v>5829</v>
      </c>
      <c r="B216" s="258"/>
      <c r="C216" s="263" t="s">
        <v>5876</v>
      </c>
      <c r="D216" s="263" t="s">
        <v>5539</v>
      </c>
      <c r="E216" s="240">
        <v>1</v>
      </c>
      <c r="F216" s="240" t="s">
        <v>2251</v>
      </c>
      <c r="G216" s="240" t="s">
        <v>18</v>
      </c>
      <c r="H216" s="216"/>
      <c r="I216" s="216"/>
      <c r="J216" s="202"/>
      <c r="K216" s="202"/>
      <c r="L216" s="202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  <c r="AA216" s="203"/>
    </row>
    <row r="217" ht="20" customHeight="1" spans="1:27">
      <c r="A217" s="248" t="s">
        <v>5829</v>
      </c>
      <c r="B217" s="258"/>
      <c r="C217" s="264">
        <v>12200101000533</v>
      </c>
      <c r="D217" s="265" t="s">
        <v>5877</v>
      </c>
      <c r="E217" s="240">
        <v>11</v>
      </c>
      <c r="F217" s="240" t="s">
        <v>2251</v>
      </c>
      <c r="G217" s="240" t="s">
        <v>18</v>
      </c>
      <c r="H217" s="216"/>
      <c r="I217" s="216"/>
      <c r="J217" s="202"/>
      <c r="K217" s="202"/>
      <c r="L217" s="202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  <c r="AA217" s="203"/>
    </row>
    <row r="218" ht="20" customHeight="1" spans="1:27">
      <c r="A218" s="248" t="s">
        <v>5829</v>
      </c>
      <c r="B218" s="258"/>
      <c r="C218" s="264">
        <v>11002015018873</v>
      </c>
      <c r="D218" s="265" t="s">
        <v>5552</v>
      </c>
      <c r="E218" s="240">
        <v>11</v>
      </c>
      <c r="F218" s="240" t="s">
        <v>2251</v>
      </c>
      <c r="G218" s="240" t="s">
        <v>18</v>
      </c>
      <c r="H218" s="216"/>
      <c r="I218" s="216"/>
      <c r="J218" s="202"/>
      <c r="K218" s="202"/>
      <c r="L218" s="202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  <c r="AA218" s="203"/>
    </row>
    <row r="219" ht="20" customHeight="1" spans="1:27">
      <c r="A219" s="248" t="s">
        <v>5829</v>
      </c>
      <c r="B219" s="258"/>
      <c r="C219" s="264">
        <v>15500213001346</v>
      </c>
      <c r="D219" s="266" t="s">
        <v>5878</v>
      </c>
      <c r="E219" s="240">
        <v>7</v>
      </c>
      <c r="F219" s="240" t="s">
        <v>2251</v>
      </c>
      <c r="G219" s="240" t="s">
        <v>18</v>
      </c>
      <c r="H219" s="216"/>
      <c r="I219" s="216"/>
      <c r="J219" s="202"/>
      <c r="K219" s="202"/>
      <c r="L219" s="202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  <c r="AA219" s="203"/>
    </row>
    <row r="220" ht="20" customHeight="1" spans="1:27">
      <c r="A220" s="248" t="s">
        <v>5829</v>
      </c>
      <c r="B220" s="258"/>
      <c r="C220" s="264">
        <v>11201007003438</v>
      </c>
      <c r="D220" s="266" t="s">
        <v>5539</v>
      </c>
      <c r="E220" s="240">
        <v>7</v>
      </c>
      <c r="F220" s="240" t="s">
        <v>2251</v>
      </c>
      <c r="G220" s="240" t="s">
        <v>18</v>
      </c>
      <c r="H220" s="216"/>
      <c r="I220" s="216"/>
      <c r="J220" s="202"/>
      <c r="K220" s="202"/>
      <c r="L220" s="202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  <c r="AA220" s="203"/>
    </row>
    <row r="221" ht="20" customHeight="1" spans="1:27">
      <c r="A221" s="248" t="s">
        <v>5829</v>
      </c>
      <c r="B221" s="258"/>
      <c r="C221" s="264">
        <v>11201007000164</v>
      </c>
      <c r="D221" s="266" t="s">
        <v>5571</v>
      </c>
      <c r="E221" s="240">
        <v>7</v>
      </c>
      <c r="F221" s="240" t="s">
        <v>2251</v>
      </c>
      <c r="G221" s="240" t="s">
        <v>18</v>
      </c>
      <c r="H221" s="216"/>
      <c r="I221" s="216"/>
      <c r="J221" s="202"/>
      <c r="K221" s="202"/>
      <c r="L221" s="202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  <c r="AA221" s="203"/>
    </row>
    <row r="222" ht="20" customHeight="1" spans="1:27">
      <c r="A222" s="248" t="s">
        <v>5829</v>
      </c>
      <c r="B222" s="258"/>
      <c r="C222" s="264">
        <v>11201007005723</v>
      </c>
      <c r="D222" s="266" t="s">
        <v>5571</v>
      </c>
      <c r="E222" s="240">
        <v>7</v>
      </c>
      <c r="F222" s="240" t="s">
        <v>2251</v>
      </c>
      <c r="G222" s="240" t="s">
        <v>18</v>
      </c>
      <c r="H222" s="216"/>
      <c r="I222" s="216"/>
      <c r="J222" s="202"/>
      <c r="K222" s="202"/>
      <c r="L222" s="202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  <c r="AA222" s="203"/>
    </row>
    <row r="223" ht="20" customHeight="1" spans="1:27">
      <c r="A223" s="248" t="s">
        <v>5829</v>
      </c>
      <c r="B223" s="258"/>
      <c r="C223" s="264">
        <v>11201007005724</v>
      </c>
      <c r="D223" s="265" t="s">
        <v>5571</v>
      </c>
      <c r="E223" s="240">
        <v>7</v>
      </c>
      <c r="F223" s="240" t="s">
        <v>2251</v>
      </c>
      <c r="G223" s="240" t="s">
        <v>18</v>
      </c>
      <c r="H223" s="216"/>
      <c r="I223" s="216"/>
      <c r="J223" s="202"/>
      <c r="K223" s="202"/>
      <c r="L223" s="202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  <c r="AA223" s="203"/>
    </row>
    <row r="224" ht="20" customHeight="1" spans="1:27">
      <c r="A224" s="248" t="s">
        <v>5829</v>
      </c>
      <c r="B224" s="258"/>
      <c r="C224" s="264">
        <v>17122300007693</v>
      </c>
      <c r="D224" s="267" t="s">
        <v>5543</v>
      </c>
      <c r="E224" s="240">
        <v>11</v>
      </c>
      <c r="F224" s="240" t="s">
        <v>2251</v>
      </c>
      <c r="G224" s="240" t="s">
        <v>18</v>
      </c>
      <c r="H224" s="216"/>
      <c r="I224" s="216"/>
      <c r="J224" s="202"/>
      <c r="K224" s="202"/>
      <c r="L224" s="202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  <c r="AA224" s="203"/>
    </row>
    <row r="225" ht="20" customHeight="1" spans="1:27">
      <c r="A225" s="248" t="s">
        <v>5829</v>
      </c>
      <c r="B225" s="258"/>
      <c r="C225" s="264">
        <v>17122300007694</v>
      </c>
      <c r="D225" s="267" t="s">
        <v>5879</v>
      </c>
      <c r="E225" s="240">
        <v>7</v>
      </c>
      <c r="F225" s="240" t="s">
        <v>2251</v>
      </c>
      <c r="G225" s="240" t="s">
        <v>18</v>
      </c>
      <c r="H225" s="216"/>
      <c r="I225" s="216"/>
      <c r="J225" s="202"/>
      <c r="K225" s="202"/>
      <c r="L225" s="202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  <c r="AA225" s="203"/>
    </row>
    <row r="226" ht="20" customHeight="1" spans="1:27">
      <c r="A226" s="248" t="s">
        <v>5829</v>
      </c>
      <c r="B226" s="258"/>
      <c r="C226" s="248" t="s">
        <v>5875</v>
      </c>
      <c r="D226" s="267" t="s">
        <v>5571</v>
      </c>
      <c r="E226" s="240">
        <v>7</v>
      </c>
      <c r="F226" s="240" t="s">
        <v>2251</v>
      </c>
      <c r="G226" s="240" t="s">
        <v>18</v>
      </c>
      <c r="H226" s="216"/>
      <c r="I226" s="216"/>
      <c r="J226" s="202"/>
      <c r="K226" s="202"/>
      <c r="L226" s="202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  <c r="AA226" s="203"/>
    </row>
    <row r="227" ht="20" customHeight="1" spans="1:27">
      <c r="A227" s="248" t="s">
        <v>5829</v>
      </c>
      <c r="B227" s="258"/>
      <c r="C227" s="248" t="s">
        <v>5880</v>
      </c>
      <c r="D227" s="267" t="s">
        <v>5571</v>
      </c>
      <c r="E227" s="240">
        <v>7</v>
      </c>
      <c r="F227" s="240" t="s">
        <v>2251</v>
      </c>
      <c r="G227" s="240" t="s">
        <v>18</v>
      </c>
      <c r="H227" s="216"/>
      <c r="I227" s="216"/>
      <c r="J227" s="202"/>
      <c r="K227" s="202"/>
      <c r="L227" s="202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</row>
    <row r="228" ht="20" customHeight="1" spans="1:27">
      <c r="A228" s="248" t="s">
        <v>5829</v>
      </c>
      <c r="B228" s="258"/>
      <c r="C228" s="248" t="s">
        <v>5881</v>
      </c>
      <c r="D228" s="267" t="s">
        <v>5831</v>
      </c>
      <c r="E228" s="240">
        <v>11</v>
      </c>
      <c r="F228" s="240" t="s">
        <v>2251</v>
      </c>
      <c r="G228" s="240" t="s">
        <v>18</v>
      </c>
      <c r="H228" s="216"/>
      <c r="I228" s="216"/>
      <c r="J228" s="202"/>
      <c r="K228" s="202"/>
      <c r="L228" s="202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  <c r="AA228" s="203"/>
    </row>
    <row r="229" ht="20" customHeight="1" spans="1:27">
      <c r="A229" s="248" t="s">
        <v>5829</v>
      </c>
      <c r="B229" s="258"/>
      <c r="C229" s="248" t="s">
        <v>5882</v>
      </c>
      <c r="D229" s="267" t="s">
        <v>5552</v>
      </c>
      <c r="E229" s="240">
        <v>11</v>
      </c>
      <c r="F229" s="240" t="s">
        <v>2251</v>
      </c>
      <c r="G229" s="240" t="s">
        <v>18</v>
      </c>
      <c r="H229" s="216"/>
      <c r="I229" s="216"/>
      <c r="J229" s="202"/>
      <c r="K229" s="202"/>
      <c r="L229" s="202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  <c r="AA229" s="203"/>
    </row>
    <row r="230" ht="20" customHeight="1" spans="1:27">
      <c r="A230" s="248" t="s">
        <v>5829</v>
      </c>
      <c r="B230" s="258"/>
      <c r="C230" s="248" t="s">
        <v>5876</v>
      </c>
      <c r="D230" s="267" t="s">
        <v>5539</v>
      </c>
      <c r="E230" s="240">
        <v>7</v>
      </c>
      <c r="F230" s="240" t="s">
        <v>2251</v>
      </c>
      <c r="G230" s="240" t="s">
        <v>18</v>
      </c>
      <c r="H230" s="216"/>
      <c r="I230" s="216"/>
      <c r="J230" s="202"/>
      <c r="K230" s="202"/>
      <c r="L230" s="202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  <c r="AA230" s="203"/>
    </row>
    <row r="231" ht="20" customHeight="1" spans="1:27">
      <c r="A231" s="248" t="s">
        <v>5829</v>
      </c>
      <c r="B231" s="258"/>
      <c r="C231" s="248" t="s">
        <v>5883</v>
      </c>
      <c r="D231" s="267" t="s">
        <v>5884</v>
      </c>
      <c r="E231" s="240">
        <v>7</v>
      </c>
      <c r="F231" s="240" t="s">
        <v>2251</v>
      </c>
      <c r="G231" s="240" t="s">
        <v>18</v>
      </c>
      <c r="H231" s="216"/>
      <c r="I231" s="216"/>
      <c r="J231" s="202"/>
      <c r="K231" s="202"/>
      <c r="L231" s="202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  <c r="AA231" s="203"/>
    </row>
    <row r="232" ht="20" customHeight="1" spans="1:27">
      <c r="A232" s="248" t="s">
        <v>5829</v>
      </c>
      <c r="B232" s="258"/>
      <c r="C232" s="268" t="s">
        <v>5885</v>
      </c>
      <c r="D232" s="267" t="s">
        <v>5886</v>
      </c>
      <c r="E232" s="240">
        <v>7</v>
      </c>
      <c r="F232" s="240" t="s">
        <v>2251</v>
      </c>
      <c r="G232" s="240" t="s">
        <v>18</v>
      </c>
      <c r="H232" s="216"/>
      <c r="I232" s="216"/>
      <c r="J232" s="202"/>
      <c r="K232" s="202"/>
      <c r="L232" s="202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  <c r="AA232" s="203"/>
    </row>
    <row r="233" ht="20" customHeight="1" spans="1:27">
      <c r="A233" s="248" t="s">
        <v>5829</v>
      </c>
      <c r="B233" s="258"/>
      <c r="C233" s="268" t="s">
        <v>5887</v>
      </c>
      <c r="D233" s="267" t="s">
        <v>5836</v>
      </c>
      <c r="E233" s="240">
        <v>7</v>
      </c>
      <c r="F233" s="240" t="s">
        <v>2251</v>
      </c>
      <c r="G233" s="240" t="s">
        <v>18</v>
      </c>
      <c r="H233" s="216"/>
      <c r="I233" s="216"/>
      <c r="J233" s="202"/>
      <c r="K233" s="202"/>
      <c r="L233" s="202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  <c r="AA233" s="203"/>
    </row>
    <row r="234" ht="20" customHeight="1" spans="1:27">
      <c r="A234" s="248" t="s">
        <v>5829</v>
      </c>
      <c r="B234" s="258"/>
      <c r="C234" s="268" t="s">
        <v>5888</v>
      </c>
      <c r="D234" s="267" t="s">
        <v>5878</v>
      </c>
      <c r="E234" s="240">
        <v>7</v>
      </c>
      <c r="F234" s="240" t="s">
        <v>2251</v>
      </c>
      <c r="G234" s="240" t="s">
        <v>18</v>
      </c>
      <c r="H234" s="216"/>
      <c r="I234" s="216"/>
      <c r="J234" s="202"/>
      <c r="K234" s="202"/>
      <c r="L234" s="202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  <c r="AA234" s="203"/>
    </row>
    <row r="235" ht="20" customHeight="1" spans="1:27">
      <c r="A235" s="248" t="s">
        <v>5829</v>
      </c>
      <c r="B235" s="258"/>
      <c r="C235" s="268" t="s">
        <v>5889</v>
      </c>
      <c r="D235" s="267" t="s">
        <v>5890</v>
      </c>
      <c r="E235" s="240">
        <v>4</v>
      </c>
      <c r="F235" s="240" t="s">
        <v>2251</v>
      </c>
      <c r="G235" s="240" t="s">
        <v>18</v>
      </c>
      <c r="H235" s="216"/>
      <c r="I235" s="216"/>
      <c r="J235" s="202"/>
      <c r="K235" s="202"/>
      <c r="L235" s="202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  <c r="AA235" s="203"/>
    </row>
    <row r="236" ht="20" customHeight="1" spans="1:27">
      <c r="A236" s="248" t="s">
        <v>5829</v>
      </c>
      <c r="B236" s="258"/>
      <c r="C236" s="268" t="s">
        <v>5891</v>
      </c>
      <c r="D236" s="267" t="s">
        <v>5836</v>
      </c>
      <c r="E236" s="240">
        <v>7</v>
      </c>
      <c r="F236" s="240" t="s">
        <v>2251</v>
      </c>
      <c r="G236" s="240" t="s">
        <v>18</v>
      </c>
      <c r="H236" s="216"/>
      <c r="I236" s="216"/>
      <c r="J236" s="202"/>
      <c r="K236" s="202"/>
      <c r="L236" s="202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  <c r="AA236" s="203"/>
    </row>
    <row r="237" ht="20" customHeight="1" spans="1:27">
      <c r="A237" s="248" t="s">
        <v>5829</v>
      </c>
      <c r="B237" s="258"/>
      <c r="C237" s="264" t="s">
        <v>5892</v>
      </c>
      <c r="D237" s="265" t="s">
        <v>5893</v>
      </c>
      <c r="E237" s="269">
        <v>10</v>
      </c>
      <c r="F237" s="240" t="s">
        <v>2251</v>
      </c>
      <c r="G237" s="240" t="s">
        <v>18</v>
      </c>
      <c r="H237" s="216"/>
      <c r="I237" s="216"/>
      <c r="J237" s="261"/>
      <c r="K237" s="202"/>
      <c r="L237" s="202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  <c r="AA237" s="203"/>
    </row>
    <row r="238" ht="20" customHeight="1" spans="1:27">
      <c r="A238" s="248" t="s">
        <v>5829</v>
      </c>
      <c r="B238" s="258"/>
      <c r="C238" s="264">
        <v>12110700000024</v>
      </c>
      <c r="D238" s="265" t="s">
        <v>5893</v>
      </c>
      <c r="E238" s="269">
        <v>20</v>
      </c>
      <c r="F238" s="240" t="s">
        <v>2251</v>
      </c>
      <c r="G238" s="240" t="s">
        <v>18</v>
      </c>
      <c r="H238" s="216"/>
      <c r="I238" s="226"/>
      <c r="J238" s="261"/>
      <c r="K238" s="202"/>
      <c r="L238" s="202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  <c r="AA238" s="203"/>
    </row>
    <row r="239" ht="15" spans="1:27">
      <c r="A239" s="270" t="s">
        <v>5894</v>
      </c>
      <c r="B239" s="258"/>
      <c r="C239" s="271" t="s">
        <v>5803</v>
      </c>
      <c r="D239" s="272" t="s">
        <v>5543</v>
      </c>
      <c r="E239" s="272">
        <v>1</v>
      </c>
      <c r="F239" s="240" t="s">
        <v>2251</v>
      </c>
      <c r="G239" s="240" t="s">
        <v>18</v>
      </c>
      <c r="H239" s="216"/>
      <c r="I239" s="244" t="s">
        <v>5895</v>
      </c>
      <c r="J239" s="261"/>
      <c r="K239" s="202"/>
      <c r="L239" s="202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  <c r="AA239" s="203"/>
    </row>
    <row r="240" ht="23" customHeight="1" spans="1:27">
      <c r="A240" s="270" t="s">
        <v>5896</v>
      </c>
      <c r="B240" s="258"/>
      <c r="C240" s="271" t="s">
        <v>5897</v>
      </c>
      <c r="D240" s="272" t="s">
        <v>5898</v>
      </c>
      <c r="E240" s="272">
        <v>1</v>
      </c>
      <c r="F240" s="240" t="s">
        <v>2251</v>
      </c>
      <c r="G240" s="240" t="s">
        <v>18</v>
      </c>
      <c r="H240" s="216"/>
      <c r="I240" s="246" t="s">
        <v>5899</v>
      </c>
      <c r="J240" s="261"/>
      <c r="K240" s="202"/>
      <c r="L240" s="202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  <c r="AA240" s="203"/>
    </row>
    <row r="241" ht="23" customHeight="1" spans="1:27">
      <c r="A241" s="273" t="s">
        <v>5900</v>
      </c>
      <c r="B241" s="274"/>
      <c r="C241" s="275">
        <v>17126000006190</v>
      </c>
      <c r="D241" s="276" t="s">
        <v>5543</v>
      </c>
      <c r="E241" s="276">
        <v>1</v>
      </c>
      <c r="F241" s="246" t="s">
        <v>2251</v>
      </c>
      <c r="G241" s="246" t="s">
        <v>18</v>
      </c>
      <c r="H241" s="216"/>
      <c r="I241" s="216"/>
      <c r="J241" s="261"/>
      <c r="K241" s="202"/>
      <c r="L241" s="202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  <c r="AA241" s="203"/>
    </row>
    <row r="242" ht="16.5" customHeight="1" spans="1:27">
      <c r="A242" s="277" t="s">
        <v>5901</v>
      </c>
      <c r="B242" s="250" t="s">
        <v>5902</v>
      </c>
      <c r="C242" s="278" t="s">
        <v>5695</v>
      </c>
      <c r="D242" s="277" t="s">
        <v>5903</v>
      </c>
      <c r="E242" s="277">
        <v>10</v>
      </c>
      <c r="F242" s="277" t="s">
        <v>5904</v>
      </c>
      <c r="G242" s="279" t="s">
        <v>18</v>
      </c>
      <c r="H242" s="280"/>
      <c r="I242" s="323" t="s">
        <v>5905</v>
      </c>
      <c r="J242" s="261"/>
      <c r="K242" s="202"/>
      <c r="L242" s="202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  <c r="AA242" s="203"/>
    </row>
    <row r="243" ht="16.5" customHeight="1" spans="1:27">
      <c r="A243" s="277" t="s">
        <v>5901</v>
      </c>
      <c r="B243" s="281"/>
      <c r="C243" s="278" t="s">
        <v>5678</v>
      </c>
      <c r="D243" s="235" t="s">
        <v>5797</v>
      </c>
      <c r="E243" s="277">
        <v>4</v>
      </c>
      <c r="F243" s="277" t="s">
        <v>5904</v>
      </c>
      <c r="G243" s="279" t="s">
        <v>18</v>
      </c>
      <c r="H243" s="192"/>
      <c r="I243" s="192"/>
      <c r="J243" s="261"/>
      <c r="K243" s="202"/>
      <c r="L243" s="202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  <c r="AA243" s="203"/>
    </row>
    <row r="244" ht="20" customHeight="1" spans="1:27">
      <c r="A244" s="282" t="s">
        <v>666</v>
      </c>
      <c r="B244" s="283" t="s">
        <v>4498</v>
      </c>
      <c r="C244" s="284" t="s">
        <v>5695</v>
      </c>
      <c r="D244" s="285" t="s">
        <v>5906</v>
      </c>
      <c r="E244" s="285">
        <v>10</v>
      </c>
      <c r="F244" s="286" t="s">
        <v>664</v>
      </c>
      <c r="G244" s="287" t="s">
        <v>18</v>
      </c>
      <c r="H244" s="288">
        <v>45762</v>
      </c>
      <c r="I244" s="324" t="s">
        <v>5907</v>
      </c>
      <c r="J244" s="261"/>
      <c r="K244" s="202"/>
      <c r="L244" s="202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  <c r="AA244" s="203"/>
    </row>
    <row r="245" ht="20" customHeight="1" spans="1:27">
      <c r="A245" s="240" t="s">
        <v>666</v>
      </c>
      <c r="B245" s="289"/>
      <c r="C245" s="266" t="s">
        <v>5908</v>
      </c>
      <c r="D245" s="290" t="s">
        <v>5797</v>
      </c>
      <c r="E245" s="248">
        <v>4</v>
      </c>
      <c r="F245" s="291" t="s">
        <v>664</v>
      </c>
      <c r="G245" s="240" t="s">
        <v>18</v>
      </c>
      <c r="H245" s="226"/>
      <c r="I245" s="226"/>
      <c r="J245" s="261"/>
      <c r="K245" s="202"/>
      <c r="L245" s="202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  <c r="AA245" s="203"/>
    </row>
    <row r="246" ht="15" spans="1:27">
      <c r="A246" s="292" t="s">
        <v>752</v>
      </c>
      <c r="B246" s="293" t="s">
        <v>4510</v>
      </c>
      <c r="C246" s="294">
        <v>22012900003270</v>
      </c>
      <c r="D246" s="293" t="s">
        <v>5785</v>
      </c>
      <c r="E246" s="293">
        <v>1</v>
      </c>
      <c r="F246" s="293" t="s">
        <v>5909</v>
      </c>
      <c r="G246" s="295" t="s">
        <v>39</v>
      </c>
      <c r="H246" s="296">
        <v>45763</v>
      </c>
      <c r="I246" s="296" t="s">
        <v>5910</v>
      </c>
      <c r="J246" s="261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  <c r="W246" s="325"/>
      <c r="X246" s="325"/>
      <c r="Y246" s="325"/>
      <c r="Z246" s="325"/>
      <c r="AA246" s="325"/>
    </row>
    <row r="247" ht="15" spans="1:27">
      <c r="A247" s="297" t="s">
        <v>5911</v>
      </c>
      <c r="B247" s="279" t="s">
        <v>4594</v>
      </c>
      <c r="C247" s="298" t="s">
        <v>5912</v>
      </c>
      <c r="D247" s="254" t="s">
        <v>5913</v>
      </c>
      <c r="E247" s="254">
        <v>10</v>
      </c>
      <c r="F247" s="254" t="s">
        <v>5914</v>
      </c>
      <c r="G247" s="279" t="s">
        <v>18</v>
      </c>
      <c r="H247" s="299">
        <v>45770</v>
      </c>
      <c r="I247" s="254" t="s">
        <v>5915</v>
      </c>
      <c r="J247" s="261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  <c r="Y247" s="325"/>
      <c r="Z247" s="325"/>
      <c r="AA247" s="325"/>
    </row>
    <row r="248" ht="15" spans="1:27">
      <c r="A248" s="292" t="s">
        <v>5666</v>
      </c>
      <c r="B248" s="300"/>
      <c r="C248" s="301" t="s">
        <v>5667</v>
      </c>
      <c r="D248" s="293" t="s">
        <v>5668</v>
      </c>
      <c r="E248" s="293">
        <v>12</v>
      </c>
      <c r="F248" s="293" t="s">
        <v>5916</v>
      </c>
      <c r="G248" s="251" t="s">
        <v>18</v>
      </c>
      <c r="H248" s="190"/>
      <c r="I248" s="251"/>
      <c r="J248" s="261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  <c r="W248" s="325"/>
      <c r="X248" s="325"/>
      <c r="Y248" s="325"/>
      <c r="Z248" s="325"/>
      <c r="AA248" s="325"/>
    </row>
    <row r="249" ht="20" customHeight="1" spans="1:27">
      <c r="A249" s="297" t="s">
        <v>5917</v>
      </c>
      <c r="B249" s="302" t="s">
        <v>4703</v>
      </c>
      <c r="C249" s="303">
        <v>17123000002212</v>
      </c>
      <c r="D249" s="254" t="s">
        <v>5918</v>
      </c>
      <c r="E249" s="255">
        <v>10</v>
      </c>
      <c r="F249" s="304" t="s">
        <v>5919</v>
      </c>
      <c r="G249" s="305" t="s">
        <v>18</v>
      </c>
      <c r="H249" s="280">
        <v>45779</v>
      </c>
      <c r="I249" s="304" t="s">
        <v>5832</v>
      </c>
      <c r="J249" s="326"/>
      <c r="K249" s="202"/>
      <c r="L249" s="202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  <c r="AA249" s="203"/>
    </row>
    <row r="250" ht="20" customHeight="1" spans="1:27">
      <c r="A250" s="297" t="s">
        <v>5917</v>
      </c>
      <c r="B250" s="306"/>
      <c r="C250" s="303">
        <v>17317000007594</v>
      </c>
      <c r="D250" s="307" t="s">
        <v>5648</v>
      </c>
      <c r="E250" s="255">
        <v>30</v>
      </c>
      <c r="F250" s="304" t="s">
        <v>5919</v>
      </c>
      <c r="G250" s="305" t="s">
        <v>18</v>
      </c>
      <c r="H250" s="190"/>
      <c r="I250" s="190"/>
      <c r="J250" s="326"/>
      <c r="K250" s="202"/>
      <c r="L250" s="202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</row>
    <row r="251" ht="20" customHeight="1" spans="1:27">
      <c r="A251" s="292" t="s">
        <v>5920</v>
      </c>
      <c r="B251" s="306"/>
      <c r="C251" s="308">
        <v>17122000020630</v>
      </c>
      <c r="D251" s="309" t="s">
        <v>5921</v>
      </c>
      <c r="E251" s="310">
        <v>1</v>
      </c>
      <c r="F251" s="302" t="s">
        <v>5919</v>
      </c>
      <c r="G251" s="279" t="s">
        <v>18</v>
      </c>
      <c r="H251" s="311"/>
      <c r="I251" s="190"/>
      <c r="J251" s="326"/>
      <c r="K251" s="202"/>
      <c r="L251" s="202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  <c r="AA251" s="203"/>
    </row>
    <row r="252" ht="20" customHeight="1" spans="1:27">
      <c r="A252" s="250" t="s">
        <v>5808</v>
      </c>
      <c r="B252" s="304" t="s">
        <v>4717</v>
      </c>
      <c r="C252" s="312" t="s">
        <v>5545</v>
      </c>
      <c r="D252" s="250" t="s">
        <v>5922</v>
      </c>
      <c r="E252" s="313">
        <v>1</v>
      </c>
      <c r="F252" s="314" t="s">
        <v>2302</v>
      </c>
      <c r="G252" s="279" t="s">
        <v>18</v>
      </c>
      <c r="H252" s="315">
        <v>45783</v>
      </c>
      <c r="I252" s="327" t="s">
        <v>5923</v>
      </c>
      <c r="J252" s="326"/>
      <c r="K252" s="202"/>
      <c r="L252" s="202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  <c r="AA252" s="203"/>
    </row>
    <row r="253" ht="20" customHeight="1" spans="1:27">
      <c r="A253" s="313" t="s">
        <v>5924</v>
      </c>
      <c r="B253" s="190"/>
      <c r="C253" s="312" t="s">
        <v>5545</v>
      </c>
      <c r="D253" s="250" t="s">
        <v>5922</v>
      </c>
      <c r="E253" s="313">
        <v>1</v>
      </c>
      <c r="F253" s="314" t="s">
        <v>2302</v>
      </c>
      <c r="G253" s="279" t="s">
        <v>18</v>
      </c>
      <c r="H253" s="316"/>
      <c r="I253" s="328"/>
      <c r="J253" s="326"/>
      <c r="K253" s="202"/>
      <c r="L253" s="202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  <c r="AA253" s="203"/>
    </row>
    <row r="254" ht="15" spans="1:27">
      <c r="A254" s="317" t="s">
        <v>5925</v>
      </c>
      <c r="B254"/>
      <c r="C254" s="318" t="s">
        <v>5545</v>
      </c>
      <c r="D254" s="293" t="s">
        <v>5922</v>
      </c>
      <c r="E254" s="317">
        <v>1</v>
      </c>
      <c r="F254" s="319" t="s">
        <v>2302</v>
      </c>
      <c r="G254" s="279" t="s">
        <v>18</v>
      </c>
      <c r="H254" s="320"/>
      <c r="I254" s="327" t="s">
        <v>5926</v>
      </c>
      <c r="J254" s="326"/>
      <c r="K254" s="202"/>
      <c r="L254" s="202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  <c r="AA254" s="203"/>
    </row>
    <row r="255" s="179" customFormat="1" ht="20" customHeight="1" spans="1:12">
      <c r="A255" s="293" t="s">
        <v>309</v>
      </c>
      <c r="B255" s="293" t="s">
        <v>4741</v>
      </c>
      <c r="C255" s="313" t="s">
        <v>5927</v>
      </c>
      <c r="D255" s="313" t="s">
        <v>5552</v>
      </c>
      <c r="E255" s="321">
        <v>47</v>
      </c>
      <c r="F255" s="250" t="s">
        <v>1005</v>
      </c>
      <c r="G255" s="255" t="s">
        <v>18</v>
      </c>
      <c r="H255" s="280">
        <v>45786</v>
      </c>
      <c r="I255" s="293" t="s">
        <v>5928</v>
      </c>
      <c r="J255" s="329"/>
      <c r="K255" s="330"/>
      <c r="L255" s="330"/>
    </row>
    <row r="256" s="179" customFormat="1" ht="20" customHeight="1" spans="1:12">
      <c r="A256" s="190"/>
      <c r="B256" s="322"/>
      <c r="C256" s="313" t="s">
        <v>5929</v>
      </c>
      <c r="D256" s="313" t="s">
        <v>5552</v>
      </c>
      <c r="E256" s="321">
        <v>30</v>
      </c>
      <c r="F256" s="250" t="s">
        <v>1005</v>
      </c>
      <c r="G256" s="255" t="s">
        <v>18</v>
      </c>
      <c r="H256" s="190"/>
      <c r="I256" s="190"/>
      <c r="J256" s="329"/>
      <c r="K256" s="330"/>
      <c r="L256" s="330"/>
    </row>
    <row r="257" s="179" customFormat="1" ht="20" customHeight="1" spans="1:12">
      <c r="A257" s="190"/>
      <c r="B257" s="322"/>
      <c r="C257" s="313" t="s">
        <v>5930</v>
      </c>
      <c r="D257" s="313" t="s">
        <v>5552</v>
      </c>
      <c r="E257" s="321">
        <v>92</v>
      </c>
      <c r="F257" s="250" t="s">
        <v>1005</v>
      </c>
      <c r="G257" s="255" t="s">
        <v>18</v>
      </c>
      <c r="H257" s="190"/>
      <c r="I257" s="190"/>
      <c r="J257" s="329"/>
      <c r="K257" s="330"/>
      <c r="L257" s="330"/>
    </row>
    <row r="258" s="179" customFormat="1" ht="20" customHeight="1" spans="1:12">
      <c r="A258" s="190"/>
      <c r="B258" s="322"/>
      <c r="C258" s="312" t="s">
        <v>5565</v>
      </c>
      <c r="D258" s="313" t="s">
        <v>5552</v>
      </c>
      <c r="E258" s="321">
        <v>19</v>
      </c>
      <c r="F258" s="250" t="s">
        <v>1005</v>
      </c>
      <c r="G258" s="255" t="s">
        <v>18</v>
      </c>
      <c r="H258" s="190"/>
      <c r="I258" s="190"/>
      <c r="J258" s="329"/>
      <c r="K258" s="330"/>
      <c r="L258" s="330"/>
    </row>
    <row r="259" s="179" customFormat="1" ht="20" customHeight="1" spans="1:12">
      <c r="A259" s="190"/>
      <c r="B259" s="322"/>
      <c r="C259" s="312" t="s">
        <v>5931</v>
      </c>
      <c r="D259" s="313" t="s">
        <v>5552</v>
      </c>
      <c r="E259" s="321">
        <v>16</v>
      </c>
      <c r="F259" s="250" t="s">
        <v>1005</v>
      </c>
      <c r="G259" s="255" t="s">
        <v>18</v>
      </c>
      <c r="H259" s="190"/>
      <c r="I259" s="190"/>
      <c r="J259" s="329"/>
      <c r="K259" s="330"/>
      <c r="L259" s="330"/>
    </row>
    <row r="260" s="179" customFormat="1" ht="20" customHeight="1" spans="1:12">
      <c r="A260" s="190"/>
      <c r="B260" s="322"/>
      <c r="C260" s="313" t="s">
        <v>5932</v>
      </c>
      <c r="D260" s="313" t="s">
        <v>5552</v>
      </c>
      <c r="E260" s="321">
        <v>53</v>
      </c>
      <c r="F260" s="250" t="s">
        <v>1005</v>
      </c>
      <c r="G260" s="255" t="s">
        <v>18</v>
      </c>
      <c r="H260" s="190"/>
      <c r="I260" s="190"/>
      <c r="J260" s="329"/>
      <c r="K260" s="330"/>
      <c r="L260" s="330"/>
    </row>
    <row r="261" s="179" customFormat="1" ht="20" customHeight="1" spans="1:12">
      <c r="A261" s="190"/>
      <c r="B261" s="322"/>
      <c r="C261" s="312" t="s">
        <v>5933</v>
      </c>
      <c r="D261" s="313" t="s">
        <v>5934</v>
      </c>
      <c r="E261" s="321">
        <v>10</v>
      </c>
      <c r="F261" s="250" t="s">
        <v>1005</v>
      </c>
      <c r="G261" s="255" t="s">
        <v>18</v>
      </c>
      <c r="H261" s="190"/>
      <c r="I261" s="190"/>
      <c r="J261" s="329"/>
      <c r="K261" s="330"/>
      <c r="L261" s="330"/>
    </row>
    <row r="262" s="179" customFormat="1" ht="20" customHeight="1" spans="1:12">
      <c r="A262" s="190"/>
      <c r="B262" s="322"/>
      <c r="C262" s="312" t="s">
        <v>5935</v>
      </c>
      <c r="D262" s="313" t="s">
        <v>5936</v>
      </c>
      <c r="E262" s="321">
        <v>20</v>
      </c>
      <c r="F262" s="250" t="s">
        <v>1005</v>
      </c>
      <c r="G262" s="255" t="s">
        <v>18</v>
      </c>
      <c r="H262" s="190"/>
      <c r="I262" s="190"/>
      <c r="J262" s="329"/>
      <c r="K262" s="330"/>
      <c r="L262" s="330"/>
    </row>
    <row r="263" s="179" customFormat="1" ht="20" customHeight="1" spans="1:12">
      <c r="A263" s="190"/>
      <c r="B263" s="322"/>
      <c r="C263" s="312" t="s">
        <v>5937</v>
      </c>
      <c r="D263" s="313" t="s">
        <v>5934</v>
      </c>
      <c r="E263" s="321">
        <v>10</v>
      </c>
      <c r="F263" s="250" t="s">
        <v>1005</v>
      </c>
      <c r="G263" s="255" t="s">
        <v>18</v>
      </c>
      <c r="H263" s="190"/>
      <c r="I263" s="190"/>
      <c r="J263" s="329"/>
      <c r="K263" s="330"/>
      <c r="L263" s="330"/>
    </row>
    <row r="264" s="179" customFormat="1" ht="20" customHeight="1" spans="1:12">
      <c r="A264" s="190"/>
      <c r="B264" s="322"/>
      <c r="C264" s="312" t="s">
        <v>5938</v>
      </c>
      <c r="D264" s="313" t="s">
        <v>5615</v>
      </c>
      <c r="E264" s="321">
        <v>80</v>
      </c>
      <c r="F264" s="250" t="s">
        <v>1005</v>
      </c>
      <c r="G264" s="255" t="s">
        <v>18</v>
      </c>
      <c r="H264" s="190"/>
      <c r="I264" s="190"/>
      <c r="J264" s="329"/>
      <c r="K264" s="330"/>
      <c r="L264" s="330"/>
    </row>
    <row r="265" s="179" customFormat="1" ht="20" customHeight="1" spans="1:12">
      <c r="A265" s="190"/>
      <c r="B265" s="322"/>
      <c r="C265" s="312" t="s">
        <v>5695</v>
      </c>
      <c r="D265" s="313" t="s">
        <v>5939</v>
      </c>
      <c r="E265" s="321">
        <v>1</v>
      </c>
      <c r="F265" s="250" t="s">
        <v>1005</v>
      </c>
      <c r="G265" s="255" t="s">
        <v>18</v>
      </c>
      <c r="H265" s="190"/>
      <c r="I265" s="190"/>
      <c r="J265" s="329"/>
      <c r="K265" s="330"/>
      <c r="L265" s="330"/>
    </row>
    <row r="266" s="179" customFormat="1" ht="20" customHeight="1" spans="1:12">
      <c r="A266" s="190"/>
      <c r="B266" s="322"/>
      <c r="C266" s="312" t="s">
        <v>5940</v>
      </c>
      <c r="D266" s="313" t="s">
        <v>5618</v>
      </c>
      <c r="E266" s="321">
        <v>26</v>
      </c>
      <c r="F266" s="250" t="s">
        <v>1005</v>
      </c>
      <c r="G266" s="255" t="s">
        <v>18</v>
      </c>
      <c r="H266" s="190"/>
      <c r="I266" s="190"/>
      <c r="J266" s="329"/>
      <c r="K266" s="330"/>
      <c r="L266" s="330"/>
    </row>
    <row r="267" s="179" customFormat="1" ht="20" customHeight="1" spans="1:12">
      <c r="A267" s="190"/>
      <c r="B267" s="322"/>
      <c r="C267" s="312" t="s">
        <v>5941</v>
      </c>
      <c r="D267" s="313" t="s">
        <v>5618</v>
      </c>
      <c r="E267" s="321">
        <v>8</v>
      </c>
      <c r="F267" s="250" t="s">
        <v>1005</v>
      </c>
      <c r="G267" s="255" t="s">
        <v>18</v>
      </c>
      <c r="H267" s="190"/>
      <c r="I267" s="190"/>
      <c r="J267" s="329"/>
      <c r="K267" s="330"/>
      <c r="L267" s="330"/>
    </row>
    <row r="268" s="179" customFormat="1" ht="20" customHeight="1" spans="1:12">
      <c r="A268" s="190"/>
      <c r="B268" s="322"/>
      <c r="C268" s="312" t="s">
        <v>5678</v>
      </c>
      <c r="D268" s="313" t="s">
        <v>5797</v>
      </c>
      <c r="E268" s="321">
        <v>2</v>
      </c>
      <c r="F268" s="250" t="s">
        <v>1005</v>
      </c>
      <c r="G268" s="255" t="s">
        <v>18</v>
      </c>
      <c r="H268" s="190"/>
      <c r="I268" s="190"/>
      <c r="J268" s="329"/>
      <c r="K268" s="330"/>
      <c r="L268" s="330"/>
    </row>
    <row r="269" s="179" customFormat="1" ht="20" customHeight="1" spans="1:12">
      <c r="A269" s="190"/>
      <c r="B269" s="322"/>
      <c r="C269" s="312" t="s">
        <v>5770</v>
      </c>
      <c r="D269" s="313" t="s">
        <v>5613</v>
      </c>
      <c r="E269" s="321">
        <v>10</v>
      </c>
      <c r="F269" s="250" t="s">
        <v>1005</v>
      </c>
      <c r="G269" s="255" t="s">
        <v>18</v>
      </c>
      <c r="H269" s="190"/>
      <c r="I269" s="190"/>
      <c r="J269" s="329"/>
      <c r="K269" s="330"/>
      <c r="L269" s="330"/>
    </row>
    <row r="270" s="179" customFormat="1" ht="20" customHeight="1" spans="1:12">
      <c r="A270" s="190"/>
      <c r="B270" s="322"/>
      <c r="C270" s="312" t="s">
        <v>5772</v>
      </c>
      <c r="D270" s="313" t="s">
        <v>5613</v>
      </c>
      <c r="E270" s="321">
        <v>10</v>
      </c>
      <c r="F270" s="250" t="s">
        <v>1005</v>
      </c>
      <c r="G270" s="255" t="s">
        <v>18</v>
      </c>
      <c r="H270" s="190"/>
      <c r="I270" s="190"/>
      <c r="J270" s="329"/>
      <c r="K270" s="330"/>
      <c r="L270" s="330"/>
    </row>
    <row r="271" s="179" customFormat="1" ht="20" customHeight="1" spans="1:12">
      <c r="A271" s="190"/>
      <c r="B271" s="322"/>
      <c r="C271" s="312" t="s">
        <v>5687</v>
      </c>
      <c r="D271" s="313" t="s">
        <v>5613</v>
      </c>
      <c r="E271" s="321">
        <v>3</v>
      </c>
      <c r="F271" s="250" t="s">
        <v>1005</v>
      </c>
      <c r="G271" s="255" t="s">
        <v>18</v>
      </c>
      <c r="H271" s="190"/>
      <c r="I271" s="190"/>
      <c r="J271" s="329"/>
      <c r="K271" s="330"/>
      <c r="L271" s="330"/>
    </row>
    <row r="272" s="179" customFormat="1" ht="20" customHeight="1" spans="1:12">
      <c r="A272" s="190"/>
      <c r="B272" s="322"/>
      <c r="C272" s="312" t="s">
        <v>5620</v>
      </c>
      <c r="D272" s="313" t="s">
        <v>5615</v>
      </c>
      <c r="E272" s="321">
        <v>72</v>
      </c>
      <c r="F272" s="250" t="s">
        <v>1005</v>
      </c>
      <c r="G272" s="255" t="s">
        <v>18</v>
      </c>
      <c r="H272" s="190"/>
      <c r="I272" s="190"/>
      <c r="J272" s="329"/>
      <c r="K272" s="330"/>
      <c r="L272" s="330"/>
    </row>
    <row r="273" s="179" customFormat="1" ht="20" customHeight="1" spans="1:12">
      <c r="A273" s="190"/>
      <c r="B273" s="322"/>
      <c r="C273" s="312" t="s">
        <v>5942</v>
      </c>
      <c r="D273" s="313" t="s">
        <v>5618</v>
      </c>
      <c r="E273" s="321">
        <v>13</v>
      </c>
      <c r="F273" s="250" t="s">
        <v>1005</v>
      </c>
      <c r="G273" s="255" t="s">
        <v>18</v>
      </c>
      <c r="H273" s="190"/>
      <c r="I273" s="190"/>
      <c r="J273" s="329"/>
      <c r="K273" s="330"/>
      <c r="L273" s="330"/>
    </row>
    <row r="274" s="179" customFormat="1" ht="20" customHeight="1" spans="1:12">
      <c r="A274" s="190"/>
      <c r="B274" s="322"/>
      <c r="C274" s="312" t="s">
        <v>5742</v>
      </c>
      <c r="D274" s="313" t="s">
        <v>5618</v>
      </c>
      <c r="E274" s="321">
        <v>5</v>
      </c>
      <c r="F274" s="250" t="s">
        <v>1005</v>
      </c>
      <c r="G274" s="255" t="s">
        <v>18</v>
      </c>
      <c r="H274" s="190"/>
      <c r="I274" s="190"/>
      <c r="J274" s="329"/>
      <c r="K274" s="330"/>
      <c r="L274" s="330"/>
    </row>
    <row r="275" ht="20" customHeight="1" spans="1:10">
      <c r="A275" s="190"/>
      <c r="B275" s="331"/>
      <c r="C275" s="312" t="s">
        <v>5744</v>
      </c>
      <c r="D275" s="313" t="s">
        <v>5943</v>
      </c>
      <c r="E275" s="321">
        <v>68</v>
      </c>
      <c r="F275" s="250" t="s">
        <v>1005</v>
      </c>
      <c r="G275" s="255" t="s">
        <v>18</v>
      </c>
      <c r="H275" s="190"/>
      <c r="I275" s="190"/>
      <c r="J275" s="329"/>
    </row>
    <row r="276" ht="20" customHeight="1" spans="1:10">
      <c r="A276" s="190"/>
      <c r="B276" s="331"/>
      <c r="C276" s="312" t="s">
        <v>5742</v>
      </c>
      <c r="D276" s="313" t="s">
        <v>5618</v>
      </c>
      <c r="E276" s="321">
        <v>32</v>
      </c>
      <c r="F276" s="250" t="s">
        <v>1005</v>
      </c>
      <c r="G276" s="255" t="s">
        <v>18</v>
      </c>
      <c r="H276" s="190"/>
      <c r="I276" s="190"/>
      <c r="J276" s="329"/>
    </row>
    <row r="277" ht="20" customHeight="1" spans="1:10">
      <c r="A277" s="190"/>
      <c r="B277" s="331"/>
      <c r="C277" s="312" t="s">
        <v>5740</v>
      </c>
      <c r="D277" s="313" t="s">
        <v>5618</v>
      </c>
      <c r="E277" s="321">
        <v>63</v>
      </c>
      <c r="F277" s="250" t="s">
        <v>1005</v>
      </c>
      <c r="G277" s="255" t="s">
        <v>18</v>
      </c>
      <c r="H277" s="190"/>
      <c r="I277" s="190"/>
      <c r="J277" s="329"/>
    </row>
    <row r="278" ht="20" customHeight="1" spans="1:10">
      <c r="A278" s="190"/>
      <c r="B278" s="331"/>
      <c r="C278" s="312" t="s">
        <v>5754</v>
      </c>
      <c r="D278" s="313" t="s">
        <v>5797</v>
      </c>
      <c r="E278" s="321">
        <v>10</v>
      </c>
      <c r="F278" s="250" t="s">
        <v>1005</v>
      </c>
      <c r="G278" s="255" t="s">
        <v>18</v>
      </c>
      <c r="H278" s="190"/>
      <c r="I278" s="190"/>
      <c r="J278" s="329"/>
    </row>
    <row r="279" ht="20" customHeight="1" spans="1:10">
      <c r="A279" s="190"/>
      <c r="B279" s="331"/>
      <c r="C279" s="312" t="s">
        <v>5735</v>
      </c>
      <c r="D279" s="313" t="s">
        <v>5618</v>
      </c>
      <c r="E279" s="321">
        <v>44</v>
      </c>
      <c r="F279" s="250" t="s">
        <v>1005</v>
      </c>
      <c r="G279" s="255" t="s">
        <v>18</v>
      </c>
      <c r="H279" s="190"/>
      <c r="I279" s="190"/>
      <c r="J279" s="329"/>
    </row>
    <row r="280" ht="20" customHeight="1" spans="1:10">
      <c r="A280" s="190"/>
      <c r="B280" s="331"/>
      <c r="C280" s="312" t="s">
        <v>5758</v>
      </c>
      <c r="D280" s="313" t="s">
        <v>5797</v>
      </c>
      <c r="E280" s="321">
        <v>10</v>
      </c>
      <c r="F280" s="250" t="s">
        <v>1005</v>
      </c>
      <c r="G280" s="255" t="s">
        <v>18</v>
      </c>
      <c r="H280" s="190"/>
      <c r="I280" s="190"/>
      <c r="J280" s="329"/>
    </row>
    <row r="281" ht="20" customHeight="1" spans="1:10">
      <c r="A281" s="190"/>
      <c r="B281" s="331"/>
      <c r="C281" s="313" t="s">
        <v>5766</v>
      </c>
      <c r="D281" s="313" t="s">
        <v>5918</v>
      </c>
      <c r="E281" s="321">
        <v>10</v>
      </c>
      <c r="F281" s="250" t="s">
        <v>1005</v>
      </c>
      <c r="G281" s="255" t="s">
        <v>18</v>
      </c>
      <c r="H281" s="190"/>
      <c r="I281" s="190"/>
      <c r="J281" s="329"/>
    </row>
    <row r="282" ht="20" customHeight="1" spans="1:10">
      <c r="A282" s="190"/>
      <c r="B282" s="331"/>
      <c r="C282" s="312" t="s">
        <v>5944</v>
      </c>
      <c r="D282" s="313" t="s">
        <v>5918</v>
      </c>
      <c r="E282" s="321">
        <v>15</v>
      </c>
      <c r="F282" s="250" t="s">
        <v>1005</v>
      </c>
      <c r="G282" s="255" t="s">
        <v>18</v>
      </c>
      <c r="H282" s="190"/>
      <c r="I282" s="190"/>
      <c r="J282" s="329"/>
    </row>
    <row r="283" ht="20" customHeight="1" spans="1:10">
      <c r="A283" s="190"/>
      <c r="B283" s="331"/>
      <c r="C283" s="312" t="s">
        <v>5945</v>
      </c>
      <c r="D283" s="313" t="s">
        <v>5613</v>
      </c>
      <c r="E283" s="321">
        <v>5</v>
      </c>
      <c r="F283" s="250" t="s">
        <v>1005</v>
      </c>
      <c r="G283" s="255" t="s">
        <v>18</v>
      </c>
      <c r="H283" s="190"/>
      <c r="I283" s="190"/>
      <c r="J283" s="329"/>
    </row>
    <row r="284" ht="20" customHeight="1" spans="1:10">
      <c r="A284" s="190"/>
      <c r="B284" s="331"/>
      <c r="C284" s="313" t="s">
        <v>5774</v>
      </c>
      <c r="D284" s="313" t="s">
        <v>5918</v>
      </c>
      <c r="E284" s="321">
        <v>10</v>
      </c>
      <c r="F284" s="250" t="s">
        <v>1005</v>
      </c>
      <c r="G284" s="255" t="s">
        <v>18</v>
      </c>
      <c r="H284" s="190"/>
      <c r="I284" s="190"/>
      <c r="J284" s="329"/>
    </row>
    <row r="285" ht="20" customHeight="1" spans="1:10">
      <c r="A285" s="190"/>
      <c r="B285" s="331"/>
      <c r="C285" s="312" t="s">
        <v>5938</v>
      </c>
      <c r="D285" s="313" t="s">
        <v>5615</v>
      </c>
      <c r="E285" s="321">
        <v>1</v>
      </c>
      <c r="F285" s="250" t="s">
        <v>1005</v>
      </c>
      <c r="G285" s="255" t="s">
        <v>18</v>
      </c>
      <c r="H285" s="190"/>
      <c r="I285" s="190"/>
      <c r="J285" s="329"/>
    </row>
    <row r="286" ht="20" customHeight="1" spans="1:10">
      <c r="A286" s="190"/>
      <c r="B286" s="331"/>
      <c r="C286" s="312" t="s">
        <v>5624</v>
      </c>
      <c r="D286" s="313" t="s">
        <v>5625</v>
      </c>
      <c r="E286" s="321">
        <v>10</v>
      </c>
      <c r="F286" s="250" t="s">
        <v>1005</v>
      </c>
      <c r="G286" s="255" t="s">
        <v>18</v>
      </c>
      <c r="H286" s="190"/>
      <c r="I286" s="190"/>
      <c r="J286" s="329"/>
    </row>
    <row r="287" ht="20" customHeight="1" spans="1:10">
      <c r="A287" s="190"/>
      <c r="B287" s="331"/>
      <c r="C287" s="312" t="s">
        <v>5749</v>
      </c>
      <c r="D287" s="313" t="s">
        <v>5623</v>
      </c>
      <c r="E287" s="321">
        <v>11</v>
      </c>
      <c r="F287" s="250" t="s">
        <v>1005</v>
      </c>
      <c r="G287" s="255" t="s">
        <v>18</v>
      </c>
      <c r="H287" s="190"/>
      <c r="I287" s="190"/>
      <c r="J287" s="329"/>
    </row>
    <row r="288" ht="20" customHeight="1" spans="1:10">
      <c r="A288" s="190"/>
      <c r="B288" s="331"/>
      <c r="C288" s="312" t="s">
        <v>5946</v>
      </c>
      <c r="D288" s="313" t="s">
        <v>5623</v>
      </c>
      <c r="E288" s="321">
        <v>8</v>
      </c>
      <c r="F288" s="250" t="s">
        <v>1005</v>
      </c>
      <c r="G288" s="255" t="s">
        <v>18</v>
      </c>
      <c r="H288" s="190"/>
      <c r="I288" s="190"/>
      <c r="J288" s="329"/>
    </row>
    <row r="289" ht="20" customHeight="1" spans="1:10">
      <c r="A289" s="332"/>
      <c r="B289" s="331"/>
      <c r="C289" s="312" t="s">
        <v>5947</v>
      </c>
      <c r="D289" s="313" t="s">
        <v>5623</v>
      </c>
      <c r="E289" s="321">
        <v>7</v>
      </c>
      <c r="F289" s="250" t="s">
        <v>1005</v>
      </c>
      <c r="G289" s="255" t="s">
        <v>18</v>
      </c>
      <c r="H289" s="190"/>
      <c r="I289" s="190"/>
      <c r="J289" s="329"/>
    </row>
    <row r="290" ht="20" customHeight="1" spans="1:10">
      <c r="A290" s="190"/>
      <c r="B290" s="331"/>
      <c r="C290" s="312" t="s">
        <v>5723</v>
      </c>
      <c r="D290" s="313" t="s">
        <v>5623</v>
      </c>
      <c r="E290" s="321">
        <v>2</v>
      </c>
      <c r="F290" s="250" t="s">
        <v>1005</v>
      </c>
      <c r="G290" s="255" t="s">
        <v>18</v>
      </c>
      <c r="H290" s="190"/>
      <c r="I290" s="190"/>
      <c r="J290" s="329"/>
    </row>
    <row r="291" ht="20" customHeight="1" spans="1:10">
      <c r="A291" s="190"/>
      <c r="B291" s="331"/>
      <c r="C291" s="312" t="s">
        <v>5948</v>
      </c>
      <c r="D291" s="313" t="s">
        <v>5623</v>
      </c>
      <c r="E291" s="321">
        <v>10</v>
      </c>
      <c r="F291" s="250" t="s">
        <v>1005</v>
      </c>
      <c r="G291" s="255" t="s">
        <v>18</v>
      </c>
      <c r="H291" s="190"/>
      <c r="I291" s="190"/>
      <c r="J291" s="329"/>
    </row>
    <row r="292" ht="20" customHeight="1" spans="1:10">
      <c r="A292" s="190"/>
      <c r="B292" s="331"/>
      <c r="C292" s="312" t="s">
        <v>5949</v>
      </c>
      <c r="D292" s="313" t="s">
        <v>5623</v>
      </c>
      <c r="E292" s="321">
        <v>8</v>
      </c>
      <c r="F292" s="250" t="s">
        <v>1005</v>
      </c>
      <c r="G292" s="255" t="s">
        <v>18</v>
      </c>
      <c r="H292" s="190"/>
      <c r="I292" s="190"/>
      <c r="J292" s="329"/>
    </row>
    <row r="293" ht="20" customHeight="1" spans="1:10">
      <c r="A293" s="190"/>
      <c r="B293" s="331"/>
      <c r="C293" s="312" t="s">
        <v>5950</v>
      </c>
      <c r="D293" s="313" t="s">
        <v>5623</v>
      </c>
      <c r="E293" s="321">
        <v>25</v>
      </c>
      <c r="F293" s="250" t="s">
        <v>1005</v>
      </c>
      <c r="G293" s="255" t="s">
        <v>18</v>
      </c>
      <c r="H293" s="190"/>
      <c r="I293" s="190"/>
      <c r="J293" s="329"/>
    </row>
    <row r="294" ht="20" customHeight="1" spans="1:10">
      <c r="A294" s="190"/>
      <c r="B294" s="331"/>
      <c r="C294" s="313" t="s">
        <v>5951</v>
      </c>
      <c r="D294" s="313" t="s">
        <v>5640</v>
      </c>
      <c r="E294" s="321">
        <v>20</v>
      </c>
      <c r="F294" s="250" t="s">
        <v>1005</v>
      </c>
      <c r="G294" s="255" t="s">
        <v>18</v>
      </c>
      <c r="H294" s="190"/>
      <c r="I294" s="190"/>
      <c r="J294" s="329"/>
    </row>
    <row r="295" ht="20" customHeight="1" spans="1:10">
      <c r="A295" s="190"/>
      <c r="B295" s="331"/>
      <c r="C295" s="313" t="s">
        <v>5952</v>
      </c>
      <c r="D295" s="313" t="s">
        <v>5646</v>
      </c>
      <c r="E295" s="321">
        <v>10</v>
      </c>
      <c r="F295" s="250" t="s">
        <v>1005</v>
      </c>
      <c r="G295" s="255" t="s">
        <v>18</v>
      </c>
      <c r="H295" s="190"/>
      <c r="I295" s="190"/>
      <c r="J295" s="329"/>
    </row>
    <row r="296" ht="20" customHeight="1" spans="1:10">
      <c r="A296" s="190"/>
      <c r="B296" s="331"/>
      <c r="C296" s="313" t="s">
        <v>5953</v>
      </c>
      <c r="D296" s="313" t="s">
        <v>5954</v>
      </c>
      <c r="E296" s="321">
        <v>40</v>
      </c>
      <c r="F296" s="250" t="s">
        <v>1005</v>
      </c>
      <c r="G296" s="255" t="s">
        <v>18</v>
      </c>
      <c r="H296" s="190"/>
      <c r="I296" s="190"/>
      <c r="J296" s="329"/>
    </row>
    <row r="297" ht="20" customHeight="1" spans="1:10">
      <c r="A297" s="190"/>
      <c r="B297" s="333"/>
      <c r="C297" s="318" t="s">
        <v>5955</v>
      </c>
      <c r="D297" s="317" t="s">
        <v>5648</v>
      </c>
      <c r="E297" s="334">
        <v>40</v>
      </c>
      <c r="F297" s="250" t="s">
        <v>1005</v>
      </c>
      <c r="G297" s="310" t="s">
        <v>18</v>
      </c>
      <c r="H297" s="190"/>
      <c r="I297" s="192"/>
      <c r="J297" s="329"/>
    </row>
    <row r="298" ht="20" customHeight="1" spans="1:27">
      <c r="A298" s="293" t="s">
        <v>309</v>
      </c>
      <c r="B298" s="293" t="s">
        <v>4803</v>
      </c>
      <c r="C298" s="313" t="s">
        <v>5930</v>
      </c>
      <c r="D298" s="313" t="s">
        <v>5552</v>
      </c>
      <c r="E298" s="321">
        <v>30</v>
      </c>
      <c r="F298" s="335" t="s">
        <v>1022</v>
      </c>
      <c r="G298" s="336" t="s">
        <v>39</v>
      </c>
      <c r="H298" s="280">
        <v>45792</v>
      </c>
      <c r="I298" s="293" t="s">
        <v>5928</v>
      </c>
      <c r="J298" s="329"/>
      <c r="K298" s="337"/>
      <c r="L298" s="337"/>
      <c r="M298" s="337"/>
      <c r="N298" s="337"/>
      <c r="O298" s="337"/>
      <c r="P298" s="337"/>
      <c r="Q298" s="337"/>
      <c r="R298" s="337"/>
      <c r="S298" s="337"/>
      <c r="T298" s="337"/>
      <c r="U298" s="337"/>
      <c r="V298" s="337"/>
      <c r="W298" s="337"/>
      <c r="X298" s="337"/>
      <c r="Y298" s="337"/>
      <c r="Z298" s="337"/>
      <c r="AA298" s="337"/>
    </row>
    <row r="299" ht="20" customHeight="1" spans="1:27">
      <c r="A299" s="26"/>
      <c r="B299" s="190"/>
      <c r="C299" s="312" t="s">
        <v>5565</v>
      </c>
      <c r="D299" s="313" t="s">
        <v>5552</v>
      </c>
      <c r="E299" s="321">
        <v>5</v>
      </c>
      <c r="F299" s="335" t="s">
        <v>1022</v>
      </c>
      <c r="G299" s="336" t="s">
        <v>39</v>
      </c>
      <c r="H299" s="190"/>
      <c r="I299" s="190"/>
      <c r="J299" s="329"/>
      <c r="K299" s="337"/>
      <c r="L299" s="337"/>
      <c r="M299" s="337"/>
      <c r="N299" s="337"/>
      <c r="O299" s="337"/>
      <c r="P299" s="337"/>
      <c r="Q299" s="337"/>
      <c r="R299" s="337"/>
      <c r="S299" s="337"/>
      <c r="T299" s="337"/>
      <c r="U299" s="337"/>
      <c r="V299" s="337"/>
      <c r="W299" s="337"/>
      <c r="X299" s="337"/>
      <c r="Y299" s="337"/>
      <c r="Z299" s="337"/>
      <c r="AA299" s="337"/>
    </row>
    <row r="300" ht="20" customHeight="1" spans="1:27">
      <c r="A300" s="26"/>
      <c r="B300" s="190"/>
      <c r="C300" s="312" t="s">
        <v>5931</v>
      </c>
      <c r="D300" s="313" t="s">
        <v>5552</v>
      </c>
      <c r="E300" s="321">
        <v>16</v>
      </c>
      <c r="F300" s="335" t="s">
        <v>1022</v>
      </c>
      <c r="G300" s="336" t="s">
        <v>39</v>
      </c>
      <c r="H300" s="190"/>
      <c r="I300" s="190"/>
      <c r="J300" s="329"/>
      <c r="K300" s="337"/>
      <c r="L300" s="337"/>
      <c r="M300" s="337"/>
      <c r="N300" s="337"/>
      <c r="O300" s="337"/>
      <c r="P300" s="337"/>
      <c r="Q300" s="337"/>
      <c r="R300" s="337"/>
      <c r="S300" s="337"/>
      <c r="T300" s="337"/>
      <c r="U300" s="337"/>
      <c r="V300" s="337"/>
      <c r="W300" s="337"/>
      <c r="X300" s="337"/>
      <c r="Y300" s="337"/>
      <c r="Z300" s="337"/>
      <c r="AA300" s="337"/>
    </row>
    <row r="301" ht="20" customHeight="1" spans="1:27">
      <c r="A301" s="26"/>
      <c r="B301" s="190"/>
      <c r="C301" s="312" t="s">
        <v>5564</v>
      </c>
      <c r="D301" s="313" t="s">
        <v>5552</v>
      </c>
      <c r="E301" s="321">
        <v>1</v>
      </c>
      <c r="F301" s="335" t="s">
        <v>1022</v>
      </c>
      <c r="G301" s="336" t="s">
        <v>39</v>
      </c>
      <c r="H301" s="190"/>
      <c r="I301" s="190"/>
      <c r="J301" s="329"/>
      <c r="K301" s="337"/>
      <c r="L301" s="337"/>
      <c r="M301" s="337"/>
      <c r="N301" s="337"/>
      <c r="O301" s="337"/>
      <c r="P301" s="337"/>
      <c r="Q301" s="337"/>
      <c r="R301" s="337"/>
      <c r="S301" s="337"/>
      <c r="T301" s="337"/>
      <c r="U301" s="337"/>
      <c r="V301" s="337"/>
      <c r="W301" s="337"/>
      <c r="X301" s="337"/>
      <c r="Y301" s="337"/>
      <c r="Z301" s="337"/>
      <c r="AA301" s="337"/>
    </row>
    <row r="302" ht="20" customHeight="1" spans="1:27">
      <c r="A302" s="26"/>
      <c r="B302" s="190"/>
      <c r="C302" s="312" t="s">
        <v>5562</v>
      </c>
      <c r="D302" s="313" t="s">
        <v>5552</v>
      </c>
      <c r="E302" s="321">
        <v>27</v>
      </c>
      <c r="F302" s="335" t="s">
        <v>1022</v>
      </c>
      <c r="G302" s="336" t="s">
        <v>39</v>
      </c>
      <c r="H302" s="190"/>
      <c r="I302" s="190"/>
      <c r="J302" s="329"/>
      <c r="K302" s="337"/>
      <c r="L302" s="337"/>
      <c r="M302" s="337"/>
      <c r="N302" s="337"/>
      <c r="O302" s="337"/>
      <c r="P302" s="337"/>
      <c r="Q302" s="337"/>
      <c r="R302" s="337"/>
      <c r="S302" s="337"/>
      <c r="T302" s="337"/>
      <c r="U302" s="337"/>
      <c r="V302" s="337"/>
      <c r="W302" s="337"/>
      <c r="X302" s="337"/>
      <c r="Y302" s="337"/>
      <c r="Z302" s="337"/>
      <c r="AA302" s="337"/>
    </row>
    <row r="303" ht="20" customHeight="1" spans="1:27">
      <c r="A303" s="26"/>
      <c r="B303" s="190"/>
      <c r="C303" s="312" t="s">
        <v>5556</v>
      </c>
      <c r="D303" s="313" t="s">
        <v>5552</v>
      </c>
      <c r="E303" s="321">
        <v>27</v>
      </c>
      <c r="F303" s="335" t="s">
        <v>1022</v>
      </c>
      <c r="G303" s="336" t="s">
        <v>39</v>
      </c>
      <c r="H303" s="190"/>
      <c r="I303" s="190"/>
      <c r="J303" s="329"/>
      <c r="K303" s="337"/>
      <c r="L303" s="337"/>
      <c r="M303" s="337"/>
      <c r="N303" s="337"/>
      <c r="O303" s="337"/>
      <c r="P303" s="337"/>
      <c r="Q303" s="337"/>
      <c r="R303" s="337"/>
      <c r="S303" s="337"/>
      <c r="T303" s="337"/>
      <c r="U303" s="337"/>
      <c r="V303" s="337"/>
      <c r="W303" s="337"/>
      <c r="X303" s="337"/>
      <c r="Y303" s="337"/>
      <c r="Z303" s="337"/>
      <c r="AA303" s="337"/>
    </row>
    <row r="304" ht="20" customHeight="1" spans="1:27">
      <c r="A304" s="26"/>
      <c r="B304" s="190"/>
      <c r="C304" s="313" t="s">
        <v>5932</v>
      </c>
      <c r="D304" s="313" t="s">
        <v>5552</v>
      </c>
      <c r="E304" s="321">
        <v>91</v>
      </c>
      <c r="F304" s="335" t="s">
        <v>1022</v>
      </c>
      <c r="G304" s="336" t="s">
        <v>39</v>
      </c>
      <c r="H304" s="190"/>
      <c r="I304" s="190"/>
      <c r="J304" s="329"/>
      <c r="K304" s="337"/>
      <c r="L304" s="337"/>
      <c r="M304" s="337"/>
      <c r="N304" s="337"/>
      <c r="O304" s="337"/>
      <c r="P304" s="337"/>
      <c r="Q304" s="337"/>
      <c r="R304" s="337"/>
      <c r="S304" s="337"/>
      <c r="T304" s="337"/>
      <c r="U304" s="337"/>
      <c r="V304" s="337"/>
      <c r="W304" s="337"/>
      <c r="X304" s="337"/>
      <c r="Y304" s="337"/>
      <c r="Z304" s="337"/>
      <c r="AA304" s="337"/>
    </row>
    <row r="305" ht="20" customHeight="1" spans="1:27">
      <c r="A305" s="26"/>
      <c r="B305" s="190"/>
      <c r="C305" s="312" t="s">
        <v>5933</v>
      </c>
      <c r="D305" s="313" t="s">
        <v>5934</v>
      </c>
      <c r="E305" s="321">
        <v>10</v>
      </c>
      <c r="F305" s="335" t="s">
        <v>1022</v>
      </c>
      <c r="G305" s="336" t="s">
        <v>39</v>
      </c>
      <c r="H305" s="190"/>
      <c r="I305" s="190"/>
      <c r="J305" s="329"/>
      <c r="K305" s="337"/>
      <c r="L305" s="337"/>
      <c r="M305" s="337"/>
      <c r="N305" s="337"/>
      <c r="O305" s="337"/>
      <c r="P305" s="337"/>
      <c r="Q305" s="337"/>
      <c r="R305" s="337"/>
      <c r="S305" s="337"/>
      <c r="T305" s="337"/>
      <c r="U305" s="337"/>
      <c r="V305" s="337"/>
      <c r="W305" s="337"/>
      <c r="X305" s="337"/>
      <c r="Y305" s="337"/>
      <c r="Z305" s="337"/>
      <c r="AA305" s="337"/>
    </row>
    <row r="306" ht="20" customHeight="1" spans="1:27">
      <c r="A306" s="26"/>
      <c r="B306" s="190"/>
      <c r="C306" s="312" t="s">
        <v>5935</v>
      </c>
      <c r="D306" s="313" t="s">
        <v>5936</v>
      </c>
      <c r="E306" s="321">
        <v>20</v>
      </c>
      <c r="F306" s="335" t="s">
        <v>1022</v>
      </c>
      <c r="G306" s="336" t="s">
        <v>39</v>
      </c>
      <c r="H306" s="190"/>
      <c r="I306" s="190"/>
      <c r="J306" s="329"/>
      <c r="K306" s="337"/>
      <c r="L306" s="337"/>
      <c r="M306" s="337"/>
      <c r="N306" s="337"/>
      <c r="O306" s="337"/>
      <c r="P306" s="337"/>
      <c r="Q306" s="337"/>
      <c r="R306" s="337"/>
      <c r="S306" s="337"/>
      <c r="T306" s="337"/>
      <c r="U306" s="337"/>
      <c r="V306" s="337"/>
      <c r="W306" s="337"/>
      <c r="X306" s="337"/>
      <c r="Y306" s="337"/>
      <c r="Z306" s="337"/>
      <c r="AA306" s="337"/>
    </row>
    <row r="307" ht="20" customHeight="1" spans="1:27">
      <c r="A307" s="26"/>
      <c r="B307" s="190"/>
      <c r="C307" s="312" t="s">
        <v>5937</v>
      </c>
      <c r="D307" s="313" t="s">
        <v>5934</v>
      </c>
      <c r="E307" s="321">
        <v>10</v>
      </c>
      <c r="F307" s="335" t="s">
        <v>1022</v>
      </c>
      <c r="G307" s="336" t="s">
        <v>39</v>
      </c>
      <c r="H307" s="190"/>
      <c r="I307" s="190"/>
      <c r="J307" s="329"/>
      <c r="K307" s="337"/>
      <c r="L307" s="337"/>
      <c r="M307" s="337"/>
      <c r="N307" s="337"/>
      <c r="O307" s="337"/>
      <c r="P307" s="337"/>
      <c r="Q307" s="337"/>
      <c r="R307" s="337"/>
      <c r="S307" s="337"/>
      <c r="T307" s="337"/>
      <c r="U307" s="337"/>
      <c r="V307" s="337"/>
      <c r="W307" s="337"/>
      <c r="X307" s="337"/>
      <c r="Y307" s="337"/>
      <c r="Z307" s="337"/>
      <c r="AA307" s="337"/>
    </row>
    <row r="308" ht="20" customHeight="1" spans="1:27">
      <c r="A308" s="26"/>
      <c r="B308" s="190"/>
      <c r="C308" s="312" t="s">
        <v>5687</v>
      </c>
      <c r="D308" s="313" t="s">
        <v>5613</v>
      </c>
      <c r="E308" s="321">
        <v>6</v>
      </c>
      <c r="F308" s="335" t="s">
        <v>1022</v>
      </c>
      <c r="G308" s="336" t="s">
        <v>39</v>
      </c>
      <c r="H308" s="190"/>
      <c r="I308" s="190"/>
      <c r="J308" s="329"/>
      <c r="K308" s="337"/>
      <c r="L308" s="337"/>
      <c r="M308" s="337"/>
      <c r="N308" s="337"/>
      <c r="O308" s="337"/>
      <c r="P308" s="337"/>
      <c r="Q308" s="337"/>
      <c r="R308" s="337"/>
      <c r="S308" s="337"/>
      <c r="T308" s="337"/>
      <c r="U308" s="337"/>
      <c r="V308" s="337"/>
      <c r="W308" s="337"/>
      <c r="X308" s="337"/>
      <c r="Y308" s="337"/>
      <c r="Z308" s="337"/>
      <c r="AA308" s="337"/>
    </row>
    <row r="309" ht="20" customHeight="1" spans="1:27">
      <c r="A309" s="26"/>
      <c r="B309" s="190"/>
      <c r="C309" s="312" t="s">
        <v>5695</v>
      </c>
      <c r="D309" s="313" t="s">
        <v>5939</v>
      </c>
      <c r="E309" s="321">
        <v>2</v>
      </c>
      <c r="F309" s="335" t="s">
        <v>1022</v>
      </c>
      <c r="G309" s="336" t="s">
        <v>39</v>
      </c>
      <c r="H309" s="190"/>
      <c r="I309" s="190"/>
      <c r="J309" s="329"/>
      <c r="K309" s="337"/>
      <c r="L309" s="337"/>
      <c r="M309" s="337"/>
      <c r="N309" s="337"/>
      <c r="O309" s="337"/>
      <c r="P309" s="337"/>
      <c r="Q309" s="337"/>
      <c r="R309" s="337"/>
      <c r="S309" s="337"/>
      <c r="T309" s="337"/>
      <c r="U309" s="337"/>
      <c r="V309" s="337"/>
      <c r="W309" s="337"/>
      <c r="X309" s="337"/>
      <c r="Y309" s="337"/>
      <c r="Z309" s="337"/>
      <c r="AA309" s="337"/>
    </row>
    <row r="310" ht="20" customHeight="1" spans="1:27">
      <c r="A310" s="26"/>
      <c r="B310" s="190"/>
      <c r="C310" s="312" t="s">
        <v>5938</v>
      </c>
      <c r="D310" s="313" t="s">
        <v>5615</v>
      </c>
      <c r="E310" s="321">
        <v>69</v>
      </c>
      <c r="F310" s="335" t="s">
        <v>1022</v>
      </c>
      <c r="G310" s="336" t="s">
        <v>39</v>
      </c>
      <c r="H310" s="190"/>
      <c r="I310" s="190"/>
      <c r="J310" s="329"/>
      <c r="K310" s="337"/>
      <c r="L310" s="337"/>
      <c r="M310" s="337"/>
      <c r="N310" s="337"/>
      <c r="O310" s="337"/>
      <c r="P310" s="337"/>
      <c r="Q310" s="337"/>
      <c r="R310" s="337"/>
      <c r="S310" s="337"/>
      <c r="T310" s="337"/>
      <c r="U310" s="337"/>
      <c r="V310" s="337"/>
      <c r="W310" s="337"/>
      <c r="X310" s="337"/>
      <c r="Y310" s="337"/>
      <c r="Z310" s="337"/>
      <c r="AA310" s="337"/>
    </row>
    <row r="311" ht="20" customHeight="1" spans="1:27">
      <c r="A311" s="26"/>
      <c r="B311" s="26"/>
      <c r="C311" s="312" t="s">
        <v>5941</v>
      </c>
      <c r="D311" s="313" t="s">
        <v>5618</v>
      </c>
      <c r="E311" s="321">
        <v>10</v>
      </c>
      <c r="F311" s="335" t="s">
        <v>1022</v>
      </c>
      <c r="G311" s="336" t="s">
        <v>39</v>
      </c>
      <c r="H311" s="26"/>
      <c r="I311" s="190"/>
      <c r="J311" s="329"/>
      <c r="K311" s="337"/>
      <c r="L311" s="337"/>
      <c r="M311" s="337"/>
      <c r="N311" s="337"/>
      <c r="O311" s="337"/>
      <c r="P311" s="337"/>
      <c r="Q311" s="337"/>
      <c r="R311" s="337"/>
      <c r="S311" s="337"/>
      <c r="T311" s="337"/>
      <c r="U311" s="337"/>
      <c r="V311" s="337"/>
      <c r="W311" s="337"/>
      <c r="X311" s="337"/>
      <c r="Y311" s="337"/>
      <c r="Z311" s="337"/>
      <c r="AA311" s="337"/>
    </row>
    <row r="312" ht="20" customHeight="1" spans="1:27">
      <c r="A312" s="190"/>
      <c r="B312" s="190"/>
      <c r="C312" s="312" t="s">
        <v>5942</v>
      </c>
      <c r="D312" s="313" t="s">
        <v>5618</v>
      </c>
      <c r="E312" s="321">
        <v>9</v>
      </c>
      <c r="F312" s="335" t="s">
        <v>1022</v>
      </c>
      <c r="G312" s="336" t="s">
        <v>39</v>
      </c>
      <c r="H312" s="190"/>
      <c r="I312" s="190"/>
      <c r="J312" s="329"/>
      <c r="K312" s="337"/>
      <c r="L312" s="337"/>
      <c r="M312" s="337"/>
      <c r="N312" s="337"/>
      <c r="O312" s="337"/>
      <c r="P312" s="337"/>
      <c r="Q312" s="337"/>
      <c r="R312" s="337"/>
      <c r="S312" s="337"/>
      <c r="T312" s="337"/>
      <c r="U312" s="337"/>
      <c r="V312" s="337"/>
      <c r="W312" s="337"/>
      <c r="X312" s="337"/>
      <c r="Y312" s="337"/>
      <c r="Z312" s="337"/>
      <c r="AA312" s="337"/>
    </row>
    <row r="313" ht="20" customHeight="1" spans="1:27">
      <c r="A313" s="190"/>
      <c r="B313" s="190"/>
      <c r="C313" s="312" t="s">
        <v>5678</v>
      </c>
      <c r="D313" s="313" t="s">
        <v>5797</v>
      </c>
      <c r="E313" s="321">
        <v>4</v>
      </c>
      <c r="F313" s="335" t="s">
        <v>1022</v>
      </c>
      <c r="G313" s="336" t="s">
        <v>39</v>
      </c>
      <c r="H313" s="190"/>
      <c r="I313" s="190"/>
      <c r="J313" s="329"/>
      <c r="K313" s="337"/>
      <c r="L313" s="337"/>
      <c r="M313" s="337"/>
      <c r="N313" s="337"/>
      <c r="O313" s="337"/>
      <c r="P313" s="337"/>
      <c r="Q313" s="337"/>
      <c r="R313" s="337"/>
      <c r="S313" s="337"/>
      <c r="T313" s="337"/>
      <c r="U313" s="337"/>
      <c r="V313" s="337"/>
      <c r="W313" s="337"/>
      <c r="X313" s="337"/>
      <c r="Y313" s="337"/>
      <c r="Z313" s="337"/>
      <c r="AA313" s="337"/>
    </row>
    <row r="314" ht="20" customHeight="1" spans="1:27">
      <c r="A314" s="190"/>
      <c r="B314" s="190"/>
      <c r="C314" s="312" t="s">
        <v>5620</v>
      </c>
      <c r="D314" s="313" t="s">
        <v>5615</v>
      </c>
      <c r="E314" s="321">
        <v>56</v>
      </c>
      <c r="F314" s="335" t="s">
        <v>1022</v>
      </c>
      <c r="G314" s="336" t="s">
        <v>39</v>
      </c>
      <c r="H314" s="190"/>
      <c r="I314" s="190"/>
      <c r="J314" s="329"/>
      <c r="K314" s="337"/>
      <c r="L314" s="337"/>
      <c r="M314" s="337"/>
      <c r="N314" s="337"/>
      <c r="O314" s="337"/>
      <c r="P314" s="337"/>
      <c r="Q314" s="337"/>
      <c r="R314" s="337"/>
      <c r="S314" s="337"/>
      <c r="T314" s="337"/>
      <c r="U314" s="337"/>
      <c r="V314" s="337"/>
      <c r="W314" s="337"/>
      <c r="X314" s="337"/>
      <c r="Y314" s="337"/>
      <c r="Z314" s="337"/>
      <c r="AA314" s="337"/>
    </row>
    <row r="315" ht="20" customHeight="1" spans="1:27">
      <c r="A315" s="190"/>
      <c r="B315" s="190"/>
      <c r="C315" s="312" t="s">
        <v>5940</v>
      </c>
      <c r="D315" s="313" t="s">
        <v>5618</v>
      </c>
      <c r="E315" s="321">
        <v>16</v>
      </c>
      <c r="F315" s="335" t="s">
        <v>1022</v>
      </c>
      <c r="G315" s="336" t="s">
        <v>39</v>
      </c>
      <c r="H315" s="190"/>
      <c r="I315" s="190"/>
      <c r="J315" s="329"/>
      <c r="K315" s="337"/>
      <c r="L315" s="337"/>
      <c r="M315" s="337"/>
      <c r="N315" s="337"/>
      <c r="O315" s="337"/>
      <c r="P315" s="337"/>
      <c r="Q315" s="337"/>
      <c r="R315" s="337"/>
      <c r="S315" s="337"/>
      <c r="T315" s="337"/>
      <c r="U315" s="337"/>
      <c r="V315" s="337"/>
      <c r="W315" s="337"/>
      <c r="X315" s="337"/>
      <c r="Y315" s="337"/>
      <c r="Z315" s="337"/>
      <c r="AA315" s="337"/>
    </row>
    <row r="316" ht="20" customHeight="1" spans="1:27">
      <c r="A316" s="190"/>
      <c r="B316" s="190"/>
      <c r="C316" s="312" t="s">
        <v>5742</v>
      </c>
      <c r="D316" s="313" t="s">
        <v>5618</v>
      </c>
      <c r="E316" s="321">
        <v>8</v>
      </c>
      <c r="F316" s="335" t="s">
        <v>1022</v>
      </c>
      <c r="G316" s="336" t="s">
        <v>39</v>
      </c>
      <c r="H316" s="190"/>
      <c r="I316" s="190"/>
      <c r="J316" s="329"/>
      <c r="K316" s="337"/>
      <c r="L316" s="337"/>
      <c r="M316" s="337"/>
      <c r="N316" s="337"/>
      <c r="O316" s="337"/>
      <c r="P316" s="337"/>
      <c r="Q316" s="337"/>
      <c r="R316" s="337"/>
      <c r="S316" s="337"/>
      <c r="T316" s="337"/>
      <c r="U316" s="337"/>
      <c r="V316" s="337"/>
      <c r="W316" s="337"/>
      <c r="X316" s="337"/>
      <c r="Y316" s="337"/>
      <c r="Z316" s="337"/>
      <c r="AA316" s="337"/>
    </row>
    <row r="317" ht="20" customHeight="1" spans="1:27">
      <c r="A317" s="190"/>
      <c r="B317" s="190"/>
      <c r="C317" s="312" t="s">
        <v>5744</v>
      </c>
      <c r="D317" s="313" t="s">
        <v>5943</v>
      </c>
      <c r="E317" s="321">
        <v>11</v>
      </c>
      <c r="F317" s="335" t="s">
        <v>1022</v>
      </c>
      <c r="G317" s="336" t="s">
        <v>39</v>
      </c>
      <c r="H317" s="190"/>
      <c r="I317" s="190"/>
      <c r="J317" s="329"/>
      <c r="K317" s="337"/>
      <c r="L317" s="337"/>
      <c r="M317" s="337"/>
      <c r="N317" s="337"/>
      <c r="O317" s="337"/>
      <c r="P317" s="337"/>
      <c r="Q317" s="337"/>
      <c r="R317" s="337"/>
      <c r="S317" s="337"/>
      <c r="T317" s="337"/>
      <c r="U317" s="337"/>
      <c r="V317" s="337"/>
      <c r="W317" s="337"/>
      <c r="X317" s="337"/>
      <c r="Y317" s="337"/>
      <c r="Z317" s="337"/>
      <c r="AA317" s="337"/>
    </row>
    <row r="318" ht="20" customHeight="1" spans="1:27">
      <c r="A318" s="190"/>
      <c r="B318" s="190"/>
      <c r="C318" s="312" t="s">
        <v>5740</v>
      </c>
      <c r="D318" s="313" t="s">
        <v>5618</v>
      </c>
      <c r="E318" s="321">
        <v>11</v>
      </c>
      <c r="F318" s="335" t="s">
        <v>1022</v>
      </c>
      <c r="G318" s="336" t="s">
        <v>39</v>
      </c>
      <c r="H318" s="190"/>
      <c r="I318" s="190"/>
      <c r="J318" s="329"/>
      <c r="K318" s="337"/>
      <c r="L318" s="337"/>
      <c r="M318" s="337"/>
      <c r="N318" s="337"/>
      <c r="O318" s="337"/>
      <c r="P318" s="337"/>
      <c r="Q318" s="337"/>
      <c r="R318" s="337"/>
      <c r="S318" s="337"/>
      <c r="T318" s="337"/>
      <c r="U318" s="337"/>
      <c r="V318" s="337"/>
      <c r="W318" s="337"/>
      <c r="X318" s="337"/>
      <c r="Y318" s="337"/>
      <c r="Z318" s="337"/>
      <c r="AA318" s="337"/>
    </row>
    <row r="319" ht="20" customHeight="1" spans="1:27">
      <c r="A319" s="190"/>
      <c r="B319" s="190"/>
      <c r="C319" s="312" t="s">
        <v>5735</v>
      </c>
      <c r="D319" s="313" t="s">
        <v>5618</v>
      </c>
      <c r="E319" s="321">
        <v>11</v>
      </c>
      <c r="F319" s="335" t="s">
        <v>1022</v>
      </c>
      <c r="G319" s="336" t="s">
        <v>39</v>
      </c>
      <c r="H319" s="190"/>
      <c r="I319" s="190"/>
      <c r="J319" s="329"/>
      <c r="K319" s="337"/>
      <c r="L319" s="337"/>
      <c r="M319" s="337"/>
      <c r="N319" s="337"/>
      <c r="O319" s="337"/>
      <c r="P319" s="337"/>
      <c r="Q319" s="337"/>
      <c r="R319" s="337"/>
      <c r="S319" s="337"/>
      <c r="T319" s="337"/>
      <c r="U319" s="337"/>
      <c r="V319" s="337"/>
      <c r="W319" s="337"/>
      <c r="X319" s="337"/>
      <c r="Y319" s="337"/>
      <c r="Z319" s="337"/>
      <c r="AA319" s="337"/>
    </row>
    <row r="320" ht="20" customHeight="1" spans="1:27">
      <c r="A320" s="190"/>
      <c r="B320" s="190"/>
      <c r="C320" s="312" t="s">
        <v>5624</v>
      </c>
      <c r="D320" s="313" t="s">
        <v>5625</v>
      </c>
      <c r="E320" s="321">
        <v>10</v>
      </c>
      <c r="F320" s="335" t="s">
        <v>1022</v>
      </c>
      <c r="G320" s="336" t="s">
        <v>39</v>
      </c>
      <c r="H320" s="190"/>
      <c r="I320" s="190"/>
      <c r="J320" s="329"/>
      <c r="K320" s="337"/>
      <c r="L320" s="337"/>
      <c r="M320" s="337"/>
      <c r="N320" s="337"/>
      <c r="O320" s="337"/>
      <c r="P320" s="337"/>
      <c r="Q320" s="337"/>
      <c r="R320" s="337"/>
      <c r="S320" s="337"/>
      <c r="T320" s="337"/>
      <c r="U320" s="337"/>
      <c r="V320" s="337"/>
      <c r="W320" s="337"/>
      <c r="X320" s="337"/>
      <c r="Y320" s="337"/>
      <c r="Z320" s="337"/>
      <c r="AA320" s="337"/>
    </row>
    <row r="321" ht="20" customHeight="1" spans="1:27">
      <c r="A321" s="190"/>
      <c r="B321" s="190"/>
      <c r="C321" s="312" t="s">
        <v>5749</v>
      </c>
      <c r="D321" s="313" t="s">
        <v>5623</v>
      </c>
      <c r="E321" s="321">
        <v>10</v>
      </c>
      <c r="F321" s="335" t="s">
        <v>1022</v>
      </c>
      <c r="G321" s="336" t="s">
        <v>39</v>
      </c>
      <c r="H321" s="190"/>
      <c r="I321" s="190"/>
      <c r="J321" s="329"/>
      <c r="K321" s="337"/>
      <c r="L321" s="337"/>
      <c r="M321" s="337"/>
      <c r="N321" s="337"/>
      <c r="O321" s="337"/>
      <c r="P321" s="337"/>
      <c r="Q321" s="337"/>
      <c r="R321" s="337"/>
      <c r="S321" s="337"/>
      <c r="T321" s="337"/>
      <c r="U321" s="337"/>
      <c r="V321" s="337"/>
      <c r="W321" s="337"/>
      <c r="X321" s="337"/>
      <c r="Y321" s="337"/>
      <c r="Z321" s="337"/>
      <c r="AA321" s="337"/>
    </row>
    <row r="322" ht="20" customHeight="1" spans="1:27">
      <c r="A322" s="190"/>
      <c r="B322" s="190"/>
      <c r="C322" s="312" t="s">
        <v>5723</v>
      </c>
      <c r="D322" s="313" t="s">
        <v>5623</v>
      </c>
      <c r="E322" s="321">
        <v>4</v>
      </c>
      <c r="F322" s="335" t="s">
        <v>1022</v>
      </c>
      <c r="G322" s="336" t="s">
        <v>39</v>
      </c>
      <c r="H322" s="190"/>
      <c r="I322" s="190"/>
      <c r="J322" s="329"/>
      <c r="K322" s="337"/>
      <c r="L322" s="337"/>
      <c r="M322" s="337"/>
      <c r="N322" s="337"/>
      <c r="O322" s="337"/>
      <c r="P322" s="337"/>
      <c r="Q322" s="337"/>
      <c r="R322" s="337"/>
      <c r="S322" s="337"/>
      <c r="T322" s="337"/>
      <c r="U322" s="337"/>
      <c r="V322" s="337"/>
      <c r="W322" s="337"/>
      <c r="X322" s="337"/>
      <c r="Y322" s="337"/>
      <c r="Z322" s="337"/>
      <c r="AA322" s="337"/>
    </row>
    <row r="323" ht="20" customHeight="1" spans="1:27">
      <c r="A323" s="190"/>
      <c r="B323" s="190"/>
      <c r="C323" s="312" t="s">
        <v>5946</v>
      </c>
      <c r="D323" s="313" t="s">
        <v>5623</v>
      </c>
      <c r="E323" s="321">
        <v>7</v>
      </c>
      <c r="F323" s="335" t="s">
        <v>1022</v>
      </c>
      <c r="G323" s="336" t="s">
        <v>39</v>
      </c>
      <c r="H323" s="190"/>
      <c r="I323" s="190"/>
      <c r="J323" s="329"/>
      <c r="K323" s="337"/>
      <c r="L323" s="337"/>
      <c r="M323" s="337"/>
      <c r="N323" s="337"/>
      <c r="O323" s="337"/>
      <c r="P323" s="337"/>
      <c r="Q323" s="337"/>
      <c r="R323" s="337"/>
      <c r="S323" s="337"/>
      <c r="T323" s="337"/>
      <c r="U323" s="337"/>
      <c r="V323" s="337"/>
      <c r="W323" s="337"/>
      <c r="X323" s="337"/>
      <c r="Y323" s="337"/>
      <c r="Z323" s="337"/>
      <c r="AA323" s="337"/>
    </row>
    <row r="324" ht="20" customHeight="1" spans="1:27">
      <c r="A324" s="190"/>
      <c r="B324" s="190"/>
      <c r="C324" s="312" t="s">
        <v>5947</v>
      </c>
      <c r="D324" s="313" t="s">
        <v>5623</v>
      </c>
      <c r="E324" s="321">
        <v>3</v>
      </c>
      <c r="F324" s="335" t="s">
        <v>1022</v>
      </c>
      <c r="G324" s="336" t="s">
        <v>39</v>
      </c>
      <c r="H324" s="190"/>
      <c r="I324" s="190"/>
      <c r="J324" s="329"/>
      <c r="K324" s="337"/>
      <c r="L324" s="337"/>
      <c r="M324" s="337"/>
      <c r="N324" s="337"/>
      <c r="O324" s="337"/>
      <c r="P324" s="337"/>
      <c r="Q324" s="337"/>
      <c r="R324" s="337"/>
      <c r="S324" s="337"/>
      <c r="T324" s="337"/>
      <c r="U324" s="337"/>
      <c r="V324" s="337"/>
      <c r="W324" s="337"/>
      <c r="X324" s="337"/>
      <c r="Y324" s="337"/>
      <c r="Z324" s="337"/>
      <c r="AA324" s="337"/>
    </row>
    <row r="325" ht="20" customHeight="1" spans="1:27">
      <c r="A325" s="190"/>
      <c r="B325" s="190"/>
      <c r="C325" s="312" t="s">
        <v>5949</v>
      </c>
      <c r="D325" s="313" t="s">
        <v>5623</v>
      </c>
      <c r="E325" s="321">
        <v>8</v>
      </c>
      <c r="F325" s="335" t="s">
        <v>1022</v>
      </c>
      <c r="G325" s="336" t="s">
        <v>39</v>
      </c>
      <c r="H325" s="190"/>
      <c r="I325" s="190"/>
      <c r="J325" s="329"/>
      <c r="K325" s="337"/>
      <c r="L325" s="337"/>
      <c r="M325" s="337"/>
      <c r="N325" s="337"/>
      <c r="O325" s="337"/>
      <c r="P325" s="337"/>
      <c r="Q325" s="337"/>
      <c r="R325" s="337"/>
      <c r="S325" s="337"/>
      <c r="T325" s="337"/>
      <c r="U325" s="337"/>
      <c r="V325" s="337"/>
      <c r="W325" s="337"/>
      <c r="X325" s="337"/>
      <c r="Y325" s="337"/>
      <c r="Z325" s="337"/>
      <c r="AA325" s="337"/>
    </row>
    <row r="326" ht="20" customHeight="1" spans="1:27">
      <c r="A326" s="190"/>
      <c r="B326" s="190"/>
      <c r="C326" s="312" t="s">
        <v>5948</v>
      </c>
      <c r="D326" s="313" t="s">
        <v>5623</v>
      </c>
      <c r="E326" s="321">
        <v>6</v>
      </c>
      <c r="F326" s="335" t="s">
        <v>1022</v>
      </c>
      <c r="G326" s="336" t="s">
        <v>39</v>
      </c>
      <c r="H326" s="190"/>
      <c r="I326" s="190"/>
      <c r="J326" s="329"/>
      <c r="K326" s="337"/>
      <c r="L326" s="337"/>
      <c r="M326" s="337"/>
      <c r="N326" s="337"/>
      <c r="O326" s="337"/>
      <c r="P326" s="337"/>
      <c r="Q326" s="337"/>
      <c r="R326" s="337"/>
      <c r="S326" s="337"/>
      <c r="T326" s="337"/>
      <c r="U326" s="337"/>
      <c r="V326" s="337"/>
      <c r="W326" s="337"/>
      <c r="X326" s="337"/>
      <c r="Y326" s="337"/>
      <c r="Z326" s="337"/>
      <c r="AA326" s="337"/>
    </row>
    <row r="327" ht="20" customHeight="1" spans="1:27">
      <c r="A327" s="190"/>
      <c r="B327" s="190"/>
      <c r="C327" s="312" t="s">
        <v>5948</v>
      </c>
      <c r="D327" s="313" t="s">
        <v>5623</v>
      </c>
      <c r="E327" s="321">
        <v>7</v>
      </c>
      <c r="F327" s="335" t="s">
        <v>1022</v>
      </c>
      <c r="G327" s="336" t="s">
        <v>39</v>
      </c>
      <c r="H327" s="190"/>
      <c r="I327" s="190"/>
      <c r="J327" s="329"/>
      <c r="K327" s="337"/>
      <c r="L327" s="337"/>
      <c r="M327" s="337"/>
      <c r="N327" s="337"/>
      <c r="O327" s="337"/>
      <c r="P327" s="337"/>
      <c r="Q327" s="337"/>
      <c r="R327" s="337"/>
      <c r="S327" s="337"/>
      <c r="T327" s="337"/>
      <c r="U327" s="337"/>
      <c r="V327" s="337"/>
      <c r="W327" s="337"/>
      <c r="X327" s="337"/>
      <c r="Y327" s="337"/>
      <c r="Z327" s="337"/>
      <c r="AA327" s="337"/>
    </row>
    <row r="328" ht="20" customHeight="1" spans="1:27">
      <c r="A328" s="190"/>
      <c r="B328" s="190"/>
      <c r="C328" s="312" t="s">
        <v>5950</v>
      </c>
      <c r="D328" s="313" t="s">
        <v>5623</v>
      </c>
      <c r="E328" s="321">
        <v>17</v>
      </c>
      <c r="F328" s="335" t="s">
        <v>1022</v>
      </c>
      <c r="G328" s="336" t="s">
        <v>39</v>
      </c>
      <c r="H328" s="190"/>
      <c r="I328" s="190"/>
      <c r="J328" s="329"/>
      <c r="K328" s="337"/>
      <c r="L328" s="337"/>
      <c r="M328" s="337"/>
      <c r="N328" s="337"/>
      <c r="O328" s="337"/>
      <c r="P328" s="337"/>
      <c r="Q328" s="337"/>
      <c r="R328" s="337"/>
      <c r="S328" s="337"/>
      <c r="T328" s="337"/>
      <c r="U328" s="337"/>
      <c r="V328" s="337"/>
      <c r="W328" s="337"/>
      <c r="X328" s="337"/>
      <c r="Y328" s="337"/>
      <c r="Z328" s="337"/>
      <c r="AA328" s="337"/>
    </row>
    <row r="329" ht="20" customHeight="1" spans="1:27">
      <c r="A329" s="190"/>
      <c r="B329" s="190"/>
      <c r="C329" s="313" t="s">
        <v>5951</v>
      </c>
      <c r="D329" s="313" t="s">
        <v>5640</v>
      </c>
      <c r="E329" s="321">
        <v>20</v>
      </c>
      <c r="F329" s="335" t="s">
        <v>1022</v>
      </c>
      <c r="G329" s="336" t="s">
        <v>39</v>
      </c>
      <c r="H329" s="190"/>
      <c r="I329" s="190"/>
      <c r="J329" s="329"/>
      <c r="K329" s="337"/>
      <c r="L329" s="337"/>
      <c r="M329" s="337"/>
      <c r="N329" s="337"/>
      <c r="O329" s="337"/>
      <c r="P329" s="337"/>
      <c r="Q329" s="337"/>
      <c r="R329" s="337"/>
      <c r="S329" s="337"/>
      <c r="T329" s="337"/>
      <c r="U329" s="337"/>
      <c r="V329" s="337"/>
      <c r="W329" s="337"/>
      <c r="X329" s="337"/>
      <c r="Y329" s="337"/>
      <c r="Z329" s="337"/>
      <c r="AA329" s="337"/>
    </row>
    <row r="330" ht="20" customHeight="1" spans="1:27">
      <c r="A330" s="190"/>
      <c r="B330" s="190"/>
      <c r="C330" s="313" t="s">
        <v>5953</v>
      </c>
      <c r="D330" s="313" t="s">
        <v>5954</v>
      </c>
      <c r="E330" s="321">
        <v>20</v>
      </c>
      <c r="F330" s="335" t="s">
        <v>1022</v>
      </c>
      <c r="G330" s="336" t="s">
        <v>39</v>
      </c>
      <c r="H330" s="190"/>
      <c r="I330" s="190"/>
      <c r="J330" s="329"/>
      <c r="K330" s="337"/>
      <c r="L330" s="337"/>
      <c r="M330" s="337"/>
      <c r="N330" s="337"/>
      <c r="O330" s="337"/>
      <c r="P330" s="337"/>
      <c r="Q330" s="337"/>
      <c r="R330" s="337"/>
      <c r="S330" s="337"/>
      <c r="T330" s="337"/>
      <c r="U330" s="337"/>
      <c r="V330" s="337"/>
      <c r="W330" s="337"/>
      <c r="X330" s="337"/>
      <c r="Y330" s="337"/>
      <c r="Z330" s="337"/>
      <c r="AA330" s="337"/>
    </row>
    <row r="331" ht="20" customHeight="1" spans="1:27">
      <c r="A331" s="190"/>
      <c r="B331" s="190"/>
      <c r="C331" s="318" t="s">
        <v>5955</v>
      </c>
      <c r="D331" s="317" t="s">
        <v>5648</v>
      </c>
      <c r="E331" s="334">
        <v>30</v>
      </c>
      <c r="F331" s="335" t="s">
        <v>1022</v>
      </c>
      <c r="G331" s="338" t="s">
        <v>39</v>
      </c>
      <c r="H331" s="190"/>
      <c r="I331" s="190"/>
      <c r="J331" s="329"/>
      <c r="K331" s="337"/>
      <c r="L331" s="337"/>
      <c r="M331" s="337"/>
      <c r="N331" s="337"/>
      <c r="O331" s="337"/>
      <c r="P331" s="337"/>
      <c r="Q331" s="337"/>
      <c r="R331" s="337"/>
      <c r="S331" s="337"/>
      <c r="T331" s="337"/>
      <c r="U331" s="337"/>
      <c r="V331" s="337"/>
      <c r="W331" s="337"/>
      <c r="X331" s="337"/>
      <c r="Y331" s="337"/>
      <c r="Z331" s="337"/>
      <c r="AA331" s="337"/>
    </row>
    <row r="332" customFormat="1" ht="20" customHeight="1" spans="1:12">
      <c r="A332" s="293" t="s">
        <v>5956</v>
      </c>
      <c r="B332" s="293" t="s">
        <v>4816</v>
      </c>
      <c r="C332" s="339">
        <v>12200101000533</v>
      </c>
      <c r="D332" s="317" t="s">
        <v>5877</v>
      </c>
      <c r="E332" s="334">
        <v>10</v>
      </c>
      <c r="F332" s="250" t="s">
        <v>2425</v>
      </c>
      <c r="G332" s="279" t="s">
        <v>18</v>
      </c>
      <c r="H332" s="280">
        <v>45798</v>
      </c>
      <c r="I332" s="344" t="s">
        <v>5957</v>
      </c>
      <c r="J332" s="329"/>
      <c r="K332" s="345"/>
      <c r="L332" s="345"/>
    </row>
    <row r="333" customFormat="1" ht="20" customHeight="1" spans="1:12">
      <c r="A333" s="293" t="s">
        <v>5956</v>
      </c>
      <c r="B333" s="190"/>
      <c r="C333" s="339">
        <v>12227000007741</v>
      </c>
      <c r="D333" s="317" t="s">
        <v>5958</v>
      </c>
      <c r="E333" s="334">
        <v>10</v>
      </c>
      <c r="F333" s="250" t="s">
        <v>2425</v>
      </c>
      <c r="G333" s="279" t="s">
        <v>18</v>
      </c>
      <c r="H333" s="190"/>
      <c r="I333" s="311"/>
      <c r="J333" s="329"/>
      <c r="K333" s="345"/>
      <c r="L333" s="345"/>
    </row>
    <row r="334" customFormat="1" ht="20" customHeight="1" spans="1:12">
      <c r="A334" s="293" t="s">
        <v>5956</v>
      </c>
      <c r="B334" s="190"/>
      <c r="C334" s="339">
        <v>11002015018873</v>
      </c>
      <c r="D334" s="317" t="s">
        <v>5552</v>
      </c>
      <c r="E334" s="334">
        <v>6</v>
      </c>
      <c r="F334" s="250" t="s">
        <v>2425</v>
      </c>
      <c r="G334" s="279" t="s">
        <v>18</v>
      </c>
      <c r="H334" s="190"/>
      <c r="I334" s="311"/>
      <c r="J334" s="329"/>
      <c r="K334" s="345"/>
      <c r="L334" s="345"/>
    </row>
    <row r="335" customFormat="1" ht="20" customHeight="1" spans="1:12">
      <c r="A335" s="293" t="s">
        <v>5956</v>
      </c>
      <c r="B335" s="190"/>
      <c r="C335" s="339">
        <v>17122300007694</v>
      </c>
      <c r="D335" s="317" t="s">
        <v>5959</v>
      </c>
      <c r="E335" s="334">
        <v>15</v>
      </c>
      <c r="F335" s="250" t="s">
        <v>2425</v>
      </c>
      <c r="G335" s="279" t="s">
        <v>18</v>
      </c>
      <c r="H335" s="190"/>
      <c r="I335" s="311"/>
      <c r="J335" s="329"/>
      <c r="K335" s="345"/>
      <c r="L335" s="345"/>
    </row>
    <row r="336" customFormat="1" ht="20" customHeight="1" spans="1:12">
      <c r="A336" s="293" t="s">
        <v>5956</v>
      </c>
      <c r="B336" s="190"/>
      <c r="C336" s="339">
        <v>11001011002589</v>
      </c>
      <c r="D336" s="317" t="s">
        <v>5913</v>
      </c>
      <c r="E336" s="334">
        <v>5</v>
      </c>
      <c r="F336" s="250" t="s">
        <v>2425</v>
      </c>
      <c r="G336" s="279" t="s">
        <v>18</v>
      </c>
      <c r="H336" s="190"/>
      <c r="I336" s="311"/>
      <c r="J336" s="329"/>
      <c r="K336" s="345"/>
      <c r="L336" s="345"/>
    </row>
    <row r="337" customFormat="1" ht="20" customHeight="1" spans="1:12">
      <c r="A337" s="293" t="s">
        <v>5956</v>
      </c>
      <c r="B337" s="190"/>
      <c r="C337" s="339">
        <v>11002015018873</v>
      </c>
      <c r="D337" s="317" t="s">
        <v>5552</v>
      </c>
      <c r="E337" s="334">
        <v>4</v>
      </c>
      <c r="F337" s="250" t="s">
        <v>2425</v>
      </c>
      <c r="G337" s="279" t="s">
        <v>18</v>
      </c>
      <c r="H337" s="190"/>
      <c r="I337" s="311"/>
      <c r="J337" s="329"/>
      <c r="K337" s="345"/>
      <c r="L337" s="345"/>
    </row>
    <row r="338" customFormat="1" ht="20" customHeight="1" spans="1:12">
      <c r="A338" s="293" t="s">
        <v>5956</v>
      </c>
      <c r="B338" s="190"/>
      <c r="C338" s="339">
        <v>11201007000039</v>
      </c>
      <c r="D338" s="317" t="s">
        <v>5539</v>
      </c>
      <c r="E338" s="334">
        <v>30</v>
      </c>
      <c r="F338" s="250" t="s">
        <v>2425</v>
      </c>
      <c r="G338" s="279" t="s">
        <v>18</v>
      </c>
      <c r="H338" s="190"/>
      <c r="I338" s="311"/>
      <c r="J338" s="329"/>
      <c r="K338" s="345"/>
      <c r="L338" s="345"/>
    </row>
    <row r="339" customFormat="1" ht="20" customHeight="1" spans="1:12">
      <c r="A339" s="293" t="s">
        <v>5956</v>
      </c>
      <c r="B339" s="190"/>
      <c r="C339" s="339">
        <v>11201007003438</v>
      </c>
      <c r="D339" s="317" t="s">
        <v>5539</v>
      </c>
      <c r="E339" s="334">
        <v>10</v>
      </c>
      <c r="F339" s="250" t="s">
        <v>2425</v>
      </c>
      <c r="G339" s="279" t="s">
        <v>18</v>
      </c>
      <c r="H339" s="190"/>
      <c r="I339" s="311"/>
      <c r="J339" s="329"/>
      <c r="K339" s="345"/>
      <c r="L339" s="345"/>
    </row>
    <row r="340" customFormat="1" ht="20" customHeight="1" spans="1:12">
      <c r="A340" s="293" t="s">
        <v>5956</v>
      </c>
      <c r="B340" s="190"/>
      <c r="C340" s="339">
        <v>12100204002779</v>
      </c>
      <c r="D340" s="317" t="s">
        <v>5960</v>
      </c>
      <c r="E340" s="334">
        <v>10</v>
      </c>
      <c r="F340" s="250" t="s">
        <v>2425</v>
      </c>
      <c r="G340" s="279" t="s">
        <v>18</v>
      </c>
      <c r="H340" s="190"/>
      <c r="I340" s="311"/>
      <c r="J340" s="329"/>
      <c r="K340" s="345"/>
      <c r="L340" s="345"/>
    </row>
    <row r="341" customFormat="1" ht="20" customHeight="1" spans="1:12">
      <c r="A341" s="293" t="s">
        <v>5956</v>
      </c>
      <c r="B341" s="190"/>
      <c r="C341" s="339">
        <v>17122300007693</v>
      </c>
      <c r="D341" s="317" t="s">
        <v>5543</v>
      </c>
      <c r="E341" s="334">
        <v>15</v>
      </c>
      <c r="F341" s="250" t="s">
        <v>2425</v>
      </c>
      <c r="G341" s="279" t="s">
        <v>18</v>
      </c>
      <c r="H341" s="190"/>
      <c r="I341" s="311"/>
      <c r="J341" s="329"/>
      <c r="K341" s="345"/>
      <c r="L341" s="345"/>
    </row>
    <row r="342" ht="20" customHeight="1" spans="1:27">
      <c r="A342" s="293" t="s">
        <v>5956</v>
      </c>
      <c r="B342" s="190"/>
      <c r="C342" s="339" t="s">
        <v>5961</v>
      </c>
      <c r="D342" s="317" t="s">
        <v>5962</v>
      </c>
      <c r="E342" s="334">
        <v>30</v>
      </c>
      <c r="F342" s="250" t="s">
        <v>2425</v>
      </c>
      <c r="G342" s="279" t="s">
        <v>18</v>
      </c>
      <c r="H342" s="190"/>
      <c r="I342" s="311"/>
      <c r="J342" s="329"/>
      <c r="K342" s="337"/>
      <c r="L342" s="337"/>
      <c r="M342" s="337"/>
      <c r="N342" s="337"/>
      <c r="O342" s="337"/>
      <c r="P342" s="337"/>
      <c r="Q342" s="337"/>
      <c r="R342" s="337"/>
      <c r="S342" s="337"/>
      <c r="T342" s="337"/>
      <c r="U342" s="337"/>
      <c r="V342" s="337"/>
      <c r="W342" s="337"/>
      <c r="X342" s="337"/>
      <c r="Y342" s="337"/>
      <c r="Z342" s="337"/>
      <c r="AA342" s="337"/>
    </row>
    <row r="343" ht="20" customHeight="1" spans="1:27">
      <c r="A343" s="293" t="s">
        <v>5956</v>
      </c>
      <c r="B343" s="190"/>
      <c r="C343" s="339">
        <v>17400511000026</v>
      </c>
      <c r="D343" s="317" t="s">
        <v>5963</v>
      </c>
      <c r="E343" s="334">
        <v>20</v>
      </c>
      <c r="F343" s="250" t="s">
        <v>2425</v>
      </c>
      <c r="G343" s="279" t="s">
        <v>18</v>
      </c>
      <c r="H343" s="190"/>
      <c r="I343" s="311"/>
      <c r="J343" s="329"/>
      <c r="K343" s="337"/>
      <c r="L343" s="337"/>
      <c r="M343" s="337"/>
      <c r="N343" s="337"/>
      <c r="O343" s="337"/>
      <c r="P343" s="337"/>
      <c r="Q343" s="337"/>
      <c r="R343" s="337"/>
      <c r="S343" s="337"/>
      <c r="T343" s="337"/>
      <c r="U343" s="337"/>
      <c r="V343" s="337"/>
      <c r="W343" s="337"/>
      <c r="X343" s="337"/>
      <c r="Y343" s="337"/>
      <c r="Z343" s="337"/>
      <c r="AA343" s="337"/>
    </row>
    <row r="344" ht="20" customHeight="1" spans="1:27">
      <c r="A344" s="293" t="s">
        <v>5956</v>
      </c>
      <c r="B344" s="192"/>
      <c r="C344" s="339">
        <v>17400516000035</v>
      </c>
      <c r="D344" s="317" t="s">
        <v>5836</v>
      </c>
      <c r="E344" s="334">
        <v>10</v>
      </c>
      <c r="F344" s="293" t="s">
        <v>2425</v>
      </c>
      <c r="G344" s="251" t="s">
        <v>18</v>
      </c>
      <c r="H344" s="190"/>
      <c r="I344" s="311"/>
      <c r="J344" s="329"/>
      <c r="K344" s="337"/>
      <c r="L344" s="337"/>
      <c r="M344" s="337"/>
      <c r="N344" s="337"/>
      <c r="O344" s="337"/>
      <c r="P344" s="337"/>
      <c r="Q344" s="337"/>
      <c r="R344" s="337"/>
      <c r="S344" s="337"/>
      <c r="T344" s="337"/>
      <c r="U344" s="337"/>
      <c r="V344" s="337"/>
      <c r="W344" s="337"/>
      <c r="X344" s="337"/>
      <c r="Y344" s="337"/>
      <c r="Z344" s="337"/>
      <c r="AA344" s="337"/>
    </row>
    <row r="345" customFormat="1" ht="20" customHeight="1" spans="1:12">
      <c r="A345" s="293" t="s">
        <v>5956</v>
      </c>
      <c r="B345" s="293" t="s">
        <v>4813</v>
      </c>
      <c r="C345" s="340">
        <v>12100102000957</v>
      </c>
      <c r="D345" s="317" t="s">
        <v>5898</v>
      </c>
      <c r="E345" s="317">
        <v>20</v>
      </c>
      <c r="F345" s="250" t="s">
        <v>2420</v>
      </c>
      <c r="G345" s="279" t="s">
        <v>18</v>
      </c>
      <c r="H345" s="280">
        <v>45798</v>
      </c>
      <c r="I345" s="344" t="s">
        <v>5957</v>
      </c>
      <c r="J345" s="329"/>
      <c r="K345" s="345"/>
      <c r="L345" s="345"/>
    </row>
    <row r="346" customFormat="1" ht="20" customHeight="1" spans="1:12">
      <c r="A346" s="293" t="s">
        <v>5956</v>
      </c>
      <c r="B346" s="190"/>
      <c r="C346" s="340">
        <v>12100105000006</v>
      </c>
      <c r="D346" s="317" t="s">
        <v>5602</v>
      </c>
      <c r="E346" s="317">
        <v>10</v>
      </c>
      <c r="F346" s="250" t="s">
        <v>2420</v>
      </c>
      <c r="G346" s="279" t="s">
        <v>18</v>
      </c>
      <c r="H346" s="190"/>
      <c r="I346" s="311"/>
      <c r="J346" s="329"/>
      <c r="K346" s="345"/>
      <c r="L346" s="345"/>
    </row>
    <row r="347" customFormat="1" ht="20" customHeight="1" spans="1:12">
      <c r="A347" s="293" t="s">
        <v>5956</v>
      </c>
      <c r="B347" s="190"/>
      <c r="C347" s="340">
        <v>12127000001016</v>
      </c>
      <c r="D347" s="317" t="s">
        <v>5964</v>
      </c>
      <c r="E347" s="317">
        <v>10</v>
      </c>
      <c r="F347" s="250" t="s">
        <v>2420</v>
      </c>
      <c r="G347" s="279" t="s">
        <v>18</v>
      </c>
      <c r="H347" s="190"/>
      <c r="I347" s="311"/>
      <c r="J347" s="329"/>
      <c r="K347" s="345"/>
      <c r="L347" s="345"/>
    </row>
    <row r="348" customFormat="1" ht="20" customHeight="1" spans="1:12">
      <c r="A348" s="293" t="s">
        <v>5956</v>
      </c>
      <c r="B348" s="190"/>
      <c r="C348" s="340">
        <v>11002010000546</v>
      </c>
      <c r="D348" s="317" t="s">
        <v>5561</v>
      </c>
      <c r="E348" s="317">
        <v>20</v>
      </c>
      <c r="F348" s="250" t="s">
        <v>2420</v>
      </c>
      <c r="G348" s="279" t="s">
        <v>18</v>
      </c>
      <c r="H348" s="190"/>
      <c r="I348" s="311"/>
      <c r="J348" s="329"/>
      <c r="K348" s="345"/>
      <c r="L348" s="345"/>
    </row>
    <row r="349" customFormat="1" ht="20" customHeight="1" spans="1:12">
      <c r="A349" s="293" t="s">
        <v>5956</v>
      </c>
      <c r="B349" s="190"/>
      <c r="C349" s="340">
        <v>11201007000328</v>
      </c>
      <c r="D349" s="317" t="s">
        <v>5571</v>
      </c>
      <c r="E349" s="317">
        <v>30</v>
      </c>
      <c r="F349" s="250" t="s">
        <v>2420</v>
      </c>
      <c r="G349" s="279" t="s">
        <v>18</v>
      </c>
      <c r="H349" s="190"/>
      <c r="I349" s="311"/>
      <c r="J349" s="329"/>
      <c r="K349" s="345"/>
      <c r="L349" s="345"/>
    </row>
    <row r="350" customFormat="1" ht="20" customHeight="1" spans="1:12">
      <c r="A350" s="293" t="s">
        <v>5956</v>
      </c>
      <c r="B350" s="190"/>
      <c r="C350" s="340">
        <v>11201007000382</v>
      </c>
      <c r="D350" s="317" t="s">
        <v>5571</v>
      </c>
      <c r="E350" s="317">
        <v>10</v>
      </c>
      <c r="F350" s="250" t="s">
        <v>2420</v>
      </c>
      <c r="G350" s="279" t="s">
        <v>18</v>
      </c>
      <c r="H350" s="190"/>
      <c r="I350" s="311"/>
      <c r="J350" s="329"/>
      <c r="K350" s="345"/>
      <c r="L350" s="345"/>
    </row>
    <row r="351" customFormat="1" ht="20" customHeight="1" spans="1:12">
      <c r="A351" s="293" t="s">
        <v>5956</v>
      </c>
      <c r="B351" s="190"/>
      <c r="C351" s="340">
        <v>11201007003440</v>
      </c>
      <c r="D351" s="317" t="s">
        <v>5539</v>
      </c>
      <c r="E351" s="317">
        <v>30</v>
      </c>
      <c r="F351" s="250" t="s">
        <v>2420</v>
      </c>
      <c r="G351" s="279" t="s">
        <v>18</v>
      </c>
      <c r="H351" s="190"/>
      <c r="I351" s="311"/>
      <c r="J351" s="329"/>
      <c r="K351" s="345"/>
      <c r="L351" s="345"/>
    </row>
    <row r="352" customFormat="1" ht="20" customHeight="1" spans="1:12">
      <c r="A352" s="293" t="s">
        <v>5956</v>
      </c>
      <c r="B352" s="190"/>
      <c r="C352" s="340">
        <v>11201007004043</v>
      </c>
      <c r="D352" s="317" t="s">
        <v>5575</v>
      </c>
      <c r="E352" s="317">
        <v>10</v>
      </c>
      <c r="F352" s="250" t="s">
        <v>2420</v>
      </c>
      <c r="G352" s="279" t="s">
        <v>18</v>
      </c>
      <c r="H352" s="190"/>
      <c r="I352" s="311"/>
      <c r="J352" s="329"/>
      <c r="K352" s="345"/>
      <c r="L352" s="345"/>
    </row>
    <row r="353" customFormat="1" ht="20" customHeight="1" spans="1:12">
      <c r="A353" s="293" t="s">
        <v>5956</v>
      </c>
      <c r="B353" s="190"/>
      <c r="C353" s="340">
        <v>11201007005723</v>
      </c>
      <c r="D353" s="317" t="s">
        <v>5571</v>
      </c>
      <c r="E353" s="317">
        <v>40</v>
      </c>
      <c r="F353" s="250" t="s">
        <v>2420</v>
      </c>
      <c r="G353" s="279" t="s">
        <v>18</v>
      </c>
      <c r="H353" s="190"/>
      <c r="I353" s="311"/>
      <c r="J353" s="329"/>
      <c r="K353" s="345"/>
      <c r="L353" s="345"/>
    </row>
    <row r="354" customFormat="1" ht="20" customHeight="1" spans="1:12">
      <c r="A354" s="293" t="s">
        <v>5956</v>
      </c>
      <c r="B354" s="190"/>
      <c r="C354" s="340">
        <v>11201007005724</v>
      </c>
      <c r="D354" s="317" t="s">
        <v>5571</v>
      </c>
      <c r="E354" s="317">
        <v>30</v>
      </c>
      <c r="F354" s="250" t="s">
        <v>2420</v>
      </c>
      <c r="G354" s="279" t="s">
        <v>18</v>
      </c>
      <c r="H354" s="190"/>
      <c r="I354" s="311"/>
      <c r="J354" s="329"/>
      <c r="K354" s="345"/>
      <c r="L354" s="345"/>
    </row>
    <row r="355" customFormat="1" ht="20" customHeight="1" spans="1:12">
      <c r="A355" s="293" t="s">
        <v>5956</v>
      </c>
      <c r="B355" s="190"/>
      <c r="C355" s="340">
        <v>12100102000956</v>
      </c>
      <c r="D355" s="317" t="s">
        <v>5898</v>
      </c>
      <c r="E355" s="317">
        <v>20</v>
      </c>
      <c r="F355" s="250" t="s">
        <v>2420</v>
      </c>
      <c r="G355" s="279" t="s">
        <v>18</v>
      </c>
      <c r="H355" s="190"/>
      <c r="I355" s="311"/>
      <c r="J355" s="329"/>
      <c r="K355" s="345"/>
      <c r="L355" s="345"/>
    </row>
    <row r="356" customFormat="1" ht="20" customHeight="1" spans="1:12">
      <c r="A356" s="293" t="s">
        <v>5956</v>
      </c>
      <c r="B356" s="190"/>
      <c r="C356" s="340">
        <v>12100102001136</v>
      </c>
      <c r="D356" s="317" t="s">
        <v>5898</v>
      </c>
      <c r="E356" s="317">
        <v>20</v>
      </c>
      <c r="F356" s="250" t="s">
        <v>2420</v>
      </c>
      <c r="G356" s="279" t="s">
        <v>18</v>
      </c>
      <c r="H356" s="190"/>
      <c r="I356" s="311"/>
      <c r="J356" s="329"/>
      <c r="K356" s="345"/>
      <c r="L356" s="345"/>
    </row>
    <row r="357" customFormat="1" ht="20" customHeight="1" spans="1:12">
      <c r="A357" s="293" t="s">
        <v>5956</v>
      </c>
      <c r="B357" s="190"/>
      <c r="C357" s="340">
        <v>12126000003524</v>
      </c>
      <c r="D357" s="317" t="s">
        <v>5965</v>
      </c>
      <c r="E357" s="317">
        <v>20</v>
      </c>
      <c r="F357" s="250" t="s">
        <v>2420</v>
      </c>
      <c r="G357" s="279" t="s">
        <v>18</v>
      </c>
      <c r="H357" s="190"/>
      <c r="I357" s="311"/>
      <c r="J357" s="329"/>
      <c r="K357" s="345"/>
      <c r="L357" s="345"/>
    </row>
    <row r="358" customFormat="1" ht="20" customHeight="1" spans="1:12">
      <c r="A358" s="293" t="s">
        <v>5956</v>
      </c>
      <c r="B358" s="190"/>
      <c r="C358" s="340">
        <v>12126000003527</v>
      </c>
      <c r="D358" s="317" t="s">
        <v>5965</v>
      </c>
      <c r="E358" s="317">
        <v>20</v>
      </c>
      <c r="F358" s="250" t="s">
        <v>2420</v>
      </c>
      <c r="G358" s="279" t="s">
        <v>18</v>
      </c>
      <c r="H358" s="190"/>
      <c r="I358" s="311"/>
      <c r="J358" s="329"/>
      <c r="K358" s="345"/>
      <c r="L358" s="345"/>
    </row>
    <row r="359" customFormat="1" ht="20" customHeight="1" spans="1:12">
      <c r="A359" s="293" t="s">
        <v>5956</v>
      </c>
      <c r="B359" s="190"/>
      <c r="C359" s="340">
        <v>12126000003824</v>
      </c>
      <c r="D359" s="317" t="s">
        <v>5965</v>
      </c>
      <c r="E359" s="317">
        <v>20</v>
      </c>
      <c r="F359" s="250" t="s">
        <v>2420</v>
      </c>
      <c r="G359" s="279" t="s">
        <v>18</v>
      </c>
      <c r="H359" s="190"/>
      <c r="I359" s="311"/>
      <c r="J359" s="329"/>
      <c r="K359" s="345"/>
      <c r="L359" s="345"/>
    </row>
    <row r="360" customFormat="1" ht="20" customHeight="1" spans="1:12">
      <c r="A360" s="293" t="s">
        <v>5956</v>
      </c>
      <c r="B360" s="190"/>
      <c r="C360" s="340">
        <v>17400516000032</v>
      </c>
      <c r="D360" s="317" t="s">
        <v>5836</v>
      </c>
      <c r="E360" s="317">
        <v>10</v>
      </c>
      <c r="F360" s="250" t="s">
        <v>2420</v>
      </c>
      <c r="G360" s="279" t="s">
        <v>18</v>
      </c>
      <c r="H360" s="190"/>
      <c r="I360" s="311"/>
      <c r="J360" s="329"/>
      <c r="K360" s="345"/>
      <c r="L360" s="345"/>
    </row>
    <row r="361" customFormat="1" ht="20" customHeight="1" spans="1:12">
      <c r="A361" s="293" t="s">
        <v>5956</v>
      </c>
      <c r="B361" s="190"/>
      <c r="C361" s="340">
        <v>12122000033586</v>
      </c>
      <c r="D361" s="317" t="s">
        <v>5657</v>
      </c>
      <c r="E361" s="317">
        <v>3</v>
      </c>
      <c r="F361" s="250" t="s">
        <v>2420</v>
      </c>
      <c r="G361" s="279" t="s">
        <v>18</v>
      </c>
      <c r="H361" s="190"/>
      <c r="I361" s="311"/>
      <c r="J361" s="329"/>
      <c r="K361" s="345"/>
      <c r="L361" s="345"/>
    </row>
    <row r="362" customFormat="1" ht="20" customHeight="1" spans="1:12">
      <c r="A362" s="293" t="s">
        <v>5956</v>
      </c>
      <c r="B362" s="190"/>
      <c r="C362" s="340">
        <v>12122000033586</v>
      </c>
      <c r="D362" s="317" t="s">
        <v>5657</v>
      </c>
      <c r="E362" s="317">
        <v>2</v>
      </c>
      <c r="F362" s="250" t="s">
        <v>2420</v>
      </c>
      <c r="G362" s="279" t="s">
        <v>18</v>
      </c>
      <c r="H362" s="190"/>
      <c r="I362" s="311"/>
      <c r="J362" s="329"/>
      <c r="K362" s="345"/>
      <c r="L362" s="345"/>
    </row>
    <row r="363" customFormat="1" ht="20" customHeight="1" spans="1:12">
      <c r="A363" s="293" t="s">
        <v>5956</v>
      </c>
      <c r="B363" s="190"/>
      <c r="C363" s="340" t="s">
        <v>5966</v>
      </c>
      <c r="D363" s="317" t="s">
        <v>5543</v>
      </c>
      <c r="E363" s="317">
        <v>40</v>
      </c>
      <c r="F363" s="250" t="s">
        <v>2420</v>
      </c>
      <c r="G363" s="279" t="s">
        <v>18</v>
      </c>
      <c r="H363" s="190"/>
      <c r="I363" s="311"/>
      <c r="J363" s="329"/>
      <c r="K363" s="345"/>
      <c r="L363" s="345"/>
    </row>
    <row r="364" customFormat="1" ht="20" customHeight="1" spans="1:12">
      <c r="A364" s="293" t="s">
        <v>5956</v>
      </c>
      <c r="B364" s="190"/>
      <c r="C364" s="340" t="s">
        <v>5967</v>
      </c>
      <c r="D364" s="317" t="s">
        <v>5543</v>
      </c>
      <c r="E364" s="317">
        <v>40</v>
      </c>
      <c r="F364" s="250" t="s">
        <v>2420</v>
      </c>
      <c r="G364" s="279" t="s">
        <v>18</v>
      </c>
      <c r="H364" s="190"/>
      <c r="I364" s="311"/>
      <c r="J364" s="329"/>
      <c r="K364" s="345"/>
      <c r="L364" s="345"/>
    </row>
    <row r="365" customFormat="1" ht="20" customHeight="1" spans="1:12">
      <c r="A365" s="293" t="s">
        <v>5956</v>
      </c>
      <c r="B365" s="190"/>
      <c r="C365" s="340" t="s">
        <v>5968</v>
      </c>
      <c r="D365" s="317" t="s">
        <v>5543</v>
      </c>
      <c r="E365" s="317">
        <v>40</v>
      </c>
      <c r="F365" s="250" t="s">
        <v>2420</v>
      </c>
      <c r="G365" s="279" t="s">
        <v>18</v>
      </c>
      <c r="H365" s="190"/>
      <c r="I365" s="311"/>
      <c r="J365" s="329"/>
      <c r="K365" s="345"/>
      <c r="L365" s="345"/>
    </row>
    <row r="366" customFormat="1" ht="20" customHeight="1" spans="1:12">
      <c r="A366" s="293" t="s">
        <v>5956</v>
      </c>
      <c r="B366" s="190"/>
      <c r="C366" s="340">
        <v>17227000004801</v>
      </c>
      <c r="D366" s="317" t="s">
        <v>5969</v>
      </c>
      <c r="E366" s="317">
        <v>20</v>
      </c>
      <c r="F366" s="250" t="s">
        <v>2420</v>
      </c>
      <c r="G366" s="279" t="s">
        <v>18</v>
      </c>
      <c r="H366" s="190"/>
      <c r="I366" s="311"/>
      <c r="J366" s="329"/>
      <c r="K366" s="345"/>
      <c r="L366" s="345"/>
    </row>
    <row r="367" customFormat="1" ht="20" customHeight="1" spans="1:12">
      <c r="A367" s="293" t="s">
        <v>5956</v>
      </c>
      <c r="B367" s="190"/>
      <c r="C367" s="340" t="s">
        <v>5970</v>
      </c>
      <c r="D367" s="317" t="s">
        <v>5971</v>
      </c>
      <c r="E367" s="317">
        <v>100</v>
      </c>
      <c r="F367" s="250" t="s">
        <v>2420</v>
      </c>
      <c r="G367" s="279" t="s">
        <v>18</v>
      </c>
      <c r="H367" s="190"/>
      <c r="I367" s="311"/>
      <c r="J367" s="329"/>
      <c r="K367" s="345"/>
      <c r="L367" s="345"/>
    </row>
    <row r="368" customFormat="1" ht="20" customHeight="1" spans="1:12">
      <c r="A368" s="293" t="s">
        <v>5956</v>
      </c>
      <c r="B368" s="190"/>
      <c r="C368" s="340">
        <v>11002015018272</v>
      </c>
      <c r="D368" s="317" t="s">
        <v>5552</v>
      </c>
      <c r="E368" s="317">
        <v>20</v>
      </c>
      <c r="F368" s="250" t="s">
        <v>2420</v>
      </c>
      <c r="G368" s="279" t="s">
        <v>18</v>
      </c>
      <c r="H368" s="190"/>
      <c r="I368" s="311"/>
      <c r="J368" s="329"/>
      <c r="K368" s="345"/>
      <c r="L368" s="345"/>
    </row>
    <row r="369" customFormat="1" ht="20" customHeight="1" spans="1:12">
      <c r="A369" s="293" t="s">
        <v>5956</v>
      </c>
      <c r="B369" s="190"/>
      <c r="C369" s="340" t="s">
        <v>5892</v>
      </c>
      <c r="D369" s="317" t="s">
        <v>5972</v>
      </c>
      <c r="E369" s="317">
        <v>20</v>
      </c>
      <c r="F369" s="250" t="s">
        <v>2420</v>
      </c>
      <c r="G369" s="279" t="s">
        <v>18</v>
      </c>
      <c r="H369" s="190"/>
      <c r="I369" s="311"/>
      <c r="J369" s="329"/>
      <c r="K369" s="345"/>
      <c r="L369" s="345"/>
    </row>
    <row r="370" customFormat="1" ht="20" customHeight="1" spans="1:12">
      <c r="A370" s="293" t="s">
        <v>5956</v>
      </c>
      <c r="B370" s="190"/>
      <c r="C370" s="340">
        <v>12122000031510</v>
      </c>
      <c r="D370" s="317" t="s">
        <v>5657</v>
      </c>
      <c r="E370" s="317">
        <v>5</v>
      </c>
      <c r="F370" s="250" t="s">
        <v>2420</v>
      </c>
      <c r="G370" s="279" t="s">
        <v>18</v>
      </c>
      <c r="H370" s="190"/>
      <c r="I370" s="311"/>
      <c r="J370" s="329"/>
      <c r="K370" s="345"/>
      <c r="L370" s="345"/>
    </row>
    <row r="371" customFormat="1" ht="20" customHeight="1" spans="1:12">
      <c r="A371" s="293" t="s">
        <v>5956</v>
      </c>
      <c r="B371" s="190"/>
      <c r="C371" s="340">
        <v>12122000031518</v>
      </c>
      <c r="D371" s="317" t="s">
        <v>5657</v>
      </c>
      <c r="E371" s="317">
        <v>5</v>
      </c>
      <c r="F371" s="250" t="s">
        <v>2420</v>
      </c>
      <c r="G371" s="279" t="s">
        <v>18</v>
      </c>
      <c r="H371" s="190"/>
      <c r="I371" s="311"/>
      <c r="J371" s="329"/>
      <c r="K371" s="345"/>
      <c r="L371" s="345"/>
    </row>
    <row r="372" customFormat="1" ht="20" customHeight="1" spans="1:12">
      <c r="A372" s="293" t="s">
        <v>5956</v>
      </c>
      <c r="B372" s="190"/>
      <c r="C372" s="340">
        <v>11002010001286</v>
      </c>
      <c r="D372" s="317" t="s">
        <v>5561</v>
      </c>
      <c r="E372" s="317">
        <v>20</v>
      </c>
      <c r="F372" s="250" t="s">
        <v>2420</v>
      </c>
      <c r="G372" s="279" t="s">
        <v>18</v>
      </c>
      <c r="H372" s="190"/>
      <c r="I372" s="311"/>
      <c r="J372" s="329"/>
      <c r="K372" s="345"/>
      <c r="L372" s="345"/>
    </row>
    <row r="373" customFormat="1" ht="20" customHeight="1" spans="1:12">
      <c r="A373" s="293" t="s">
        <v>5956</v>
      </c>
      <c r="B373" s="190"/>
      <c r="C373" s="340">
        <v>11002015000104</v>
      </c>
      <c r="D373" s="317" t="s">
        <v>5552</v>
      </c>
      <c r="E373" s="317">
        <v>20</v>
      </c>
      <c r="F373" s="250" t="s">
        <v>2420</v>
      </c>
      <c r="G373" s="279" t="s">
        <v>18</v>
      </c>
      <c r="H373" s="190"/>
      <c r="I373" s="311"/>
      <c r="J373" s="329"/>
      <c r="K373" s="345"/>
      <c r="L373" s="345"/>
    </row>
    <row r="374" customFormat="1" ht="20" customHeight="1" spans="1:12">
      <c r="A374" s="293" t="s">
        <v>5956</v>
      </c>
      <c r="B374" s="190"/>
      <c r="C374" s="340">
        <v>11002015016132</v>
      </c>
      <c r="D374" s="317" t="s">
        <v>5552</v>
      </c>
      <c r="E374" s="317">
        <v>40</v>
      </c>
      <c r="F374" s="250" t="s">
        <v>2420</v>
      </c>
      <c r="G374" s="279" t="s">
        <v>18</v>
      </c>
      <c r="H374" s="190"/>
      <c r="I374" s="311"/>
      <c r="J374" s="329"/>
      <c r="K374" s="345"/>
      <c r="L374" s="345"/>
    </row>
    <row r="375" customFormat="1" ht="20" customHeight="1" spans="1:12">
      <c r="A375" s="293" t="s">
        <v>5956</v>
      </c>
      <c r="B375" s="26"/>
      <c r="C375" s="340">
        <v>11201007000164</v>
      </c>
      <c r="D375" s="317" t="s">
        <v>5571</v>
      </c>
      <c r="E375" s="317">
        <v>30</v>
      </c>
      <c r="F375" s="250" t="s">
        <v>2420</v>
      </c>
      <c r="G375" s="279" t="s">
        <v>18</v>
      </c>
      <c r="H375" s="26"/>
      <c r="I375" s="311"/>
      <c r="J375" s="329"/>
      <c r="K375" s="345"/>
      <c r="L375" s="345"/>
    </row>
    <row r="376" customFormat="1" ht="20" customHeight="1" spans="1:12">
      <c r="A376" s="293" t="s">
        <v>5956</v>
      </c>
      <c r="B376" s="190"/>
      <c r="C376" s="340">
        <v>11201007000165</v>
      </c>
      <c r="D376" s="317" t="s">
        <v>5571</v>
      </c>
      <c r="E376" s="317">
        <v>30</v>
      </c>
      <c r="F376" s="250" t="s">
        <v>2420</v>
      </c>
      <c r="G376" s="279" t="s">
        <v>18</v>
      </c>
      <c r="H376" s="190"/>
      <c r="I376" s="311"/>
      <c r="J376" s="329"/>
      <c r="K376" s="345"/>
      <c r="L376" s="345"/>
    </row>
    <row r="377" customFormat="1" ht="20" customHeight="1" spans="1:12">
      <c r="A377" s="293" t="s">
        <v>5956</v>
      </c>
      <c r="B377" s="190"/>
      <c r="C377" s="341">
        <v>11201007000352</v>
      </c>
      <c r="D377" s="317" t="s">
        <v>5575</v>
      </c>
      <c r="E377" s="317">
        <v>20</v>
      </c>
      <c r="F377" s="250" t="s">
        <v>2420</v>
      </c>
      <c r="G377" s="279" t="s">
        <v>18</v>
      </c>
      <c r="H377" s="190"/>
      <c r="I377" s="311"/>
      <c r="J377" s="329"/>
      <c r="K377" s="345"/>
      <c r="L377" s="345"/>
    </row>
    <row r="378" customFormat="1" ht="20" customHeight="1" spans="1:12">
      <c r="A378" s="293" t="s">
        <v>5956</v>
      </c>
      <c r="B378" s="190"/>
      <c r="C378" s="340">
        <v>12126000000144</v>
      </c>
      <c r="D378" s="317" t="s">
        <v>5973</v>
      </c>
      <c r="E378" s="317">
        <v>10</v>
      </c>
      <c r="F378" s="250" t="s">
        <v>2420</v>
      </c>
      <c r="G378" s="279" t="s">
        <v>18</v>
      </c>
      <c r="H378" s="190"/>
      <c r="I378" s="311"/>
      <c r="J378" s="329"/>
      <c r="K378" s="345"/>
      <c r="L378" s="345"/>
    </row>
    <row r="379" customFormat="1" ht="20" customHeight="1" spans="1:12">
      <c r="A379" s="293" t="s">
        <v>5956</v>
      </c>
      <c r="B379" s="190"/>
      <c r="C379" s="340">
        <v>12126000003868</v>
      </c>
      <c r="D379" s="317" t="s">
        <v>5974</v>
      </c>
      <c r="E379" s="317">
        <v>5</v>
      </c>
      <c r="F379" s="250" t="s">
        <v>2420</v>
      </c>
      <c r="G379" s="279" t="s">
        <v>18</v>
      </c>
      <c r="H379" s="190"/>
      <c r="I379" s="311"/>
      <c r="J379" s="329"/>
      <c r="K379" s="345"/>
      <c r="L379" s="345"/>
    </row>
    <row r="380" customFormat="1" ht="20" customHeight="1" spans="1:12">
      <c r="A380" s="293" t="s">
        <v>5956</v>
      </c>
      <c r="B380" s="190"/>
      <c r="C380" s="340">
        <v>12100105000027</v>
      </c>
      <c r="D380" s="317" t="s">
        <v>5831</v>
      </c>
      <c r="E380" s="317">
        <v>10</v>
      </c>
      <c r="F380" s="250" t="s">
        <v>2420</v>
      </c>
      <c r="G380" s="279" t="s">
        <v>18</v>
      </c>
      <c r="H380" s="190"/>
      <c r="I380" s="311"/>
      <c r="J380" s="329"/>
      <c r="K380" s="345"/>
      <c r="L380" s="345"/>
    </row>
    <row r="381" customFormat="1" ht="20" customHeight="1" spans="1:12">
      <c r="A381" s="293" t="s">
        <v>5956</v>
      </c>
      <c r="B381" s="190"/>
      <c r="C381" s="340">
        <v>17317000012384</v>
      </c>
      <c r="D381" s="317" t="s">
        <v>5954</v>
      </c>
      <c r="E381" s="317">
        <v>300</v>
      </c>
      <c r="F381" s="250" t="s">
        <v>2420</v>
      </c>
      <c r="G381" s="251" t="s">
        <v>18</v>
      </c>
      <c r="H381" s="190"/>
      <c r="I381" s="311"/>
      <c r="J381" s="329"/>
      <c r="K381" s="345"/>
      <c r="L381" s="345"/>
    </row>
    <row r="382" customFormat="1" ht="20" customHeight="1" spans="1:12">
      <c r="A382" s="321" t="s">
        <v>5975</v>
      </c>
      <c r="B382" s="293" t="s">
        <v>4887</v>
      </c>
      <c r="C382" s="342" t="s">
        <v>5803</v>
      </c>
      <c r="D382" s="250" t="s">
        <v>5543</v>
      </c>
      <c r="E382" s="313">
        <v>1</v>
      </c>
      <c r="F382" s="293" t="s">
        <v>2432</v>
      </c>
      <c r="G382" s="279" t="s">
        <v>18</v>
      </c>
      <c r="H382" s="296">
        <v>45803</v>
      </c>
      <c r="I382" s="293" t="s">
        <v>5976</v>
      </c>
      <c r="J382" s="329"/>
      <c r="K382" s="345"/>
      <c r="L382" s="345"/>
    </row>
    <row r="383" customFormat="1" ht="20" customHeight="1" spans="1:12">
      <c r="A383" s="321" t="s">
        <v>5977</v>
      </c>
      <c r="B383" s="190"/>
      <c r="C383" s="343" t="s">
        <v>5978</v>
      </c>
      <c r="D383" s="250" t="s">
        <v>5561</v>
      </c>
      <c r="E383" s="250">
        <v>1</v>
      </c>
      <c r="F383" s="293" t="s">
        <v>2432</v>
      </c>
      <c r="G383" s="279" t="s">
        <v>18</v>
      </c>
      <c r="H383" s="190"/>
      <c r="I383" s="190"/>
      <c r="J383" s="329"/>
      <c r="K383" s="345"/>
      <c r="L383" s="345"/>
    </row>
    <row r="384" customFormat="1" ht="20" customHeight="1" spans="1:12">
      <c r="A384" s="321" t="s">
        <v>5979</v>
      </c>
      <c r="B384" s="190"/>
      <c r="C384" s="343" t="s">
        <v>5542</v>
      </c>
      <c r="D384" s="250" t="s">
        <v>5543</v>
      </c>
      <c r="E384" s="250">
        <v>1</v>
      </c>
      <c r="F384" s="293" t="s">
        <v>2432</v>
      </c>
      <c r="G384" s="279" t="s">
        <v>18</v>
      </c>
      <c r="H384" s="190"/>
      <c r="I384" s="190"/>
      <c r="J384" s="329"/>
      <c r="K384" s="345"/>
      <c r="L384" s="345"/>
    </row>
    <row r="385" customFormat="1" ht="20" customHeight="1" spans="1:12">
      <c r="A385" s="321" t="s">
        <v>5980</v>
      </c>
      <c r="B385" s="190"/>
      <c r="C385" s="343" t="s">
        <v>5545</v>
      </c>
      <c r="D385" s="250" t="s">
        <v>5546</v>
      </c>
      <c r="E385" s="250">
        <v>1</v>
      </c>
      <c r="F385" s="293" t="s">
        <v>2432</v>
      </c>
      <c r="G385" s="279" t="s">
        <v>18</v>
      </c>
      <c r="H385" s="190"/>
      <c r="I385" s="190"/>
      <c r="J385" s="329"/>
      <c r="K385" s="345"/>
      <c r="L385" s="345"/>
    </row>
    <row r="386" customFormat="1" ht="20" customHeight="1" spans="1:12">
      <c r="A386" s="334" t="s">
        <v>5981</v>
      </c>
      <c r="B386" s="190"/>
      <c r="C386" s="342" t="s">
        <v>5803</v>
      </c>
      <c r="D386" s="250" t="s">
        <v>5543</v>
      </c>
      <c r="E386" s="250">
        <v>1</v>
      </c>
      <c r="F386" s="293" t="s">
        <v>2432</v>
      </c>
      <c r="G386" s="279" t="s">
        <v>18</v>
      </c>
      <c r="H386" s="190"/>
      <c r="I386" s="190"/>
      <c r="J386" s="329"/>
      <c r="K386" s="345"/>
      <c r="L386" s="345"/>
    </row>
    <row r="387" customFormat="1" ht="20" customHeight="1" spans="1:12">
      <c r="A387" s="346"/>
      <c r="B387" s="190"/>
      <c r="C387" s="342" t="s">
        <v>5982</v>
      </c>
      <c r="D387" s="313" t="s">
        <v>5552</v>
      </c>
      <c r="E387" s="250">
        <v>1</v>
      </c>
      <c r="F387" s="293" t="s">
        <v>2432</v>
      </c>
      <c r="G387" s="279" t="s">
        <v>18</v>
      </c>
      <c r="H387" s="190"/>
      <c r="I387" s="190"/>
      <c r="J387" s="329"/>
      <c r="K387" s="345"/>
      <c r="L387" s="345"/>
    </row>
    <row r="388" customFormat="1" ht="20" customHeight="1" spans="1:12">
      <c r="A388" s="334" t="s">
        <v>5983</v>
      </c>
      <c r="B388" s="190"/>
      <c r="C388" s="342" t="s">
        <v>5897</v>
      </c>
      <c r="D388" s="313" t="s">
        <v>5607</v>
      </c>
      <c r="E388" s="250">
        <v>1</v>
      </c>
      <c r="F388" s="293" t="s">
        <v>2432</v>
      </c>
      <c r="G388" s="279" t="s">
        <v>18</v>
      </c>
      <c r="H388" s="190"/>
      <c r="I388" s="190"/>
      <c r="J388" s="329"/>
      <c r="K388" s="345"/>
      <c r="L388" s="345"/>
    </row>
    <row r="389" customFormat="1" ht="20" customHeight="1" spans="1:12">
      <c r="A389" s="346"/>
      <c r="B389" s="190"/>
      <c r="C389" s="342" t="s">
        <v>5982</v>
      </c>
      <c r="D389" s="313" t="s">
        <v>5552</v>
      </c>
      <c r="E389" s="250">
        <v>1</v>
      </c>
      <c r="F389" s="293" t="s">
        <v>2432</v>
      </c>
      <c r="G389" s="279" t="s">
        <v>18</v>
      </c>
      <c r="H389" s="190"/>
      <c r="I389" s="190"/>
      <c r="J389" s="329"/>
      <c r="K389" s="345"/>
      <c r="L389" s="345"/>
    </row>
    <row r="390" customFormat="1" ht="20" customHeight="1" spans="1:12">
      <c r="A390" s="347" t="s">
        <v>5984</v>
      </c>
      <c r="B390" s="190"/>
      <c r="C390" s="343" t="s">
        <v>5985</v>
      </c>
      <c r="D390" s="313" t="s">
        <v>5986</v>
      </c>
      <c r="E390" s="250">
        <v>1</v>
      </c>
      <c r="F390" s="293" t="s">
        <v>2432</v>
      </c>
      <c r="G390" s="279" t="s">
        <v>18</v>
      </c>
      <c r="H390" s="190"/>
      <c r="I390" s="190"/>
      <c r="J390" s="329"/>
      <c r="K390" s="345"/>
      <c r="L390" s="345"/>
    </row>
    <row r="391" customFormat="1" ht="20" customHeight="1" spans="1:12">
      <c r="A391" s="347" t="s">
        <v>5987</v>
      </c>
      <c r="B391" s="190"/>
      <c r="C391" s="342" t="s">
        <v>5545</v>
      </c>
      <c r="D391" s="313" t="s">
        <v>5546</v>
      </c>
      <c r="E391" s="250">
        <v>1</v>
      </c>
      <c r="F391" s="293" t="s">
        <v>2432</v>
      </c>
      <c r="G391" s="279" t="s">
        <v>18</v>
      </c>
      <c r="H391" s="190"/>
      <c r="I391" s="190"/>
      <c r="J391" s="329"/>
      <c r="K391" s="345"/>
      <c r="L391" s="345"/>
    </row>
    <row r="392" ht="20" customHeight="1" spans="1:27">
      <c r="A392" s="348" t="s">
        <v>5988</v>
      </c>
      <c r="B392" s="190"/>
      <c r="C392" s="343" t="s">
        <v>5989</v>
      </c>
      <c r="D392" s="313" t="s">
        <v>5543</v>
      </c>
      <c r="E392" s="250">
        <v>1</v>
      </c>
      <c r="F392" s="293" t="s">
        <v>2432</v>
      </c>
      <c r="G392" s="279" t="s">
        <v>18</v>
      </c>
      <c r="H392" s="190"/>
      <c r="I392" s="190"/>
      <c r="J392" s="329"/>
      <c r="K392" s="337"/>
      <c r="L392" s="337"/>
      <c r="M392" s="337"/>
      <c r="N392" s="337"/>
      <c r="O392" s="337"/>
      <c r="P392" s="337"/>
      <c r="Q392" s="337"/>
      <c r="R392" s="337"/>
      <c r="S392" s="337"/>
      <c r="T392" s="337"/>
      <c r="U392" s="337"/>
      <c r="V392" s="337"/>
      <c r="W392" s="337"/>
      <c r="X392" s="337"/>
      <c r="Y392" s="337"/>
      <c r="Z392" s="337"/>
      <c r="AA392" s="337"/>
    </row>
    <row r="393" ht="20" customHeight="1" spans="1:27">
      <c r="A393" s="348" t="s">
        <v>5990</v>
      </c>
      <c r="B393" s="190"/>
      <c r="C393" s="342" t="s">
        <v>5545</v>
      </c>
      <c r="D393" s="313" t="s">
        <v>5546</v>
      </c>
      <c r="E393" s="250">
        <v>1</v>
      </c>
      <c r="F393" s="293" t="s">
        <v>2432</v>
      </c>
      <c r="G393" s="279" t="s">
        <v>18</v>
      </c>
      <c r="H393" s="190"/>
      <c r="I393" s="190"/>
      <c r="J393" s="329"/>
      <c r="K393" s="337"/>
      <c r="L393" s="337"/>
      <c r="M393" s="337"/>
      <c r="N393" s="337"/>
      <c r="O393" s="337"/>
      <c r="P393" s="337"/>
      <c r="Q393" s="337"/>
      <c r="R393" s="337"/>
      <c r="S393" s="337"/>
      <c r="T393" s="337"/>
      <c r="U393" s="337"/>
      <c r="V393" s="337"/>
      <c r="W393" s="337"/>
      <c r="X393" s="337"/>
      <c r="Y393" s="337"/>
      <c r="Z393" s="337"/>
      <c r="AA393" s="337"/>
    </row>
    <row r="394" ht="20" customHeight="1" spans="1:27">
      <c r="A394" s="348" t="s">
        <v>5991</v>
      </c>
      <c r="B394" s="190"/>
      <c r="C394" s="349" t="s">
        <v>5992</v>
      </c>
      <c r="D394" s="350" t="s">
        <v>5648</v>
      </c>
      <c r="E394" s="351">
        <v>1</v>
      </c>
      <c r="F394" s="293" t="s">
        <v>2432</v>
      </c>
      <c r="G394" s="279" t="s">
        <v>18</v>
      </c>
      <c r="H394" s="190"/>
      <c r="I394" s="190"/>
      <c r="J394" s="329"/>
      <c r="K394" s="337"/>
      <c r="L394" s="337"/>
      <c r="M394" s="337"/>
      <c r="N394" s="337"/>
      <c r="O394" s="337"/>
      <c r="P394" s="337"/>
      <c r="Q394" s="337"/>
      <c r="R394" s="337"/>
      <c r="S394" s="337"/>
      <c r="T394" s="337"/>
      <c r="U394" s="337"/>
      <c r="V394" s="337"/>
      <c r="W394" s="337"/>
      <c r="X394" s="337"/>
      <c r="Y394" s="337"/>
      <c r="Z394" s="337"/>
      <c r="AA394" s="337"/>
    </row>
    <row r="395" ht="20" customHeight="1" spans="1:27">
      <c r="A395" s="348" t="s">
        <v>5993</v>
      </c>
      <c r="B395" s="190"/>
      <c r="C395" s="352" t="s">
        <v>5545</v>
      </c>
      <c r="D395" s="350" t="s">
        <v>5546</v>
      </c>
      <c r="E395" s="351">
        <v>1</v>
      </c>
      <c r="F395" s="293" t="s">
        <v>2432</v>
      </c>
      <c r="G395" s="279" t="s">
        <v>18</v>
      </c>
      <c r="H395" s="190"/>
      <c r="I395" s="192"/>
      <c r="J395" s="329"/>
      <c r="K395" s="337"/>
      <c r="L395" s="337"/>
      <c r="M395" s="337"/>
      <c r="N395" s="337"/>
      <c r="O395" s="337"/>
      <c r="P395" s="337"/>
      <c r="Q395" s="337"/>
      <c r="R395" s="337"/>
      <c r="S395" s="337"/>
      <c r="T395" s="337"/>
      <c r="U395" s="337"/>
      <c r="V395" s="337"/>
      <c r="W395" s="337"/>
      <c r="X395" s="337"/>
      <c r="Y395" s="337"/>
      <c r="Z395" s="337"/>
      <c r="AA395" s="337"/>
    </row>
    <row r="396" ht="20" customHeight="1" spans="1:27">
      <c r="A396" s="321" t="s">
        <v>5994</v>
      </c>
      <c r="B396" s="190"/>
      <c r="C396" s="352" t="s">
        <v>5995</v>
      </c>
      <c r="D396" s="351" t="s">
        <v>5886</v>
      </c>
      <c r="E396" s="350">
        <v>1</v>
      </c>
      <c r="F396" s="293" t="s">
        <v>2432</v>
      </c>
      <c r="G396" s="279" t="s">
        <v>18</v>
      </c>
      <c r="H396" s="190"/>
      <c r="I396" s="293" t="s">
        <v>5996</v>
      </c>
      <c r="J396" s="329"/>
      <c r="K396" s="337"/>
      <c r="L396" s="337"/>
      <c r="M396" s="337"/>
      <c r="N396" s="337"/>
      <c r="O396" s="337"/>
      <c r="P396" s="337"/>
      <c r="Q396" s="337"/>
      <c r="R396" s="337"/>
      <c r="S396" s="337"/>
      <c r="T396" s="337"/>
      <c r="U396" s="337"/>
      <c r="V396" s="337"/>
      <c r="W396" s="337"/>
      <c r="X396" s="337"/>
      <c r="Y396" s="337"/>
      <c r="Z396" s="337"/>
      <c r="AA396" s="337"/>
    </row>
    <row r="397" ht="20" customHeight="1" spans="1:27">
      <c r="A397" s="321" t="s">
        <v>5994</v>
      </c>
      <c r="B397" s="190"/>
      <c r="C397" s="349" t="s">
        <v>5545</v>
      </c>
      <c r="D397" s="351" t="s">
        <v>5997</v>
      </c>
      <c r="E397" s="351">
        <v>1</v>
      </c>
      <c r="F397" s="293" t="s">
        <v>2432</v>
      </c>
      <c r="G397" s="279" t="s">
        <v>18</v>
      </c>
      <c r="H397" s="190"/>
      <c r="I397" s="190"/>
      <c r="J397" s="329"/>
      <c r="K397" s="337"/>
      <c r="L397" s="337"/>
      <c r="M397" s="337"/>
      <c r="N397" s="337"/>
      <c r="O397" s="337"/>
      <c r="P397" s="337"/>
      <c r="Q397" s="337"/>
      <c r="R397" s="337"/>
      <c r="S397" s="337"/>
      <c r="T397" s="337"/>
      <c r="U397" s="337"/>
      <c r="V397" s="337"/>
      <c r="W397" s="337"/>
      <c r="X397" s="337"/>
      <c r="Y397" s="337"/>
      <c r="Z397" s="337"/>
      <c r="AA397" s="337"/>
    </row>
    <row r="398" ht="20" customHeight="1" spans="1:27">
      <c r="A398" s="321" t="s">
        <v>5998</v>
      </c>
      <c r="B398" s="190"/>
      <c r="C398" s="349" t="s">
        <v>5803</v>
      </c>
      <c r="D398" s="351" t="s">
        <v>5543</v>
      </c>
      <c r="E398" s="351">
        <v>1</v>
      </c>
      <c r="F398" s="293" t="s">
        <v>2432</v>
      </c>
      <c r="G398" s="279" t="s">
        <v>18</v>
      </c>
      <c r="H398" s="190"/>
      <c r="I398" s="190"/>
      <c r="J398" s="329"/>
      <c r="K398" s="337"/>
      <c r="L398" s="337"/>
      <c r="M398" s="337"/>
      <c r="N398" s="337"/>
      <c r="O398" s="337"/>
      <c r="P398" s="337"/>
      <c r="Q398" s="337"/>
      <c r="R398" s="337"/>
      <c r="S398" s="337"/>
      <c r="T398" s="337"/>
      <c r="U398" s="337"/>
      <c r="V398" s="337"/>
      <c r="W398" s="337"/>
      <c r="X398" s="337"/>
      <c r="Y398" s="337"/>
      <c r="Z398" s="337"/>
      <c r="AA398" s="337"/>
    </row>
    <row r="399" ht="20" customHeight="1" spans="1:27">
      <c r="A399" s="321" t="s">
        <v>5999</v>
      </c>
      <c r="B399" s="190"/>
      <c r="C399" s="349" t="s">
        <v>6000</v>
      </c>
      <c r="D399" s="351" t="s">
        <v>6001</v>
      </c>
      <c r="E399" s="351">
        <v>1</v>
      </c>
      <c r="F399" s="293" t="s">
        <v>2432</v>
      </c>
      <c r="G399" s="279" t="s">
        <v>18</v>
      </c>
      <c r="H399" s="190"/>
      <c r="I399" s="190"/>
      <c r="J399" s="329"/>
      <c r="K399" s="337"/>
      <c r="L399" s="337"/>
      <c r="M399" s="337"/>
      <c r="N399" s="337"/>
      <c r="O399" s="337"/>
      <c r="P399" s="337"/>
      <c r="Q399" s="337"/>
      <c r="R399" s="337"/>
      <c r="S399" s="337"/>
      <c r="T399" s="337"/>
      <c r="U399" s="337"/>
      <c r="V399" s="337"/>
      <c r="W399" s="337"/>
      <c r="X399" s="337"/>
      <c r="Y399" s="337"/>
      <c r="Z399" s="337"/>
      <c r="AA399" s="337"/>
    </row>
    <row r="400" ht="20" customHeight="1" spans="1:27">
      <c r="A400" s="321" t="s">
        <v>5999</v>
      </c>
      <c r="B400" s="190"/>
      <c r="C400" s="352" t="s">
        <v>5803</v>
      </c>
      <c r="D400" s="351" t="s">
        <v>5543</v>
      </c>
      <c r="E400" s="351">
        <v>1</v>
      </c>
      <c r="F400" s="293" t="s">
        <v>2432</v>
      </c>
      <c r="G400" s="279" t="s">
        <v>18</v>
      </c>
      <c r="H400" s="190"/>
      <c r="I400" s="192"/>
      <c r="J400" s="329"/>
      <c r="K400" s="337"/>
      <c r="L400" s="337"/>
      <c r="M400" s="337"/>
      <c r="N400" s="337"/>
      <c r="O400" s="337"/>
      <c r="P400" s="337"/>
      <c r="Q400" s="337"/>
      <c r="R400" s="337"/>
      <c r="S400" s="337"/>
      <c r="T400" s="337"/>
      <c r="U400" s="337"/>
      <c r="V400" s="337"/>
      <c r="W400" s="337"/>
      <c r="X400" s="337"/>
      <c r="Y400" s="337"/>
      <c r="Z400" s="337"/>
      <c r="AA400" s="337"/>
    </row>
    <row r="401" ht="28.5" spans="1:27">
      <c r="A401" s="321" t="s">
        <v>5991</v>
      </c>
      <c r="B401" s="190"/>
      <c r="C401" s="352" t="s">
        <v>6002</v>
      </c>
      <c r="D401" s="351" t="s">
        <v>5648</v>
      </c>
      <c r="E401" s="351">
        <v>1</v>
      </c>
      <c r="F401" s="293" t="s">
        <v>2432</v>
      </c>
      <c r="G401" s="279" t="s">
        <v>18</v>
      </c>
      <c r="H401" s="190"/>
      <c r="I401" s="350" t="s">
        <v>6003</v>
      </c>
      <c r="J401" s="329"/>
      <c r="K401" s="337"/>
      <c r="L401" s="337"/>
      <c r="M401" s="337"/>
      <c r="N401" s="337"/>
      <c r="O401" s="337"/>
      <c r="P401" s="337"/>
      <c r="Q401" s="337"/>
      <c r="R401" s="337"/>
      <c r="S401" s="337"/>
      <c r="T401" s="337"/>
      <c r="U401" s="337"/>
      <c r="V401" s="337"/>
      <c r="W401" s="337"/>
      <c r="X401" s="337"/>
      <c r="Y401" s="337"/>
      <c r="Z401" s="337"/>
      <c r="AA401" s="337"/>
    </row>
    <row r="402" ht="20" customHeight="1" spans="1:27">
      <c r="A402" s="321" t="s">
        <v>6004</v>
      </c>
      <c r="B402" s="190"/>
      <c r="C402" s="342" t="s">
        <v>6005</v>
      </c>
      <c r="D402" s="313" t="s">
        <v>5898</v>
      </c>
      <c r="E402" s="250">
        <v>1</v>
      </c>
      <c r="F402" s="293" t="s">
        <v>2432</v>
      </c>
      <c r="G402" s="279" t="s">
        <v>18</v>
      </c>
      <c r="H402" s="190"/>
      <c r="I402" s="293" t="s">
        <v>5996</v>
      </c>
      <c r="J402" s="329"/>
      <c r="K402" s="337"/>
      <c r="L402" s="337"/>
      <c r="M402" s="337"/>
      <c r="N402" s="337"/>
      <c r="O402" s="337"/>
      <c r="P402" s="337"/>
      <c r="Q402" s="337"/>
      <c r="R402" s="337"/>
      <c r="S402" s="337"/>
      <c r="T402" s="337"/>
      <c r="U402" s="337"/>
      <c r="V402" s="337"/>
      <c r="W402" s="337"/>
      <c r="X402" s="337"/>
      <c r="Y402" s="337"/>
      <c r="Z402" s="337"/>
      <c r="AA402" s="337"/>
    </row>
    <row r="403" ht="20" customHeight="1" spans="1:27">
      <c r="A403" s="321" t="s">
        <v>6006</v>
      </c>
      <c r="B403" s="190"/>
      <c r="C403" s="342" t="s">
        <v>6000</v>
      </c>
      <c r="D403" s="313" t="s">
        <v>6001</v>
      </c>
      <c r="E403" s="250">
        <v>1</v>
      </c>
      <c r="F403" s="293" t="s">
        <v>2432</v>
      </c>
      <c r="G403" s="279" t="s">
        <v>18</v>
      </c>
      <c r="H403" s="190"/>
      <c r="I403" s="190"/>
      <c r="J403" s="329"/>
      <c r="K403" s="337"/>
      <c r="L403" s="337"/>
      <c r="M403" s="337"/>
      <c r="N403" s="337"/>
      <c r="O403" s="337"/>
      <c r="P403" s="337"/>
      <c r="Q403" s="337"/>
      <c r="R403" s="337"/>
      <c r="S403" s="337"/>
      <c r="T403" s="337"/>
      <c r="U403" s="337"/>
      <c r="V403" s="337"/>
      <c r="W403" s="337"/>
      <c r="X403" s="337"/>
      <c r="Y403" s="337"/>
      <c r="Z403" s="337"/>
      <c r="AA403" s="337"/>
    </row>
    <row r="404" ht="20" customHeight="1" spans="1:27">
      <c r="A404" s="321" t="s">
        <v>6007</v>
      </c>
      <c r="B404" s="190"/>
      <c r="C404" s="343" t="s">
        <v>5545</v>
      </c>
      <c r="D404" s="313" t="s">
        <v>5546</v>
      </c>
      <c r="E404" s="250">
        <v>1</v>
      </c>
      <c r="F404" s="293" t="s">
        <v>2432</v>
      </c>
      <c r="G404" s="279" t="s">
        <v>18</v>
      </c>
      <c r="H404" s="190"/>
      <c r="I404" s="190"/>
      <c r="J404" s="329"/>
      <c r="K404" s="337"/>
      <c r="L404" s="337"/>
      <c r="M404" s="337"/>
      <c r="N404" s="337"/>
      <c r="O404" s="337"/>
      <c r="P404" s="337"/>
      <c r="Q404" s="337"/>
      <c r="R404" s="337"/>
      <c r="S404" s="337"/>
      <c r="T404" s="337"/>
      <c r="U404" s="337"/>
      <c r="V404" s="337"/>
      <c r="W404" s="337"/>
      <c r="X404" s="337"/>
      <c r="Y404" s="337"/>
      <c r="Z404" s="337"/>
      <c r="AA404" s="337"/>
    </row>
    <row r="405" ht="20" customHeight="1" spans="1:27">
      <c r="A405" s="321" t="s">
        <v>6007</v>
      </c>
      <c r="B405" s="190"/>
      <c r="C405" s="342" t="s">
        <v>6008</v>
      </c>
      <c r="D405" s="313" t="s">
        <v>5552</v>
      </c>
      <c r="E405" s="250">
        <v>1</v>
      </c>
      <c r="F405" s="293" t="s">
        <v>2432</v>
      </c>
      <c r="G405" s="279" t="s">
        <v>18</v>
      </c>
      <c r="H405" s="190"/>
      <c r="I405" s="190"/>
      <c r="J405" s="329"/>
      <c r="K405" s="337"/>
      <c r="L405" s="337"/>
      <c r="M405" s="337"/>
      <c r="N405" s="337"/>
      <c r="O405" s="337"/>
      <c r="P405" s="337"/>
      <c r="Q405" s="337"/>
      <c r="R405" s="337"/>
      <c r="S405" s="337"/>
      <c r="T405" s="337"/>
      <c r="U405" s="337"/>
      <c r="V405" s="337"/>
      <c r="W405" s="337"/>
      <c r="X405" s="337"/>
      <c r="Y405" s="337"/>
      <c r="Z405" s="337"/>
      <c r="AA405" s="337"/>
    </row>
    <row r="406" ht="20" customHeight="1" spans="1:27">
      <c r="A406" s="321" t="s">
        <v>6009</v>
      </c>
      <c r="B406" s="190"/>
      <c r="C406" s="343" t="s">
        <v>5545</v>
      </c>
      <c r="D406" s="313" t="s">
        <v>5546</v>
      </c>
      <c r="E406" s="250">
        <v>1</v>
      </c>
      <c r="F406" s="293" t="s">
        <v>2432</v>
      </c>
      <c r="G406" s="279" t="s">
        <v>18</v>
      </c>
      <c r="H406" s="190"/>
      <c r="I406" s="190"/>
      <c r="J406" s="329"/>
      <c r="K406" s="337"/>
      <c r="L406" s="337"/>
      <c r="M406" s="337"/>
      <c r="N406" s="337"/>
      <c r="O406" s="337"/>
      <c r="P406" s="337"/>
      <c r="Q406" s="337"/>
      <c r="R406" s="337"/>
      <c r="S406" s="337"/>
      <c r="T406" s="337"/>
      <c r="U406" s="337"/>
      <c r="V406" s="337"/>
      <c r="W406" s="337"/>
      <c r="X406" s="337"/>
      <c r="Y406" s="337"/>
      <c r="Z406" s="337"/>
      <c r="AA406" s="337"/>
    </row>
    <row r="407" ht="20" customHeight="1" spans="1:27">
      <c r="A407" s="321" t="s">
        <v>6010</v>
      </c>
      <c r="B407" s="190"/>
      <c r="C407" s="342" t="s">
        <v>5803</v>
      </c>
      <c r="D407" s="313" t="s">
        <v>5543</v>
      </c>
      <c r="E407" s="250">
        <v>1</v>
      </c>
      <c r="F407" s="293" t="s">
        <v>2432</v>
      </c>
      <c r="G407" s="279" t="s">
        <v>18</v>
      </c>
      <c r="H407" s="190"/>
      <c r="I407" s="190"/>
      <c r="J407" s="329"/>
      <c r="K407" s="337"/>
      <c r="L407" s="337"/>
      <c r="M407" s="337"/>
      <c r="N407" s="337"/>
      <c r="O407" s="337"/>
      <c r="P407" s="337"/>
      <c r="Q407" s="337"/>
      <c r="R407" s="337"/>
      <c r="S407" s="337"/>
      <c r="T407" s="337"/>
      <c r="U407" s="337"/>
      <c r="V407" s="337"/>
      <c r="W407" s="337"/>
      <c r="X407" s="337"/>
      <c r="Y407" s="337"/>
      <c r="Z407" s="337"/>
      <c r="AA407" s="337"/>
    </row>
    <row r="408" ht="20" customHeight="1" spans="1:27">
      <c r="A408" s="321" t="s">
        <v>6010</v>
      </c>
      <c r="B408" s="190"/>
      <c r="C408" s="342" t="s">
        <v>5989</v>
      </c>
      <c r="D408" s="313" t="s">
        <v>5543</v>
      </c>
      <c r="E408" s="250">
        <v>1</v>
      </c>
      <c r="F408" s="293" t="s">
        <v>2432</v>
      </c>
      <c r="G408" s="279" t="s">
        <v>18</v>
      </c>
      <c r="H408" s="190"/>
      <c r="I408" s="190"/>
      <c r="J408" s="329"/>
      <c r="K408" s="337"/>
      <c r="L408" s="337"/>
      <c r="M408" s="337"/>
      <c r="N408" s="337"/>
      <c r="O408" s="337"/>
      <c r="P408" s="337"/>
      <c r="Q408" s="337"/>
      <c r="R408" s="337"/>
      <c r="S408" s="337"/>
      <c r="T408" s="337"/>
      <c r="U408" s="337"/>
      <c r="V408" s="337"/>
      <c r="W408" s="337"/>
      <c r="X408" s="337"/>
      <c r="Y408" s="337"/>
      <c r="Z408" s="337"/>
      <c r="AA408" s="337"/>
    </row>
    <row r="409" ht="20" customHeight="1" spans="1:27">
      <c r="A409" s="321" t="s">
        <v>6010</v>
      </c>
      <c r="B409" s="190"/>
      <c r="C409" s="342" t="s">
        <v>5542</v>
      </c>
      <c r="D409" s="313" t="s">
        <v>5543</v>
      </c>
      <c r="E409" s="250">
        <v>1</v>
      </c>
      <c r="F409" s="293" t="s">
        <v>2432</v>
      </c>
      <c r="G409" s="279" t="s">
        <v>18</v>
      </c>
      <c r="H409" s="190"/>
      <c r="I409" s="190"/>
      <c r="J409" s="329"/>
      <c r="K409" s="337"/>
      <c r="L409" s="337"/>
      <c r="M409" s="337"/>
      <c r="N409" s="337"/>
      <c r="O409" s="337"/>
      <c r="P409" s="337"/>
      <c r="Q409" s="337"/>
      <c r="R409" s="337"/>
      <c r="S409" s="337"/>
      <c r="T409" s="337"/>
      <c r="U409" s="337"/>
      <c r="V409" s="337"/>
      <c r="W409" s="337"/>
      <c r="X409" s="337"/>
      <c r="Y409" s="337"/>
      <c r="Z409" s="337"/>
      <c r="AA409" s="337"/>
    </row>
    <row r="410" ht="20" customHeight="1" spans="1:27">
      <c r="A410" s="321" t="s">
        <v>5993</v>
      </c>
      <c r="B410" s="190"/>
      <c r="C410" s="353" t="s">
        <v>5545</v>
      </c>
      <c r="D410" s="317" t="s">
        <v>5546</v>
      </c>
      <c r="E410" s="293">
        <v>1</v>
      </c>
      <c r="F410" s="293" t="s">
        <v>2432</v>
      </c>
      <c r="G410" s="251" t="s">
        <v>18</v>
      </c>
      <c r="H410" s="190"/>
      <c r="I410" s="192"/>
      <c r="J410" s="329"/>
      <c r="K410" s="337"/>
      <c r="L410" s="337"/>
      <c r="M410" s="337"/>
      <c r="N410" s="337"/>
      <c r="O410" s="337"/>
      <c r="P410" s="337"/>
      <c r="Q410" s="337"/>
      <c r="R410" s="337"/>
      <c r="S410" s="337"/>
      <c r="T410" s="337"/>
      <c r="U410" s="337"/>
      <c r="V410" s="337"/>
      <c r="W410" s="337"/>
      <c r="X410" s="337"/>
      <c r="Y410" s="337"/>
      <c r="Z410" s="337"/>
      <c r="AA410" s="337"/>
    </row>
    <row r="411" ht="20" customHeight="1" spans="1:10">
      <c r="A411" s="354" t="s">
        <v>309</v>
      </c>
      <c r="B411" s="190"/>
      <c r="C411" s="321" t="s">
        <v>5930</v>
      </c>
      <c r="D411" s="313" t="s">
        <v>5552</v>
      </c>
      <c r="E411" s="313">
        <v>40</v>
      </c>
      <c r="F411" s="250" t="s">
        <v>6011</v>
      </c>
      <c r="G411" s="279" t="s">
        <v>18</v>
      </c>
      <c r="H411" s="190"/>
      <c r="I411" s="293" t="s">
        <v>6012</v>
      </c>
      <c r="J411" s="329"/>
    </row>
    <row r="412" ht="20" customHeight="1" spans="1:10">
      <c r="A412" s="354" t="s">
        <v>309</v>
      </c>
      <c r="B412" s="190"/>
      <c r="C412" s="321" t="s">
        <v>5930</v>
      </c>
      <c r="D412" s="313" t="s">
        <v>5552</v>
      </c>
      <c r="E412" s="313">
        <v>43</v>
      </c>
      <c r="F412" s="250" t="s">
        <v>6011</v>
      </c>
      <c r="G412" s="279" t="s">
        <v>18</v>
      </c>
      <c r="H412" s="190"/>
      <c r="I412" s="190"/>
      <c r="J412" s="329"/>
    </row>
    <row r="413" ht="20" customHeight="1" spans="1:10">
      <c r="A413" s="354" t="s">
        <v>309</v>
      </c>
      <c r="B413" s="190"/>
      <c r="C413" s="355" t="s">
        <v>5565</v>
      </c>
      <c r="D413" s="313" t="s">
        <v>5552</v>
      </c>
      <c r="E413" s="313">
        <v>17</v>
      </c>
      <c r="F413" s="250" t="s">
        <v>6011</v>
      </c>
      <c r="G413" s="279" t="s">
        <v>18</v>
      </c>
      <c r="H413" s="190"/>
      <c r="I413" s="190"/>
      <c r="J413" s="329"/>
    </row>
    <row r="414" ht="20" customHeight="1" spans="1:10">
      <c r="A414" s="354" t="s">
        <v>309</v>
      </c>
      <c r="B414" s="190"/>
      <c r="C414" s="355" t="s">
        <v>5931</v>
      </c>
      <c r="D414" s="313" t="s">
        <v>5552</v>
      </c>
      <c r="E414" s="313">
        <v>15</v>
      </c>
      <c r="F414" s="250" t="s">
        <v>6011</v>
      </c>
      <c r="G414" s="279" t="s">
        <v>18</v>
      </c>
      <c r="H414" s="190"/>
      <c r="I414" s="190"/>
      <c r="J414" s="329"/>
    </row>
    <row r="415" ht="20" customHeight="1" spans="1:10">
      <c r="A415" s="354" t="s">
        <v>309</v>
      </c>
      <c r="B415" s="190"/>
      <c r="C415" s="355" t="s">
        <v>5564</v>
      </c>
      <c r="D415" s="313" t="s">
        <v>5552</v>
      </c>
      <c r="E415" s="313">
        <v>1</v>
      </c>
      <c r="F415" s="250" t="s">
        <v>6011</v>
      </c>
      <c r="G415" s="279" t="s">
        <v>18</v>
      </c>
      <c r="H415" s="190"/>
      <c r="I415" s="190"/>
      <c r="J415" s="329"/>
    </row>
    <row r="416" ht="20" customHeight="1" spans="1:10">
      <c r="A416" s="354" t="s">
        <v>309</v>
      </c>
      <c r="B416" s="190"/>
      <c r="C416" s="355" t="s">
        <v>5562</v>
      </c>
      <c r="D416" s="313" t="s">
        <v>5552</v>
      </c>
      <c r="E416" s="313">
        <v>25</v>
      </c>
      <c r="F416" s="250" t="s">
        <v>6011</v>
      </c>
      <c r="G416" s="279" t="s">
        <v>18</v>
      </c>
      <c r="H416" s="190"/>
      <c r="I416" s="190"/>
      <c r="J416" s="329"/>
    </row>
    <row r="417" ht="20" customHeight="1" spans="1:10">
      <c r="A417" s="354" t="s">
        <v>309</v>
      </c>
      <c r="B417" s="190"/>
      <c r="C417" s="321" t="s">
        <v>5932</v>
      </c>
      <c r="D417" s="313" t="s">
        <v>5552</v>
      </c>
      <c r="E417" s="313">
        <v>57</v>
      </c>
      <c r="F417" s="250" t="s">
        <v>6011</v>
      </c>
      <c r="G417" s="279" t="s">
        <v>18</v>
      </c>
      <c r="H417" s="190"/>
      <c r="I417" s="190"/>
      <c r="J417" s="329"/>
    </row>
    <row r="418" ht="20" customHeight="1" spans="1:10">
      <c r="A418" s="354" t="s">
        <v>309</v>
      </c>
      <c r="B418" s="190"/>
      <c r="C418" s="355" t="s">
        <v>5938</v>
      </c>
      <c r="D418" s="313" t="s">
        <v>5615</v>
      </c>
      <c r="E418" s="313">
        <v>15</v>
      </c>
      <c r="F418" s="250" t="s">
        <v>6011</v>
      </c>
      <c r="G418" s="279" t="s">
        <v>18</v>
      </c>
      <c r="H418" s="190"/>
      <c r="I418" s="190"/>
      <c r="J418" s="329"/>
    </row>
    <row r="419" ht="20" customHeight="1" spans="1:10">
      <c r="A419" s="354" t="s">
        <v>309</v>
      </c>
      <c r="B419" s="190"/>
      <c r="C419" s="355" t="s">
        <v>5938</v>
      </c>
      <c r="D419" s="313" t="s">
        <v>5615</v>
      </c>
      <c r="E419" s="313">
        <v>72</v>
      </c>
      <c r="F419" s="250" t="s">
        <v>6011</v>
      </c>
      <c r="G419" s="279" t="s">
        <v>18</v>
      </c>
      <c r="H419" s="190"/>
      <c r="I419" s="190"/>
      <c r="J419" s="329"/>
    </row>
    <row r="420" ht="20" customHeight="1" spans="1:10">
      <c r="A420" s="354" t="s">
        <v>309</v>
      </c>
      <c r="B420" s="190"/>
      <c r="C420" s="355" t="s">
        <v>5695</v>
      </c>
      <c r="D420" s="313" t="s">
        <v>5939</v>
      </c>
      <c r="E420" s="313">
        <v>1</v>
      </c>
      <c r="F420" s="250" t="s">
        <v>6011</v>
      </c>
      <c r="G420" s="279" t="s">
        <v>18</v>
      </c>
      <c r="H420" s="190"/>
      <c r="I420" s="190"/>
      <c r="J420" s="329"/>
    </row>
    <row r="421" ht="20" customHeight="1" spans="1:10">
      <c r="A421" s="354" t="s">
        <v>309</v>
      </c>
      <c r="B421" s="190"/>
      <c r="C421" s="355" t="s">
        <v>5941</v>
      </c>
      <c r="D421" s="313" t="s">
        <v>5618</v>
      </c>
      <c r="E421" s="313">
        <v>9</v>
      </c>
      <c r="F421" s="250" t="s">
        <v>6011</v>
      </c>
      <c r="G421" s="279" t="s">
        <v>18</v>
      </c>
      <c r="H421" s="190"/>
      <c r="I421" s="190"/>
      <c r="J421" s="329"/>
    </row>
    <row r="422" ht="20" customHeight="1" spans="1:10">
      <c r="A422" s="354" t="s">
        <v>309</v>
      </c>
      <c r="B422" s="190"/>
      <c r="C422" s="355" t="s">
        <v>5678</v>
      </c>
      <c r="D422" s="313" t="s">
        <v>5797</v>
      </c>
      <c r="E422" s="313">
        <v>5</v>
      </c>
      <c r="F422" s="250" t="s">
        <v>6011</v>
      </c>
      <c r="G422" s="279" t="s">
        <v>18</v>
      </c>
      <c r="H422" s="190"/>
      <c r="I422" s="190"/>
      <c r="J422" s="329"/>
    </row>
    <row r="423" ht="20" customHeight="1" spans="1:10">
      <c r="A423" s="354" t="s">
        <v>309</v>
      </c>
      <c r="B423" s="190"/>
      <c r="C423" s="355" t="s">
        <v>5620</v>
      </c>
      <c r="D423" s="313" t="s">
        <v>5615</v>
      </c>
      <c r="E423" s="313">
        <v>59</v>
      </c>
      <c r="F423" s="250" t="s">
        <v>6011</v>
      </c>
      <c r="G423" s="279" t="s">
        <v>18</v>
      </c>
      <c r="H423" s="190"/>
      <c r="I423" s="190"/>
      <c r="J423" s="329"/>
    </row>
    <row r="424" ht="20" customHeight="1" spans="1:10">
      <c r="A424" s="354" t="s">
        <v>309</v>
      </c>
      <c r="B424" s="190"/>
      <c r="C424" s="355" t="s">
        <v>5687</v>
      </c>
      <c r="D424" s="313" t="s">
        <v>5613</v>
      </c>
      <c r="E424" s="313">
        <v>5</v>
      </c>
      <c r="F424" s="250" t="s">
        <v>6011</v>
      </c>
      <c r="G424" s="279" t="s">
        <v>18</v>
      </c>
      <c r="H424" s="190"/>
      <c r="I424" s="190"/>
      <c r="J424" s="329"/>
    </row>
    <row r="425" ht="20" customHeight="1" spans="1:10">
      <c r="A425" s="354" t="s">
        <v>309</v>
      </c>
      <c r="B425" s="190"/>
      <c r="C425" s="355" t="s">
        <v>5940</v>
      </c>
      <c r="D425" s="313" t="s">
        <v>5618</v>
      </c>
      <c r="E425" s="313">
        <v>14</v>
      </c>
      <c r="F425" s="250" t="s">
        <v>6011</v>
      </c>
      <c r="G425" s="279" t="s">
        <v>18</v>
      </c>
      <c r="H425" s="190"/>
      <c r="I425" s="190"/>
      <c r="J425" s="329"/>
    </row>
    <row r="426" ht="20" customHeight="1" spans="1:10">
      <c r="A426" s="354" t="s">
        <v>309</v>
      </c>
      <c r="B426" s="190"/>
      <c r="C426" s="355" t="s">
        <v>5942</v>
      </c>
      <c r="D426" s="313" t="s">
        <v>5618</v>
      </c>
      <c r="E426" s="313">
        <v>11</v>
      </c>
      <c r="F426" s="250" t="s">
        <v>6011</v>
      </c>
      <c r="G426" s="279" t="s">
        <v>18</v>
      </c>
      <c r="H426" s="190"/>
      <c r="I426" s="190"/>
      <c r="J426" s="329"/>
    </row>
    <row r="427" ht="20" customHeight="1" spans="1:13">
      <c r="A427" s="354" t="s">
        <v>309</v>
      </c>
      <c r="B427" s="190"/>
      <c r="C427" s="355" t="s">
        <v>5742</v>
      </c>
      <c r="D427" s="313" t="s">
        <v>5618</v>
      </c>
      <c r="E427" s="313">
        <v>9</v>
      </c>
      <c r="F427" s="250" t="s">
        <v>6011</v>
      </c>
      <c r="G427" s="279" t="s">
        <v>18</v>
      </c>
      <c r="H427" s="190"/>
      <c r="I427" s="190"/>
      <c r="J427" s="329"/>
      <c r="M427" s="363" t="s">
        <v>6013</v>
      </c>
    </row>
    <row r="428" ht="20" customHeight="1" spans="1:10">
      <c r="A428" s="354" t="s">
        <v>309</v>
      </c>
      <c r="B428" s="190"/>
      <c r="C428" s="355" t="s">
        <v>5744</v>
      </c>
      <c r="D428" s="313" t="s">
        <v>5943</v>
      </c>
      <c r="E428" s="313">
        <v>11</v>
      </c>
      <c r="F428" s="250" t="s">
        <v>6011</v>
      </c>
      <c r="G428" s="279" t="s">
        <v>18</v>
      </c>
      <c r="H428" s="190"/>
      <c r="I428" s="190"/>
      <c r="J428" s="329"/>
    </row>
    <row r="429" ht="20" customHeight="1" spans="1:10">
      <c r="A429" s="354" t="s">
        <v>309</v>
      </c>
      <c r="B429" s="190"/>
      <c r="C429" s="355" t="s">
        <v>5740</v>
      </c>
      <c r="D429" s="313" t="s">
        <v>5618</v>
      </c>
      <c r="E429" s="313">
        <v>32</v>
      </c>
      <c r="F429" s="250" t="s">
        <v>6011</v>
      </c>
      <c r="G429" s="279" t="s">
        <v>18</v>
      </c>
      <c r="H429" s="190"/>
      <c r="I429" s="190"/>
      <c r="J429" s="329"/>
    </row>
    <row r="430" ht="20" customHeight="1" spans="1:10">
      <c r="A430" s="354" t="s">
        <v>309</v>
      </c>
      <c r="B430" s="190"/>
      <c r="C430" s="355" t="s">
        <v>5735</v>
      </c>
      <c r="D430" s="313" t="s">
        <v>5618</v>
      </c>
      <c r="E430" s="313">
        <v>32</v>
      </c>
      <c r="F430" s="250" t="s">
        <v>6011</v>
      </c>
      <c r="G430" s="279" t="s">
        <v>18</v>
      </c>
      <c r="H430" s="190"/>
      <c r="I430" s="190"/>
      <c r="J430" s="329"/>
    </row>
    <row r="431" ht="20" customHeight="1" spans="1:10">
      <c r="A431" s="354" t="s">
        <v>309</v>
      </c>
      <c r="B431" s="190"/>
      <c r="C431" s="355" t="s">
        <v>5624</v>
      </c>
      <c r="D431" s="313" t="s">
        <v>5625</v>
      </c>
      <c r="E431" s="313">
        <v>28</v>
      </c>
      <c r="F431" s="250" t="s">
        <v>6011</v>
      </c>
      <c r="G431" s="279" t="s">
        <v>18</v>
      </c>
      <c r="H431" s="190"/>
      <c r="I431" s="190"/>
      <c r="J431" s="329"/>
    </row>
    <row r="432" ht="20" customHeight="1" spans="1:10">
      <c r="A432" s="354" t="s">
        <v>309</v>
      </c>
      <c r="B432" s="190"/>
      <c r="C432" s="355" t="s">
        <v>5947</v>
      </c>
      <c r="D432" s="313" t="s">
        <v>5623</v>
      </c>
      <c r="E432" s="313">
        <v>4</v>
      </c>
      <c r="F432" s="250" t="s">
        <v>6011</v>
      </c>
      <c r="G432" s="279" t="s">
        <v>18</v>
      </c>
      <c r="H432" s="190"/>
      <c r="I432" s="190"/>
      <c r="J432" s="329"/>
    </row>
    <row r="433" ht="20" customHeight="1" spans="1:10">
      <c r="A433" s="354" t="s">
        <v>309</v>
      </c>
      <c r="B433" s="190"/>
      <c r="C433" s="355" t="s">
        <v>5723</v>
      </c>
      <c r="D433" s="313" t="s">
        <v>5623</v>
      </c>
      <c r="E433" s="313">
        <v>4</v>
      </c>
      <c r="F433" s="250" t="s">
        <v>6011</v>
      </c>
      <c r="G433" s="279" t="s">
        <v>18</v>
      </c>
      <c r="H433" s="190"/>
      <c r="I433" s="190"/>
      <c r="J433" s="329"/>
    </row>
    <row r="434" ht="20" customHeight="1" spans="1:10">
      <c r="A434" s="354" t="s">
        <v>309</v>
      </c>
      <c r="B434" s="190"/>
      <c r="C434" s="355" t="s">
        <v>5946</v>
      </c>
      <c r="D434" s="313" t="s">
        <v>5623</v>
      </c>
      <c r="E434" s="313">
        <v>9</v>
      </c>
      <c r="F434" s="250" t="s">
        <v>6011</v>
      </c>
      <c r="G434" s="279" t="s">
        <v>18</v>
      </c>
      <c r="H434" s="190"/>
      <c r="I434" s="190"/>
      <c r="J434" s="329"/>
    </row>
    <row r="435" ht="20" customHeight="1" spans="1:10">
      <c r="A435" s="354" t="s">
        <v>309</v>
      </c>
      <c r="B435" s="190"/>
      <c r="C435" s="355" t="s">
        <v>5749</v>
      </c>
      <c r="D435" s="313" t="s">
        <v>5623</v>
      </c>
      <c r="E435" s="313">
        <v>31</v>
      </c>
      <c r="F435" s="250" t="s">
        <v>6011</v>
      </c>
      <c r="G435" s="279" t="s">
        <v>18</v>
      </c>
      <c r="H435" s="190"/>
      <c r="I435" s="190"/>
      <c r="J435" s="329"/>
    </row>
    <row r="436" ht="20" customHeight="1" spans="1:10">
      <c r="A436" s="354" t="s">
        <v>309</v>
      </c>
      <c r="B436" s="190"/>
      <c r="C436" s="355" t="s">
        <v>5949</v>
      </c>
      <c r="D436" s="313" t="s">
        <v>5623</v>
      </c>
      <c r="E436" s="313">
        <v>18</v>
      </c>
      <c r="F436" s="250" t="s">
        <v>6011</v>
      </c>
      <c r="G436" s="279" t="s">
        <v>18</v>
      </c>
      <c r="H436" s="190"/>
      <c r="I436" s="190"/>
      <c r="J436" s="329"/>
    </row>
    <row r="437" ht="20" customHeight="1" spans="1:10">
      <c r="A437" s="354" t="s">
        <v>309</v>
      </c>
      <c r="B437" s="190"/>
      <c r="C437" s="355" t="s">
        <v>5948</v>
      </c>
      <c r="D437" s="313" t="s">
        <v>5623</v>
      </c>
      <c r="E437" s="313">
        <v>15</v>
      </c>
      <c r="F437" s="250" t="s">
        <v>6011</v>
      </c>
      <c r="G437" s="279" t="s">
        <v>18</v>
      </c>
      <c r="H437" s="190"/>
      <c r="I437" s="190"/>
      <c r="J437" s="329"/>
    </row>
    <row r="438" ht="20" customHeight="1" spans="1:10">
      <c r="A438" s="354" t="s">
        <v>309</v>
      </c>
      <c r="B438" s="190"/>
      <c r="C438" s="355" t="s">
        <v>5950</v>
      </c>
      <c r="D438" s="313" t="s">
        <v>5623</v>
      </c>
      <c r="E438" s="313">
        <v>15</v>
      </c>
      <c r="F438" s="250" t="s">
        <v>6011</v>
      </c>
      <c r="G438" s="279" t="s">
        <v>18</v>
      </c>
      <c r="H438" s="190"/>
      <c r="I438" s="190"/>
      <c r="J438" s="329"/>
    </row>
    <row r="439" ht="20" customHeight="1" spans="1:10">
      <c r="A439" s="354" t="s">
        <v>309</v>
      </c>
      <c r="B439" s="190"/>
      <c r="C439" s="355" t="s">
        <v>5955</v>
      </c>
      <c r="D439" s="313" t="s">
        <v>5648</v>
      </c>
      <c r="E439" s="313">
        <v>30</v>
      </c>
      <c r="F439" s="313" t="s">
        <v>6011</v>
      </c>
      <c r="G439" s="313" t="s">
        <v>18</v>
      </c>
      <c r="H439" s="190"/>
      <c r="I439" s="192"/>
      <c r="J439" s="329"/>
    </row>
    <row r="440" customFormat="1" ht="15" spans="1:12">
      <c r="A440" s="250" t="s">
        <v>5956</v>
      </c>
      <c r="B440" s="293" t="s">
        <v>6014</v>
      </c>
      <c r="C440" s="312" t="s">
        <v>6015</v>
      </c>
      <c r="D440" s="313" t="s">
        <v>5969</v>
      </c>
      <c r="E440" s="250">
        <v>20</v>
      </c>
      <c r="F440" s="250" t="s">
        <v>6016</v>
      </c>
      <c r="G440" s="356" t="s">
        <v>18</v>
      </c>
      <c r="H440" s="296">
        <v>45811</v>
      </c>
      <c r="I440" s="364" t="s">
        <v>6017</v>
      </c>
      <c r="J440" s="329"/>
      <c r="K440" s="345"/>
      <c r="L440" s="345"/>
    </row>
    <row r="441" ht="20" customHeight="1" spans="1:27">
      <c r="A441" s="293" t="s">
        <v>309</v>
      </c>
      <c r="B441" s="190"/>
      <c r="C441" s="318"/>
      <c r="D441" s="317" t="s">
        <v>5965</v>
      </c>
      <c r="E441" s="317">
        <v>1</v>
      </c>
      <c r="F441" s="293" t="s">
        <v>309</v>
      </c>
      <c r="G441" s="356" t="s">
        <v>18</v>
      </c>
      <c r="H441" s="190"/>
      <c r="I441" s="344" t="s">
        <v>6018</v>
      </c>
      <c r="J441" s="365"/>
      <c r="K441" s="337"/>
      <c r="L441" s="337"/>
      <c r="M441" s="337"/>
      <c r="N441" s="337"/>
      <c r="O441" s="337"/>
      <c r="P441" s="337"/>
      <c r="Q441" s="337"/>
      <c r="R441" s="337"/>
      <c r="S441" s="337"/>
      <c r="T441" s="337"/>
      <c r="U441" s="337"/>
      <c r="V441" s="337"/>
      <c r="W441" s="337"/>
      <c r="X441" s="337"/>
      <c r="Y441" s="337"/>
      <c r="Z441" s="337"/>
      <c r="AA441" s="337"/>
    </row>
    <row r="442" ht="20" customHeight="1" spans="1:27">
      <c r="A442" s="293" t="s">
        <v>309</v>
      </c>
      <c r="B442" s="190"/>
      <c r="C442" s="318"/>
      <c r="D442" s="317" t="s">
        <v>6019</v>
      </c>
      <c r="E442" s="317">
        <v>1</v>
      </c>
      <c r="F442" s="293" t="s">
        <v>309</v>
      </c>
      <c r="G442" s="356" t="s">
        <v>18</v>
      </c>
      <c r="H442" s="190"/>
      <c r="I442" s="311"/>
      <c r="J442" s="365"/>
      <c r="K442" s="337"/>
      <c r="L442" s="337"/>
      <c r="M442" s="337"/>
      <c r="N442" s="337"/>
      <c r="O442" s="337"/>
      <c r="P442" s="337"/>
      <c r="Q442" s="337"/>
      <c r="R442" s="337"/>
      <c r="S442" s="337"/>
      <c r="T442" s="337"/>
      <c r="U442" s="337"/>
      <c r="V442" s="337"/>
      <c r="W442" s="337"/>
      <c r="X442" s="337"/>
      <c r="Y442" s="337"/>
      <c r="Z442" s="337"/>
      <c r="AA442" s="337"/>
    </row>
    <row r="443" ht="20" customHeight="1" spans="1:27">
      <c r="A443" s="293" t="s">
        <v>309</v>
      </c>
      <c r="B443" s="190"/>
      <c r="C443" s="318"/>
      <c r="D443" s="317" t="s">
        <v>6020</v>
      </c>
      <c r="E443" s="317">
        <v>1</v>
      </c>
      <c r="F443" s="293" t="s">
        <v>309</v>
      </c>
      <c r="G443" s="356" t="s">
        <v>18</v>
      </c>
      <c r="H443" s="190"/>
      <c r="I443" s="311"/>
      <c r="J443" s="365"/>
      <c r="K443" s="337"/>
      <c r="L443" s="337"/>
      <c r="M443" s="337"/>
      <c r="N443" s="337"/>
      <c r="O443" s="337"/>
      <c r="P443" s="337"/>
      <c r="Q443" s="337"/>
      <c r="R443" s="337"/>
      <c r="S443" s="337"/>
      <c r="T443" s="337"/>
      <c r="U443" s="337"/>
      <c r="V443" s="337"/>
      <c r="W443" s="337"/>
      <c r="X443" s="337"/>
      <c r="Y443" s="337"/>
      <c r="Z443" s="337"/>
      <c r="AA443" s="337"/>
    </row>
    <row r="444" ht="15" spans="1:27">
      <c r="A444" s="293" t="s">
        <v>309</v>
      </c>
      <c r="B444" s="293" t="s">
        <v>309</v>
      </c>
      <c r="C444" s="318" t="s">
        <v>309</v>
      </c>
      <c r="D444" s="317" t="s">
        <v>6021</v>
      </c>
      <c r="E444" s="317">
        <v>1040</v>
      </c>
      <c r="F444" s="293" t="s">
        <v>309</v>
      </c>
      <c r="G444" s="251" t="s">
        <v>18</v>
      </c>
      <c r="H444" s="280" t="s">
        <v>309</v>
      </c>
      <c r="I444" s="293" t="s">
        <v>6022</v>
      </c>
      <c r="J444" s="365"/>
      <c r="K444" s="337"/>
      <c r="L444" s="337"/>
      <c r="M444" s="337"/>
      <c r="N444" s="337"/>
      <c r="O444" s="337"/>
      <c r="P444" s="337"/>
      <c r="Q444" s="337"/>
      <c r="R444" s="337"/>
      <c r="S444" s="337"/>
      <c r="T444" s="337"/>
      <c r="U444" s="337"/>
      <c r="V444" s="337"/>
      <c r="W444" s="337"/>
      <c r="X444" s="337"/>
      <c r="Y444" s="337"/>
      <c r="Z444" s="337"/>
      <c r="AA444" s="337"/>
    </row>
    <row r="445" customFormat="1" ht="15" spans="1:13">
      <c r="A445" s="347" t="s">
        <v>309</v>
      </c>
      <c r="B445" s="317" t="s">
        <v>5051</v>
      </c>
      <c r="C445" s="357" t="s">
        <v>5929</v>
      </c>
      <c r="D445" s="313" t="s">
        <v>5552</v>
      </c>
      <c r="E445" s="313">
        <v>81</v>
      </c>
      <c r="F445" s="250" t="s">
        <v>6023</v>
      </c>
      <c r="G445" s="356" t="s">
        <v>18</v>
      </c>
      <c r="H445" s="296">
        <v>45826</v>
      </c>
      <c r="I445" s="364" t="s">
        <v>6024</v>
      </c>
      <c r="J445" s="329"/>
      <c r="K445" s="345"/>
      <c r="L445" s="345"/>
      <c r="M445" s="337"/>
    </row>
    <row r="446" ht="15" spans="1:27">
      <c r="A446" s="354" t="s">
        <v>6025</v>
      </c>
      <c r="B446" s="190"/>
      <c r="C446" s="358" t="s">
        <v>5631</v>
      </c>
      <c r="D446" s="359" t="s">
        <v>5623</v>
      </c>
      <c r="E446" s="359">
        <v>20</v>
      </c>
      <c r="F446" s="250" t="s">
        <v>6026</v>
      </c>
      <c r="G446" s="360" t="s">
        <v>18</v>
      </c>
      <c r="H446" s="190"/>
      <c r="I446" s="344" t="s">
        <v>5907</v>
      </c>
      <c r="J446" s="329"/>
      <c r="K446" s="337"/>
      <c r="L446" s="337"/>
      <c r="N446" s="337"/>
      <c r="O446" s="337"/>
      <c r="P446" s="337"/>
      <c r="Q446" s="337"/>
      <c r="R446" s="337"/>
      <c r="S446" s="337"/>
      <c r="T446" s="337"/>
      <c r="U446" s="337"/>
      <c r="V446" s="337"/>
      <c r="W446" s="337"/>
      <c r="X446" s="337"/>
      <c r="Y446" s="337"/>
      <c r="Z446" s="337"/>
      <c r="AA446" s="337"/>
    </row>
    <row r="447" ht="15" spans="1:27">
      <c r="A447" s="354" t="s">
        <v>6027</v>
      </c>
      <c r="B447" s="190"/>
      <c r="C447" s="361" t="s">
        <v>6028</v>
      </c>
      <c r="D447" s="317" t="s">
        <v>6029</v>
      </c>
      <c r="E447" s="317">
        <v>1</v>
      </c>
      <c r="F447" s="250" t="s">
        <v>6026</v>
      </c>
      <c r="G447" s="362" t="s">
        <v>18</v>
      </c>
      <c r="H447" s="190"/>
      <c r="I447" s="344" t="s">
        <v>6030</v>
      </c>
      <c r="J447" s="329"/>
      <c r="K447" s="337"/>
      <c r="L447" s="337"/>
      <c r="M447" s="337"/>
      <c r="N447" s="337"/>
      <c r="O447" s="337"/>
      <c r="P447" s="337"/>
      <c r="Q447" s="337"/>
      <c r="R447" s="337"/>
      <c r="S447" s="337"/>
      <c r="T447" s="337"/>
      <c r="U447" s="337"/>
      <c r="V447" s="337"/>
      <c r="W447" s="337"/>
      <c r="X447" s="337"/>
      <c r="Y447" s="337"/>
      <c r="Z447" s="337"/>
      <c r="AA447" s="337"/>
    </row>
    <row r="448" customFormat="1" ht="15" spans="1:12">
      <c r="A448" s="354" t="s">
        <v>6031</v>
      </c>
      <c r="B448" s="190"/>
      <c r="C448" s="361" t="s">
        <v>5955</v>
      </c>
      <c r="D448" s="317" t="s">
        <v>5648</v>
      </c>
      <c r="E448" s="317">
        <v>100</v>
      </c>
      <c r="F448" s="293" t="s">
        <v>6032</v>
      </c>
      <c r="G448" s="362" t="s">
        <v>18</v>
      </c>
      <c r="H448" s="190"/>
      <c r="I448" s="344" t="s">
        <v>5907</v>
      </c>
      <c r="J448" s="329"/>
      <c r="K448" s="345"/>
      <c r="L448" s="345"/>
    </row>
    <row r="449" customFormat="1" ht="16.5" customHeight="1" spans="1:12">
      <c r="A449" s="250" t="s">
        <v>6033</v>
      </c>
      <c r="B449" s="250" t="s">
        <v>6034</v>
      </c>
      <c r="C449" s="312" t="s">
        <v>6035</v>
      </c>
      <c r="D449" s="366" t="s">
        <v>5552</v>
      </c>
      <c r="E449" s="313">
        <v>2</v>
      </c>
      <c r="F449" s="250" t="s">
        <v>6036</v>
      </c>
      <c r="G449" s="279" t="s">
        <v>18</v>
      </c>
      <c r="H449" s="367">
        <v>45842</v>
      </c>
      <c r="I449" s="317" t="s">
        <v>6037</v>
      </c>
      <c r="J449" s="398"/>
      <c r="K449" s="399"/>
      <c r="L449" s="345"/>
    </row>
    <row r="450" customFormat="1" ht="16.5" customHeight="1" spans="1:12">
      <c r="A450" s="250" t="s">
        <v>6033</v>
      </c>
      <c r="B450" s="368"/>
      <c r="C450" s="318" t="s">
        <v>6038</v>
      </c>
      <c r="D450" s="366" t="s">
        <v>6039</v>
      </c>
      <c r="E450" s="313">
        <v>1</v>
      </c>
      <c r="F450" s="250" t="s">
        <v>6036</v>
      </c>
      <c r="G450" s="279" t="s">
        <v>18</v>
      </c>
      <c r="H450" s="281"/>
      <c r="I450" s="33"/>
      <c r="J450" s="400"/>
      <c r="K450" s="401"/>
      <c r="L450" s="345"/>
    </row>
    <row r="451" customFormat="1" ht="43" customHeight="1" spans="1:13">
      <c r="A451" s="317" t="s">
        <v>6040</v>
      </c>
      <c r="B451" s="293" t="s">
        <v>6041</v>
      </c>
      <c r="C451" s="318" t="s">
        <v>6042</v>
      </c>
      <c r="D451" s="317" t="s">
        <v>5840</v>
      </c>
      <c r="E451" s="317">
        <v>5</v>
      </c>
      <c r="F451" s="293" t="s">
        <v>6043</v>
      </c>
      <c r="G451" s="251" t="s">
        <v>6044</v>
      </c>
      <c r="H451" s="296">
        <v>45845</v>
      </c>
      <c r="I451" s="380" t="s">
        <v>6045</v>
      </c>
      <c r="J451" s="402"/>
      <c r="K451" s="402"/>
      <c r="L451" s="399"/>
      <c r="M451" s="399" t="s">
        <v>6046</v>
      </c>
    </row>
    <row r="452" s="180" customFormat="1" ht="16.5" customHeight="1" spans="1:12">
      <c r="A452" s="250" t="s">
        <v>6047</v>
      </c>
      <c r="B452" s="313" t="s">
        <v>6048</v>
      </c>
      <c r="C452" s="369" t="s">
        <v>5961</v>
      </c>
      <c r="D452" s="250" t="s">
        <v>5962</v>
      </c>
      <c r="E452" s="250">
        <v>30</v>
      </c>
      <c r="F452" s="250" t="s">
        <v>6049</v>
      </c>
      <c r="G452" s="279" t="s">
        <v>18</v>
      </c>
      <c r="H452" s="367">
        <v>45845</v>
      </c>
      <c r="I452" s="296" t="s">
        <v>6050</v>
      </c>
      <c r="J452" s="403"/>
      <c r="K452" s="404"/>
      <c r="L452" s="404"/>
    </row>
    <row r="453" s="180" customFormat="1" ht="16.5" customHeight="1" spans="1:12">
      <c r="A453" s="250" t="s">
        <v>6047</v>
      </c>
      <c r="B453" s="281"/>
      <c r="C453" s="369">
        <v>12127000001896</v>
      </c>
      <c r="D453" s="250" t="s">
        <v>6051</v>
      </c>
      <c r="E453" s="250">
        <v>30</v>
      </c>
      <c r="F453" s="250" t="s">
        <v>6049</v>
      </c>
      <c r="G453" s="279" t="s">
        <v>18</v>
      </c>
      <c r="H453" s="281"/>
      <c r="I453" s="190"/>
      <c r="J453" s="403"/>
      <c r="K453" s="405"/>
      <c r="L453" s="404"/>
    </row>
    <row r="454" s="180" customFormat="1" ht="16.5" customHeight="1" spans="1:12">
      <c r="A454" s="250" t="s">
        <v>6047</v>
      </c>
      <c r="B454" s="281"/>
      <c r="C454" s="369">
        <v>17126000007331</v>
      </c>
      <c r="D454" s="250" t="s">
        <v>6052</v>
      </c>
      <c r="E454" s="250">
        <v>30</v>
      </c>
      <c r="F454" s="250" t="s">
        <v>6049</v>
      </c>
      <c r="G454" s="279" t="s">
        <v>18</v>
      </c>
      <c r="H454" s="281"/>
      <c r="I454" s="190"/>
      <c r="J454" s="403"/>
      <c r="K454" s="405"/>
      <c r="L454" s="404"/>
    </row>
    <row r="455" s="180" customFormat="1" ht="16.5" customHeight="1" spans="1:12">
      <c r="A455" s="250" t="s">
        <v>6053</v>
      </c>
      <c r="B455" s="281"/>
      <c r="C455" s="369">
        <v>17401204022251</v>
      </c>
      <c r="D455" s="250" t="s">
        <v>6054</v>
      </c>
      <c r="E455" s="250">
        <v>30</v>
      </c>
      <c r="F455" s="250" t="s">
        <v>6049</v>
      </c>
      <c r="G455" s="279" t="s">
        <v>18</v>
      </c>
      <c r="H455" s="281"/>
      <c r="I455" s="192"/>
      <c r="J455" s="403"/>
      <c r="K455" s="404"/>
      <c r="L455" s="404"/>
    </row>
    <row r="456" s="180" customFormat="1" ht="16.5" customHeight="1" spans="1:12">
      <c r="A456" s="250" t="s">
        <v>6055</v>
      </c>
      <c r="B456" s="281"/>
      <c r="C456" s="352" t="s">
        <v>6056</v>
      </c>
      <c r="D456" s="313" t="s">
        <v>6057</v>
      </c>
      <c r="E456" s="313">
        <v>20</v>
      </c>
      <c r="F456" s="250" t="s">
        <v>6049</v>
      </c>
      <c r="G456" s="279" t="s">
        <v>18</v>
      </c>
      <c r="H456" s="281"/>
      <c r="I456" s="313" t="s">
        <v>6058</v>
      </c>
      <c r="J456" s="403"/>
      <c r="K456" s="404"/>
      <c r="L456" s="404"/>
    </row>
    <row r="457" s="180" customFormat="1" ht="16.5" customHeight="1" spans="1:12">
      <c r="A457" s="250" t="s">
        <v>6055</v>
      </c>
      <c r="B457" s="281"/>
      <c r="C457" s="352" t="s">
        <v>6059</v>
      </c>
      <c r="D457" s="313" t="s">
        <v>6057</v>
      </c>
      <c r="E457" s="313">
        <v>20</v>
      </c>
      <c r="F457" s="250" t="s">
        <v>6049</v>
      </c>
      <c r="G457" s="279" t="s">
        <v>18</v>
      </c>
      <c r="H457" s="281"/>
      <c r="I457" s="69"/>
      <c r="J457" s="403"/>
      <c r="K457" s="405"/>
      <c r="L457" s="404"/>
    </row>
    <row r="458" s="180" customFormat="1" ht="16.5" customHeight="1" spans="1:12">
      <c r="A458" s="250" t="s">
        <v>6055</v>
      </c>
      <c r="B458" s="69"/>
      <c r="C458" s="312" t="s">
        <v>6060</v>
      </c>
      <c r="D458" s="313" t="s">
        <v>6057</v>
      </c>
      <c r="E458" s="313">
        <v>20</v>
      </c>
      <c r="F458" s="250" t="s">
        <v>6049</v>
      </c>
      <c r="G458" s="279" t="s">
        <v>18</v>
      </c>
      <c r="H458" s="69"/>
      <c r="I458" s="69"/>
      <c r="J458" s="403"/>
      <c r="K458" s="405"/>
      <c r="L458" s="404"/>
    </row>
    <row r="459" s="180" customFormat="1" ht="16.5" customHeight="1" spans="1:12">
      <c r="A459" s="250" t="s">
        <v>6055</v>
      </c>
      <c r="B459" s="281"/>
      <c r="C459" s="312" t="s">
        <v>5970</v>
      </c>
      <c r="D459" s="313" t="s">
        <v>5971</v>
      </c>
      <c r="E459" s="313">
        <v>60</v>
      </c>
      <c r="F459" s="250" t="s">
        <v>6049</v>
      </c>
      <c r="G459" s="279" t="s">
        <v>18</v>
      </c>
      <c r="H459" s="281"/>
      <c r="I459" s="69"/>
      <c r="J459" s="404"/>
      <c r="K459" s="403"/>
      <c r="L459" s="404"/>
    </row>
    <row r="460" customFormat="1" ht="20" customHeight="1" spans="1:12">
      <c r="A460" s="283" t="s">
        <v>6061</v>
      </c>
      <c r="B460" s="283" t="s">
        <v>5189</v>
      </c>
      <c r="C460" s="370">
        <v>17227000007061</v>
      </c>
      <c r="D460" s="283" t="s">
        <v>5969</v>
      </c>
      <c r="E460" s="283">
        <v>8</v>
      </c>
      <c r="F460" s="283" t="s">
        <v>2628</v>
      </c>
      <c r="G460" s="371" t="s">
        <v>18</v>
      </c>
      <c r="H460" s="372">
        <v>45856</v>
      </c>
      <c r="I460" s="406" t="s">
        <v>6062</v>
      </c>
      <c r="J460" s="329"/>
      <c r="K460" s="345"/>
      <c r="L460" s="345"/>
    </row>
    <row r="461" customFormat="1" ht="23" customHeight="1" spans="1:12">
      <c r="A461" s="250" t="s">
        <v>6061</v>
      </c>
      <c r="B461" s="281"/>
      <c r="C461" s="373">
        <v>17226000007279</v>
      </c>
      <c r="D461" s="250" t="s">
        <v>6063</v>
      </c>
      <c r="E461" s="250">
        <v>5</v>
      </c>
      <c r="F461" s="250" t="s">
        <v>2628</v>
      </c>
      <c r="G461" s="279" t="s">
        <v>18</v>
      </c>
      <c r="H461" s="281"/>
      <c r="I461" s="190"/>
      <c r="J461" s="329"/>
      <c r="K461" s="345"/>
      <c r="L461" s="345"/>
    </row>
    <row r="462" customFormat="1" ht="23" customHeight="1" spans="1:12">
      <c r="A462" s="250" t="s">
        <v>6061</v>
      </c>
      <c r="B462" s="281"/>
      <c r="C462" s="373">
        <v>11001011002589</v>
      </c>
      <c r="D462" s="250" t="s">
        <v>5913</v>
      </c>
      <c r="E462" s="250">
        <v>13</v>
      </c>
      <c r="F462" s="250" t="s">
        <v>2628</v>
      </c>
      <c r="G462" s="279" t="s">
        <v>18</v>
      </c>
      <c r="H462" s="281"/>
      <c r="I462" s="190"/>
      <c r="J462" s="329"/>
      <c r="K462" s="345"/>
      <c r="L462" s="345"/>
    </row>
    <row r="463" customFormat="1" ht="23" customHeight="1" spans="1:12">
      <c r="A463" s="250" t="s">
        <v>6061</v>
      </c>
      <c r="B463" s="281"/>
      <c r="C463" s="373">
        <v>17400511000026</v>
      </c>
      <c r="D463" s="250" t="s">
        <v>5963</v>
      </c>
      <c r="E463" s="250">
        <v>13</v>
      </c>
      <c r="F463" s="250" t="s">
        <v>2628</v>
      </c>
      <c r="G463" s="279" t="s">
        <v>18</v>
      </c>
      <c r="H463" s="281"/>
      <c r="I463" s="190"/>
      <c r="J463" s="329"/>
      <c r="K463" s="345"/>
      <c r="L463" s="345"/>
    </row>
    <row r="464" customFormat="1" ht="23" customHeight="1" spans="1:12">
      <c r="A464" s="250" t="s">
        <v>6061</v>
      </c>
      <c r="B464" s="281"/>
      <c r="C464" s="369">
        <v>17227000004801</v>
      </c>
      <c r="D464" s="250" t="s">
        <v>5969</v>
      </c>
      <c r="E464" s="250">
        <v>8</v>
      </c>
      <c r="F464" s="250" t="s">
        <v>2628</v>
      </c>
      <c r="G464" s="279" t="s">
        <v>18</v>
      </c>
      <c r="H464" s="281"/>
      <c r="I464" s="192"/>
      <c r="J464" s="329"/>
      <c r="K464" s="345"/>
      <c r="L464" s="345"/>
    </row>
    <row r="465" customFormat="1" ht="15" spans="1:12">
      <c r="A465" s="250" t="s">
        <v>6064</v>
      </c>
      <c r="B465" s="281"/>
      <c r="C465" s="369">
        <v>17317000012384</v>
      </c>
      <c r="D465" s="313" t="s">
        <v>5954</v>
      </c>
      <c r="E465" s="250">
        <v>30</v>
      </c>
      <c r="F465" s="250" t="s">
        <v>2628</v>
      </c>
      <c r="G465" s="279" t="s">
        <v>18</v>
      </c>
      <c r="H465" s="281"/>
      <c r="I465" s="250" t="s">
        <v>6065</v>
      </c>
      <c r="J465" s="329"/>
      <c r="K465" s="345"/>
      <c r="L465" s="345"/>
    </row>
    <row r="466" customFormat="1" ht="16.5" customHeight="1" spans="1:12">
      <c r="A466" s="293" t="s">
        <v>6066</v>
      </c>
      <c r="B466" s="293" t="s">
        <v>5209</v>
      </c>
      <c r="C466" s="374">
        <v>17401204023034</v>
      </c>
      <c r="D466" s="375" t="s">
        <v>6067</v>
      </c>
      <c r="E466" s="293">
        <v>100</v>
      </c>
      <c r="F466" s="293" t="s">
        <v>2634</v>
      </c>
      <c r="G466" s="251" t="s">
        <v>18</v>
      </c>
      <c r="H466" s="296">
        <v>45867</v>
      </c>
      <c r="I466" s="367" t="s">
        <v>6068</v>
      </c>
      <c r="J466" s="261"/>
      <c r="K466" s="345"/>
      <c r="L466" s="345"/>
    </row>
    <row r="467" ht="16.5" customHeight="1" spans="1:27">
      <c r="A467" s="250" t="s">
        <v>309</v>
      </c>
      <c r="B467" s="190"/>
      <c r="C467" s="376" t="s">
        <v>309</v>
      </c>
      <c r="D467" s="350" t="s">
        <v>2279</v>
      </c>
      <c r="E467" s="250">
        <v>35</v>
      </c>
      <c r="F467" s="293" t="s">
        <v>2634</v>
      </c>
      <c r="G467" s="279" t="s">
        <v>18</v>
      </c>
      <c r="H467" s="190"/>
      <c r="I467" s="344" t="s">
        <v>6069</v>
      </c>
      <c r="J467" s="261"/>
      <c r="K467" s="345"/>
      <c r="L467" s="407"/>
      <c r="M467" s="407"/>
      <c r="N467" s="407"/>
      <c r="O467" s="407"/>
      <c r="P467" s="407"/>
      <c r="Q467" s="407"/>
      <c r="R467" s="407"/>
      <c r="S467" s="407"/>
      <c r="T467" s="407"/>
      <c r="U467" s="407"/>
      <c r="V467" s="407"/>
      <c r="W467" s="407"/>
      <c r="X467" s="407"/>
      <c r="Y467" s="407"/>
      <c r="Z467" s="407"/>
      <c r="AA467" s="407"/>
    </row>
    <row r="468" customFormat="1" ht="16.5" customHeight="1" spans="1:12">
      <c r="A468" s="321" t="s">
        <v>6070</v>
      </c>
      <c r="B468" s="190"/>
      <c r="C468" s="377" t="s">
        <v>5545</v>
      </c>
      <c r="D468" s="350" t="s">
        <v>6071</v>
      </c>
      <c r="E468" s="347">
        <v>1</v>
      </c>
      <c r="F468" s="293" t="s">
        <v>2634</v>
      </c>
      <c r="G468" s="279" t="s">
        <v>18</v>
      </c>
      <c r="H468" s="190"/>
      <c r="I468" s="344" t="s">
        <v>6072</v>
      </c>
      <c r="J468" s="261"/>
      <c r="K468" s="345"/>
      <c r="L468" s="345"/>
    </row>
    <row r="469" customFormat="1" ht="16.5" customHeight="1" spans="1:12">
      <c r="A469" s="321" t="s">
        <v>6073</v>
      </c>
      <c r="B469" s="190"/>
      <c r="C469" s="377" t="s">
        <v>6074</v>
      </c>
      <c r="D469" s="378" t="s">
        <v>6075</v>
      </c>
      <c r="E469" s="321">
        <v>1</v>
      </c>
      <c r="F469" s="293" t="s">
        <v>2634</v>
      </c>
      <c r="G469" s="279" t="s">
        <v>18</v>
      </c>
      <c r="H469" s="190"/>
      <c r="I469" s="311"/>
      <c r="J469" s="261"/>
      <c r="K469" s="345"/>
      <c r="L469" s="345"/>
    </row>
    <row r="470" customFormat="1" ht="16.5" customHeight="1" spans="1:12">
      <c r="A470" s="321" t="s">
        <v>6076</v>
      </c>
      <c r="B470" s="190"/>
      <c r="C470" s="377" t="s">
        <v>6074</v>
      </c>
      <c r="D470" s="378" t="s">
        <v>6075</v>
      </c>
      <c r="E470" s="321">
        <v>1</v>
      </c>
      <c r="F470" s="293" t="s">
        <v>2634</v>
      </c>
      <c r="G470" s="279" t="s">
        <v>18</v>
      </c>
      <c r="H470" s="190"/>
      <c r="I470" s="311"/>
      <c r="J470" s="261"/>
      <c r="K470" s="345"/>
      <c r="L470" s="345"/>
    </row>
    <row r="471" customFormat="1" ht="16.5" customHeight="1" spans="1:12">
      <c r="A471" s="321" t="s">
        <v>6077</v>
      </c>
      <c r="B471" s="190"/>
      <c r="C471" s="377" t="s">
        <v>5803</v>
      </c>
      <c r="D471" s="350" t="s">
        <v>5543</v>
      </c>
      <c r="E471" s="347">
        <v>1</v>
      </c>
      <c r="F471" s="293" t="s">
        <v>2634</v>
      </c>
      <c r="G471" s="279" t="s">
        <v>18</v>
      </c>
      <c r="H471" s="190"/>
      <c r="I471" s="311"/>
      <c r="J471" s="261"/>
      <c r="K471" s="345"/>
      <c r="L471" s="345"/>
    </row>
    <row r="472" customFormat="1" ht="16.5" customHeight="1" spans="1:12">
      <c r="A472" s="321" t="s">
        <v>6078</v>
      </c>
      <c r="B472" s="190"/>
      <c r="C472" s="377" t="s">
        <v>6000</v>
      </c>
      <c r="D472" s="350" t="s">
        <v>5962</v>
      </c>
      <c r="E472" s="347">
        <v>1</v>
      </c>
      <c r="F472" s="293" t="s">
        <v>2634</v>
      </c>
      <c r="G472" s="279" t="s">
        <v>18</v>
      </c>
      <c r="H472" s="26"/>
      <c r="I472" s="311"/>
      <c r="J472" s="261"/>
      <c r="K472" s="345"/>
      <c r="L472" s="345"/>
    </row>
    <row r="473" customFormat="1" ht="16.5" customHeight="1" spans="1:12">
      <c r="A473" s="321" t="s">
        <v>6079</v>
      </c>
      <c r="B473" s="190"/>
      <c r="C473" s="377" t="s">
        <v>6074</v>
      </c>
      <c r="D473" s="378" t="s">
        <v>6075</v>
      </c>
      <c r="E473" s="347">
        <v>1</v>
      </c>
      <c r="F473" s="293" t="s">
        <v>2634</v>
      </c>
      <c r="G473" s="279" t="s">
        <v>18</v>
      </c>
      <c r="H473" s="190"/>
      <c r="I473" s="311"/>
      <c r="J473" s="261"/>
      <c r="K473" s="345"/>
      <c r="L473" s="345"/>
    </row>
    <row r="474" customFormat="1" ht="16.5" customHeight="1" spans="1:12">
      <c r="A474" s="321" t="s">
        <v>6080</v>
      </c>
      <c r="B474" s="190"/>
      <c r="C474" s="377" t="s">
        <v>6005</v>
      </c>
      <c r="D474" s="350" t="s">
        <v>5898</v>
      </c>
      <c r="E474" s="347">
        <v>1</v>
      </c>
      <c r="F474" s="293" t="s">
        <v>2634</v>
      </c>
      <c r="G474" s="279" t="s">
        <v>18</v>
      </c>
      <c r="H474" s="190"/>
      <c r="I474" s="311"/>
      <c r="J474" s="261"/>
      <c r="K474" s="345"/>
      <c r="L474" s="345"/>
    </row>
    <row r="475" customFormat="1" ht="16.5" customHeight="1" spans="1:12">
      <c r="A475" s="321" t="s">
        <v>6080</v>
      </c>
      <c r="B475" s="190"/>
      <c r="C475" s="377" t="s">
        <v>6081</v>
      </c>
      <c r="D475" s="350" t="s">
        <v>5552</v>
      </c>
      <c r="E475" s="347">
        <v>1</v>
      </c>
      <c r="F475" s="293" t="s">
        <v>2634</v>
      </c>
      <c r="G475" s="279" t="s">
        <v>18</v>
      </c>
      <c r="H475" s="190"/>
      <c r="I475" s="311"/>
      <c r="J475" s="261"/>
      <c r="K475" s="345"/>
      <c r="L475" s="345"/>
    </row>
    <row r="476" customFormat="1" ht="16.5" customHeight="1" spans="1:12">
      <c r="A476" s="321" t="s">
        <v>6080</v>
      </c>
      <c r="B476" s="190"/>
      <c r="C476" s="377" t="s">
        <v>5803</v>
      </c>
      <c r="D476" s="350" t="s">
        <v>5543</v>
      </c>
      <c r="E476" s="347">
        <v>1</v>
      </c>
      <c r="F476" s="293" t="s">
        <v>2634</v>
      </c>
      <c r="G476" s="279" t="s">
        <v>18</v>
      </c>
      <c r="H476" s="190"/>
      <c r="I476" s="311"/>
      <c r="J476" s="261"/>
      <c r="K476" s="345"/>
      <c r="L476" s="345"/>
    </row>
    <row r="477" customFormat="1" ht="16.5" customHeight="1" spans="1:12">
      <c r="A477" s="321" t="s">
        <v>6082</v>
      </c>
      <c r="B477" s="190"/>
      <c r="C477" s="377" t="s">
        <v>6074</v>
      </c>
      <c r="D477" s="378" t="s">
        <v>6075</v>
      </c>
      <c r="E477" s="347">
        <v>1</v>
      </c>
      <c r="F477" s="293" t="s">
        <v>2634</v>
      </c>
      <c r="G477" s="279" t="s">
        <v>18</v>
      </c>
      <c r="H477" s="26"/>
      <c r="I477" s="311"/>
      <c r="J477" s="261"/>
      <c r="K477" s="345"/>
      <c r="L477" s="345"/>
    </row>
    <row r="478" customFormat="1" ht="16.5" customHeight="1" spans="1:12">
      <c r="A478" s="321" t="s">
        <v>6083</v>
      </c>
      <c r="B478" s="190"/>
      <c r="C478" s="377" t="s">
        <v>5542</v>
      </c>
      <c r="D478" s="350" t="s">
        <v>5543</v>
      </c>
      <c r="E478" s="347">
        <v>1</v>
      </c>
      <c r="F478" s="293" t="s">
        <v>2634</v>
      </c>
      <c r="G478" s="279" t="s">
        <v>18</v>
      </c>
      <c r="H478" s="190"/>
      <c r="I478" s="311"/>
      <c r="J478" s="261"/>
      <c r="K478" s="345"/>
      <c r="L478" s="345"/>
    </row>
    <row r="479" customFormat="1" ht="16.5" customHeight="1" spans="1:12">
      <c r="A479" s="321" t="s">
        <v>6084</v>
      </c>
      <c r="B479" s="190"/>
      <c r="C479" s="377" t="s">
        <v>6074</v>
      </c>
      <c r="D479" s="378" t="s">
        <v>6075</v>
      </c>
      <c r="E479" s="347">
        <v>1</v>
      </c>
      <c r="F479" s="293" t="s">
        <v>2634</v>
      </c>
      <c r="G479" s="279" t="s">
        <v>18</v>
      </c>
      <c r="H479" s="190"/>
      <c r="I479" s="311"/>
      <c r="J479" s="261"/>
      <c r="K479" s="345"/>
      <c r="L479" s="345"/>
    </row>
    <row r="480" ht="16.5" customHeight="1" spans="1:27">
      <c r="A480" s="321" t="s">
        <v>6085</v>
      </c>
      <c r="B480" s="190"/>
      <c r="C480" s="377" t="s">
        <v>6005</v>
      </c>
      <c r="D480" s="350" t="s">
        <v>5898</v>
      </c>
      <c r="E480" s="347">
        <v>1</v>
      </c>
      <c r="F480" s="293" t="s">
        <v>2634</v>
      </c>
      <c r="G480" s="279" t="s">
        <v>18</v>
      </c>
      <c r="H480" s="26"/>
      <c r="I480" s="311"/>
      <c r="J480" s="261"/>
      <c r="K480" s="408"/>
      <c r="L480" s="337"/>
      <c r="M480" s="337"/>
      <c r="N480" s="337"/>
      <c r="O480" s="337"/>
      <c r="P480" s="337"/>
      <c r="Q480" s="337"/>
      <c r="R480" s="337"/>
      <c r="S480" s="337"/>
      <c r="T480" s="337"/>
      <c r="U480" s="337"/>
      <c r="V480" s="337"/>
      <c r="W480" s="337"/>
      <c r="X480" s="337"/>
      <c r="Y480" s="337"/>
      <c r="Z480" s="337"/>
      <c r="AA480" s="337"/>
    </row>
    <row r="481" ht="16.5" customHeight="1" spans="1:27">
      <c r="A481" s="321" t="s">
        <v>6086</v>
      </c>
      <c r="B481" s="190"/>
      <c r="C481" s="377" t="s">
        <v>6087</v>
      </c>
      <c r="D481" s="350" t="s">
        <v>6088</v>
      </c>
      <c r="E481" s="347">
        <v>1</v>
      </c>
      <c r="F481" s="293" t="s">
        <v>2634</v>
      </c>
      <c r="G481" s="279" t="s">
        <v>18</v>
      </c>
      <c r="H481" s="26"/>
      <c r="I481" s="311"/>
      <c r="J481" s="261"/>
      <c r="K481" s="408"/>
      <c r="L481" s="409"/>
      <c r="M481" s="337"/>
      <c r="N481" s="337"/>
      <c r="O481" s="337"/>
      <c r="P481" s="337"/>
      <c r="Q481" s="337"/>
      <c r="R481" s="337"/>
      <c r="S481" s="337"/>
      <c r="T481" s="337"/>
      <c r="U481" s="337"/>
      <c r="V481" s="337"/>
      <c r="W481" s="337"/>
      <c r="X481" s="337"/>
      <c r="Y481" s="337"/>
      <c r="Z481" s="337"/>
      <c r="AA481" s="337"/>
    </row>
    <row r="482" ht="16.5" customHeight="1" spans="1:27">
      <c r="A482" s="321" t="s">
        <v>6089</v>
      </c>
      <c r="B482" s="190"/>
      <c r="C482" s="377" t="s">
        <v>5992</v>
      </c>
      <c r="D482" s="350" t="s">
        <v>5648</v>
      </c>
      <c r="E482" s="347">
        <v>1</v>
      </c>
      <c r="F482" s="293" t="s">
        <v>2634</v>
      </c>
      <c r="G482" s="279" t="s">
        <v>18</v>
      </c>
      <c r="H482" s="26"/>
      <c r="I482" s="311"/>
      <c r="J482" s="261"/>
      <c r="K482" s="408"/>
      <c r="L482" s="409"/>
      <c r="M482" s="337"/>
      <c r="N482" s="337"/>
      <c r="O482" s="337"/>
      <c r="P482" s="337"/>
      <c r="Q482" s="337"/>
      <c r="R482" s="337"/>
      <c r="S482" s="337"/>
      <c r="T482" s="337"/>
      <c r="U482" s="337"/>
      <c r="V482" s="337"/>
      <c r="W482" s="337"/>
      <c r="X482" s="337"/>
      <c r="Y482" s="337"/>
      <c r="Z482" s="337"/>
      <c r="AA482" s="337"/>
    </row>
    <row r="483" ht="16.5" customHeight="1" spans="1:27">
      <c r="A483" s="321" t="s">
        <v>6090</v>
      </c>
      <c r="B483" s="190"/>
      <c r="C483" s="377" t="s">
        <v>6091</v>
      </c>
      <c r="D483" s="350" t="s">
        <v>5571</v>
      </c>
      <c r="E483" s="347">
        <v>1</v>
      </c>
      <c r="F483" s="293" t="s">
        <v>2634</v>
      </c>
      <c r="G483" s="279" t="s">
        <v>18</v>
      </c>
      <c r="H483" s="26"/>
      <c r="I483" s="190"/>
      <c r="J483" s="261"/>
      <c r="K483" s="345"/>
      <c r="L483" s="337"/>
      <c r="M483" s="337"/>
      <c r="N483" s="337"/>
      <c r="O483" s="337"/>
      <c r="P483" s="337"/>
      <c r="Q483" s="337"/>
      <c r="R483" s="337"/>
      <c r="S483" s="337"/>
      <c r="T483" s="337"/>
      <c r="U483" s="337"/>
      <c r="V483" s="337"/>
      <c r="W483" s="337"/>
      <c r="X483" s="337"/>
      <c r="Y483" s="337"/>
      <c r="Z483" s="337"/>
      <c r="AA483" s="337"/>
    </row>
    <row r="484" ht="16.5" customHeight="1" spans="1:27">
      <c r="A484" s="321" t="s">
        <v>6092</v>
      </c>
      <c r="B484" s="190"/>
      <c r="C484" s="377" t="s">
        <v>5982</v>
      </c>
      <c r="D484" s="350" t="s">
        <v>6093</v>
      </c>
      <c r="E484" s="347">
        <v>1</v>
      </c>
      <c r="F484" s="293" t="s">
        <v>2634</v>
      </c>
      <c r="G484" s="279" t="s">
        <v>18</v>
      </c>
      <c r="H484" s="26"/>
      <c r="I484" s="190"/>
      <c r="J484" s="261"/>
      <c r="K484" s="345"/>
      <c r="L484" s="337"/>
      <c r="M484" s="337"/>
      <c r="N484" s="337"/>
      <c r="O484" s="337"/>
      <c r="P484" s="337"/>
      <c r="Q484" s="337"/>
      <c r="R484" s="337"/>
      <c r="S484" s="337"/>
      <c r="T484" s="337"/>
      <c r="U484" s="337"/>
      <c r="V484" s="337"/>
      <c r="W484" s="337"/>
      <c r="X484" s="337"/>
      <c r="Y484" s="337"/>
      <c r="Z484" s="337"/>
      <c r="AA484" s="337"/>
    </row>
    <row r="485" ht="16.5" customHeight="1" spans="1:27">
      <c r="A485" s="334" t="s">
        <v>6094</v>
      </c>
      <c r="B485" s="190"/>
      <c r="C485" s="379" t="s">
        <v>6095</v>
      </c>
      <c r="D485" s="380" t="s">
        <v>6096</v>
      </c>
      <c r="E485" s="354">
        <v>1</v>
      </c>
      <c r="F485" s="293" t="s">
        <v>2634</v>
      </c>
      <c r="G485" s="251" t="s">
        <v>18</v>
      </c>
      <c r="H485" s="190"/>
      <c r="I485" s="192"/>
      <c r="J485" s="261"/>
      <c r="K485" s="408"/>
      <c r="L485" s="337"/>
      <c r="M485" s="337"/>
      <c r="N485" s="337"/>
      <c r="O485" s="337"/>
      <c r="P485" s="337"/>
      <c r="Q485" s="337"/>
      <c r="R485" s="337"/>
      <c r="S485" s="337"/>
      <c r="T485" s="337"/>
      <c r="U485" s="337"/>
      <c r="V485" s="337"/>
      <c r="W485" s="337"/>
      <c r="X485" s="337"/>
      <c r="Y485" s="337"/>
      <c r="Z485" s="337"/>
      <c r="AA485" s="337"/>
    </row>
    <row r="486" ht="16.5" customHeight="1" spans="1:27">
      <c r="A486" s="313" t="s">
        <v>6097</v>
      </c>
      <c r="B486" s="190"/>
      <c r="C486" s="342" t="s">
        <v>5545</v>
      </c>
      <c r="D486" s="381" t="s">
        <v>6071</v>
      </c>
      <c r="E486" s="250">
        <v>1</v>
      </c>
      <c r="F486" s="293" t="s">
        <v>2634</v>
      </c>
      <c r="G486" s="251" t="s">
        <v>18</v>
      </c>
      <c r="H486" s="190"/>
      <c r="I486" s="293" t="s">
        <v>6098</v>
      </c>
      <c r="J486" s="261"/>
      <c r="K486" s="345"/>
      <c r="L486" s="337"/>
      <c r="M486" s="337"/>
      <c r="N486" s="337"/>
      <c r="O486" s="337"/>
      <c r="P486" s="337"/>
      <c r="Q486" s="337"/>
      <c r="R486" s="337"/>
      <c r="S486" s="337"/>
      <c r="T486" s="337"/>
      <c r="U486" s="337"/>
      <c r="V486" s="337"/>
      <c r="W486" s="337"/>
      <c r="X486" s="337"/>
      <c r="Y486" s="337"/>
      <c r="Z486" s="337"/>
      <c r="AA486" s="337"/>
    </row>
    <row r="487" ht="16.5" customHeight="1" spans="1:27">
      <c r="A487" s="313" t="s">
        <v>6099</v>
      </c>
      <c r="B487" s="192"/>
      <c r="C487" s="342" t="s">
        <v>5545</v>
      </c>
      <c r="D487" s="381" t="s">
        <v>6071</v>
      </c>
      <c r="E487" s="250">
        <v>1</v>
      </c>
      <c r="F487" s="293" t="s">
        <v>2634</v>
      </c>
      <c r="G487" s="251" t="s">
        <v>18</v>
      </c>
      <c r="H487" s="192"/>
      <c r="I487" s="192"/>
      <c r="J487" s="261"/>
      <c r="K487" s="345"/>
      <c r="L487" s="337"/>
      <c r="M487" s="337"/>
      <c r="N487" s="337"/>
      <c r="O487" s="337"/>
      <c r="P487" s="337"/>
      <c r="Q487" s="337"/>
      <c r="R487" s="337"/>
      <c r="S487" s="337"/>
      <c r="T487" s="337"/>
      <c r="U487" s="337"/>
      <c r="V487" s="337"/>
      <c r="W487" s="337"/>
      <c r="X487" s="337"/>
      <c r="Y487" s="337"/>
      <c r="Z487" s="337"/>
      <c r="AA487" s="337"/>
    </row>
    <row r="488" ht="16.5" customHeight="1" spans="1:27">
      <c r="A488" s="313" t="s">
        <v>6100</v>
      </c>
      <c r="B488" s="293" t="s">
        <v>5238</v>
      </c>
      <c r="C488" s="343" t="s">
        <v>6101</v>
      </c>
      <c r="D488" s="351" t="s">
        <v>6102</v>
      </c>
      <c r="E488" s="250">
        <v>1</v>
      </c>
      <c r="F488" s="250" t="s">
        <v>2693</v>
      </c>
      <c r="G488" s="251" t="s">
        <v>18</v>
      </c>
      <c r="H488" s="296">
        <v>45867</v>
      </c>
      <c r="I488" s="293" t="s">
        <v>6098</v>
      </c>
      <c r="J488" s="261"/>
      <c r="K488" s="345"/>
      <c r="L488" s="337"/>
      <c r="M488" s="337"/>
      <c r="N488" s="337"/>
      <c r="O488" s="337"/>
      <c r="P488" s="337"/>
      <c r="Q488" s="337"/>
      <c r="R488" s="337"/>
      <c r="S488" s="337"/>
      <c r="T488" s="337"/>
      <c r="U488" s="337"/>
      <c r="V488" s="337"/>
      <c r="W488" s="337"/>
      <c r="X488" s="337"/>
      <c r="Y488" s="337"/>
      <c r="Z488" s="337"/>
      <c r="AA488" s="337"/>
    </row>
    <row r="489" ht="16.5" customHeight="1" spans="1:27">
      <c r="A489" s="313" t="s">
        <v>6103</v>
      </c>
      <c r="B489" s="190"/>
      <c r="C489" s="343" t="s">
        <v>6074</v>
      </c>
      <c r="D489" s="382" t="s">
        <v>6075</v>
      </c>
      <c r="E489" s="250">
        <v>1</v>
      </c>
      <c r="F489" s="250" t="s">
        <v>2693</v>
      </c>
      <c r="G489" s="251" t="s">
        <v>18</v>
      </c>
      <c r="H489" s="190"/>
      <c r="I489" s="190"/>
      <c r="J489" s="261"/>
      <c r="K489" s="345"/>
      <c r="L489" s="337"/>
      <c r="M489" s="337"/>
      <c r="N489" s="337"/>
      <c r="O489" s="337"/>
      <c r="P489" s="337"/>
      <c r="Q489" s="337"/>
      <c r="R489" s="337"/>
      <c r="S489" s="337"/>
      <c r="T489" s="337"/>
      <c r="U489" s="337"/>
      <c r="V489" s="337"/>
      <c r="W489" s="337"/>
      <c r="X489" s="337"/>
      <c r="Y489" s="337"/>
      <c r="Z489" s="337"/>
      <c r="AA489" s="337"/>
    </row>
    <row r="490" ht="16.5" customHeight="1" spans="1:27">
      <c r="A490" s="313" t="s">
        <v>6104</v>
      </c>
      <c r="B490" s="190"/>
      <c r="C490" s="343" t="s">
        <v>6101</v>
      </c>
      <c r="D490" s="351" t="s">
        <v>6102</v>
      </c>
      <c r="E490" s="250">
        <v>1</v>
      </c>
      <c r="F490" s="250" t="s">
        <v>2693</v>
      </c>
      <c r="G490" s="251" t="s">
        <v>18</v>
      </c>
      <c r="H490" s="190"/>
      <c r="I490" s="190"/>
      <c r="J490" s="261"/>
      <c r="K490" s="345"/>
      <c r="L490" s="337"/>
      <c r="M490" s="337"/>
      <c r="N490" s="337"/>
      <c r="O490" s="337"/>
      <c r="P490" s="337"/>
      <c r="Q490" s="337"/>
      <c r="R490" s="337"/>
      <c r="S490" s="337"/>
      <c r="T490" s="337"/>
      <c r="U490" s="337"/>
      <c r="V490" s="337"/>
      <c r="W490" s="337"/>
      <c r="X490" s="337"/>
      <c r="Y490" s="337"/>
      <c r="Z490" s="337"/>
      <c r="AA490" s="337"/>
    </row>
    <row r="491" ht="16.5" customHeight="1" spans="1:27">
      <c r="A491" s="313" t="s">
        <v>6105</v>
      </c>
      <c r="B491" s="190"/>
      <c r="C491" s="343" t="s">
        <v>6106</v>
      </c>
      <c r="D491" s="351" t="s">
        <v>6107</v>
      </c>
      <c r="E491" s="250">
        <v>1</v>
      </c>
      <c r="F491" s="250" t="s">
        <v>2693</v>
      </c>
      <c r="G491" s="251" t="s">
        <v>18</v>
      </c>
      <c r="H491" s="190"/>
      <c r="I491" s="190"/>
      <c r="J491" s="261"/>
      <c r="K491" s="345"/>
      <c r="L491" s="337"/>
      <c r="M491" s="337"/>
      <c r="N491" s="337"/>
      <c r="O491" s="337"/>
      <c r="P491" s="337"/>
      <c r="Q491" s="337"/>
      <c r="R491" s="337"/>
      <c r="S491" s="337"/>
      <c r="T491" s="337"/>
      <c r="U491" s="337"/>
      <c r="V491" s="337"/>
      <c r="W491" s="337"/>
      <c r="X491" s="337"/>
      <c r="Y491" s="337"/>
      <c r="Z491" s="337"/>
      <c r="AA491" s="337"/>
    </row>
    <row r="492" ht="16.5" customHeight="1" spans="1:27">
      <c r="A492" s="313" t="s">
        <v>6108</v>
      </c>
      <c r="B492" s="190"/>
      <c r="C492" s="342" t="s">
        <v>6109</v>
      </c>
      <c r="D492" s="351" t="s">
        <v>5954</v>
      </c>
      <c r="E492" s="250">
        <v>1</v>
      </c>
      <c r="F492" s="250" t="s">
        <v>2693</v>
      </c>
      <c r="G492" s="251" t="s">
        <v>18</v>
      </c>
      <c r="H492" s="26"/>
      <c r="I492" s="190"/>
      <c r="J492" s="261"/>
      <c r="K492" s="345"/>
      <c r="L492" s="337"/>
      <c r="M492" s="337"/>
      <c r="N492" s="337"/>
      <c r="O492" s="337"/>
      <c r="P492" s="337"/>
      <c r="Q492" s="337"/>
      <c r="R492" s="337"/>
      <c r="S492" s="337"/>
      <c r="T492" s="337"/>
      <c r="U492" s="337"/>
      <c r="V492" s="337"/>
      <c r="W492" s="337"/>
      <c r="X492" s="337"/>
      <c r="Y492" s="337"/>
      <c r="Z492" s="337"/>
      <c r="AA492" s="337"/>
    </row>
    <row r="493" ht="16.5" customHeight="1" spans="1:27">
      <c r="A493" s="313" t="s">
        <v>6110</v>
      </c>
      <c r="B493" s="190"/>
      <c r="C493" s="343" t="s">
        <v>5803</v>
      </c>
      <c r="D493" s="351" t="s">
        <v>6107</v>
      </c>
      <c r="E493" s="250">
        <v>1</v>
      </c>
      <c r="F493" s="250" t="s">
        <v>2693</v>
      </c>
      <c r="G493" s="251" t="s">
        <v>18</v>
      </c>
      <c r="H493" s="190"/>
      <c r="I493" s="190"/>
      <c r="J493" s="261"/>
      <c r="K493" s="345"/>
      <c r="L493" s="337"/>
      <c r="M493" s="337"/>
      <c r="N493" s="337"/>
      <c r="O493" s="337"/>
      <c r="P493" s="337"/>
      <c r="Q493" s="337"/>
      <c r="R493" s="337"/>
      <c r="S493" s="337"/>
      <c r="T493" s="337"/>
      <c r="U493" s="337"/>
      <c r="V493" s="337"/>
      <c r="W493" s="337"/>
      <c r="X493" s="337"/>
      <c r="Y493" s="337"/>
      <c r="Z493" s="337"/>
      <c r="AA493" s="337"/>
    </row>
    <row r="494" ht="16.5" customHeight="1" spans="1:27">
      <c r="A494" s="313" t="s">
        <v>6111</v>
      </c>
      <c r="B494" s="190"/>
      <c r="C494" s="342" t="s">
        <v>5538</v>
      </c>
      <c r="D494" s="350" t="s">
        <v>6112</v>
      </c>
      <c r="E494" s="250">
        <v>1</v>
      </c>
      <c r="F494" s="250" t="s">
        <v>2693</v>
      </c>
      <c r="G494" s="251" t="s">
        <v>18</v>
      </c>
      <c r="H494" s="190"/>
      <c r="I494" s="190"/>
      <c r="J494" s="261"/>
      <c r="K494" s="345"/>
      <c r="L494" s="337"/>
      <c r="M494" s="337"/>
      <c r="N494" s="337"/>
      <c r="O494" s="337"/>
      <c r="P494" s="337"/>
      <c r="Q494" s="337"/>
      <c r="R494" s="337"/>
      <c r="S494" s="337"/>
      <c r="T494" s="337"/>
      <c r="U494" s="337"/>
      <c r="V494" s="337"/>
      <c r="W494" s="337"/>
      <c r="X494" s="337"/>
      <c r="Y494" s="337"/>
      <c r="Z494" s="337"/>
      <c r="AA494" s="337"/>
    </row>
    <row r="495" ht="16.5" customHeight="1" spans="1:27">
      <c r="A495" s="250" t="s">
        <v>6113</v>
      </c>
      <c r="B495" s="190"/>
      <c r="C495" s="342" t="s">
        <v>5538</v>
      </c>
      <c r="D495" s="350" t="s">
        <v>6112</v>
      </c>
      <c r="E495" s="250">
        <v>1</v>
      </c>
      <c r="F495" s="250" t="s">
        <v>2693</v>
      </c>
      <c r="G495" s="251" t="s">
        <v>18</v>
      </c>
      <c r="H495" s="190"/>
      <c r="I495" s="190"/>
      <c r="J495" s="261"/>
      <c r="K495" s="345"/>
      <c r="L495" s="337"/>
      <c r="M495" s="337"/>
      <c r="N495" s="337"/>
      <c r="O495" s="337"/>
      <c r="P495" s="337"/>
      <c r="Q495" s="337"/>
      <c r="R495" s="337"/>
      <c r="S495" s="337"/>
      <c r="T495" s="337"/>
      <c r="U495" s="337"/>
      <c r="V495" s="337"/>
      <c r="W495" s="337"/>
      <c r="X495" s="337"/>
      <c r="Y495" s="337"/>
      <c r="Z495" s="337"/>
      <c r="AA495" s="337"/>
    </row>
    <row r="496" ht="16.5" customHeight="1" spans="1:27">
      <c r="A496" s="293" t="s">
        <v>6114</v>
      </c>
      <c r="B496" s="190"/>
      <c r="C496" s="383" t="s">
        <v>6101</v>
      </c>
      <c r="D496" s="375" t="s">
        <v>6102</v>
      </c>
      <c r="E496" s="293">
        <v>1</v>
      </c>
      <c r="F496" s="250" t="s">
        <v>2693</v>
      </c>
      <c r="G496" s="251" t="s">
        <v>18</v>
      </c>
      <c r="H496" s="190"/>
      <c r="I496" s="192"/>
      <c r="J496" s="261"/>
      <c r="K496" s="345"/>
      <c r="L496" s="337"/>
      <c r="M496" s="337"/>
      <c r="N496" s="337"/>
      <c r="O496" s="337"/>
      <c r="P496" s="337"/>
      <c r="Q496" s="337"/>
      <c r="R496" s="337"/>
      <c r="S496" s="337"/>
      <c r="T496" s="337"/>
      <c r="U496" s="337"/>
      <c r="V496" s="337"/>
      <c r="W496" s="337"/>
      <c r="X496" s="337"/>
      <c r="Y496" s="337"/>
      <c r="Z496" s="337"/>
      <c r="AA496" s="337"/>
    </row>
    <row r="497" customFormat="1" ht="33.75" customHeight="1" spans="1:12">
      <c r="A497" s="293" t="s">
        <v>6115</v>
      </c>
      <c r="B497" s="190"/>
      <c r="C497" s="318" t="s">
        <v>6116</v>
      </c>
      <c r="D497" s="380" t="s">
        <v>6117</v>
      </c>
      <c r="E497" s="317">
        <v>1</v>
      </c>
      <c r="F497" s="250" t="s">
        <v>2693</v>
      </c>
      <c r="G497" s="251" t="s">
        <v>18</v>
      </c>
      <c r="H497" s="190"/>
      <c r="I497" s="317" t="s">
        <v>6118</v>
      </c>
      <c r="J497" s="261"/>
      <c r="K497" s="345"/>
      <c r="L497" s="345"/>
    </row>
    <row r="498" customFormat="1" ht="19.5" customHeight="1" spans="1:12">
      <c r="A498" s="347" t="s">
        <v>6119</v>
      </c>
      <c r="B498" s="293" t="s">
        <v>6120</v>
      </c>
      <c r="C498" s="361" t="s">
        <v>6056</v>
      </c>
      <c r="D498" s="317" t="s">
        <v>6057</v>
      </c>
      <c r="E498" s="317">
        <v>80</v>
      </c>
      <c r="F498" s="364" t="s">
        <v>6121</v>
      </c>
      <c r="G498" s="356" t="s">
        <v>18</v>
      </c>
      <c r="H498" s="296">
        <v>45870</v>
      </c>
      <c r="I498" s="410" t="s">
        <v>6122</v>
      </c>
      <c r="J498" s="411"/>
      <c r="K498" s="408"/>
      <c r="L498" s="401"/>
    </row>
    <row r="499" ht="16.5" customHeight="1" spans="1:27">
      <c r="A499" s="347" t="s">
        <v>6123</v>
      </c>
      <c r="B499" s="190"/>
      <c r="C499" s="384" t="s">
        <v>6059</v>
      </c>
      <c r="D499" s="385" t="s">
        <v>6057</v>
      </c>
      <c r="E499" s="250">
        <v>30</v>
      </c>
      <c r="F499" s="364" t="s">
        <v>6121</v>
      </c>
      <c r="G499" s="279" t="s">
        <v>18</v>
      </c>
      <c r="H499" s="306"/>
      <c r="I499" s="313" t="s">
        <v>6124</v>
      </c>
      <c r="J499" s="326"/>
      <c r="K499" s="365"/>
      <c r="L499" s="409"/>
      <c r="M499" s="337"/>
      <c r="N499" s="337"/>
      <c r="O499" s="337"/>
      <c r="P499" s="337"/>
      <c r="Q499" s="337"/>
      <c r="R499" s="337"/>
      <c r="S499" s="337"/>
      <c r="T499" s="337"/>
      <c r="U499" s="337"/>
      <c r="V499" s="337"/>
      <c r="W499" s="337"/>
      <c r="X499" s="337"/>
      <c r="Y499" s="337"/>
      <c r="Z499" s="337"/>
      <c r="AA499" s="337"/>
    </row>
    <row r="500" ht="16.5" customHeight="1" spans="1:27">
      <c r="A500" s="347" t="s">
        <v>6123</v>
      </c>
      <c r="B500" s="192"/>
      <c r="C500" s="357" t="s">
        <v>6060</v>
      </c>
      <c r="D500" s="385" t="s">
        <v>6057</v>
      </c>
      <c r="E500" s="250">
        <v>30</v>
      </c>
      <c r="F500" s="364" t="s">
        <v>6121</v>
      </c>
      <c r="G500" s="279" t="s">
        <v>18</v>
      </c>
      <c r="H500" s="346"/>
      <c r="I500" s="313" t="s">
        <v>6124</v>
      </c>
      <c r="J500" s="202"/>
      <c r="K500" s="337"/>
      <c r="L500" s="409"/>
      <c r="M500" s="337"/>
      <c r="N500" s="337"/>
      <c r="O500" s="337"/>
      <c r="P500" s="337"/>
      <c r="Q500" s="337"/>
      <c r="R500" s="337"/>
      <c r="S500" s="337"/>
      <c r="T500" s="337"/>
      <c r="U500" s="337"/>
      <c r="V500" s="337"/>
      <c r="W500" s="337"/>
      <c r="X500" s="337"/>
      <c r="Y500" s="337"/>
      <c r="Z500" s="337"/>
      <c r="AA500" s="337"/>
    </row>
    <row r="501" ht="16.5" customHeight="1" spans="1:27">
      <c r="A501" s="250" t="s">
        <v>6125</v>
      </c>
      <c r="B501" s="317" t="s">
        <v>6126</v>
      </c>
      <c r="C501" s="312" t="s">
        <v>6127</v>
      </c>
      <c r="D501" s="312" t="s">
        <v>6128</v>
      </c>
      <c r="E501" s="313">
        <v>2</v>
      </c>
      <c r="F501" s="250" t="s">
        <v>6129</v>
      </c>
      <c r="G501" s="386" t="s">
        <v>18</v>
      </c>
      <c r="H501" s="296">
        <v>45880</v>
      </c>
      <c r="I501" s="317" t="s">
        <v>6130</v>
      </c>
      <c r="J501" s="409"/>
      <c r="K501" s="337"/>
      <c r="L501" s="409"/>
      <c r="M501" s="337"/>
      <c r="N501" s="337"/>
      <c r="O501" s="337"/>
      <c r="P501" s="337"/>
      <c r="Q501" s="337"/>
      <c r="R501" s="337"/>
      <c r="S501" s="337"/>
      <c r="T501" s="337"/>
      <c r="U501" s="337"/>
      <c r="V501" s="337"/>
      <c r="W501" s="337"/>
      <c r="X501" s="337"/>
      <c r="Y501" s="337"/>
      <c r="Z501" s="337"/>
      <c r="AA501" s="337"/>
    </row>
    <row r="502" ht="16.5" customHeight="1" spans="1:27">
      <c r="A502" s="250" t="s">
        <v>6125</v>
      </c>
      <c r="B502" s="190"/>
      <c r="C502" s="312" t="s">
        <v>6131</v>
      </c>
      <c r="D502" s="312" t="s">
        <v>6132</v>
      </c>
      <c r="E502" s="313">
        <v>2</v>
      </c>
      <c r="F502" s="250" t="s">
        <v>6129</v>
      </c>
      <c r="G502" s="386" t="s">
        <v>18</v>
      </c>
      <c r="H502" s="190"/>
      <c r="I502" s="190"/>
      <c r="J502" s="409"/>
      <c r="K502" s="409"/>
      <c r="L502" s="337"/>
      <c r="M502" s="337"/>
      <c r="N502" s="337"/>
      <c r="O502" s="337"/>
      <c r="P502" s="337"/>
      <c r="Q502" s="337"/>
      <c r="R502" s="337"/>
      <c r="S502" s="337"/>
      <c r="T502" s="337"/>
      <c r="U502" s="337"/>
      <c r="V502" s="337"/>
      <c r="W502" s="337"/>
      <c r="X502" s="337"/>
      <c r="Y502" s="337"/>
      <c r="Z502" s="337"/>
      <c r="AA502" s="337"/>
    </row>
    <row r="503" ht="16.5" customHeight="1" spans="1:27">
      <c r="A503" s="293" t="s">
        <v>6125</v>
      </c>
      <c r="B503" s="26"/>
      <c r="C503" s="318" t="s">
        <v>6133</v>
      </c>
      <c r="D503" s="318" t="s">
        <v>6134</v>
      </c>
      <c r="E503" s="317">
        <v>2</v>
      </c>
      <c r="F503" s="250" t="s">
        <v>6129</v>
      </c>
      <c r="G503" s="387" t="s">
        <v>18</v>
      </c>
      <c r="H503" s="26"/>
      <c r="I503" s="26"/>
      <c r="J503" s="409"/>
      <c r="K503" s="409"/>
      <c r="L503" s="337"/>
      <c r="M503" s="337"/>
      <c r="N503" s="337"/>
      <c r="O503" s="337"/>
      <c r="P503" s="337"/>
      <c r="Q503" s="337"/>
      <c r="R503" s="337"/>
      <c r="S503" s="337"/>
      <c r="T503" s="337"/>
      <c r="U503" s="337"/>
      <c r="V503" s="337"/>
      <c r="W503" s="337"/>
      <c r="X503" s="337"/>
      <c r="Y503" s="337"/>
      <c r="Z503" s="337"/>
      <c r="AA503" s="337"/>
    </row>
    <row r="504" customFormat="1" ht="16.5" customHeight="1" spans="1:12">
      <c r="A504" s="347" t="s">
        <v>6135</v>
      </c>
      <c r="B504" s="250" t="s">
        <v>5298</v>
      </c>
      <c r="C504" s="357" t="s">
        <v>6136</v>
      </c>
      <c r="D504" s="313" t="s">
        <v>6137</v>
      </c>
      <c r="E504" s="313">
        <v>32</v>
      </c>
      <c r="F504" s="344" t="s">
        <v>2803</v>
      </c>
      <c r="G504" s="362" t="s">
        <v>18</v>
      </c>
      <c r="H504" s="296">
        <v>45883</v>
      </c>
      <c r="I504" s="317" t="s">
        <v>6138</v>
      </c>
      <c r="J504" s="399"/>
      <c r="K504" s="345"/>
      <c r="L504" s="345"/>
    </row>
    <row r="505" customFormat="1" ht="42" customHeight="1" spans="1:12">
      <c r="A505" s="354" t="s">
        <v>6135</v>
      </c>
      <c r="B505" s="281"/>
      <c r="C505" s="358" t="s">
        <v>6139</v>
      </c>
      <c r="D505" s="359" t="s">
        <v>6140</v>
      </c>
      <c r="E505" s="388">
        <v>1</v>
      </c>
      <c r="F505" s="250" t="s">
        <v>2803</v>
      </c>
      <c r="G505" s="279" t="s">
        <v>18</v>
      </c>
      <c r="H505" s="190"/>
      <c r="I505" s="311"/>
      <c r="J505" s="399"/>
      <c r="K505" s="345"/>
      <c r="L505" s="345"/>
    </row>
    <row r="506" ht="39" customHeight="1" spans="1:27">
      <c r="A506" s="293" t="s">
        <v>6141</v>
      </c>
      <c r="B506" s="293" t="s">
        <v>5296</v>
      </c>
      <c r="C506" s="318" t="s">
        <v>6136</v>
      </c>
      <c r="D506" s="313" t="s">
        <v>6137</v>
      </c>
      <c r="E506" s="293">
        <v>50</v>
      </c>
      <c r="F506" s="293" t="s">
        <v>2787</v>
      </c>
      <c r="G506" s="251" t="s">
        <v>18</v>
      </c>
      <c r="H506" s="296">
        <v>45883</v>
      </c>
      <c r="I506" s="317" t="s">
        <v>6142</v>
      </c>
      <c r="J506" s="408"/>
      <c r="K506" s="408"/>
      <c r="L506" s="337"/>
      <c r="M506" s="337"/>
      <c r="N506" s="337"/>
      <c r="O506" s="337"/>
      <c r="P506" s="337"/>
      <c r="Q506" s="337"/>
      <c r="R506" s="337"/>
      <c r="S506" s="337"/>
      <c r="T506" s="337"/>
      <c r="U506" s="337"/>
      <c r="V506" s="337"/>
      <c r="W506" s="337"/>
      <c r="X506" s="337"/>
      <c r="Y506" s="337"/>
      <c r="Z506" s="337"/>
      <c r="AA506" s="337"/>
    </row>
    <row r="507" ht="43" customHeight="1" spans="1:27">
      <c r="A507" s="375" t="s">
        <v>6143</v>
      </c>
      <c r="B507" s="380" t="s">
        <v>6144</v>
      </c>
      <c r="C507" s="389" t="s">
        <v>5862</v>
      </c>
      <c r="D507" s="389" t="s">
        <v>5659</v>
      </c>
      <c r="E507" s="380">
        <v>4</v>
      </c>
      <c r="F507" s="250" t="s">
        <v>6145</v>
      </c>
      <c r="G507" s="390" t="s">
        <v>18</v>
      </c>
      <c r="H507" s="391">
        <v>45890</v>
      </c>
      <c r="I507" s="380" t="s">
        <v>6146</v>
      </c>
      <c r="J507" s="412"/>
      <c r="K507" s="365"/>
      <c r="L507" s="409"/>
      <c r="M507" s="337"/>
      <c r="N507" s="337"/>
      <c r="O507" s="337"/>
      <c r="P507" s="337"/>
      <c r="Q507" s="337"/>
      <c r="R507" s="337"/>
      <c r="S507" s="337"/>
      <c r="T507" s="337"/>
      <c r="U507" s="337"/>
      <c r="V507" s="337"/>
      <c r="W507" s="337"/>
      <c r="X507" s="337"/>
      <c r="Y507" s="337"/>
      <c r="Z507" s="337"/>
      <c r="AA507" s="337"/>
    </row>
    <row r="508" ht="16.5" customHeight="1" spans="1:27">
      <c r="A508" s="392" t="s">
        <v>6147</v>
      </c>
      <c r="B508" s="392" t="s">
        <v>5387</v>
      </c>
      <c r="C508" s="393" t="s">
        <v>6148</v>
      </c>
      <c r="D508" s="393" t="s">
        <v>6149</v>
      </c>
      <c r="E508" s="394">
        <v>6</v>
      </c>
      <c r="F508" s="392" t="s">
        <v>6150</v>
      </c>
      <c r="G508" s="395" t="s">
        <v>18</v>
      </c>
      <c r="H508" s="396">
        <v>45895</v>
      </c>
      <c r="I508" s="413" t="s">
        <v>6151</v>
      </c>
      <c r="J508" s="409"/>
      <c r="K508" s="365"/>
      <c r="L508" s="337"/>
      <c r="M508" s="337"/>
      <c r="N508" s="337"/>
      <c r="O508" s="337"/>
      <c r="P508" s="337"/>
      <c r="Q508" s="337"/>
      <c r="R508" s="337"/>
      <c r="S508" s="337"/>
      <c r="T508" s="337"/>
      <c r="U508" s="337"/>
      <c r="V508" s="337"/>
      <c r="W508" s="337"/>
      <c r="X508" s="337"/>
      <c r="Y508" s="337"/>
      <c r="Z508" s="337"/>
      <c r="AA508" s="337"/>
    </row>
    <row r="509" ht="16.5" customHeight="1" spans="1:27">
      <c r="A509" s="392" t="s">
        <v>6147</v>
      </c>
      <c r="B509" s="281"/>
      <c r="C509" s="393" t="s">
        <v>6152</v>
      </c>
      <c r="D509" s="393" t="s">
        <v>6153</v>
      </c>
      <c r="E509" s="394">
        <v>30</v>
      </c>
      <c r="F509" s="392" t="s">
        <v>6150</v>
      </c>
      <c r="G509" s="395" t="s">
        <v>18</v>
      </c>
      <c r="H509" s="397"/>
      <c r="I509" s="190"/>
      <c r="J509" s="409"/>
      <c r="K509" s="414"/>
      <c r="L509" s="337"/>
      <c r="M509" s="337"/>
      <c r="N509" s="337"/>
      <c r="O509" s="337"/>
      <c r="P509" s="337"/>
      <c r="Q509" s="337"/>
      <c r="R509" s="337"/>
      <c r="S509" s="337"/>
      <c r="T509" s="337"/>
      <c r="U509" s="337"/>
      <c r="V509" s="337"/>
      <c r="W509" s="337"/>
      <c r="X509" s="337"/>
      <c r="Y509" s="337"/>
      <c r="Z509" s="337"/>
      <c r="AA509" s="337"/>
    </row>
    <row r="510" ht="16.5" customHeight="1" spans="1:27">
      <c r="A510" s="392" t="s">
        <v>6147</v>
      </c>
      <c r="B510" s="281"/>
      <c r="C510" s="393" t="s">
        <v>6154</v>
      </c>
      <c r="D510" s="393" t="s">
        <v>6063</v>
      </c>
      <c r="E510" s="394">
        <v>10</v>
      </c>
      <c r="F510" s="392" t="s">
        <v>6150</v>
      </c>
      <c r="G510" s="395" t="s">
        <v>18</v>
      </c>
      <c r="H510" s="397"/>
      <c r="I510" s="190"/>
      <c r="J510" s="409"/>
      <c r="K510" s="414"/>
      <c r="L510" s="337"/>
      <c r="M510" s="337"/>
      <c r="N510" s="337"/>
      <c r="O510" s="337"/>
      <c r="P510" s="337"/>
      <c r="Q510" s="337"/>
      <c r="R510" s="337"/>
      <c r="S510" s="337"/>
      <c r="T510" s="337"/>
      <c r="U510" s="337"/>
      <c r="V510" s="337"/>
      <c r="W510" s="337"/>
      <c r="X510" s="337"/>
      <c r="Y510" s="337"/>
      <c r="Z510" s="337"/>
      <c r="AA510" s="337"/>
    </row>
    <row r="511" ht="16.5" customHeight="1" spans="1:27">
      <c r="A511" s="392" t="s">
        <v>6147</v>
      </c>
      <c r="B511" s="281"/>
      <c r="C511" s="393" t="s">
        <v>6155</v>
      </c>
      <c r="D511" s="393" t="s">
        <v>5602</v>
      </c>
      <c r="E511" s="394">
        <v>6</v>
      </c>
      <c r="F511" s="392" t="s">
        <v>6150</v>
      </c>
      <c r="G511" s="395" t="s">
        <v>18</v>
      </c>
      <c r="H511" s="397"/>
      <c r="I511" s="190"/>
      <c r="J511" s="409"/>
      <c r="K511" s="414"/>
      <c r="L511" s="337"/>
      <c r="M511" s="337"/>
      <c r="N511" s="337"/>
      <c r="O511" s="337"/>
      <c r="P511" s="337"/>
      <c r="Q511" s="337"/>
      <c r="R511" s="337"/>
      <c r="S511" s="337"/>
      <c r="T511" s="337"/>
      <c r="U511" s="337"/>
      <c r="V511" s="337"/>
      <c r="W511" s="337"/>
      <c r="X511" s="337"/>
      <c r="Y511" s="337"/>
      <c r="Z511" s="337"/>
      <c r="AA511" s="337"/>
    </row>
    <row r="512" ht="16.5" customHeight="1" spans="1:27">
      <c r="A512" s="392" t="s">
        <v>6147</v>
      </c>
      <c r="B512" s="281"/>
      <c r="C512" s="393" t="s">
        <v>6156</v>
      </c>
      <c r="D512" s="393" t="s">
        <v>5552</v>
      </c>
      <c r="E512" s="394">
        <v>30</v>
      </c>
      <c r="F512" s="392" t="s">
        <v>6150</v>
      </c>
      <c r="G512" s="395" t="s">
        <v>18</v>
      </c>
      <c r="H512" s="397"/>
      <c r="I512" s="190"/>
      <c r="J512" s="409"/>
      <c r="K512" s="414"/>
      <c r="L512" s="337"/>
      <c r="M512" s="337"/>
      <c r="N512" s="337"/>
      <c r="O512" s="337"/>
      <c r="P512" s="337"/>
      <c r="Q512" s="337"/>
      <c r="R512" s="337"/>
      <c r="S512" s="337"/>
      <c r="T512" s="337"/>
      <c r="U512" s="337"/>
      <c r="V512" s="337"/>
      <c r="W512" s="337"/>
      <c r="X512" s="337"/>
      <c r="Y512" s="337"/>
      <c r="Z512" s="337"/>
      <c r="AA512" s="337"/>
    </row>
    <row r="513" ht="16.5" customHeight="1" spans="1:27">
      <c r="A513" s="392" t="s">
        <v>6147</v>
      </c>
      <c r="B513" s="281"/>
      <c r="C513" s="393" t="s">
        <v>6157</v>
      </c>
      <c r="D513" s="393" t="s">
        <v>6158</v>
      </c>
      <c r="E513" s="394">
        <v>2</v>
      </c>
      <c r="F513" s="392" t="s">
        <v>6150</v>
      </c>
      <c r="G513" s="395" t="s">
        <v>18</v>
      </c>
      <c r="H513" s="397"/>
      <c r="I513" s="190"/>
      <c r="J513" s="409"/>
      <c r="K513" s="414"/>
      <c r="L513" s="337"/>
      <c r="M513" s="337"/>
      <c r="N513" s="337"/>
      <c r="O513" s="337"/>
      <c r="P513" s="337"/>
      <c r="Q513" s="337"/>
      <c r="R513" s="337"/>
      <c r="S513" s="337"/>
      <c r="T513" s="337"/>
      <c r="U513" s="337"/>
      <c r="V513" s="337"/>
      <c r="W513" s="337"/>
      <c r="X513" s="337"/>
      <c r="Y513" s="337"/>
      <c r="Z513" s="337"/>
      <c r="AA513" s="337"/>
    </row>
    <row r="514" ht="16.5" customHeight="1" spans="1:27">
      <c r="A514" s="392" t="s">
        <v>6147</v>
      </c>
      <c r="B514" s="281"/>
      <c r="C514" s="393" t="s">
        <v>6159</v>
      </c>
      <c r="D514" s="393" t="s">
        <v>6160</v>
      </c>
      <c r="E514" s="394">
        <v>2</v>
      </c>
      <c r="F514" s="392" t="s">
        <v>6150</v>
      </c>
      <c r="G514" s="395" t="s">
        <v>18</v>
      </c>
      <c r="H514" s="397"/>
      <c r="I514" s="190"/>
      <c r="J514" s="409"/>
      <c r="K514" s="414"/>
      <c r="L514" s="337"/>
      <c r="M514" s="337"/>
      <c r="N514" s="337"/>
      <c r="O514" s="337"/>
      <c r="P514" s="337"/>
      <c r="Q514" s="337"/>
      <c r="R514" s="337"/>
      <c r="S514" s="337"/>
      <c r="T514" s="337"/>
      <c r="U514" s="337"/>
      <c r="V514" s="337"/>
      <c r="W514" s="337"/>
      <c r="X514" s="337"/>
      <c r="Y514" s="337"/>
      <c r="Z514" s="337"/>
      <c r="AA514" s="337"/>
    </row>
    <row r="515" ht="16.5" customHeight="1" spans="1:27">
      <c r="A515" s="392" t="s">
        <v>6147</v>
      </c>
      <c r="B515" s="281"/>
      <c r="C515" s="393" t="s">
        <v>6161</v>
      </c>
      <c r="D515" s="393" t="s">
        <v>6162</v>
      </c>
      <c r="E515" s="394">
        <v>10</v>
      </c>
      <c r="F515" s="392" t="s">
        <v>6150</v>
      </c>
      <c r="G515" s="395" t="s">
        <v>18</v>
      </c>
      <c r="H515" s="397"/>
      <c r="I515" s="190"/>
      <c r="J515" s="409"/>
      <c r="K515" s="414"/>
      <c r="L515" s="337"/>
      <c r="M515" s="337"/>
      <c r="N515" s="337"/>
      <c r="O515" s="337"/>
      <c r="P515" s="337"/>
      <c r="Q515" s="337"/>
      <c r="R515" s="337"/>
      <c r="S515" s="337"/>
      <c r="T515" s="337"/>
      <c r="U515" s="337"/>
      <c r="V515" s="337"/>
      <c r="W515" s="337"/>
      <c r="X515" s="337"/>
      <c r="Y515" s="337"/>
      <c r="Z515" s="337"/>
      <c r="AA515" s="337"/>
    </row>
    <row r="516" ht="16.5" customHeight="1" spans="1:27">
      <c r="A516" s="392" t="s">
        <v>6147</v>
      </c>
      <c r="B516" s="281"/>
      <c r="C516" s="393" t="s">
        <v>6163</v>
      </c>
      <c r="D516" s="393" t="s">
        <v>6164</v>
      </c>
      <c r="E516" s="394">
        <v>30</v>
      </c>
      <c r="F516" s="392" t="s">
        <v>6150</v>
      </c>
      <c r="G516" s="395" t="s">
        <v>18</v>
      </c>
      <c r="H516" s="397"/>
      <c r="I516" s="190"/>
      <c r="J516" s="409"/>
      <c r="K516" s="414"/>
      <c r="L516" s="337"/>
      <c r="M516" s="337"/>
      <c r="N516" s="337"/>
      <c r="O516" s="337"/>
      <c r="P516" s="337"/>
      <c r="Q516" s="337"/>
      <c r="R516" s="337"/>
      <c r="S516" s="337"/>
      <c r="T516" s="337"/>
      <c r="U516" s="337"/>
      <c r="V516" s="337"/>
      <c r="W516" s="337"/>
      <c r="X516" s="337"/>
      <c r="Y516" s="337"/>
      <c r="Z516" s="337"/>
      <c r="AA516" s="337"/>
    </row>
    <row r="517" ht="16.5" customHeight="1" spans="1:27">
      <c r="A517" s="392" t="s">
        <v>6147</v>
      </c>
      <c r="B517" s="281"/>
      <c r="C517" s="393" t="s">
        <v>6165</v>
      </c>
      <c r="D517" s="393" t="s">
        <v>6166</v>
      </c>
      <c r="E517" s="394">
        <v>30</v>
      </c>
      <c r="F517" s="392" t="s">
        <v>6150</v>
      </c>
      <c r="G517" s="395" t="s">
        <v>18</v>
      </c>
      <c r="H517" s="397"/>
      <c r="I517" s="190"/>
      <c r="J517" s="409"/>
      <c r="K517" s="414"/>
      <c r="L517" s="337"/>
      <c r="M517" s="337"/>
      <c r="N517" s="337"/>
      <c r="O517" s="337"/>
      <c r="P517" s="337"/>
      <c r="Q517" s="337"/>
      <c r="R517" s="337"/>
      <c r="S517" s="337"/>
      <c r="T517" s="337"/>
      <c r="U517" s="337"/>
      <c r="V517" s="337"/>
      <c r="W517" s="337"/>
      <c r="X517" s="337"/>
      <c r="Y517" s="337"/>
      <c r="Z517" s="337"/>
      <c r="AA517" s="337"/>
    </row>
    <row r="518" ht="16.5" customHeight="1" spans="1:27">
      <c r="A518" s="392" t="s">
        <v>6147</v>
      </c>
      <c r="B518" s="281"/>
      <c r="C518" s="393" t="s">
        <v>6167</v>
      </c>
      <c r="D518" s="393" t="s">
        <v>6168</v>
      </c>
      <c r="E518" s="394">
        <v>30</v>
      </c>
      <c r="F518" s="392" t="s">
        <v>6150</v>
      </c>
      <c r="G518" s="395" t="s">
        <v>18</v>
      </c>
      <c r="H518" s="397"/>
      <c r="I518" s="190"/>
      <c r="J518" s="409"/>
      <c r="K518" s="414"/>
      <c r="L518" s="337"/>
      <c r="M518" s="337"/>
      <c r="N518" s="337"/>
      <c r="O518" s="337"/>
      <c r="P518" s="337"/>
      <c r="Q518" s="337"/>
      <c r="R518" s="337"/>
      <c r="S518" s="337"/>
      <c r="T518" s="337"/>
      <c r="U518" s="337"/>
      <c r="V518" s="337"/>
      <c r="W518" s="337"/>
      <c r="X518" s="337"/>
      <c r="Y518" s="337"/>
      <c r="Z518" s="337"/>
      <c r="AA518" s="337"/>
    </row>
    <row r="519" ht="16.5" customHeight="1" spans="1:27">
      <c r="A519" s="392" t="s">
        <v>6147</v>
      </c>
      <c r="B519" s="281"/>
      <c r="C519" s="393" t="s">
        <v>5867</v>
      </c>
      <c r="D519" s="393" t="s">
        <v>5571</v>
      </c>
      <c r="E519" s="394">
        <v>10</v>
      </c>
      <c r="F519" s="392" t="s">
        <v>6150</v>
      </c>
      <c r="G519" s="395" t="s">
        <v>18</v>
      </c>
      <c r="H519" s="397"/>
      <c r="I519" s="190"/>
      <c r="J519" s="409"/>
      <c r="K519" s="414"/>
      <c r="L519" s="337"/>
      <c r="M519" s="337"/>
      <c r="N519" s="337"/>
      <c r="O519" s="337"/>
      <c r="P519" s="337"/>
      <c r="Q519" s="337"/>
      <c r="R519" s="337"/>
      <c r="S519" s="337"/>
      <c r="T519" s="337"/>
      <c r="U519" s="337"/>
      <c r="V519" s="337"/>
      <c r="W519" s="337"/>
      <c r="X519" s="337"/>
      <c r="Y519" s="337"/>
      <c r="Z519" s="337"/>
      <c r="AA519" s="337"/>
    </row>
    <row r="520" ht="16.5" customHeight="1" spans="1:27">
      <c r="A520" s="392" t="s">
        <v>6147</v>
      </c>
      <c r="B520" s="281"/>
      <c r="C520" s="393" t="s">
        <v>6169</v>
      </c>
      <c r="D520" s="393" t="s">
        <v>6170</v>
      </c>
      <c r="E520" s="394">
        <v>20</v>
      </c>
      <c r="F520" s="392" t="s">
        <v>6150</v>
      </c>
      <c r="G520" s="395" t="s">
        <v>18</v>
      </c>
      <c r="H520" s="397"/>
      <c r="I520" s="190"/>
      <c r="J520" s="337"/>
      <c r="K520" s="414"/>
      <c r="L520" s="337"/>
      <c r="M520" s="337"/>
      <c r="N520" s="337"/>
      <c r="O520" s="337"/>
      <c r="P520" s="337"/>
      <c r="Q520" s="337"/>
      <c r="R520" s="337"/>
      <c r="S520" s="337"/>
      <c r="T520" s="337"/>
      <c r="U520" s="337"/>
      <c r="V520" s="337"/>
      <c r="W520" s="337"/>
      <c r="X520" s="337"/>
      <c r="Y520" s="337"/>
      <c r="Z520" s="337"/>
      <c r="AA520" s="337"/>
    </row>
    <row r="521" ht="16.5" customHeight="1" spans="1:27">
      <c r="A521" s="392" t="s">
        <v>6147</v>
      </c>
      <c r="B521" s="281"/>
      <c r="C521" s="393" t="s">
        <v>6171</v>
      </c>
      <c r="D521" s="393" t="s">
        <v>6172</v>
      </c>
      <c r="E521" s="394">
        <v>30</v>
      </c>
      <c r="F521" s="392" t="s">
        <v>6150</v>
      </c>
      <c r="G521" s="395" t="s">
        <v>18</v>
      </c>
      <c r="H521" s="397"/>
      <c r="I521" s="190"/>
      <c r="J521" s="337"/>
      <c r="K521" s="414"/>
      <c r="L521" s="337"/>
      <c r="M521" s="337"/>
      <c r="N521" s="337"/>
      <c r="O521" s="337"/>
      <c r="P521" s="337"/>
      <c r="Q521" s="337"/>
      <c r="R521" s="337"/>
      <c r="S521" s="337"/>
      <c r="T521" s="337"/>
      <c r="U521" s="337"/>
      <c r="V521" s="337"/>
      <c r="W521" s="337"/>
      <c r="X521" s="337"/>
      <c r="Y521" s="337"/>
      <c r="Z521" s="337"/>
      <c r="AA521" s="337"/>
    </row>
    <row r="522" ht="16.5" customHeight="1" spans="1:27">
      <c r="A522" s="392" t="s">
        <v>6147</v>
      </c>
      <c r="B522" s="281"/>
      <c r="C522" s="393" t="s">
        <v>6173</v>
      </c>
      <c r="D522" s="393" t="s">
        <v>6174</v>
      </c>
      <c r="E522" s="394">
        <v>20</v>
      </c>
      <c r="F522" s="392" t="s">
        <v>6150</v>
      </c>
      <c r="G522" s="395" t="s">
        <v>18</v>
      </c>
      <c r="H522" s="397"/>
      <c r="I522" s="190"/>
      <c r="J522" s="337"/>
      <c r="K522" s="414"/>
      <c r="L522" s="337"/>
      <c r="M522" s="337"/>
      <c r="N522" s="337"/>
      <c r="O522" s="337"/>
      <c r="P522" s="337"/>
      <c r="Q522" s="337"/>
      <c r="R522" s="337"/>
      <c r="S522" s="337"/>
      <c r="T522" s="337"/>
      <c r="U522" s="337"/>
      <c r="V522" s="337"/>
      <c r="W522" s="337"/>
      <c r="X522" s="337"/>
      <c r="Y522" s="337"/>
      <c r="Z522" s="337"/>
      <c r="AA522" s="337"/>
    </row>
    <row r="523" ht="16.5" customHeight="1" spans="1:27">
      <c r="A523" s="392" t="s">
        <v>6147</v>
      </c>
      <c r="B523" s="281"/>
      <c r="C523" s="393" t="s">
        <v>6175</v>
      </c>
      <c r="D523" s="393" t="s">
        <v>6174</v>
      </c>
      <c r="E523" s="394">
        <v>30</v>
      </c>
      <c r="F523" s="392" t="s">
        <v>6150</v>
      </c>
      <c r="G523" s="395" t="s">
        <v>18</v>
      </c>
      <c r="H523" s="397"/>
      <c r="I523" s="190"/>
      <c r="J523" s="337"/>
      <c r="K523" s="414"/>
      <c r="L523" s="337"/>
      <c r="M523" s="337"/>
      <c r="N523" s="337"/>
      <c r="O523" s="337"/>
      <c r="P523" s="337"/>
      <c r="Q523" s="337"/>
      <c r="R523" s="337"/>
      <c r="S523" s="337"/>
      <c r="T523" s="337"/>
      <c r="U523" s="337"/>
      <c r="V523" s="337"/>
      <c r="W523" s="337"/>
      <c r="X523" s="337"/>
      <c r="Y523" s="337"/>
      <c r="Z523" s="337"/>
      <c r="AA523" s="337"/>
    </row>
    <row r="524" ht="16.5" customHeight="1" spans="1:27">
      <c r="A524" s="392" t="s">
        <v>6147</v>
      </c>
      <c r="B524" s="281"/>
      <c r="C524" s="393" t="s">
        <v>6176</v>
      </c>
      <c r="D524" s="393" t="s">
        <v>6177</v>
      </c>
      <c r="E524" s="394">
        <v>2</v>
      </c>
      <c r="F524" s="392" t="s">
        <v>6150</v>
      </c>
      <c r="G524" s="395" t="s">
        <v>18</v>
      </c>
      <c r="H524" s="397"/>
      <c r="I524" s="190"/>
      <c r="J524" s="337"/>
      <c r="K524" s="414"/>
      <c r="L524" s="337"/>
      <c r="M524" s="337"/>
      <c r="N524" s="337"/>
      <c r="O524" s="337"/>
      <c r="P524" s="337"/>
      <c r="Q524" s="337"/>
      <c r="R524" s="337"/>
      <c r="S524" s="337"/>
      <c r="T524" s="337"/>
      <c r="U524" s="337"/>
      <c r="V524" s="337"/>
      <c r="W524" s="337"/>
      <c r="X524" s="337"/>
      <c r="Y524" s="337"/>
      <c r="Z524" s="337"/>
      <c r="AA524" s="337"/>
    </row>
    <row r="525" ht="16.5" customHeight="1" spans="1:27">
      <c r="A525" s="392" t="s">
        <v>6147</v>
      </c>
      <c r="B525" s="281"/>
      <c r="C525" s="393" t="s">
        <v>6178</v>
      </c>
      <c r="D525" s="393" t="s">
        <v>6179</v>
      </c>
      <c r="E525" s="394">
        <v>30</v>
      </c>
      <c r="F525" s="392" t="s">
        <v>6150</v>
      </c>
      <c r="G525" s="395" t="s">
        <v>18</v>
      </c>
      <c r="H525" s="397"/>
      <c r="I525" s="190"/>
      <c r="J525" s="337"/>
      <c r="K525" s="414"/>
      <c r="L525" s="337"/>
      <c r="M525" s="337"/>
      <c r="N525" s="337"/>
      <c r="O525" s="337"/>
      <c r="P525" s="337"/>
      <c r="Q525" s="337"/>
      <c r="R525" s="337"/>
      <c r="S525" s="337"/>
      <c r="T525" s="337"/>
      <c r="U525" s="337"/>
      <c r="V525" s="337"/>
      <c r="W525" s="337"/>
      <c r="X525" s="337"/>
      <c r="Y525" s="337"/>
      <c r="Z525" s="337"/>
      <c r="AA525" s="337"/>
    </row>
    <row r="526" ht="16.5" customHeight="1" spans="1:27">
      <c r="A526" s="392" t="s">
        <v>6147</v>
      </c>
      <c r="B526" s="281"/>
      <c r="C526" s="393" t="s">
        <v>6180</v>
      </c>
      <c r="D526" s="393" t="s">
        <v>6063</v>
      </c>
      <c r="E526" s="394">
        <v>20</v>
      </c>
      <c r="F526" s="392" t="s">
        <v>6150</v>
      </c>
      <c r="G526" s="395" t="s">
        <v>18</v>
      </c>
      <c r="H526" s="397"/>
      <c r="I526" s="190"/>
      <c r="J526" s="337"/>
      <c r="K526" s="414"/>
      <c r="L526" s="337"/>
      <c r="M526" s="337"/>
      <c r="N526" s="337"/>
      <c r="O526" s="337"/>
      <c r="P526" s="337"/>
      <c r="Q526" s="337"/>
      <c r="R526" s="337"/>
      <c r="S526" s="337"/>
      <c r="T526" s="337"/>
      <c r="U526" s="337"/>
      <c r="V526" s="337"/>
      <c r="W526" s="337"/>
      <c r="X526" s="337"/>
      <c r="Y526" s="337"/>
      <c r="Z526" s="337"/>
      <c r="AA526" s="337"/>
    </row>
    <row r="527" ht="16.5" customHeight="1" spans="1:27">
      <c r="A527" s="392" t="s">
        <v>6147</v>
      </c>
      <c r="B527" s="281"/>
      <c r="C527" s="393" t="s">
        <v>6181</v>
      </c>
      <c r="D527" s="393" t="s">
        <v>5600</v>
      </c>
      <c r="E527" s="394">
        <v>10</v>
      </c>
      <c r="F527" s="392" t="s">
        <v>6150</v>
      </c>
      <c r="G527" s="395" t="s">
        <v>18</v>
      </c>
      <c r="H527" s="397"/>
      <c r="I527" s="190"/>
      <c r="J527" s="409"/>
      <c r="K527" s="414"/>
      <c r="L527" s="337"/>
      <c r="M527" s="337"/>
      <c r="N527" s="337"/>
      <c r="O527" s="337"/>
      <c r="P527" s="337"/>
      <c r="Q527" s="337"/>
      <c r="R527" s="337"/>
      <c r="S527" s="337"/>
      <c r="T527" s="337"/>
      <c r="U527" s="337"/>
      <c r="V527" s="337"/>
      <c r="W527" s="337"/>
      <c r="X527" s="337"/>
      <c r="Y527" s="337"/>
      <c r="Z527" s="337"/>
      <c r="AA527" s="337"/>
    </row>
    <row r="528" ht="16.5" customHeight="1" spans="1:27">
      <c r="A528" s="392" t="s">
        <v>6147</v>
      </c>
      <c r="B528" s="281"/>
      <c r="C528" s="393" t="s">
        <v>6182</v>
      </c>
      <c r="D528" s="393" t="s">
        <v>6158</v>
      </c>
      <c r="E528" s="394">
        <v>2</v>
      </c>
      <c r="F528" s="392" t="s">
        <v>6150</v>
      </c>
      <c r="G528" s="395" t="s">
        <v>18</v>
      </c>
      <c r="H528" s="397"/>
      <c r="I528" s="190"/>
      <c r="J528" s="409"/>
      <c r="K528" s="414"/>
      <c r="L528" s="337"/>
      <c r="M528" s="337"/>
      <c r="N528" s="337"/>
      <c r="O528" s="337"/>
      <c r="P528" s="337"/>
      <c r="Q528" s="337"/>
      <c r="R528" s="337"/>
      <c r="S528" s="337"/>
      <c r="T528" s="337"/>
      <c r="U528" s="337"/>
      <c r="V528" s="337"/>
      <c r="W528" s="337"/>
      <c r="X528" s="337"/>
      <c r="Y528" s="337"/>
      <c r="Z528" s="337"/>
      <c r="AA528" s="337"/>
    </row>
    <row r="529" ht="16.5" customHeight="1" spans="1:27">
      <c r="A529" s="392" t="s">
        <v>6147</v>
      </c>
      <c r="B529" s="281"/>
      <c r="C529" s="393" t="s">
        <v>6183</v>
      </c>
      <c r="D529" s="393" t="s">
        <v>6184</v>
      </c>
      <c r="E529" s="394">
        <v>2</v>
      </c>
      <c r="F529" s="392" t="s">
        <v>6150</v>
      </c>
      <c r="G529" s="395" t="s">
        <v>18</v>
      </c>
      <c r="H529" s="397"/>
      <c r="I529" s="190"/>
      <c r="J529" s="409"/>
      <c r="K529" s="414"/>
      <c r="L529" s="337"/>
      <c r="M529" s="337"/>
      <c r="N529" s="337"/>
      <c r="O529" s="337"/>
      <c r="P529" s="337"/>
      <c r="Q529" s="337"/>
      <c r="R529" s="337"/>
      <c r="S529" s="337"/>
      <c r="T529" s="337"/>
      <c r="U529" s="337"/>
      <c r="V529" s="337"/>
      <c r="W529" s="337"/>
      <c r="X529" s="337"/>
      <c r="Y529" s="337"/>
      <c r="Z529" s="337"/>
      <c r="AA529" s="337"/>
    </row>
    <row r="530" ht="16.5" customHeight="1" spans="1:27">
      <c r="A530" s="392" t="s">
        <v>6147</v>
      </c>
      <c r="B530" s="281"/>
      <c r="C530" s="393" t="s">
        <v>6185</v>
      </c>
      <c r="D530" s="393" t="s">
        <v>6162</v>
      </c>
      <c r="E530" s="394">
        <v>20</v>
      </c>
      <c r="F530" s="392" t="s">
        <v>6150</v>
      </c>
      <c r="G530" s="395" t="s">
        <v>18</v>
      </c>
      <c r="H530" s="397"/>
      <c r="I530" s="190"/>
      <c r="J530" s="409"/>
      <c r="K530" s="414"/>
      <c r="L530" s="337"/>
      <c r="M530" s="337"/>
      <c r="N530" s="337"/>
      <c r="O530" s="337"/>
      <c r="P530" s="337"/>
      <c r="Q530" s="337"/>
      <c r="R530" s="337"/>
      <c r="S530" s="337"/>
      <c r="T530" s="337"/>
      <c r="U530" s="337"/>
      <c r="V530" s="337"/>
      <c r="W530" s="337"/>
      <c r="X530" s="337"/>
      <c r="Y530" s="337"/>
      <c r="Z530" s="337"/>
      <c r="AA530" s="337"/>
    </row>
    <row r="531" ht="16.5" customHeight="1" spans="1:27">
      <c r="A531" s="392" t="s">
        <v>6147</v>
      </c>
      <c r="B531" s="281"/>
      <c r="C531" s="393" t="s">
        <v>6186</v>
      </c>
      <c r="D531" s="393" t="s">
        <v>6149</v>
      </c>
      <c r="E531" s="394">
        <v>4</v>
      </c>
      <c r="F531" s="392" t="s">
        <v>6150</v>
      </c>
      <c r="G531" s="395" t="s">
        <v>18</v>
      </c>
      <c r="H531" s="397"/>
      <c r="I531" s="190"/>
      <c r="J531" s="337"/>
      <c r="K531" s="414"/>
      <c r="L531" s="337"/>
      <c r="M531" s="337"/>
      <c r="N531" s="337"/>
      <c r="O531" s="337"/>
      <c r="P531" s="337"/>
      <c r="Q531" s="337"/>
      <c r="R531" s="337"/>
      <c r="S531" s="337"/>
      <c r="T531" s="337"/>
      <c r="U531" s="337"/>
      <c r="V531" s="337"/>
      <c r="W531" s="337"/>
      <c r="X531" s="337"/>
      <c r="Y531" s="337"/>
      <c r="Z531" s="337"/>
      <c r="AA531" s="337"/>
    </row>
    <row r="532" ht="16.5" customHeight="1" spans="1:27">
      <c r="A532" s="392" t="s">
        <v>6147</v>
      </c>
      <c r="B532" s="281"/>
      <c r="C532" s="393" t="s">
        <v>6187</v>
      </c>
      <c r="D532" s="393" t="s">
        <v>6188</v>
      </c>
      <c r="E532" s="394">
        <v>8</v>
      </c>
      <c r="F532" s="392" t="s">
        <v>6150</v>
      </c>
      <c r="G532" s="395" t="s">
        <v>18</v>
      </c>
      <c r="H532" s="397"/>
      <c r="I532" s="190"/>
      <c r="J532" s="337"/>
      <c r="K532" s="414"/>
      <c r="L532" s="337"/>
      <c r="M532" s="337"/>
      <c r="N532" s="337"/>
      <c r="O532" s="337"/>
      <c r="P532" s="337"/>
      <c r="Q532" s="337"/>
      <c r="R532" s="337"/>
      <c r="S532" s="337"/>
      <c r="T532" s="337"/>
      <c r="U532" s="337"/>
      <c r="V532" s="337"/>
      <c r="W532" s="337"/>
      <c r="X532" s="337"/>
      <c r="Y532" s="337"/>
      <c r="Z532" s="337"/>
      <c r="AA532" s="337"/>
    </row>
    <row r="533" ht="16.5" customHeight="1" spans="1:27">
      <c r="A533" s="392" t="s">
        <v>6147</v>
      </c>
      <c r="B533" s="281"/>
      <c r="C533" s="393" t="s">
        <v>6189</v>
      </c>
      <c r="D533" s="393" t="s">
        <v>6190</v>
      </c>
      <c r="E533" s="394">
        <v>8</v>
      </c>
      <c r="F533" s="392" t="s">
        <v>6150</v>
      </c>
      <c r="G533" s="395" t="s">
        <v>18</v>
      </c>
      <c r="H533" s="397"/>
      <c r="I533" s="190"/>
      <c r="J533" s="337"/>
      <c r="K533" s="414"/>
      <c r="L533" s="337"/>
      <c r="M533" s="337"/>
      <c r="N533" s="337"/>
      <c r="O533" s="337"/>
      <c r="P533" s="337"/>
      <c r="Q533" s="337"/>
      <c r="R533" s="337"/>
      <c r="S533" s="337"/>
      <c r="T533" s="337"/>
      <c r="U533" s="337"/>
      <c r="V533" s="337"/>
      <c r="W533" s="337"/>
      <c r="X533" s="337"/>
      <c r="Y533" s="337"/>
      <c r="Z533" s="337"/>
      <c r="AA533" s="337"/>
    </row>
    <row r="534" ht="16.5" customHeight="1" spans="1:27">
      <c r="A534" s="392" t="s">
        <v>6147</v>
      </c>
      <c r="B534" s="281"/>
      <c r="C534" s="393" t="s">
        <v>6191</v>
      </c>
      <c r="D534" s="393" t="s">
        <v>6188</v>
      </c>
      <c r="E534" s="394">
        <v>4</v>
      </c>
      <c r="F534" s="392" t="s">
        <v>6150</v>
      </c>
      <c r="G534" s="395" t="s">
        <v>18</v>
      </c>
      <c r="H534" s="397"/>
      <c r="I534" s="190"/>
      <c r="J534" s="337"/>
      <c r="K534" s="414"/>
      <c r="L534" s="337"/>
      <c r="M534" s="337"/>
      <c r="N534" s="337"/>
      <c r="O534" s="337"/>
      <c r="P534" s="337"/>
      <c r="Q534" s="337"/>
      <c r="R534" s="337"/>
      <c r="S534" s="337"/>
      <c r="T534" s="337"/>
      <c r="U534" s="337"/>
      <c r="V534" s="337"/>
      <c r="W534" s="337"/>
      <c r="X534" s="337"/>
      <c r="Y534" s="337"/>
      <c r="Z534" s="337"/>
      <c r="AA534" s="337"/>
    </row>
    <row r="535" ht="16.5" customHeight="1" spans="1:27">
      <c r="A535" s="392" t="s">
        <v>6147</v>
      </c>
      <c r="B535" s="281"/>
      <c r="C535" s="393" t="s">
        <v>6192</v>
      </c>
      <c r="D535" s="393" t="s">
        <v>6188</v>
      </c>
      <c r="E535" s="394">
        <v>8</v>
      </c>
      <c r="F535" s="392" t="s">
        <v>6150</v>
      </c>
      <c r="G535" s="395" t="s">
        <v>18</v>
      </c>
      <c r="H535" s="397"/>
      <c r="I535" s="190"/>
      <c r="J535" s="337"/>
      <c r="K535" s="414"/>
      <c r="L535" s="337"/>
      <c r="M535" s="337"/>
      <c r="N535" s="337"/>
      <c r="O535" s="337"/>
      <c r="P535" s="337"/>
      <c r="Q535" s="337"/>
      <c r="R535" s="337"/>
      <c r="S535" s="337"/>
      <c r="T535" s="337"/>
      <c r="U535" s="337"/>
      <c r="V535" s="337"/>
      <c r="W535" s="337"/>
      <c r="X535" s="337"/>
      <c r="Y535" s="337"/>
      <c r="Z535" s="337"/>
      <c r="AA535" s="337"/>
    </row>
    <row r="536" ht="16.5" customHeight="1" spans="1:27">
      <c r="A536" s="392" t="s">
        <v>6147</v>
      </c>
      <c r="B536" s="281"/>
      <c r="C536" s="393" t="s">
        <v>6193</v>
      </c>
      <c r="D536" s="393" t="s">
        <v>6188</v>
      </c>
      <c r="E536" s="394">
        <v>8</v>
      </c>
      <c r="F536" s="392" t="s">
        <v>6150</v>
      </c>
      <c r="G536" s="395" t="s">
        <v>18</v>
      </c>
      <c r="H536" s="397"/>
      <c r="I536" s="190"/>
      <c r="J536" s="337"/>
      <c r="K536" s="414"/>
      <c r="L536" s="337"/>
      <c r="M536" s="337"/>
      <c r="N536" s="337"/>
      <c r="O536" s="337"/>
      <c r="P536" s="337"/>
      <c r="Q536" s="337"/>
      <c r="R536" s="337"/>
      <c r="S536" s="337"/>
      <c r="T536" s="337"/>
      <c r="U536" s="337"/>
      <c r="V536" s="337"/>
      <c r="W536" s="337"/>
      <c r="X536" s="337"/>
      <c r="Y536" s="337"/>
      <c r="Z536" s="337"/>
      <c r="AA536" s="337"/>
    </row>
    <row r="537" ht="16.5" customHeight="1" spans="1:27">
      <c r="A537" s="392" t="s">
        <v>6147</v>
      </c>
      <c r="B537" s="281"/>
      <c r="C537" s="393" t="s">
        <v>6194</v>
      </c>
      <c r="D537" s="393" t="s">
        <v>6158</v>
      </c>
      <c r="E537" s="394">
        <v>2</v>
      </c>
      <c r="F537" s="392" t="s">
        <v>6150</v>
      </c>
      <c r="G537" s="395" t="s">
        <v>18</v>
      </c>
      <c r="H537" s="397"/>
      <c r="I537" s="190"/>
      <c r="J537" s="337"/>
      <c r="K537" s="414"/>
      <c r="L537" s="337"/>
      <c r="M537" s="337"/>
      <c r="N537" s="337"/>
      <c r="O537" s="337"/>
      <c r="P537" s="337"/>
      <c r="Q537" s="337"/>
      <c r="R537" s="337"/>
      <c r="S537" s="337"/>
      <c r="T537" s="337"/>
      <c r="U537" s="337"/>
      <c r="V537" s="337"/>
      <c r="W537" s="337"/>
      <c r="X537" s="337"/>
      <c r="Y537" s="337"/>
      <c r="Z537" s="337"/>
      <c r="AA537" s="337"/>
    </row>
    <row r="538" ht="16.5" customHeight="1" spans="1:27">
      <c r="A538" s="392" t="s">
        <v>6147</v>
      </c>
      <c r="B538" s="281"/>
      <c r="C538" s="393" t="s">
        <v>6195</v>
      </c>
      <c r="D538" s="393" t="s">
        <v>6166</v>
      </c>
      <c r="E538" s="394">
        <v>10</v>
      </c>
      <c r="F538" s="392" t="s">
        <v>6150</v>
      </c>
      <c r="G538" s="395" t="s">
        <v>18</v>
      </c>
      <c r="H538" s="397"/>
      <c r="I538" s="190"/>
      <c r="J538" s="337"/>
      <c r="K538" s="414"/>
      <c r="L538" s="337"/>
      <c r="M538" s="337"/>
      <c r="N538" s="337"/>
      <c r="O538" s="337"/>
      <c r="P538" s="337"/>
      <c r="Q538" s="337"/>
      <c r="R538" s="337"/>
      <c r="S538" s="337"/>
      <c r="T538" s="337"/>
      <c r="U538" s="337"/>
      <c r="V538" s="337"/>
      <c r="W538" s="337"/>
      <c r="X538" s="337"/>
      <c r="Y538" s="337"/>
      <c r="Z538" s="337"/>
      <c r="AA538" s="337"/>
    </row>
    <row r="539" ht="16.5" customHeight="1" spans="1:27">
      <c r="A539" s="392" t="s">
        <v>6147</v>
      </c>
      <c r="B539" s="281"/>
      <c r="C539" s="393" t="s">
        <v>6196</v>
      </c>
      <c r="D539" s="393" t="s">
        <v>6188</v>
      </c>
      <c r="E539" s="394">
        <v>4</v>
      </c>
      <c r="F539" s="392" t="s">
        <v>6150</v>
      </c>
      <c r="G539" s="395" t="s">
        <v>18</v>
      </c>
      <c r="H539" s="397"/>
      <c r="I539" s="190"/>
      <c r="J539" s="409"/>
      <c r="K539" s="414"/>
      <c r="L539" s="337"/>
      <c r="M539" s="337"/>
      <c r="N539" s="337"/>
      <c r="O539" s="337"/>
      <c r="P539" s="337"/>
      <c r="Q539" s="337"/>
      <c r="R539" s="337"/>
      <c r="S539" s="337"/>
      <c r="T539" s="337"/>
      <c r="U539" s="337"/>
      <c r="V539" s="337"/>
      <c r="W539" s="337"/>
      <c r="X539" s="337"/>
      <c r="Y539" s="337"/>
      <c r="Z539" s="337"/>
      <c r="AA539" s="337"/>
    </row>
    <row r="540" ht="16.5" customHeight="1" spans="1:27">
      <c r="A540" s="392" t="s">
        <v>6147</v>
      </c>
      <c r="B540" s="69"/>
      <c r="C540" s="393" t="s">
        <v>6197</v>
      </c>
      <c r="D540" s="393" t="s">
        <v>6153</v>
      </c>
      <c r="E540" s="394">
        <v>10</v>
      </c>
      <c r="F540" s="392" t="s">
        <v>6150</v>
      </c>
      <c r="G540" s="395" t="s">
        <v>18</v>
      </c>
      <c r="H540" s="397"/>
      <c r="I540" s="190"/>
      <c r="J540" s="409"/>
      <c r="K540" s="414"/>
      <c r="L540" s="337"/>
      <c r="M540" s="337"/>
      <c r="N540" s="337"/>
      <c r="O540" s="337"/>
      <c r="P540" s="337"/>
      <c r="Q540" s="337"/>
      <c r="R540" s="337"/>
      <c r="S540" s="337"/>
      <c r="T540" s="337"/>
      <c r="U540" s="337"/>
      <c r="V540" s="337"/>
      <c r="W540" s="337"/>
      <c r="X540" s="337"/>
      <c r="Y540" s="337"/>
      <c r="Z540" s="337"/>
      <c r="AA540" s="337"/>
    </row>
    <row r="541" ht="16.5" customHeight="1" spans="1:27">
      <c r="A541" s="392" t="s">
        <v>6147</v>
      </c>
      <c r="B541" s="281"/>
      <c r="C541" s="393" t="s">
        <v>6198</v>
      </c>
      <c r="D541" s="393" t="s">
        <v>6188</v>
      </c>
      <c r="E541" s="394">
        <v>10</v>
      </c>
      <c r="F541" s="392" t="s">
        <v>6150</v>
      </c>
      <c r="G541" s="395" t="s">
        <v>18</v>
      </c>
      <c r="H541" s="397"/>
      <c r="I541" s="190"/>
      <c r="J541" s="409"/>
      <c r="K541" s="414"/>
      <c r="L541" s="409"/>
      <c r="M541" s="337"/>
      <c r="N541" s="337"/>
      <c r="O541" s="337"/>
      <c r="P541" s="337"/>
      <c r="Q541" s="337"/>
      <c r="R541" s="337"/>
      <c r="S541" s="337"/>
      <c r="T541" s="337"/>
      <c r="U541" s="337"/>
      <c r="V541" s="337"/>
      <c r="W541" s="337"/>
      <c r="X541" s="337"/>
      <c r="Y541" s="337"/>
      <c r="Z541" s="337"/>
      <c r="AA541" s="337"/>
    </row>
    <row r="542" ht="16.5" customHeight="1" spans="1:27">
      <c r="A542" s="392" t="s">
        <v>6147</v>
      </c>
      <c r="B542" s="281"/>
      <c r="C542" s="393" t="s">
        <v>6199</v>
      </c>
      <c r="D542" s="393" t="s">
        <v>5552</v>
      </c>
      <c r="E542" s="394">
        <v>10</v>
      </c>
      <c r="F542" s="392" t="s">
        <v>6150</v>
      </c>
      <c r="G542" s="395" t="s">
        <v>18</v>
      </c>
      <c r="H542" s="397"/>
      <c r="I542" s="190"/>
      <c r="J542" s="337"/>
      <c r="K542" s="414"/>
      <c r="L542" s="409"/>
      <c r="M542" s="337"/>
      <c r="N542" s="337"/>
      <c r="O542" s="337"/>
      <c r="P542" s="337"/>
      <c r="Q542" s="337"/>
      <c r="R542" s="337"/>
      <c r="S542" s="337"/>
      <c r="T542" s="337"/>
      <c r="U542" s="337"/>
      <c r="V542" s="337"/>
      <c r="W542" s="337"/>
      <c r="X542" s="337"/>
      <c r="Y542" s="337"/>
      <c r="Z542" s="337"/>
      <c r="AA542" s="337"/>
    </row>
    <row r="543" ht="16.5" customHeight="1" spans="1:27">
      <c r="A543" s="392" t="s">
        <v>6147</v>
      </c>
      <c r="B543" s="69"/>
      <c r="C543" s="393" t="s">
        <v>6200</v>
      </c>
      <c r="D543" s="393" t="s">
        <v>6158</v>
      </c>
      <c r="E543" s="394">
        <v>2</v>
      </c>
      <c r="F543" s="392" t="s">
        <v>6150</v>
      </c>
      <c r="G543" s="395" t="s">
        <v>18</v>
      </c>
      <c r="H543" s="397"/>
      <c r="I543" s="190"/>
      <c r="J543" s="409"/>
      <c r="K543" s="414"/>
      <c r="L543" s="337"/>
      <c r="M543" s="337"/>
      <c r="N543" s="337"/>
      <c r="O543" s="337"/>
      <c r="P543" s="337"/>
      <c r="Q543" s="337"/>
      <c r="R543" s="337"/>
      <c r="S543" s="337"/>
      <c r="T543" s="337"/>
      <c r="U543" s="337"/>
      <c r="V543" s="337"/>
      <c r="W543" s="337"/>
      <c r="X543" s="337"/>
      <c r="Y543" s="337"/>
      <c r="Z543" s="337"/>
      <c r="AA543" s="337"/>
    </row>
    <row r="544" ht="16.5" customHeight="1" spans="1:27">
      <c r="A544" s="392" t="s">
        <v>6147</v>
      </c>
      <c r="B544" s="69"/>
      <c r="C544" s="393" t="s">
        <v>6201</v>
      </c>
      <c r="D544" s="393" t="s">
        <v>6162</v>
      </c>
      <c r="E544" s="394">
        <v>20</v>
      </c>
      <c r="F544" s="392" t="s">
        <v>6150</v>
      </c>
      <c r="G544" s="395" t="s">
        <v>18</v>
      </c>
      <c r="H544" s="397"/>
      <c r="I544" s="190"/>
      <c r="J544" s="409"/>
      <c r="K544" s="414"/>
      <c r="L544" s="409"/>
      <c r="M544" s="337"/>
      <c r="N544" s="337"/>
      <c r="O544" s="337"/>
      <c r="P544" s="337"/>
      <c r="Q544" s="337"/>
      <c r="R544" s="337"/>
      <c r="S544" s="337"/>
      <c r="T544" s="337"/>
      <c r="U544" s="337"/>
      <c r="V544" s="337"/>
      <c r="W544" s="337"/>
      <c r="X544" s="337"/>
      <c r="Y544" s="337"/>
      <c r="Z544" s="337"/>
      <c r="AA544" s="337"/>
    </row>
    <row r="545" ht="16.5" customHeight="1" spans="1:27">
      <c r="A545" s="413" t="s">
        <v>6147</v>
      </c>
      <c r="B545" s="368"/>
      <c r="C545" s="415" t="s">
        <v>6202</v>
      </c>
      <c r="D545" s="415" t="s">
        <v>6168</v>
      </c>
      <c r="E545" s="416">
        <v>20</v>
      </c>
      <c r="F545" s="392" t="s">
        <v>6150</v>
      </c>
      <c r="G545" s="417" t="s">
        <v>18</v>
      </c>
      <c r="H545" s="418"/>
      <c r="I545" s="190"/>
      <c r="J545" s="409"/>
      <c r="K545" s="414"/>
      <c r="L545" s="337"/>
      <c r="M545" s="337"/>
      <c r="N545" s="337"/>
      <c r="O545" s="337"/>
      <c r="P545" s="337"/>
      <c r="Q545" s="337"/>
      <c r="R545" s="337"/>
      <c r="S545" s="337"/>
      <c r="T545" s="337"/>
      <c r="U545" s="337"/>
      <c r="V545" s="337"/>
      <c r="W545" s="337"/>
      <c r="X545" s="337"/>
      <c r="Y545" s="337"/>
      <c r="Z545" s="337"/>
      <c r="AA545" s="337"/>
    </row>
    <row r="546" ht="16.5" customHeight="1" spans="1:27">
      <c r="A546" s="392" t="s">
        <v>6203</v>
      </c>
      <c r="B546" s="392" t="s">
        <v>5423</v>
      </c>
      <c r="C546" s="393" t="s">
        <v>6148</v>
      </c>
      <c r="D546" s="393" t="s">
        <v>6149</v>
      </c>
      <c r="E546" s="394">
        <v>4</v>
      </c>
      <c r="F546" s="392" t="s">
        <v>6204</v>
      </c>
      <c r="G546" s="419" t="s">
        <v>18</v>
      </c>
      <c r="H546" s="396">
        <v>45901</v>
      </c>
      <c r="I546" s="413" t="s">
        <v>6151</v>
      </c>
      <c r="J546" s="337"/>
      <c r="K546" s="365"/>
      <c r="L546" s="337"/>
      <c r="M546" s="337"/>
      <c r="N546" s="337"/>
      <c r="O546" s="337"/>
      <c r="P546" s="337"/>
      <c r="Q546" s="337"/>
      <c r="R546" s="337"/>
      <c r="S546" s="337"/>
      <c r="T546" s="337"/>
      <c r="U546" s="337"/>
      <c r="V546" s="337"/>
      <c r="W546" s="337"/>
      <c r="X546" s="337"/>
      <c r="Y546" s="337"/>
      <c r="Z546" s="337"/>
      <c r="AA546" s="337"/>
    </row>
    <row r="547" ht="16.5" customHeight="1" spans="1:27">
      <c r="A547" s="392" t="s">
        <v>6203</v>
      </c>
      <c r="B547" s="281"/>
      <c r="C547" s="393" t="s">
        <v>6152</v>
      </c>
      <c r="D547" s="393" t="s">
        <v>6153</v>
      </c>
      <c r="E547" s="394">
        <v>10</v>
      </c>
      <c r="F547" s="392" t="s">
        <v>6204</v>
      </c>
      <c r="G547" s="419" t="s">
        <v>18</v>
      </c>
      <c r="H547" s="420"/>
      <c r="I547" s="190"/>
      <c r="J547" s="337"/>
      <c r="K547" s="414"/>
      <c r="L547" s="337"/>
      <c r="M547" s="337"/>
      <c r="N547" s="337"/>
      <c r="O547" s="337"/>
      <c r="P547" s="337"/>
      <c r="Q547" s="337"/>
      <c r="R547" s="337"/>
      <c r="S547" s="337"/>
      <c r="T547" s="337"/>
      <c r="U547" s="337"/>
      <c r="V547" s="337"/>
      <c r="W547" s="337"/>
      <c r="X547" s="337"/>
      <c r="Y547" s="337"/>
      <c r="Z547" s="337"/>
      <c r="AA547" s="337"/>
    </row>
    <row r="548" ht="16.5" customHeight="1" spans="1:27">
      <c r="A548" s="392" t="s">
        <v>6203</v>
      </c>
      <c r="B548" s="281"/>
      <c r="C548" s="393" t="s">
        <v>6154</v>
      </c>
      <c r="D548" s="393" t="s">
        <v>6063</v>
      </c>
      <c r="E548" s="394">
        <v>5</v>
      </c>
      <c r="F548" s="392" t="s">
        <v>6204</v>
      </c>
      <c r="G548" s="419" t="s">
        <v>18</v>
      </c>
      <c r="H548" s="420"/>
      <c r="I548" s="190"/>
      <c r="J548" s="337"/>
      <c r="K548" s="414"/>
      <c r="L548" s="337"/>
      <c r="M548" s="337"/>
      <c r="N548" s="337"/>
      <c r="O548" s="337"/>
      <c r="P548" s="337"/>
      <c r="Q548" s="337"/>
      <c r="R548" s="337"/>
      <c r="S548" s="337"/>
      <c r="T548" s="337"/>
      <c r="U548" s="337"/>
      <c r="V548" s="337"/>
      <c r="W548" s="337"/>
      <c r="X548" s="337"/>
      <c r="Y548" s="337"/>
      <c r="Z548" s="337"/>
      <c r="AA548" s="337"/>
    </row>
    <row r="549" ht="16.5" customHeight="1" spans="1:27">
      <c r="A549" s="392" t="s">
        <v>6203</v>
      </c>
      <c r="B549" s="69"/>
      <c r="C549" s="393" t="s">
        <v>6155</v>
      </c>
      <c r="D549" s="393" t="s">
        <v>5602</v>
      </c>
      <c r="E549" s="394">
        <v>4</v>
      </c>
      <c r="F549" s="392" t="s">
        <v>6204</v>
      </c>
      <c r="G549" s="419" t="s">
        <v>18</v>
      </c>
      <c r="H549" s="420"/>
      <c r="I549" s="190"/>
      <c r="J549" s="409"/>
      <c r="K549" s="414"/>
      <c r="L549" s="337"/>
      <c r="M549" s="337"/>
      <c r="N549" s="337"/>
      <c r="O549" s="337"/>
      <c r="P549" s="337"/>
      <c r="Q549" s="337"/>
      <c r="R549" s="337"/>
      <c r="S549" s="337"/>
      <c r="T549" s="337"/>
      <c r="U549" s="337"/>
      <c r="V549" s="337"/>
      <c r="W549" s="337"/>
      <c r="X549" s="337"/>
      <c r="Y549" s="337"/>
      <c r="Z549" s="337"/>
      <c r="AA549" s="337"/>
    </row>
    <row r="550" ht="16.5" customHeight="1" spans="1:27">
      <c r="A550" s="392" t="s">
        <v>6203</v>
      </c>
      <c r="B550" s="69"/>
      <c r="C550" s="393" t="s">
        <v>6156</v>
      </c>
      <c r="D550" s="393" t="s">
        <v>5552</v>
      </c>
      <c r="E550" s="394">
        <v>10</v>
      </c>
      <c r="F550" s="392" t="s">
        <v>6204</v>
      </c>
      <c r="G550" s="419" t="s">
        <v>18</v>
      </c>
      <c r="H550" s="420"/>
      <c r="I550" s="190"/>
      <c r="J550" s="409"/>
      <c r="K550" s="414"/>
      <c r="L550" s="409"/>
      <c r="M550" s="337"/>
      <c r="N550" s="337"/>
      <c r="O550" s="337"/>
      <c r="P550" s="337"/>
      <c r="Q550" s="337"/>
      <c r="R550" s="337"/>
      <c r="S550" s="337"/>
      <c r="T550" s="337"/>
      <c r="U550" s="337"/>
      <c r="V550" s="337"/>
      <c r="W550" s="337"/>
      <c r="X550" s="337"/>
      <c r="Y550" s="337"/>
      <c r="Z550" s="337"/>
      <c r="AA550" s="337"/>
    </row>
    <row r="551" ht="16.5" customHeight="1" spans="1:27">
      <c r="A551" s="392" t="s">
        <v>6203</v>
      </c>
      <c r="B551" s="281"/>
      <c r="C551" s="393" t="s">
        <v>6161</v>
      </c>
      <c r="D551" s="393" t="s">
        <v>6162</v>
      </c>
      <c r="E551" s="394">
        <v>10</v>
      </c>
      <c r="F551" s="392" t="s">
        <v>6204</v>
      </c>
      <c r="G551" s="419" t="s">
        <v>18</v>
      </c>
      <c r="H551" s="420"/>
      <c r="I551" s="190"/>
      <c r="J551" s="409"/>
      <c r="K551" s="414"/>
      <c r="L551" s="337"/>
      <c r="M551" s="337"/>
      <c r="N551" s="337"/>
      <c r="O551" s="337"/>
      <c r="P551" s="337"/>
      <c r="Q551" s="337"/>
      <c r="R551" s="337"/>
      <c r="S551" s="337"/>
      <c r="T551" s="337"/>
      <c r="U551" s="337"/>
      <c r="V551" s="337"/>
      <c r="W551" s="337"/>
      <c r="X551" s="337"/>
      <c r="Y551" s="337"/>
      <c r="Z551" s="337"/>
      <c r="AA551" s="337"/>
    </row>
    <row r="552" ht="16.5" customHeight="1" spans="1:27">
      <c r="A552" s="392" t="s">
        <v>6203</v>
      </c>
      <c r="B552" s="281"/>
      <c r="C552" s="393" t="s">
        <v>6163</v>
      </c>
      <c r="D552" s="393" t="s">
        <v>6164</v>
      </c>
      <c r="E552" s="394">
        <v>10</v>
      </c>
      <c r="F552" s="392" t="s">
        <v>6204</v>
      </c>
      <c r="G552" s="419" t="s">
        <v>18</v>
      </c>
      <c r="H552" s="420"/>
      <c r="I552" s="190"/>
      <c r="J552" s="409"/>
      <c r="K552" s="414"/>
      <c r="L552" s="337"/>
      <c r="M552" s="337"/>
      <c r="N552" s="337"/>
      <c r="O552" s="337"/>
      <c r="P552" s="337"/>
      <c r="Q552" s="337"/>
      <c r="R552" s="337"/>
      <c r="S552" s="337"/>
      <c r="T552" s="337"/>
      <c r="U552" s="337"/>
      <c r="V552" s="337"/>
      <c r="W552" s="337"/>
      <c r="X552" s="337"/>
      <c r="Y552" s="337"/>
      <c r="Z552" s="337"/>
      <c r="AA552" s="337"/>
    </row>
    <row r="553" ht="16.5" customHeight="1" spans="1:27">
      <c r="A553" s="392" t="s">
        <v>6203</v>
      </c>
      <c r="B553" s="281"/>
      <c r="C553" s="393" t="s">
        <v>6165</v>
      </c>
      <c r="D553" s="393" t="s">
        <v>6166</v>
      </c>
      <c r="E553" s="394">
        <v>10</v>
      </c>
      <c r="F553" s="392" t="s">
        <v>6204</v>
      </c>
      <c r="G553" s="419" t="s">
        <v>18</v>
      </c>
      <c r="H553" s="420"/>
      <c r="I553" s="190"/>
      <c r="J553" s="409"/>
      <c r="K553" s="414"/>
      <c r="L553" s="337"/>
      <c r="M553" s="337"/>
      <c r="N553" s="337"/>
      <c r="O553" s="337"/>
      <c r="P553" s="337"/>
      <c r="Q553" s="337"/>
      <c r="R553" s="337"/>
      <c r="S553" s="337"/>
      <c r="T553" s="337"/>
      <c r="U553" s="337"/>
      <c r="V553" s="337"/>
      <c r="W553" s="337"/>
      <c r="X553" s="337"/>
      <c r="Y553" s="337"/>
      <c r="Z553" s="337"/>
      <c r="AA553" s="337"/>
    </row>
    <row r="554" ht="16.5" customHeight="1" spans="1:27">
      <c r="A554" s="392" t="s">
        <v>6203</v>
      </c>
      <c r="B554" s="281"/>
      <c r="C554" s="393" t="s">
        <v>6167</v>
      </c>
      <c r="D554" s="393" t="s">
        <v>6168</v>
      </c>
      <c r="E554" s="394">
        <v>10</v>
      </c>
      <c r="F554" s="392" t="s">
        <v>6204</v>
      </c>
      <c r="G554" s="419" t="s">
        <v>18</v>
      </c>
      <c r="H554" s="420"/>
      <c r="I554" s="190"/>
      <c r="J554" s="409"/>
      <c r="K554" s="414"/>
      <c r="L554" s="337"/>
      <c r="M554" s="337"/>
      <c r="N554" s="337"/>
      <c r="O554" s="337"/>
      <c r="P554" s="337"/>
      <c r="Q554" s="337"/>
      <c r="R554" s="337"/>
      <c r="S554" s="337"/>
      <c r="T554" s="337"/>
      <c r="U554" s="337"/>
      <c r="V554" s="337"/>
      <c r="W554" s="337"/>
      <c r="X554" s="337"/>
      <c r="Y554" s="337"/>
      <c r="Z554" s="337"/>
      <c r="AA554" s="337"/>
    </row>
    <row r="555" ht="16.5" customHeight="1" spans="1:27">
      <c r="A555" s="392" t="s">
        <v>6203</v>
      </c>
      <c r="B555" s="281"/>
      <c r="C555" s="393" t="s">
        <v>5867</v>
      </c>
      <c r="D555" s="393" t="s">
        <v>5571</v>
      </c>
      <c r="E555" s="394">
        <v>10</v>
      </c>
      <c r="F555" s="392" t="s">
        <v>6204</v>
      </c>
      <c r="G555" s="419" t="s">
        <v>18</v>
      </c>
      <c r="H555" s="420"/>
      <c r="I555" s="190"/>
      <c r="J555" s="409"/>
      <c r="K555" s="414"/>
      <c r="L555" s="337"/>
      <c r="M555" s="337"/>
      <c r="N555" s="337"/>
      <c r="O555" s="337"/>
      <c r="P555" s="337"/>
      <c r="Q555" s="337"/>
      <c r="R555" s="337"/>
      <c r="S555" s="337"/>
      <c r="T555" s="337"/>
      <c r="U555" s="337"/>
      <c r="V555" s="337"/>
      <c r="W555" s="337"/>
      <c r="X555" s="337"/>
      <c r="Y555" s="337"/>
      <c r="Z555" s="337"/>
      <c r="AA555" s="337"/>
    </row>
    <row r="556" ht="16.5" customHeight="1" spans="1:27">
      <c r="A556" s="392" t="s">
        <v>6203</v>
      </c>
      <c r="B556" s="281"/>
      <c r="C556" s="393" t="s">
        <v>6169</v>
      </c>
      <c r="D556" s="393" t="s">
        <v>6170</v>
      </c>
      <c r="E556" s="394">
        <v>10</v>
      </c>
      <c r="F556" s="392" t="s">
        <v>6204</v>
      </c>
      <c r="G556" s="419" t="s">
        <v>18</v>
      </c>
      <c r="H556" s="420"/>
      <c r="I556" s="190"/>
      <c r="J556" s="409"/>
      <c r="K556" s="414"/>
      <c r="L556" s="337"/>
      <c r="M556" s="337"/>
      <c r="N556" s="337"/>
      <c r="O556" s="337"/>
      <c r="P556" s="337"/>
      <c r="Q556" s="337"/>
      <c r="R556" s="337"/>
      <c r="S556" s="337"/>
      <c r="T556" s="337"/>
      <c r="U556" s="337"/>
      <c r="V556" s="337"/>
      <c r="W556" s="337"/>
      <c r="X556" s="337"/>
      <c r="Y556" s="337"/>
      <c r="Z556" s="337"/>
      <c r="AA556" s="337"/>
    </row>
    <row r="557" ht="16.5" customHeight="1" spans="1:27">
      <c r="A557" s="392" t="s">
        <v>6203</v>
      </c>
      <c r="B557" s="281"/>
      <c r="C557" s="393" t="s">
        <v>6171</v>
      </c>
      <c r="D557" s="393" t="s">
        <v>6172</v>
      </c>
      <c r="E557" s="394">
        <v>10</v>
      </c>
      <c r="F557" s="392" t="s">
        <v>6204</v>
      </c>
      <c r="G557" s="419" t="s">
        <v>18</v>
      </c>
      <c r="H557" s="420"/>
      <c r="I557" s="190"/>
      <c r="J557" s="409"/>
      <c r="K557" s="414"/>
      <c r="L557" s="337"/>
      <c r="M557" s="337"/>
      <c r="N557" s="337"/>
      <c r="O557" s="337"/>
      <c r="P557" s="337"/>
      <c r="Q557" s="337"/>
      <c r="R557" s="337"/>
      <c r="S557" s="337"/>
      <c r="T557" s="337"/>
      <c r="U557" s="337"/>
      <c r="V557" s="337"/>
      <c r="W557" s="337"/>
      <c r="X557" s="337"/>
      <c r="Y557" s="337"/>
      <c r="Z557" s="337"/>
      <c r="AA557" s="337"/>
    </row>
    <row r="558" ht="16.5" customHeight="1" spans="1:27">
      <c r="A558" s="392" t="s">
        <v>6203</v>
      </c>
      <c r="B558" s="281"/>
      <c r="C558" s="393" t="s">
        <v>6173</v>
      </c>
      <c r="D558" s="393" t="s">
        <v>6174</v>
      </c>
      <c r="E558" s="394">
        <v>10</v>
      </c>
      <c r="F558" s="392" t="s">
        <v>6204</v>
      </c>
      <c r="G558" s="419" t="s">
        <v>18</v>
      </c>
      <c r="H558" s="420"/>
      <c r="I558" s="190"/>
      <c r="J558" s="409"/>
      <c r="K558" s="414"/>
      <c r="L558" s="337"/>
      <c r="M558" s="337"/>
      <c r="N558" s="337"/>
      <c r="O558" s="337"/>
      <c r="P558" s="337"/>
      <c r="Q558" s="337"/>
      <c r="R558" s="337"/>
      <c r="S558" s="337"/>
      <c r="T558" s="337"/>
      <c r="U558" s="337"/>
      <c r="V558" s="337"/>
      <c r="W558" s="337"/>
      <c r="X558" s="337"/>
      <c r="Y558" s="337"/>
      <c r="Z558" s="337"/>
      <c r="AA558" s="337"/>
    </row>
    <row r="559" ht="16.5" customHeight="1" spans="1:27">
      <c r="A559" s="392" t="s">
        <v>6203</v>
      </c>
      <c r="B559" s="281"/>
      <c r="C559" s="393" t="s">
        <v>6175</v>
      </c>
      <c r="D559" s="393" t="s">
        <v>6174</v>
      </c>
      <c r="E559" s="394">
        <v>10</v>
      </c>
      <c r="F559" s="392" t="s">
        <v>6204</v>
      </c>
      <c r="G559" s="419" t="s">
        <v>18</v>
      </c>
      <c r="H559" s="420"/>
      <c r="I559" s="190"/>
      <c r="J559" s="409"/>
      <c r="K559" s="414"/>
      <c r="L559" s="337"/>
      <c r="M559" s="337"/>
      <c r="N559" s="337"/>
      <c r="O559" s="337"/>
      <c r="P559" s="337"/>
      <c r="Q559" s="337"/>
      <c r="R559" s="337"/>
      <c r="S559" s="337"/>
      <c r="T559" s="337"/>
      <c r="U559" s="337"/>
      <c r="V559" s="337"/>
      <c r="W559" s="337"/>
      <c r="X559" s="337"/>
      <c r="Y559" s="337"/>
      <c r="Z559" s="337"/>
      <c r="AA559" s="337"/>
    </row>
    <row r="560" ht="16.5" customHeight="1" spans="1:27">
      <c r="A560" s="392" t="s">
        <v>6203</v>
      </c>
      <c r="B560" s="69"/>
      <c r="C560" s="393" t="s">
        <v>6178</v>
      </c>
      <c r="D560" s="393" t="s">
        <v>6179</v>
      </c>
      <c r="E560" s="394">
        <v>10</v>
      </c>
      <c r="F560" s="392" t="s">
        <v>6204</v>
      </c>
      <c r="G560" s="419" t="s">
        <v>18</v>
      </c>
      <c r="H560" s="420"/>
      <c r="I560" s="190"/>
      <c r="J560" s="409"/>
      <c r="K560" s="414"/>
      <c r="L560" s="409"/>
      <c r="M560" s="337"/>
      <c r="N560" s="337"/>
      <c r="O560" s="337"/>
      <c r="P560" s="337"/>
      <c r="Q560" s="337"/>
      <c r="R560" s="337"/>
      <c r="S560" s="337"/>
      <c r="T560" s="337"/>
      <c r="U560" s="337"/>
      <c r="V560" s="337"/>
      <c r="W560" s="337"/>
      <c r="X560" s="337"/>
      <c r="Y560" s="337"/>
      <c r="Z560" s="337"/>
      <c r="AA560" s="337"/>
    </row>
    <row r="561" ht="16.5" customHeight="1" spans="1:27">
      <c r="A561" s="392" t="s">
        <v>6203</v>
      </c>
      <c r="B561" s="69"/>
      <c r="C561" s="393" t="s">
        <v>6180</v>
      </c>
      <c r="D561" s="393" t="s">
        <v>6063</v>
      </c>
      <c r="E561" s="394">
        <v>10</v>
      </c>
      <c r="F561" s="392" t="s">
        <v>6204</v>
      </c>
      <c r="G561" s="419" t="s">
        <v>18</v>
      </c>
      <c r="H561" s="420"/>
      <c r="I561" s="190"/>
      <c r="J561" s="409"/>
      <c r="K561" s="414"/>
      <c r="L561" s="337"/>
      <c r="M561" s="337"/>
      <c r="N561" s="337"/>
      <c r="O561" s="337"/>
      <c r="P561" s="337"/>
      <c r="Q561" s="337"/>
      <c r="R561" s="337"/>
      <c r="S561" s="337"/>
      <c r="T561" s="337"/>
      <c r="U561" s="337"/>
      <c r="V561" s="337"/>
      <c r="W561" s="337"/>
      <c r="X561" s="337"/>
      <c r="Y561" s="337"/>
      <c r="Z561" s="337"/>
      <c r="AA561" s="337"/>
    </row>
    <row r="562" ht="16.5" customHeight="1" spans="1:27">
      <c r="A562" s="392" t="s">
        <v>6203</v>
      </c>
      <c r="B562" s="69"/>
      <c r="C562" s="393" t="s">
        <v>6181</v>
      </c>
      <c r="D562" s="393" t="s">
        <v>5600</v>
      </c>
      <c r="E562" s="394">
        <v>5</v>
      </c>
      <c r="F562" s="392" t="s">
        <v>6204</v>
      </c>
      <c r="G562" s="419" t="s">
        <v>18</v>
      </c>
      <c r="H562" s="420"/>
      <c r="I562" s="190"/>
      <c r="J562" s="337"/>
      <c r="K562" s="414"/>
      <c r="L562" s="337"/>
      <c r="M562" s="337"/>
      <c r="N562" s="337"/>
      <c r="O562" s="337"/>
      <c r="P562" s="337"/>
      <c r="Q562" s="337"/>
      <c r="R562" s="337"/>
      <c r="S562" s="337"/>
      <c r="T562" s="337"/>
      <c r="U562" s="337"/>
      <c r="V562" s="337"/>
      <c r="W562" s="337"/>
      <c r="X562" s="337"/>
      <c r="Y562" s="337"/>
      <c r="Z562" s="337"/>
      <c r="AA562" s="337"/>
    </row>
    <row r="563" ht="16.5" customHeight="1" spans="1:27">
      <c r="A563" s="392" t="s">
        <v>6203</v>
      </c>
      <c r="B563" s="281"/>
      <c r="C563" s="393" t="s">
        <v>6185</v>
      </c>
      <c r="D563" s="393" t="s">
        <v>6162</v>
      </c>
      <c r="E563" s="394">
        <v>10</v>
      </c>
      <c r="F563" s="392" t="s">
        <v>6204</v>
      </c>
      <c r="G563" s="419" t="s">
        <v>18</v>
      </c>
      <c r="H563" s="420"/>
      <c r="I563" s="190"/>
      <c r="J563" s="337"/>
      <c r="K563" s="414"/>
      <c r="L563" s="337"/>
      <c r="M563" s="337"/>
      <c r="N563" s="337"/>
      <c r="O563" s="337"/>
      <c r="P563" s="337"/>
      <c r="Q563" s="337"/>
      <c r="R563" s="337"/>
      <c r="S563" s="337"/>
      <c r="T563" s="337"/>
      <c r="U563" s="337"/>
      <c r="V563" s="337"/>
      <c r="W563" s="337"/>
      <c r="X563" s="337"/>
      <c r="Y563" s="337"/>
      <c r="Z563" s="337"/>
      <c r="AA563" s="337"/>
    </row>
    <row r="564" ht="16.5" customHeight="1" spans="1:27">
      <c r="A564" s="392" t="s">
        <v>6203</v>
      </c>
      <c r="B564" s="281"/>
      <c r="C564" s="393" t="s">
        <v>6186</v>
      </c>
      <c r="D564" s="393" t="s">
        <v>6149</v>
      </c>
      <c r="E564" s="394">
        <v>2</v>
      </c>
      <c r="F564" s="392" t="s">
        <v>6204</v>
      </c>
      <c r="G564" s="419" t="s">
        <v>18</v>
      </c>
      <c r="H564" s="420"/>
      <c r="I564" s="190"/>
      <c r="J564" s="337"/>
      <c r="K564" s="414"/>
      <c r="L564" s="337"/>
      <c r="M564" s="337"/>
      <c r="N564" s="337"/>
      <c r="O564" s="337"/>
      <c r="P564" s="337"/>
      <c r="Q564" s="337"/>
      <c r="R564" s="337"/>
      <c r="S564" s="337"/>
      <c r="T564" s="337"/>
      <c r="U564" s="337"/>
      <c r="V564" s="337"/>
      <c r="W564" s="337"/>
      <c r="X564" s="337"/>
      <c r="Y564" s="337"/>
      <c r="Z564" s="337"/>
      <c r="AA564" s="337"/>
    </row>
    <row r="565" ht="16.5" customHeight="1" spans="1:27">
      <c r="A565" s="392" t="s">
        <v>6203</v>
      </c>
      <c r="B565" s="281"/>
      <c r="C565" s="393" t="s">
        <v>6187</v>
      </c>
      <c r="D565" s="393" t="s">
        <v>6188</v>
      </c>
      <c r="E565" s="394">
        <v>4</v>
      </c>
      <c r="F565" s="392" t="s">
        <v>6204</v>
      </c>
      <c r="G565" s="419" t="s">
        <v>18</v>
      </c>
      <c r="H565" s="420"/>
      <c r="I565" s="190"/>
      <c r="J565" s="337"/>
      <c r="K565" s="414"/>
      <c r="L565" s="337"/>
      <c r="M565" s="337"/>
      <c r="N565" s="337"/>
      <c r="O565" s="337"/>
      <c r="P565" s="337"/>
      <c r="Q565" s="337"/>
      <c r="R565" s="337"/>
      <c r="S565" s="337"/>
      <c r="T565" s="337"/>
      <c r="U565" s="337"/>
      <c r="V565" s="337"/>
      <c r="W565" s="337"/>
      <c r="X565" s="337"/>
      <c r="Y565" s="337"/>
      <c r="Z565" s="337"/>
      <c r="AA565" s="337"/>
    </row>
    <row r="566" ht="16.5" customHeight="1" spans="1:27">
      <c r="A566" s="392" t="s">
        <v>6203</v>
      </c>
      <c r="B566" s="281"/>
      <c r="C566" s="393" t="s">
        <v>6189</v>
      </c>
      <c r="D566" s="393" t="s">
        <v>6190</v>
      </c>
      <c r="E566" s="394">
        <v>4</v>
      </c>
      <c r="F566" s="392" t="s">
        <v>6204</v>
      </c>
      <c r="G566" s="419" t="s">
        <v>18</v>
      </c>
      <c r="H566" s="420"/>
      <c r="I566" s="190"/>
      <c r="J566" s="337"/>
      <c r="K566" s="414"/>
      <c r="L566" s="337"/>
      <c r="M566" s="337"/>
      <c r="N566" s="337"/>
      <c r="O566" s="337"/>
      <c r="P566" s="337"/>
      <c r="Q566" s="337"/>
      <c r="R566" s="337"/>
      <c r="S566" s="337"/>
      <c r="T566" s="337"/>
      <c r="U566" s="337"/>
      <c r="V566" s="337"/>
      <c r="W566" s="337"/>
      <c r="X566" s="337"/>
      <c r="Y566" s="337"/>
      <c r="Z566" s="337"/>
      <c r="AA566" s="337"/>
    </row>
    <row r="567" ht="16.5" customHeight="1" spans="1:27">
      <c r="A567" s="392" t="s">
        <v>6203</v>
      </c>
      <c r="B567" s="281"/>
      <c r="C567" s="393" t="s">
        <v>6191</v>
      </c>
      <c r="D567" s="393" t="s">
        <v>6188</v>
      </c>
      <c r="E567" s="394">
        <v>2</v>
      </c>
      <c r="F567" s="392" t="s">
        <v>6204</v>
      </c>
      <c r="G567" s="419" t="s">
        <v>18</v>
      </c>
      <c r="H567" s="420"/>
      <c r="I567" s="190"/>
      <c r="J567" s="337"/>
      <c r="K567" s="414"/>
      <c r="L567" s="337"/>
      <c r="M567" s="337"/>
      <c r="N567" s="337"/>
      <c r="O567" s="337"/>
      <c r="P567" s="337"/>
      <c r="Q567" s="337"/>
      <c r="R567" s="337"/>
      <c r="S567" s="337"/>
      <c r="T567" s="337"/>
      <c r="U567" s="337"/>
      <c r="V567" s="337"/>
      <c r="W567" s="337"/>
      <c r="X567" s="337"/>
      <c r="Y567" s="337"/>
      <c r="Z567" s="337"/>
      <c r="AA567" s="337"/>
    </row>
    <row r="568" ht="16.5" customHeight="1" spans="1:27">
      <c r="A568" s="392" t="s">
        <v>6203</v>
      </c>
      <c r="B568" s="281"/>
      <c r="C568" s="393" t="s">
        <v>6192</v>
      </c>
      <c r="D568" s="393" t="s">
        <v>6188</v>
      </c>
      <c r="E568" s="394">
        <v>4</v>
      </c>
      <c r="F568" s="392" t="s">
        <v>6204</v>
      </c>
      <c r="G568" s="419" t="s">
        <v>18</v>
      </c>
      <c r="H568" s="420"/>
      <c r="I568" s="190"/>
      <c r="J568" s="337"/>
      <c r="K568" s="414"/>
      <c r="L568" s="337"/>
      <c r="M568" s="337"/>
      <c r="N568" s="337"/>
      <c r="O568" s="337"/>
      <c r="P568" s="337"/>
      <c r="Q568" s="337"/>
      <c r="R568" s="337"/>
      <c r="S568" s="337"/>
      <c r="T568" s="337"/>
      <c r="U568" s="337"/>
      <c r="V568" s="337"/>
      <c r="W568" s="337"/>
      <c r="X568" s="337"/>
      <c r="Y568" s="337"/>
      <c r="Z568" s="337"/>
      <c r="AA568" s="337"/>
    </row>
    <row r="569" ht="16.5" customHeight="1" spans="1:27">
      <c r="A569" s="392" t="s">
        <v>6203</v>
      </c>
      <c r="B569" s="281"/>
      <c r="C569" s="393" t="s">
        <v>6193</v>
      </c>
      <c r="D569" s="393" t="s">
        <v>6188</v>
      </c>
      <c r="E569" s="394">
        <v>4</v>
      </c>
      <c r="F569" s="392" t="s">
        <v>6204</v>
      </c>
      <c r="G569" s="419" t="s">
        <v>18</v>
      </c>
      <c r="H569" s="420"/>
      <c r="I569" s="190"/>
      <c r="J569" s="337"/>
      <c r="K569" s="414"/>
      <c r="L569" s="337"/>
      <c r="M569" s="337"/>
      <c r="N569" s="337"/>
      <c r="O569" s="337"/>
      <c r="P569" s="337"/>
      <c r="Q569" s="337"/>
      <c r="R569" s="337"/>
      <c r="S569" s="337"/>
      <c r="T569" s="337"/>
      <c r="U569" s="337"/>
      <c r="V569" s="337"/>
      <c r="W569" s="337"/>
      <c r="X569" s="337"/>
      <c r="Y569" s="337"/>
      <c r="Z569" s="337"/>
      <c r="AA569" s="337"/>
    </row>
    <row r="570" ht="16.5" customHeight="1" spans="1:27">
      <c r="A570" s="392" t="s">
        <v>6203</v>
      </c>
      <c r="B570" s="281"/>
      <c r="C570" s="393" t="s">
        <v>6195</v>
      </c>
      <c r="D570" s="393" t="s">
        <v>6166</v>
      </c>
      <c r="E570" s="394">
        <v>6</v>
      </c>
      <c r="F570" s="392" t="s">
        <v>6204</v>
      </c>
      <c r="G570" s="419" t="s">
        <v>18</v>
      </c>
      <c r="H570" s="420"/>
      <c r="I570" s="190"/>
      <c r="J570" s="337"/>
      <c r="K570" s="414"/>
      <c r="L570" s="337"/>
      <c r="M570" s="337"/>
      <c r="N570" s="337"/>
      <c r="O570" s="337"/>
      <c r="P570" s="337"/>
      <c r="Q570" s="337"/>
      <c r="R570" s="337"/>
      <c r="S570" s="337"/>
      <c r="T570" s="337"/>
      <c r="U570" s="337"/>
      <c r="V570" s="337"/>
      <c r="W570" s="337"/>
      <c r="X570" s="337"/>
      <c r="Y570" s="337"/>
      <c r="Z570" s="337"/>
      <c r="AA570" s="337"/>
    </row>
    <row r="571" ht="16.5" customHeight="1" spans="1:27">
      <c r="A571" s="392" t="s">
        <v>6203</v>
      </c>
      <c r="B571" s="281"/>
      <c r="C571" s="393" t="s">
        <v>6196</v>
      </c>
      <c r="D571" s="393" t="s">
        <v>6188</v>
      </c>
      <c r="E571" s="394">
        <v>2</v>
      </c>
      <c r="F571" s="392" t="s">
        <v>6204</v>
      </c>
      <c r="G571" s="419" t="s">
        <v>18</v>
      </c>
      <c r="H571" s="420"/>
      <c r="I571" s="190"/>
      <c r="J571" s="337"/>
      <c r="K571" s="414"/>
      <c r="L571" s="337"/>
      <c r="M571" s="337"/>
      <c r="N571" s="337"/>
      <c r="O571" s="337"/>
      <c r="P571" s="337"/>
      <c r="Q571" s="337"/>
      <c r="R571" s="337"/>
      <c r="S571" s="337"/>
      <c r="T571" s="337"/>
      <c r="U571" s="337"/>
      <c r="V571" s="337"/>
      <c r="W571" s="337"/>
      <c r="X571" s="337"/>
      <c r="Y571" s="337"/>
      <c r="Z571" s="337"/>
      <c r="AA571" s="337"/>
    </row>
    <row r="572" ht="16.5" customHeight="1" spans="1:27">
      <c r="A572" s="392" t="s">
        <v>6203</v>
      </c>
      <c r="B572" s="281"/>
      <c r="C572" s="393" t="s">
        <v>6197</v>
      </c>
      <c r="D572" s="393" t="s">
        <v>6153</v>
      </c>
      <c r="E572" s="394">
        <v>10</v>
      </c>
      <c r="F572" s="392" t="s">
        <v>6204</v>
      </c>
      <c r="G572" s="419" t="s">
        <v>18</v>
      </c>
      <c r="H572" s="420"/>
      <c r="I572" s="190"/>
      <c r="J572" s="337"/>
      <c r="K572" s="414"/>
      <c r="L572" s="337"/>
      <c r="M572" s="337"/>
      <c r="N572" s="337"/>
      <c r="O572" s="337"/>
      <c r="P572" s="337"/>
      <c r="Q572" s="337"/>
      <c r="R572" s="337"/>
      <c r="S572" s="337"/>
      <c r="T572" s="337"/>
      <c r="U572" s="337"/>
      <c r="V572" s="337"/>
      <c r="W572" s="337"/>
      <c r="X572" s="337"/>
      <c r="Y572" s="337"/>
      <c r="Z572" s="337"/>
      <c r="AA572" s="337"/>
    </row>
    <row r="573" ht="16.5" customHeight="1" spans="1:27">
      <c r="A573" s="392" t="s">
        <v>6203</v>
      </c>
      <c r="B573" s="281"/>
      <c r="C573" s="393" t="s">
        <v>6198</v>
      </c>
      <c r="D573" s="393" t="s">
        <v>6188</v>
      </c>
      <c r="E573" s="394">
        <v>10</v>
      </c>
      <c r="F573" s="392" t="s">
        <v>6204</v>
      </c>
      <c r="G573" s="419" t="s">
        <v>18</v>
      </c>
      <c r="H573" s="420"/>
      <c r="I573" s="190"/>
      <c r="J573" s="337"/>
      <c r="K573" s="414"/>
      <c r="L573" s="337"/>
      <c r="M573" s="337"/>
      <c r="N573" s="337"/>
      <c r="O573" s="337"/>
      <c r="P573" s="337"/>
      <c r="Q573" s="337"/>
      <c r="R573" s="337"/>
      <c r="S573" s="337"/>
      <c r="T573" s="337"/>
      <c r="U573" s="337"/>
      <c r="V573" s="337"/>
      <c r="W573" s="337"/>
      <c r="X573" s="337"/>
      <c r="Y573" s="337"/>
      <c r="Z573" s="337"/>
      <c r="AA573" s="337"/>
    </row>
    <row r="574" ht="16.5" customHeight="1" spans="1:27">
      <c r="A574" s="392" t="s">
        <v>6203</v>
      </c>
      <c r="B574" s="281"/>
      <c r="C574" s="393" t="s">
        <v>6199</v>
      </c>
      <c r="D574" s="393" t="s">
        <v>5552</v>
      </c>
      <c r="E574" s="394">
        <v>10</v>
      </c>
      <c r="F574" s="392" t="s">
        <v>6204</v>
      </c>
      <c r="G574" s="419" t="s">
        <v>18</v>
      </c>
      <c r="H574" s="420"/>
      <c r="I574" s="190"/>
      <c r="J574" s="337"/>
      <c r="K574" s="414"/>
      <c r="L574" s="337"/>
      <c r="M574" s="337"/>
      <c r="N574" s="337"/>
      <c r="O574" s="337"/>
      <c r="P574" s="337"/>
      <c r="Q574" s="337"/>
      <c r="R574" s="337"/>
      <c r="S574" s="337"/>
      <c r="T574" s="337"/>
      <c r="U574" s="337"/>
      <c r="V574" s="337"/>
      <c r="W574" s="337"/>
      <c r="X574" s="337"/>
      <c r="Y574" s="337"/>
      <c r="Z574" s="337"/>
      <c r="AA574" s="337"/>
    </row>
    <row r="575" ht="16.5" customHeight="1" spans="1:27">
      <c r="A575" s="392" t="s">
        <v>6203</v>
      </c>
      <c r="B575" s="281"/>
      <c r="C575" s="393" t="s">
        <v>6201</v>
      </c>
      <c r="D575" s="393" t="s">
        <v>6162</v>
      </c>
      <c r="E575" s="394">
        <v>10</v>
      </c>
      <c r="F575" s="392" t="s">
        <v>6204</v>
      </c>
      <c r="G575" s="419" t="s">
        <v>18</v>
      </c>
      <c r="H575" s="420"/>
      <c r="I575" s="190"/>
      <c r="J575" s="337"/>
      <c r="K575" s="414"/>
      <c r="L575" s="337"/>
      <c r="M575" s="337"/>
      <c r="N575" s="337"/>
      <c r="O575" s="337"/>
      <c r="P575" s="337"/>
      <c r="Q575" s="337"/>
      <c r="R575" s="337"/>
      <c r="S575" s="337"/>
      <c r="T575" s="337"/>
      <c r="U575" s="337"/>
      <c r="V575" s="337"/>
      <c r="W575" s="337"/>
      <c r="X575" s="337"/>
      <c r="Y575" s="337"/>
      <c r="Z575" s="337"/>
      <c r="AA575" s="337"/>
    </row>
    <row r="576" ht="16.5" customHeight="1" spans="1:27">
      <c r="A576" s="392" t="s">
        <v>6203</v>
      </c>
      <c r="B576" s="281"/>
      <c r="C576" s="393" t="s">
        <v>6202</v>
      </c>
      <c r="D576" s="393" t="s">
        <v>6168</v>
      </c>
      <c r="E576" s="394">
        <v>10</v>
      </c>
      <c r="F576" s="392" t="s">
        <v>6204</v>
      </c>
      <c r="G576" s="419" t="s">
        <v>18</v>
      </c>
      <c r="H576" s="420"/>
      <c r="I576" s="190"/>
      <c r="J576" s="337"/>
      <c r="K576" s="414"/>
      <c r="L576" s="337"/>
      <c r="M576" s="337"/>
      <c r="N576" s="337"/>
      <c r="O576" s="337"/>
      <c r="P576" s="337"/>
      <c r="Q576" s="337"/>
      <c r="R576" s="337"/>
      <c r="S576" s="337"/>
      <c r="T576" s="337"/>
      <c r="U576" s="337"/>
      <c r="V576" s="337"/>
      <c r="W576" s="337"/>
      <c r="X576" s="337"/>
      <c r="Y576" s="337"/>
      <c r="Z576" s="337"/>
      <c r="AA576" s="337"/>
    </row>
    <row r="577" ht="16.5" customHeight="1" spans="1:27">
      <c r="A577" s="413" t="s">
        <v>6203</v>
      </c>
      <c r="B577" s="368"/>
      <c r="C577" s="415" t="s">
        <v>5578</v>
      </c>
      <c r="D577" s="415" t="s">
        <v>5571</v>
      </c>
      <c r="E577" s="416">
        <v>10</v>
      </c>
      <c r="F577" s="392" t="s">
        <v>6204</v>
      </c>
      <c r="G577" s="421" t="s">
        <v>18</v>
      </c>
      <c r="H577" s="422"/>
      <c r="I577" s="190"/>
      <c r="J577" s="337"/>
      <c r="K577" s="414"/>
      <c r="L577" s="337"/>
      <c r="M577" s="337"/>
      <c r="N577" s="337"/>
      <c r="O577" s="337"/>
      <c r="P577" s="337"/>
      <c r="Q577" s="337"/>
      <c r="R577" s="337"/>
      <c r="S577" s="337"/>
      <c r="T577" s="337"/>
      <c r="U577" s="337"/>
      <c r="V577" s="337"/>
      <c r="W577" s="337"/>
      <c r="X577" s="337"/>
      <c r="Y577" s="337"/>
      <c r="Z577" s="337"/>
      <c r="AA577" s="337"/>
    </row>
    <row r="578" customFormat="1" ht="19.5" customHeight="1" spans="1:12">
      <c r="A578" s="423" t="s">
        <v>6119</v>
      </c>
      <c r="B578" s="413" t="s">
        <v>6205</v>
      </c>
      <c r="C578" s="424" t="s">
        <v>6056</v>
      </c>
      <c r="D578" s="416" t="s">
        <v>6057</v>
      </c>
      <c r="E578" s="416">
        <f>200-80</f>
        <v>120</v>
      </c>
      <c r="F578" s="425"/>
      <c r="G578" s="426" t="s">
        <v>18</v>
      </c>
      <c r="H578" s="427">
        <v>45917</v>
      </c>
      <c r="I578" s="470" t="s">
        <v>6206</v>
      </c>
      <c r="J578" s="411"/>
      <c r="K578" s="408"/>
      <c r="L578" s="401"/>
    </row>
    <row r="579" ht="16.5" customHeight="1" spans="1:27">
      <c r="A579" s="392" t="s">
        <v>6207</v>
      </c>
      <c r="B579" s="190"/>
      <c r="C579" s="392" t="s">
        <v>5892</v>
      </c>
      <c r="D579" s="392" t="s">
        <v>6208</v>
      </c>
      <c r="E579" s="392">
        <v>1</v>
      </c>
      <c r="F579" s="428"/>
      <c r="G579" s="421" t="s">
        <v>18</v>
      </c>
      <c r="H579" s="190"/>
      <c r="I579" s="413" t="s">
        <v>6209</v>
      </c>
      <c r="J579" s="261"/>
      <c r="K579" s="365"/>
      <c r="L579" s="409"/>
      <c r="M579" s="337"/>
      <c r="N579" s="337"/>
      <c r="O579" s="337"/>
      <c r="P579" s="337"/>
      <c r="Q579" s="337"/>
      <c r="R579" s="337"/>
      <c r="S579" s="337"/>
      <c r="T579" s="337"/>
      <c r="U579" s="337"/>
      <c r="V579" s="337"/>
      <c r="W579" s="337"/>
      <c r="X579" s="337"/>
      <c r="Y579" s="337"/>
      <c r="Z579" s="337"/>
      <c r="AA579" s="337"/>
    </row>
    <row r="580" ht="16.5" customHeight="1" spans="1:27">
      <c r="A580" s="392" t="s">
        <v>6210</v>
      </c>
      <c r="B580" s="190"/>
      <c r="C580" s="429" t="s">
        <v>5542</v>
      </c>
      <c r="D580" s="392" t="s">
        <v>6211</v>
      </c>
      <c r="E580" s="392">
        <v>1</v>
      </c>
      <c r="F580" s="430"/>
      <c r="G580" s="421" t="s">
        <v>18</v>
      </c>
      <c r="H580" s="190"/>
      <c r="I580" s="190"/>
      <c r="J580" s="261"/>
      <c r="K580" s="365"/>
      <c r="L580" s="337"/>
      <c r="M580" s="337"/>
      <c r="N580" s="337"/>
      <c r="O580" s="337"/>
      <c r="P580" s="337"/>
      <c r="Q580" s="337"/>
      <c r="R580" s="337"/>
      <c r="S580" s="337"/>
      <c r="T580" s="337"/>
      <c r="U580" s="337"/>
      <c r="V580" s="337"/>
      <c r="W580" s="337"/>
      <c r="X580" s="337"/>
      <c r="Y580" s="337"/>
      <c r="Z580" s="337"/>
      <c r="AA580" s="337"/>
    </row>
    <row r="581" ht="16.5" customHeight="1" spans="1:27">
      <c r="A581" s="392" t="s">
        <v>6212</v>
      </c>
      <c r="B581" s="190"/>
      <c r="C581" s="429" t="s">
        <v>5989</v>
      </c>
      <c r="D581" s="392" t="s">
        <v>6211</v>
      </c>
      <c r="E581" s="392">
        <v>1</v>
      </c>
      <c r="F581" s="430"/>
      <c r="G581" s="421" t="s">
        <v>18</v>
      </c>
      <c r="H581" s="190"/>
      <c r="I581" s="190"/>
      <c r="J581" s="261"/>
      <c r="K581" s="365"/>
      <c r="L581" s="337"/>
      <c r="M581" s="337"/>
      <c r="N581" s="337"/>
      <c r="O581" s="337"/>
      <c r="P581" s="337"/>
      <c r="Q581" s="337"/>
      <c r="R581" s="337"/>
      <c r="S581" s="337"/>
      <c r="T581" s="337"/>
      <c r="U581" s="337"/>
      <c r="V581" s="337"/>
      <c r="W581" s="337"/>
      <c r="X581" s="337"/>
      <c r="Y581" s="337"/>
      <c r="Z581" s="337"/>
      <c r="AA581" s="337"/>
    </row>
    <row r="582" ht="16.5" customHeight="1" spans="1:27">
      <c r="A582" s="392" t="s">
        <v>6212</v>
      </c>
      <c r="B582" s="190"/>
      <c r="C582" s="429" t="s">
        <v>5803</v>
      </c>
      <c r="D582" s="392" t="s">
        <v>6211</v>
      </c>
      <c r="E582" s="392">
        <v>1</v>
      </c>
      <c r="F582" s="430"/>
      <c r="G582" s="421" t="s">
        <v>18</v>
      </c>
      <c r="H582" s="190"/>
      <c r="I582" s="190"/>
      <c r="J582" s="261"/>
      <c r="K582" s="365"/>
      <c r="L582" s="337"/>
      <c r="M582" s="337"/>
      <c r="N582" s="337"/>
      <c r="O582" s="337"/>
      <c r="P582" s="337"/>
      <c r="Q582" s="337"/>
      <c r="R582" s="337"/>
      <c r="S582" s="337"/>
      <c r="T582" s="337"/>
      <c r="U582" s="337"/>
      <c r="V582" s="337"/>
      <c r="W582" s="337"/>
      <c r="X582" s="337"/>
      <c r="Y582" s="337"/>
      <c r="Z582" s="337"/>
      <c r="AA582" s="337"/>
    </row>
    <row r="583" ht="16.5" customHeight="1" spans="1:27">
      <c r="A583" s="392" t="s">
        <v>6213</v>
      </c>
      <c r="B583" s="190"/>
      <c r="C583" s="429" t="s">
        <v>6214</v>
      </c>
      <c r="D583" s="392" t="s">
        <v>6215</v>
      </c>
      <c r="E583" s="392">
        <v>1</v>
      </c>
      <c r="F583" s="430"/>
      <c r="G583" s="421" t="s">
        <v>18</v>
      </c>
      <c r="H583" s="190"/>
      <c r="I583" s="190"/>
      <c r="J583" s="261"/>
      <c r="K583" s="365"/>
      <c r="L583" s="337"/>
      <c r="M583" s="337"/>
      <c r="N583" s="337"/>
      <c r="O583" s="337"/>
      <c r="P583" s="337"/>
      <c r="Q583" s="337"/>
      <c r="R583" s="337"/>
      <c r="S583" s="337"/>
      <c r="T583" s="337"/>
      <c r="U583" s="337"/>
      <c r="V583" s="337"/>
      <c r="W583" s="337"/>
      <c r="X583" s="337"/>
      <c r="Y583" s="337"/>
      <c r="Z583" s="337"/>
      <c r="AA583" s="337"/>
    </row>
    <row r="584" ht="16.5" customHeight="1" spans="1:27">
      <c r="A584" s="394" t="s">
        <v>6216</v>
      </c>
      <c r="B584" s="190"/>
      <c r="C584" s="429" t="s">
        <v>5992</v>
      </c>
      <c r="D584" s="392" t="s">
        <v>6217</v>
      </c>
      <c r="E584" s="392">
        <v>5</v>
      </c>
      <c r="F584" s="430"/>
      <c r="G584" s="421" t="s">
        <v>18</v>
      </c>
      <c r="H584" s="190"/>
      <c r="I584" s="190"/>
      <c r="J584" s="261"/>
      <c r="K584" s="365"/>
      <c r="L584" s="337"/>
      <c r="M584" s="337"/>
      <c r="N584" s="337"/>
      <c r="O584" s="337"/>
      <c r="P584" s="337"/>
      <c r="Q584" s="337"/>
      <c r="R584" s="337"/>
      <c r="S584" s="337"/>
      <c r="T584" s="337"/>
      <c r="U584" s="337"/>
      <c r="V584" s="337"/>
      <c r="W584" s="337"/>
      <c r="X584" s="337"/>
      <c r="Y584" s="337"/>
      <c r="Z584" s="337"/>
      <c r="AA584" s="337"/>
    </row>
    <row r="585" ht="20" customHeight="1" spans="1:27">
      <c r="A585" s="392" t="s">
        <v>6218</v>
      </c>
      <c r="B585" s="190"/>
      <c r="C585" s="429" t="s">
        <v>6109</v>
      </c>
      <c r="D585" s="392" t="s">
        <v>6217</v>
      </c>
      <c r="E585" s="392">
        <v>1</v>
      </c>
      <c r="F585" s="430"/>
      <c r="G585" s="421" t="s">
        <v>18</v>
      </c>
      <c r="H585" s="190"/>
      <c r="I585" s="190"/>
      <c r="J585" s="261"/>
      <c r="K585" s="365"/>
      <c r="L585" s="337"/>
      <c r="M585" s="337"/>
      <c r="N585" s="337"/>
      <c r="O585" s="337"/>
      <c r="P585" s="337"/>
      <c r="Q585" s="337"/>
      <c r="R585" s="337"/>
      <c r="S585" s="337"/>
      <c r="T585" s="337"/>
      <c r="U585" s="337"/>
      <c r="V585" s="337"/>
      <c r="W585" s="337"/>
      <c r="X585" s="337"/>
      <c r="Y585" s="337"/>
      <c r="Z585" s="337"/>
      <c r="AA585" s="337"/>
    </row>
    <row r="586" ht="20" customHeight="1" spans="1:27">
      <c r="A586" s="392" t="s">
        <v>6219</v>
      </c>
      <c r="B586" s="190"/>
      <c r="C586" s="392" t="s">
        <v>5961</v>
      </c>
      <c r="D586" s="392" t="s">
        <v>6220</v>
      </c>
      <c r="E586" s="392">
        <v>1</v>
      </c>
      <c r="F586" s="430"/>
      <c r="G586" s="421" t="s">
        <v>18</v>
      </c>
      <c r="H586" s="190"/>
      <c r="I586" s="190"/>
      <c r="J586" s="261"/>
      <c r="K586" s="365"/>
      <c r="L586" s="337"/>
      <c r="M586" s="337"/>
      <c r="N586" s="337"/>
      <c r="O586" s="337"/>
      <c r="P586" s="337"/>
      <c r="Q586" s="337"/>
      <c r="R586" s="337"/>
      <c r="S586" s="337"/>
      <c r="T586" s="337"/>
      <c r="U586" s="337"/>
      <c r="V586" s="337"/>
      <c r="W586" s="337"/>
      <c r="X586" s="337"/>
      <c r="Y586" s="337"/>
      <c r="Z586" s="337"/>
      <c r="AA586" s="337"/>
    </row>
    <row r="587" ht="51" customHeight="1" spans="1:27">
      <c r="A587" s="416" t="s">
        <v>6221</v>
      </c>
      <c r="B587" s="190"/>
      <c r="C587" s="431" t="s">
        <v>5545</v>
      </c>
      <c r="D587" s="413" t="s">
        <v>6222</v>
      </c>
      <c r="E587" s="413">
        <v>3</v>
      </c>
      <c r="F587" s="432"/>
      <c r="G587" s="421" t="s">
        <v>18</v>
      </c>
      <c r="H587" s="190"/>
      <c r="I587" s="190"/>
      <c r="J587" s="261"/>
      <c r="K587" s="365"/>
      <c r="L587" s="337"/>
      <c r="M587" s="337"/>
      <c r="N587" s="337"/>
      <c r="O587" s="337"/>
      <c r="P587" s="337"/>
      <c r="Q587" s="337"/>
      <c r="R587" s="337"/>
      <c r="S587" s="337"/>
      <c r="T587" s="337"/>
      <c r="U587" s="337"/>
      <c r="V587" s="337"/>
      <c r="W587" s="337"/>
      <c r="X587" s="337"/>
      <c r="Y587" s="337"/>
      <c r="Z587" s="337"/>
      <c r="AA587" s="337"/>
    </row>
    <row r="588" ht="20" customHeight="1" spans="1:27">
      <c r="A588" s="392" t="s">
        <v>6223</v>
      </c>
      <c r="B588" s="190"/>
      <c r="C588" s="433">
        <v>11002015018272</v>
      </c>
      <c r="D588" s="393" t="s">
        <v>5552</v>
      </c>
      <c r="E588" s="394">
        <v>1</v>
      </c>
      <c r="F588" s="428"/>
      <c r="G588" s="421" t="s">
        <v>18</v>
      </c>
      <c r="H588" s="190"/>
      <c r="I588" s="416" t="s">
        <v>6224</v>
      </c>
      <c r="J588" s="365"/>
      <c r="K588" s="337"/>
      <c r="L588" s="409"/>
      <c r="M588" s="337"/>
      <c r="N588" s="337"/>
      <c r="O588" s="337"/>
      <c r="P588" s="337"/>
      <c r="Q588" s="337"/>
      <c r="R588" s="337"/>
      <c r="S588" s="337"/>
      <c r="T588" s="337"/>
      <c r="U588" s="337"/>
      <c r="V588" s="337"/>
      <c r="W588" s="337"/>
      <c r="X588" s="337"/>
      <c r="Y588" s="337"/>
      <c r="Z588" s="337"/>
      <c r="AA588" s="337"/>
    </row>
    <row r="589" ht="20" customHeight="1" spans="1:27">
      <c r="A589" s="392" t="s">
        <v>6223</v>
      </c>
      <c r="B589" s="190"/>
      <c r="C589" s="433">
        <v>12100102001136</v>
      </c>
      <c r="D589" s="393" t="s">
        <v>5898</v>
      </c>
      <c r="E589" s="394">
        <v>1</v>
      </c>
      <c r="F589" s="430"/>
      <c r="G589" s="421" t="s">
        <v>18</v>
      </c>
      <c r="H589" s="190"/>
      <c r="I589" s="190"/>
      <c r="J589" s="414"/>
      <c r="K589" s="337"/>
      <c r="L589" s="337"/>
      <c r="M589" s="337"/>
      <c r="N589" s="337"/>
      <c r="O589" s="337"/>
      <c r="P589" s="337"/>
      <c r="Q589" s="337"/>
      <c r="R589" s="337"/>
      <c r="S589" s="337"/>
      <c r="T589" s="337"/>
      <c r="U589" s="337"/>
      <c r="V589" s="337"/>
      <c r="W589" s="337"/>
      <c r="X589" s="337"/>
      <c r="Y589" s="337"/>
      <c r="Z589" s="337"/>
      <c r="AA589" s="337"/>
    </row>
    <row r="590" ht="20" customHeight="1" spans="1:27">
      <c r="A590" s="392" t="s">
        <v>6225</v>
      </c>
      <c r="B590" s="190"/>
      <c r="C590" s="433" t="s">
        <v>5966</v>
      </c>
      <c r="D590" s="393" t="s">
        <v>5543</v>
      </c>
      <c r="E590" s="394">
        <v>1</v>
      </c>
      <c r="F590" s="428"/>
      <c r="G590" s="421" t="s">
        <v>18</v>
      </c>
      <c r="H590" s="190"/>
      <c r="I590" s="190"/>
      <c r="J590" s="414"/>
      <c r="K590" s="337"/>
      <c r="L590" s="337"/>
      <c r="M590" s="337"/>
      <c r="N590" s="337"/>
      <c r="O590" s="337"/>
      <c r="P590" s="337"/>
      <c r="Q590" s="337"/>
      <c r="R590" s="337"/>
      <c r="S590" s="337"/>
      <c r="T590" s="337"/>
      <c r="U590" s="337"/>
      <c r="V590" s="337"/>
      <c r="W590" s="337"/>
      <c r="X590" s="337"/>
      <c r="Y590" s="337"/>
      <c r="Z590" s="337"/>
      <c r="AA590" s="337"/>
    </row>
    <row r="591" ht="33.75" customHeight="1" spans="1:27">
      <c r="A591" s="394" t="s">
        <v>6226</v>
      </c>
      <c r="B591" s="192"/>
      <c r="C591" s="433">
        <v>17127000012938</v>
      </c>
      <c r="D591" s="393" t="s">
        <v>6227</v>
      </c>
      <c r="E591" s="394">
        <v>2</v>
      </c>
      <c r="F591" s="428"/>
      <c r="G591" s="419" t="s">
        <v>18</v>
      </c>
      <c r="H591" s="192"/>
      <c r="I591" s="192"/>
      <c r="J591" s="365"/>
      <c r="K591" s="337"/>
      <c r="L591" s="337"/>
      <c r="M591" s="337"/>
      <c r="N591" s="337"/>
      <c r="O591" s="337"/>
      <c r="P591" s="337"/>
      <c r="Q591" s="337"/>
      <c r="R591" s="337"/>
      <c r="S591" s="337"/>
      <c r="T591" s="337"/>
      <c r="U591" s="337"/>
      <c r="V591" s="337"/>
      <c r="W591" s="337"/>
      <c r="X591" s="337"/>
      <c r="Y591" s="337"/>
      <c r="Z591" s="337"/>
      <c r="AA591" s="337"/>
    </row>
    <row r="592" customFormat="1" ht="18" customHeight="1" spans="1:12">
      <c r="A592" s="434" t="s">
        <v>6119</v>
      </c>
      <c r="B592" s="322" t="s">
        <v>6228</v>
      </c>
      <c r="C592" s="435" t="s">
        <v>5970</v>
      </c>
      <c r="D592" s="436" t="s">
        <v>5971</v>
      </c>
      <c r="E592" s="436">
        <v>200</v>
      </c>
      <c r="F592" s="437"/>
      <c r="G592" s="438" t="s">
        <v>18</v>
      </c>
      <c r="H592" s="439"/>
      <c r="I592" s="471" t="s">
        <v>6229</v>
      </c>
      <c r="J592" s="411"/>
      <c r="K592" s="345"/>
      <c r="L592" s="401"/>
    </row>
    <row r="593" ht="16.5" customHeight="1" spans="1:27">
      <c r="A593" s="440" t="s">
        <v>6123</v>
      </c>
      <c r="B593" s="322" t="s">
        <v>6228</v>
      </c>
      <c r="C593" s="441" t="s">
        <v>5970</v>
      </c>
      <c r="D593" s="442" t="s">
        <v>5971</v>
      </c>
      <c r="E593" s="443">
        <v>60</v>
      </c>
      <c r="F593" s="444"/>
      <c r="G593" s="445" t="s">
        <v>18</v>
      </c>
      <c r="H593" s="446"/>
      <c r="I593" s="447" t="s">
        <v>6124</v>
      </c>
      <c r="J593" s="325"/>
      <c r="K593" s="337"/>
      <c r="L593" s="337"/>
      <c r="M593" s="337"/>
      <c r="N593" s="337"/>
      <c r="O593" s="337"/>
      <c r="P593" s="337"/>
      <c r="Q593" s="337"/>
      <c r="R593" s="337"/>
      <c r="S593" s="337"/>
      <c r="T593" s="337"/>
      <c r="U593" s="337"/>
      <c r="V593" s="337"/>
      <c r="W593" s="337"/>
      <c r="X593" s="337"/>
      <c r="Y593" s="337"/>
      <c r="Z593" s="337"/>
      <c r="AA593" s="337"/>
    </row>
    <row r="594" ht="17" customHeight="1" spans="1:10">
      <c r="A594" s="447" t="s">
        <v>6230</v>
      </c>
      <c r="B594" s="448" t="s">
        <v>5442</v>
      </c>
      <c r="C594" s="449" t="s">
        <v>6231</v>
      </c>
      <c r="D594" s="439" t="s">
        <v>5613</v>
      </c>
      <c r="E594" s="450">
        <v>5</v>
      </c>
      <c r="F594" s="451"/>
      <c r="G594" s="452" t="s">
        <v>18</v>
      </c>
      <c r="H594" s="453"/>
      <c r="I594" s="447" t="s">
        <v>6232</v>
      </c>
      <c r="J594" s="365"/>
    </row>
    <row r="595" ht="17" customHeight="1" spans="1:10">
      <c r="A595" s="190"/>
      <c r="B595" s="311"/>
      <c r="C595" s="449" t="s">
        <v>5687</v>
      </c>
      <c r="D595" s="439" t="s">
        <v>5613</v>
      </c>
      <c r="E595" s="450">
        <v>8</v>
      </c>
      <c r="F595" s="451"/>
      <c r="G595" s="452" t="s">
        <v>18</v>
      </c>
      <c r="H595" s="190"/>
      <c r="I595" s="190"/>
      <c r="J595" s="365"/>
    </row>
    <row r="596" ht="17" customHeight="1" spans="1:10">
      <c r="A596" s="190"/>
      <c r="B596" s="311"/>
      <c r="C596" s="454" t="s">
        <v>6233</v>
      </c>
      <c r="D596" s="443" t="s">
        <v>5623</v>
      </c>
      <c r="E596" s="447">
        <v>5</v>
      </c>
      <c r="F596" s="451"/>
      <c r="G596" s="452" t="s">
        <v>18</v>
      </c>
      <c r="H596" s="190"/>
      <c r="I596" s="190"/>
      <c r="J596" s="365"/>
    </row>
    <row r="597" ht="17" customHeight="1" spans="1:27">
      <c r="A597" s="190"/>
      <c r="B597" s="192"/>
      <c r="C597" s="439" t="s">
        <v>5725</v>
      </c>
      <c r="D597" s="439" t="s">
        <v>5615</v>
      </c>
      <c r="E597" s="450">
        <v>5</v>
      </c>
      <c r="F597" s="451"/>
      <c r="G597" s="452" t="s">
        <v>18</v>
      </c>
      <c r="H597" s="192"/>
      <c r="I597" s="192"/>
      <c r="J597" s="365"/>
      <c r="L597" s="337"/>
      <c r="M597" s="337"/>
      <c r="N597" s="337"/>
      <c r="O597" s="337"/>
      <c r="P597" s="337"/>
      <c r="Q597" s="337"/>
      <c r="R597" s="337"/>
      <c r="S597" s="337"/>
      <c r="T597" s="337"/>
      <c r="U597" s="337"/>
      <c r="V597" s="337"/>
      <c r="W597" s="337"/>
      <c r="X597" s="337"/>
      <c r="Y597" s="337"/>
      <c r="Z597" s="337"/>
      <c r="AA597" s="337"/>
    </row>
    <row r="598" ht="15" spans="1:10">
      <c r="A598" s="443" t="s">
        <v>6234</v>
      </c>
      <c r="B598" s="451" t="s">
        <v>5442</v>
      </c>
      <c r="C598" s="455" t="s">
        <v>6235</v>
      </c>
      <c r="D598" s="443" t="s">
        <v>6236</v>
      </c>
      <c r="E598" s="447">
        <v>8</v>
      </c>
      <c r="F598" s="451"/>
      <c r="G598" s="456" t="s">
        <v>18</v>
      </c>
      <c r="H598" s="443"/>
      <c r="I598" s="447" t="s">
        <v>6237</v>
      </c>
      <c r="J598" s="365"/>
    </row>
    <row r="599" ht="23" customHeight="1" spans="1:11">
      <c r="A599" s="447" t="s">
        <v>6238</v>
      </c>
      <c r="B599" s="451" t="s">
        <v>5442</v>
      </c>
      <c r="C599" s="449" t="s">
        <v>5723</v>
      </c>
      <c r="D599" s="439" t="s">
        <v>5623</v>
      </c>
      <c r="E599" s="457">
        <v>8</v>
      </c>
      <c r="F599" s="458"/>
      <c r="G599" s="459" t="s">
        <v>18</v>
      </c>
      <c r="H599" s="439"/>
      <c r="I599" s="447" t="s">
        <v>6239</v>
      </c>
      <c r="J599" s="365"/>
      <c r="K599" s="363"/>
    </row>
    <row r="600" ht="17" customHeight="1" spans="1:11">
      <c r="A600" s="190"/>
      <c r="B600" s="190"/>
      <c r="C600" s="449" t="s">
        <v>5946</v>
      </c>
      <c r="D600" s="439" t="s">
        <v>5623</v>
      </c>
      <c r="E600" s="457">
        <v>10</v>
      </c>
      <c r="F600" s="460"/>
      <c r="G600" s="459" t="s">
        <v>18</v>
      </c>
      <c r="H600" s="281"/>
      <c r="I600" s="190"/>
      <c r="J600" s="365"/>
      <c r="K600" s="363"/>
    </row>
    <row r="601" ht="17" customHeight="1" spans="1:11">
      <c r="A601" s="190"/>
      <c r="B601" s="190"/>
      <c r="C601" s="449" t="s">
        <v>5746</v>
      </c>
      <c r="D601" s="439" t="s">
        <v>5613</v>
      </c>
      <c r="E601" s="457">
        <v>5</v>
      </c>
      <c r="F601" s="460"/>
      <c r="G601" s="459" t="s">
        <v>18</v>
      </c>
      <c r="H601" s="281"/>
      <c r="I601" s="190"/>
      <c r="J601" s="365"/>
      <c r="K601" s="363"/>
    </row>
    <row r="602" ht="17" customHeight="1" spans="1:11">
      <c r="A602" s="190"/>
      <c r="B602" s="190"/>
      <c r="C602" s="449" t="s">
        <v>6240</v>
      </c>
      <c r="D602" s="439" t="s">
        <v>6241</v>
      </c>
      <c r="E602" s="457">
        <v>3</v>
      </c>
      <c r="F602" s="460"/>
      <c r="G602" s="459" t="s">
        <v>18</v>
      </c>
      <c r="H602" s="281"/>
      <c r="I602" s="190"/>
      <c r="J602" s="365"/>
      <c r="K602" s="363"/>
    </row>
    <row r="603" ht="17" customHeight="1" spans="1:11">
      <c r="A603" s="190"/>
      <c r="B603" s="190"/>
      <c r="C603" s="449" t="s">
        <v>6242</v>
      </c>
      <c r="D603" s="439" t="s">
        <v>6241</v>
      </c>
      <c r="E603" s="457">
        <v>3</v>
      </c>
      <c r="F603" s="460"/>
      <c r="G603" s="459" t="s">
        <v>18</v>
      </c>
      <c r="H603" s="281"/>
      <c r="I603" s="190"/>
      <c r="J603" s="365"/>
      <c r="K603" s="363"/>
    </row>
    <row r="604" ht="17" customHeight="1" spans="1:11">
      <c r="A604" s="190"/>
      <c r="B604" s="190"/>
      <c r="C604" s="449" t="s">
        <v>6243</v>
      </c>
      <c r="D604" s="439" t="s">
        <v>5618</v>
      </c>
      <c r="E604" s="457">
        <v>5</v>
      </c>
      <c r="F604" s="460"/>
      <c r="G604" s="459" t="s">
        <v>18</v>
      </c>
      <c r="H604" s="281"/>
      <c r="I604" s="190"/>
      <c r="J604" s="365"/>
      <c r="K604" s="363"/>
    </row>
    <row r="605" ht="17" customHeight="1" spans="1:11">
      <c r="A605" s="190"/>
      <c r="B605" s="190"/>
      <c r="C605" s="449" t="s">
        <v>6244</v>
      </c>
      <c r="D605" s="439" t="s">
        <v>5613</v>
      </c>
      <c r="E605" s="457">
        <v>2</v>
      </c>
      <c r="F605" s="460"/>
      <c r="G605" s="459" t="s">
        <v>18</v>
      </c>
      <c r="H605" s="281"/>
      <c r="I605" s="190"/>
      <c r="J605" s="365"/>
      <c r="K605" s="363"/>
    </row>
    <row r="606" ht="17" customHeight="1" spans="1:11">
      <c r="A606" s="190"/>
      <c r="B606" s="190"/>
      <c r="C606" s="449" t="s">
        <v>6245</v>
      </c>
      <c r="D606" s="439" t="s">
        <v>5615</v>
      </c>
      <c r="E606" s="457">
        <v>3</v>
      </c>
      <c r="F606" s="460"/>
      <c r="G606" s="459" t="s">
        <v>18</v>
      </c>
      <c r="H606" s="281"/>
      <c r="I606" s="190"/>
      <c r="J606" s="365"/>
      <c r="K606" s="363"/>
    </row>
    <row r="607" ht="17" customHeight="1" spans="1:11">
      <c r="A607" s="190"/>
      <c r="B607" s="190"/>
      <c r="C607" s="449" t="s">
        <v>6246</v>
      </c>
      <c r="D607" s="439" t="s">
        <v>5613</v>
      </c>
      <c r="E607" s="457">
        <v>2</v>
      </c>
      <c r="F607" s="460"/>
      <c r="G607" s="459" t="s">
        <v>18</v>
      </c>
      <c r="H607" s="281"/>
      <c r="I607" s="190"/>
      <c r="J607" s="365"/>
      <c r="K607" s="363"/>
    </row>
    <row r="608" ht="17" customHeight="1" spans="1:11">
      <c r="A608" s="190"/>
      <c r="B608" s="190"/>
      <c r="C608" s="449" t="s">
        <v>6247</v>
      </c>
      <c r="D608" s="439" t="s">
        <v>5797</v>
      </c>
      <c r="E608" s="457">
        <v>2</v>
      </c>
      <c r="F608" s="460"/>
      <c r="G608" s="459" t="s">
        <v>18</v>
      </c>
      <c r="H608" s="281"/>
      <c r="I608" s="190"/>
      <c r="J608" s="365"/>
      <c r="K608" s="363"/>
    </row>
    <row r="609" ht="17" customHeight="1" spans="1:11">
      <c r="A609" s="190"/>
      <c r="B609" s="190"/>
      <c r="C609" s="449" t="s">
        <v>5626</v>
      </c>
      <c r="D609" s="439" t="s">
        <v>5623</v>
      </c>
      <c r="E609" s="457">
        <v>10</v>
      </c>
      <c r="F609" s="460"/>
      <c r="G609" s="459" t="s">
        <v>18</v>
      </c>
      <c r="H609" s="281"/>
      <c r="I609" s="190"/>
      <c r="J609" s="365"/>
      <c r="K609" s="363"/>
    </row>
    <row r="610" ht="17" customHeight="1" spans="1:11">
      <c r="A610" s="190"/>
      <c r="B610" s="190"/>
      <c r="C610" s="449" t="s">
        <v>5676</v>
      </c>
      <c r="D610" s="439" t="s">
        <v>5615</v>
      </c>
      <c r="E610" s="457">
        <v>8</v>
      </c>
      <c r="F610" s="460"/>
      <c r="G610" s="459" t="s">
        <v>18</v>
      </c>
      <c r="H610" s="281"/>
      <c r="I610" s="190"/>
      <c r="J610" s="365"/>
      <c r="K610" s="363"/>
    </row>
    <row r="611" ht="17" customHeight="1" spans="1:11">
      <c r="A611" s="190"/>
      <c r="B611" s="190"/>
      <c r="C611" s="449" t="s">
        <v>6248</v>
      </c>
      <c r="D611" s="439" t="s">
        <v>5954</v>
      </c>
      <c r="E611" s="457">
        <v>30</v>
      </c>
      <c r="F611" s="460"/>
      <c r="G611" s="459" t="s">
        <v>18</v>
      </c>
      <c r="H611" s="281"/>
      <c r="I611" s="190"/>
      <c r="J611" s="365"/>
      <c r="K611" s="363"/>
    </row>
    <row r="612" ht="17" customHeight="1" spans="1:11">
      <c r="A612" s="190"/>
      <c r="B612" s="190"/>
      <c r="C612" s="449" t="s">
        <v>5606</v>
      </c>
      <c r="D612" s="439" t="s">
        <v>6249</v>
      </c>
      <c r="E612" s="457">
        <v>10</v>
      </c>
      <c r="F612" s="460"/>
      <c r="G612" s="459" t="s">
        <v>18</v>
      </c>
      <c r="H612" s="281"/>
      <c r="I612" s="190"/>
      <c r="J612" s="365"/>
      <c r="K612" s="363"/>
    </row>
    <row r="613" ht="17" customHeight="1" spans="1:11">
      <c r="A613" s="190"/>
      <c r="B613" s="190"/>
      <c r="C613" s="449" t="s">
        <v>6250</v>
      </c>
      <c r="D613" s="439" t="s">
        <v>5618</v>
      </c>
      <c r="E613" s="457">
        <v>3</v>
      </c>
      <c r="F613" s="460"/>
      <c r="G613" s="459" t="s">
        <v>18</v>
      </c>
      <c r="H613" s="281"/>
      <c r="I613" s="190"/>
      <c r="J613" s="365"/>
      <c r="K613" s="363"/>
    </row>
    <row r="614" ht="17" customHeight="1" spans="1:11">
      <c r="A614" s="190"/>
      <c r="B614" s="190"/>
      <c r="C614" s="449" t="s">
        <v>6243</v>
      </c>
      <c r="D614" s="439" t="s">
        <v>5618</v>
      </c>
      <c r="E614" s="457">
        <v>6</v>
      </c>
      <c r="F614" s="460"/>
      <c r="G614" s="459" t="s">
        <v>18</v>
      </c>
      <c r="H614" s="281"/>
      <c r="I614" s="190"/>
      <c r="J614" s="365"/>
      <c r="K614" s="363"/>
    </row>
    <row r="615" ht="17" customHeight="1" spans="1:11">
      <c r="A615" s="190"/>
      <c r="B615" s="190"/>
      <c r="C615" s="449" t="s">
        <v>5652</v>
      </c>
      <c r="D615" s="439" t="s">
        <v>5613</v>
      </c>
      <c r="E615" s="457">
        <v>3</v>
      </c>
      <c r="F615" s="460"/>
      <c r="G615" s="459" t="s">
        <v>18</v>
      </c>
      <c r="H615" s="281"/>
      <c r="I615" s="190"/>
      <c r="J615" s="365"/>
      <c r="K615" s="363"/>
    </row>
    <row r="616" ht="17" customHeight="1" spans="1:11">
      <c r="A616" s="190"/>
      <c r="B616" s="190"/>
      <c r="C616" s="449" t="s">
        <v>5721</v>
      </c>
      <c r="D616" s="439" t="s">
        <v>5613</v>
      </c>
      <c r="E616" s="457">
        <v>3</v>
      </c>
      <c r="F616" s="460"/>
      <c r="G616" s="459" t="s">
        <v>18</v>
      </c>
      <c r="H616" s="281"/>
      <c r="I616" s="190"/>
      <c r="J616" s="365"/>
      <c r="K616" s="363"/>
    </row>
    <row r="617" ht="17" customHeight="1" spans="1:11">
      <c r="A617" s="190"/>
      <c r="B617" s="190"/>
      <c r="C617" s="449" t="s">
        <v>6244</v>
      </c>
      <c r="D617" s="439" t="s">
        <v>5613</v>
      </c>
      <c r="E617" s="457">
        <v>5</v>
      </c>
      <c r="F617" s="460"/>
      <c r="G617" s="459" t="s">
        <v>18</v>
      </c>
      <c r="H617" s="281"/>
      <c r="I617" s="190"/>
      <c r="J617" s="365"/>
      <c r="K617" s="363"/>
    </row>
    <row r="618" ht="17" customHeight="1" spans="1:11">
      <c r="A618" s="190"/>
      <c r="B618" s="190"/>
      <c r="C618" s="449" t="s">
        <v>6251</v>
      </c>
      <c r="D618" s="439" t="s">
        <v>5613</v>
      </c>
      <c r="E618" s="457">
        <v>3</v>
      </c>
      <c r="F618" s="460"/>
      <c r="G618" s="459" t="s">
        <v>18</v>
      </c>
      <c r="H618" s="281"/>
      <c r="I618" s="190"/>
      <c r="J618" s="365"/>
      <c r="K618" s="363"/>
    </row>
    <row r="619" ht="17" customHeight="1" spans="1:11">
      <c r="A619" s="190"/>
      <c r="B619" s="190"/>
      <c r="C619" s="449" t="s">
        <v>6252</v>
      </c>
      <c r="D619" s="439" t="s">
        <v>5613</v>
      </c>
      <c r="E619" s="457">
        <v>3</v>
      </c>
      <c r="F619" s="460"/>
      <c r="G619" s="459" t="s">
        <v>18</v>
      </c>
      <c r="H619" s="281"/>
      <c r="I619" s="190"/>
      <c r="J619" s="365"/>
      <c r="K619" s="363"/>
    </row>
    <row r="620" ht="17" customHeight="1" spans="1:11">
      <c r="A620" s="190"/>
      <c r="B620" s="190"/>
      <c r="C620" s="449" t="s">
        <v>6253</v>
      </c>
      <c r="D620" s="439" t="s">
        <v>5918</v>
      </c>
      <c r="E620" s="457">
        <v>6</v>
      </c>
      <c r="F620" s="460"/>
      <c r="G620" s="459" t="s">
        <v>18</v>
      </c>
      <c r="H620" s="281"/>
      <c r="I620" s="190"/>
      <c r="J620" s="365"/>
      <c r="K620" s="363"/>
    </row>
    <row r="621" ht="17" customHeight="1" spans="1:11">
      <c r="A621" s="190"/>
      <c r="B621" s="190"/>
      <c r="C621" s="449" t="s">
        <v>5774</v>
      </c>
      <c r="D621" s="439" t="s">
        <v>5918</v>
      </c>
      <c r="E621" s="457">
        <v>10</v>
      </c>
      <c r="F621" s="460"/>
      <c r="G621" s="459" t="s">
        <v>18</v>
      </c>
      <c r="H621" s="281"/>
      <c r="I621" s="190"/>
      <c r="J621" s="365"/>
      <c r="K621" s="363"/>
    </row>
    <row r="622" ht="17" customHeight="1" spans="1:11">
      <c r="A622" s="190"/>
      <c r="B622" s="190"/>
      <c r="C622" s="449" t="s">
        <v>5955</v>
      </c>
      <c r="D622" s="439" t="s">
        <v>5954</v>
      </c>
      <c r="E622" s="457">
        <v>20</v>
      </c>
      <c r="F622" s="460"/>
      <c r="G622" s="459" t="s">
        <v>18</v>
      </c>
      <c r="H622" s="281"/>
      <c r="I622" s="190"/>
      <c r="J622" s="365"/>
      <c r="K622" s="363"/>
    </row>
    <row r="623" ht="17" customHeight="1" spans="1:11">
      <c r="A623" s="190"/>
      <c r="B623" s="190"/>
      <c r="C623" s="449" t="s">
        <v>5559</v>
      </c>
      <c r="D623" s="439" t="s">
        <v>5552</v>
      </c>
      <c r="E623" s="457">
        <v>10</v>
      </c>
      <c r="F623" s="460"/>
      <c r="G623" s="459" t="s">
        <v>18</v>
      </c>
      <c r="H623" s="281"/>
      <c r="I623" s="190"/>
      <c r="J623" s="365"/>
      <c r="K623" s="363"/>
    </row>
    <row r="624" ht="17" customHeight="1" spans="1:11">
      <c r="A624" s="190"/>
      <c r="B624" s="190"/>
      <c r="C624" s="449" t="s">
        <v>6254</v>
      </c>
      <c r="D624" s="439" t="s">
        <v>5552</v>
      </c>
      <c r="E624" s="457">
        <v>10</v>
      </c>
      <c r="F624" s="460"/>
      <c r="G624" s="459" t="s">
        <v>18</v>
      </c>
      <c r="H624" s="281"/>
      <c r="I624" s="190"/>
      <c r="J624" s="365"/>
      <c r="K624" s="363"/>
    </row>
    <row r="625" ht="17" customHeight="1" spans="1:11">
      <c r="A625" s="190"/>
      <c r="B625" s="190"/>
      <c r="C625" s="461" t="s">
        <v>6255</v>
      </c>
      <c r="D625" s="443" t="s">
        <v>6256</v>
      </c>
      <c r="E625" s="440">
        <v>20</v>
      </c>
      <c r="F625" s="462"/>
      <c r="G625" s="463" t="s">
        <v>18</v>
      </c>
      <c r="H625" s="368"/>
      <c r="I625" s="190"/>
      <c r="J625" s="365"/>
      <c r="K625" s="363"/>
    </row>
    <row r="626" ht="17" customHeight="1" spans="1:11">
      <c r="A626" s="458" t="s">
        <v>6257</v>
      </c>
      <c r="B626" s="464" t="s">
        <v>5442</v>
      </c>
      <c r="C626" s="461" t="s">
        <v>6127</v>
      </c>
      <c r="D626" s="465" t="s">
        <v>6128</v>
      </c>
      <c r="E626" s="464">
        <v>2</v>
      </c>
      <c r="F626" s="458"/>
      <c r="G626" s="466" t="s">
        <v>18</v>
      </c>
      <c r="H626" s="467"/>
      <c r="I626" s="464" t="s">
        <v>6258</v>
      </c>
      <c r="J626" s="365"/>
      <c r="K626" s="472"/>
    </row>
    <row r="627" ht="17" customHeight="1" spans="1:11">
      <c r="A627" s="458" t="s">
        <v>6257</v>
      </c>
      <c r="B627" s="69"/>
      <c r="C627" s="461" t="s">
        <v>6131</v>
      </c>
      <c r="D627" s="465" t="s">
        <v>6132</v>
      </c>
      <c r="E627" s="464">
        <v>2</v>
      </c>
      <c r="F627" s="458"/>
      <c r="G627" s="466" t="s">
        <v>18</v>
      </c>
      <c r="H627" s="69"/>
      <c r="I627" s="69"/>
      <c r="J627" s="365"/>
      <c r="K627" s="472"/>
    </row>
    <row r="628" ht="17" customHeight="1" spans="1:11">
      <c r="A628" s="458" t="s">
        <v>6257</v>
      </c>
      <c r="B628" s="69"/>
      <c r="C628" s="461" t="s">
        <v>6133</v>
      </c>
      <c r="D628" s="465" t="s">
        <v>6134</v>
      </c>
      <c r="E628" s="464">
        <v>2</v>
      </c>
      <c r="F628" s="458"/>
      <c r="G628" s="466" t="s">
        <v>18</v>
      </c>
      <c r="H628" s="69"/>
      <c r="I628" s="69"/>
      <c r="J628" s="365"/>
      <c r="K628" s="472"/>
    </row>
    <row r="629" ht="30" spans="1:11">
      <c r="A629" s="447" t="s">
        <v>6259</v>
      </c>
      <c r="B629" s="451" t="s">
        <v>5442</v>
      </c>
      <c r="C629" s="461" t="s">
        <v>6260</v>
      </c>
      <c r="D629" s="443" t="s">
        <v>6261</v>
      </c>
      <c r="E629" s="443">
        <v>1</v>
      </c>
      <c r="F629" s="462"/>
      <c r="G629" s="468" t="s">
        <v>18</v>
      </c>
      <c r="H629" s="443"/>
      <c r="I629" s="447" t="s">
        <v>6262</v>
      </c>
      <c r="J629" s="365"/>
      <c r="K629" s="472"/>
    </row>
    <row r="630" ht="17" customHeight="1" spans="1:11">
      <c r="A630" s="447" t="s">
        <v>6263</v>
      </c>
      <c r="B630" s="451" t="s">
        <v>5442</v>
      </c>
      <c r="C630" s="449" t="s">
        <v>5942</v>
      </c>
      <c r="D630" s="439" t="s">
        <v>6264</v>
      </c>
      <c r="E630" s="439">
        <v>10</v>
      </c>
      <c r="F630" s="460"/>
      <c r="G630" s="182" t="s">
        <v>39</v>
      </c>
      <c r="H630" s="469"/>
      <c r="I630" s="450" t="s">
        <v>6265</v>
      </c>
      <c r="J630" s="365"/>
      <c r="K630" s="472"/>
    </row>
    <row r="631" ht="17" customHeight="1" spans="1:11">
      <c r="A631" s="190"/>
      <c r="B631" s="190"/>
      <c r="C631" s="449" t="s">
        <v>5946</v>
      </c>
      <c r="D631" s="439" t="s">
        <v>6266</v>
      </c>
      <c r="E631" s="439">
        <v>10</v>
      </c>
      <c r="F631" s="460"/>
      <c r="G631" s="182" t="s">
        <v>39</v>
      </c>
      <c r="H631" s="281"/>
      <c r="I631" s="281"/>
      <c r="J631" s="365"/>
      <c r="K631" s="472"/>
    </row>
    <row r="632" ht="17" customHeight="1" spans="1:11">
      <c r="A632" s="190"/>
      <c r="B632" s="190"/>
      <c r="C632" s="449" t="s">
        <v>5723</v>
      </c>
      <c r="D632" s="439" t="s">
        <v>6266</v>
      </c>
      <c r="E632" s="439">
        <v>10</v>
      </c>
      <c r="F632" s="460"/>
      <c r="G632" s="182" t="s">
        <v>39</v>
      </c>
      <c r="H632" s="281"/>
      <c r="I632" s="281"/>
      <c r="J632" s="365"/>
      <c r="K632" s="472"/>
    </row>
    <row r="633" ht="17" customHeight="1" spans="1:11">
      <c r="A633" s="190"/>
      <c r="B633" s="190"/>
      <c r="C633" s="449" t="s">
        <v>5678</v>
      </c>
      <c r="D633" s="439" t="s">
        <v>6267</v>
      </c>
      <c r="E633" s="439">
        <v>10</v>
      </c>
      <c r="F633" s="460"/>
      <c r="G633" s="182" t="s">
        <v>39</v>
      </c>
      <c r="H633" s="281"/>
      <c r="I633" s="281"/>
      <c r="J633" s="365"/>
      <c r="K633" s="472"/>
    </row>
    <row r="634" ht="17" customHeight="1" spans="1:11">
      <c r="A634" s="190"/>
      <c r="B634" s="190"/>
      <c r="C634" s="449" t="s">
        <v>5687</v>
      </c>
      <c r="D634" s="439" t="s">
        <v>6266</v>
      </c>
      <c r="E634" s="439">
        <v>10</v>
      </c>
      <c r="F634" s="460"/>
      <c r="G634" s="182" t="s">
        <v>39</v>
      </c>
      <c r="H634" s="281"/>
      <c r="I634" s="281"/>
      <c r="J634" s="365"/>
      <c r="K634" s="472"/>
    </row>
    <row r="635" ht="17" customHeight="1" spans="1:11">
      <c r="A635" s="190"/>
      <c r="B635" s="190"/>
      <c r="C635" s="449" t="s">
        <v>5744</v>
      </c>
      <c r="D635" s="439" t="s">
        <v>6264</v>
      </c>
      <c r="E635" s="439">
        <v>5</v>
      </c>
      <c r="F635" s="460"/>
      <c r="G635" s="182" t="s">
        <v>39</v>
      </c>
      <c r="H635" s="281"/>
      <c r="I635" s="281"/>
      <c r="J635" s="365"/>
      <c r="K635" s="472"/>
    </row>
    <row r="636" ht="17" customHeight="1" spans="1:11">
      <c r="A636" s="190"/>
      <c r="B636" s="190"/>
      <c r="C636" s="449" t="s">
        <v>5742</v>
      </c>
      <c r="D636" s="439" t="s">
        <v>6264</v>
      </c>
      <c r="E636" s="439">
        <v>5</v>
      </c>
      <c r="F636" s="460"/>
      <c r="G636" s="182" t="s">
        <v>39</v>
      </c>
      <c r="H636" s="281"/>
      <c r="I636" s="281"/>
      <c r="J636" s="365"/>
      <c r="K636" s="472"/>
    </row>
    <row r="637" ht="17" customHeight="1" spans="1:11">
      <c r="A637" s="190"/>
      <c r="B637" s="190"/>
      <c r="C637" s="449" t="s">
        <v>5746</v>
      </c>
      <c r="D637" s="439" t="s">
        <v>6266</v>
      </c>
      <c r="E637" s="439">
        <v>5</v>
      </c>
      <c r="F637" s="460"/>
      <c r="G637" s="182" t="s">
        <v>39</v>
      </c>
      <c r="H637" s="281"/>
      <c r="I637" s="281"/>
      <c r="J637" s="365"/>
      <c r="K637" s="472"/>
    </row>
    <row r="638" ht="17" customHeight="1" spans="1:11">
      <c r="A638" s="190"/>
      <c r="B638" s="190"/>
      <c r="C638" s="449" t="s">
        <v>5944</v>
      </c>
      <c r="D638" s="439" t="s">
        <v>6264</v>
      </c>
      <c r="E638" s="439">
        <v>5</v>
      </c>
      <c r="F638" s="460"/>
      <c r="G638" s="182" t="s">
        <v>39</v>
      </c>
      <c r="H638" s="281"/>
      <c r="I638" s="281"/>
      <c r="J638" s="365"/>
      <c r="K638" s="472"/>
    </row>
    <row r="639" ht="17" customHeight="1" spans="1:11">
      <c r="A639" s="190"/>
      <c r="B639" s="190"/>
      <c r="C639" s="439" t="s">
        <v>5776</v>
      </c>
      <c r="D639" s="439" t="s">
        <v>6264</v>
      </c>
      <c r="E639" s="439">
        <v>2</v>
      </c>
      <c r="F639" s="460"/>
      <c r="G639" s="182" t="s">
        <v>39</v>
      </c>
      <c r="H639" s="281"/>
      <c r="I639" s="281"/>
      <c r="J639" s="365"/>
      <c r="K639" s="472"/>
    </row>
    <row r="640" ht="17" customHeight="1" spans="1:9">
      <c r="A640" s="190"/>
      <c r="B640" s="190"/>
      <c r="C640" s="449" t="s">
        <v>5756</v>
      </c>
      <c r="D640" s="439" t="s">
        <v>6268</v>
      </c>
      <c r="E640" s="439">
        <v>2</v>
      </c>
      <c r="F640" s="460"/>
      <c r="G640" s="182" t="s">
        <v>39</v>
      </c>
      <c r="H640" s="281"/>
      <c r="I640" s="281"/>
    </row>
    <row r="641" ht="17" customHeight="1" spans="1:9">
      <c r="A641" s="190"/>
      <c r="B641" s="190"/>
      <c r="C641" s="449" t="s">
        <v>5754</v>
      </c>
      <c r="D641" s="439" t="s">
        <v>6268</v>
      </c>
      <c r="E641" s="439">
        <v>4</v>
      </c>
      <c r="F641" s="460"/>
      <c r="G641" s="182" t="s">
        <v>39</v>
      </c>
      <c r="H641" s="281"/>
      <c r="I641" s="281"/>
    </row>
    <row r="642" ht="17" customHeight="1" spans="1:9">
      <c r="A642" s="190"/>
      <c r="B642" s="190"/>
      <c r="C642" s="449" t="s">
        <v>6269</v>
      </c>
      <c r="D642" s="439" t="s">
        <v>6270</v>
      </c>
      <c r="E642" s="439">
        <v>5</v>
      </c>
      <c r="F642" s="460"/>
      <c r="G642" s="182" t="s">
        <v>39</v>
      </c>
      <c r="H642" s="281"/>
      <c r="I642" s="281"/>
    </row>
    <row r="643" ht="17" customHeight="1" spans="1:9">
      <c r="A643" s="190"/>
      <c r="B643" s="190"/>
      <c r="C643" s="449" t="s">
        <v>6271</v>
      </c>
      <c r="D643" s="439" t="s">
        <v>6272</v>
      </c>
      <c r="E643" s="439">
        <v>4</v>
      </c>
      <c r="F643" s="460"/>
      <c r="G643" s="182" t="s">
        <v>39</v>
      </c>
      <c r="H643" s="281"/>
      <c r="I643" s="281"/>
    </row>
    <row r="644" ht="17" customHeight="1" spans="1:9">
      <c r="A644" s="190"/>
      <c r="B644" s="190"/>
      <c r="C644" s="449" t="s">
        <v>6273</v>
      </c>
      <c r="D644" s="439" t="s">
        <v>6274</v>
      </c>
      <c r="E644" s="439">
        <v>6</v>
      </c>
      <c r="F644" s="460"/>
      <c r="G644" s="182" t="s">
        <v>39</v>
      </c>
      <c r="H644" s="281"/>
      <c r="I644" s="281"/>
    </row>
    <row r="645" ht="17" customHeight="1" spans="1:9">
      <c r="A645" s="190"/>
      <c r="B645" s="190"/>
      <c r="C645" s="449" t="s">
        <v>6275</v>
      </c>
      <c r="D645" s="439" t="s">
        <v>6270</v>
      </c>
      <c r="E645" s="439">
        <v>6</v>
      </c>
      <c r="F645" s="460"/>
      <c r="G645" s="182" t="s">
        <v>39</v>
      </c>
      <c r="H645" s="281"/>
      <c r="I645" s="281"/>
    </row>
    <row r="646" ht="17" customHeight="1" spans="1:9">
      <c r="A646" s="190"/>
      <c r="B646" s="190"/>
      <c r="C646" s="449" t="s">
        <v>5752</v>
      </c>
      <c r="D646" s="439" t="s">
        <v>6266</v>
      </c>
      <c r="E646" s="439">
        <v>4</v>
      </c>
      <c r="F646" s="460"/>
      <c r="G646" s="182" t="s">
        <v>39</v>
      </c>
      <c r="H646" s="281"/>
      <c r="I646" s="281"/>
    </row>
    <row r="647" ht="17" customHeight="1" spans="1:9">
      <c r="A647" s="190"/>
      <c r="B647" s="190"/>
      <c r="C647" s="449" t="s">
        <v>5781</v>
      </c>
      <c r="D647" s="439" t="s">
        <v>6270</v>
      </c>
      <c r="E647" s="439">
        <v>6</v>
      </c>
      <c r="F647" s="460"/>
      <c r="G647" s="182" t="s">
        <v>39</v>
      </c>
      <c r="H647" s="281"/>
      <c r="I647" s="281"/>
    </row>
    <row r="648" ht="17" customHeight="1" spans="1:9">
      <c r="A648" s="190"/>
      <c r="B648" s="190"/>
      <c r="C648" s="449" t="s">
        <v>5770</v>
      </c>
      <c r="D648" s="439" t="s">
        <v>5921</v>
      </c>
      <c r="E648" s="439">
        <v>4</v>
      </c>
      <c r="F648" s="460"/>
      <c r="G648" s="182" t="s">
        <v>39</v>
      </c>
      <c r="H648" s="281"/>
      <c r="I648" s="281"/>
    </row>
    <row r="649" ht="17" customHeight="1" spans="1:9">
      <c r="A649" s="190"/>
      <c r="B649" s="190"/>
      <c r="C649" s="449" t="s">
        <v>5695</v>
      </c>
      <c r="D649" s="439" t="s">
        <v>6276</v>
      </c>
      <c r="E649" s="439">
        <v>5</v>
      </c>
      <c r="F649" s="460"/>
      <c r="G649" s="182" t="s">
        <v>39</v>
      </c>
      <c r="H649" s="281"/>
      <c r="I649" s="281"/>
    </row>
    <row r="650" ht="17" customHeight="1" spans="1:9">
      <c r="A650" s="190"/>
      <c r="B650" s="190"/>
      <c r="C650" s="449" t="s">
        <v>5931</v>
      </c>
      <c r="D650" s="439" t="s">
        <v>6277</v>
      </c>
      <c r="E650" s="439">
        <v>5</v>
      </c>
      <c r="F650" s="460"/>
      <c r="G650" s="182" t="s">
        <v>39</v>
      </c>
      <c r="H650" s="281"/>
      <c r="I650" s="281"/>
    </row>
    <row r="651" ht="17" customHeight="1" spans="1:9">
      <c r="A651" s="192"/>
      <c r="B651" s="192"/>
      <c r="C651" s="449" t="s">
        <v>6248</v>
      </c>
      <c r="D651" s="439" t="s">
        <v>5954</v>
      </c>
      <c r="E651" s="439">
        <v>20</v>
      </c>
      <c r="F651" s="460"/>
      <c r="G651" s="182" t="s">
        <v>39</v>
      </c>
      <c r="H651" s="281"/>
      <c r="I651" s="281"/>
    </row>
  </sheetData>
  <mergeCells count="125">
    <mergeCell ref="A2:A9"/>
    <mergeCell ref="A14:A87"/>
    <mergeCell ref="A255:A297"/>
    <mergeCell ref="A298:A331"/>
    <mergeCell ref="A386:A387"/>
    <mergeCell ref="A388:A389"/>
    <mergeCell ref="A594:A597"/>
    <mergeCell ref="A599:A625"/>
    <mergeCell ref="A630:A651"/>
    <mergeCell ref="B2:B9"/>
    <mergeCell ref="B10:B87"/>
    <mergeCell ref="B88:B89"/>
    <mergeCell ref="B91:B159"/>
    <mergeCell ref="B160:B163"/>
    <mergeCell ref="B164:B169"/>
    <mergeCell ref="B170:B176"/>
    <mergeCell ref="B179:B181"/>
    <mergeCell ref="B183:B241"/>
    <mergeCell ref="B242:B243"/>
    <mergeCell ref="B244:B245"/>
    <mergeCell ref="B247:B248"/>
    <mergeCell ref="B249:B251"/>
    <mergeCell ref="B252:B254"/>
    <mergeCell ref="B255:B297"/>
    <mergeCell ref="B298:B331"/>
    <mergeCell ref="B332:B344"/>
    <mergeCell ref="B345:B381"/>
    <mergeCell ref="B382:B439"/>
    <mergeCell ref="B440:B443"/>
    <mergeCell ref="B445:B448"/>
    <mergeCell ref="B449:B450"/>
    <mergeCell ref="B452:B459"/>
    <mergeCell ref="B460:B465"/>
    <mergeCell ref="B466:B487"/>
    <mergeCell ref="B488:B497"/>
    <mergeCell ref="B498:B500"/>
    <mergeCell ref="B501:B503"/>
    <mergeCell ref="B504:B505"/>
    <mergeCell ref="B508:B545"/>
    <mergeCell ref="B546:B577"/>
    <mergeCell ref="B578:B591"/>
    <mergeCell ref="B594:B597"/>
    <mergeCell ref="B599:B625"/>
    <mergeCell ref="B626:B628"/>
    <mergeCell ref="B630:B651"/>
    <mergeCell ref="F170:F176"/>
    <mergeCell ref="G93:G100"/>
    <mergeCell ref="H2:H9"/>
    <mergeCell ref="H10:H87"/>
    <mergeCell ref="H88:H89"/>
    <mergeCell ref="H91:H159"/>
    <mergeCell ref="H160:H163"/>
    <mergeCell ref="H164:H169"/>
    <mergeCell ref="H170:H176"/>
    <mergeCell ref="H179:H181"/>
    <mergeCell ref="H183:H241"/>
    <mergeCell ref="H242:H243"/>
    <mergeCell ref="H244:H245"/>
    <mergeCell ref="H247:H248"/>
    <mergeCell ref="H249:H251"/>
    <mergeCell ref="H252:H254"/>
    <mergeCell ref="H255:H297"/>
    <mergeCell ref="H298:H331"/>
    <mergeCell ref="H332:H344"/>
    <mergeCell ref="H345:H381"/>
    <mergeCell ref="H382:H439"/>
    <mergeCell ref="H440:H443"/>
    <mergeCell ref="H445:H448"/>
    <mergeCell ref="H449:H450"/>
    <mergeCell ref="H452:H459"/>
    <mergeCell ref="H460:H465"/>
    <mergeCell ref="H466:H487"/>
    <mergeCell ref="H488:H497"/>
    <mergeCell ref="H498:H500"/>
    <mergeCell ref="H501:H503"/>
    <mergeCell ref="H504:H505"/>
    <mergeCell ref="H508:H545"/>
    <mergeCell ref="H546:H577"/>
    <mergeCell ref="H578:H591"/>
    <mergeCell ref="H594:H597"/>
    <mergeCell ref="H599:H625"/>
    <mergeCell ref="H626:H628"/>
    <mergeCell ref="H630:H651"/>
    <mergeCell ref="I2:I8"/>
    <mergeCell ref="I11:I13"/>
    <mergeCell ref="I14:I87"/>
    <mergeCell ref="I93:I100"/>
    <mergeCell ref="I101:I159"/>
    <mergeCell ref="I162:I163"/>
    <mergeCell ref="I164:I168"/>
    <mergeCell ref="I170:I172"/>
    <mergeCell ref="I173:I176"/>
    <mergeCell ref="I179:I181"/>
    <mergeCell ref="I183:I238"/>
    <mergeCell ref="I240:I241"/>
    <mergeCell ref="I242:I243"/>
    <mergeCell ref="I244:I245"/>
    <mergeCell ref="I249:I251"/>
    <mergeCell ref="I252:I253"/>
    <mergeCell ref="I255:I297"/>
    <mergeCell ref="I298:I331"/>
    <mergeCell ref="I332:I344"/>
    <mergeCell ref="I345:I381"/>
    <mergeCell ref="I382:I395"/>
    <mergeCell ref="I396:I400"/>
    <mergeCell ref="I402:I410"/>
    <mergeCell ref="I411:I439"/>
    <mergeCell ref="I441:I443"/>
    <mergeCell ref="I449:I450"/>
    <mergeCell ref="I452:I455"/>
    <mergeCell ref="I456:I459"/>
    <mergeCell ref="I460:I464"/>
    <mergeCell ref="I468:I485"/>
    <mergeCell ref="I486:I487"/>
    <mergeCell ref="I488:I496"/>
    <mergeCell ref="I501:I503"/>
    <mergeCell ref="I504:I505"/>
    <mergeCell ref="I508:I545"/>
    <mergeCell ref="I546:I577"/>
    <mergeCell ref="I579:I587"/>
    <mergeCell ref="I588:I591"/>
    <mergeCell ref="I594:I597"/>
    <mergeCell ref="I599:I625"/>
    <mergeCell ref="I626:I628"/>
    <mergeCell ref="I630:I651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B219"/>
  <sheetViews>
    <sheetView zoomScale="80" zoomScaleNormal="80" workbookViewId="0">
      <pane ySplit="1" topLeftCell="A144" activePane="bottomLeft" state="frozen"/>
      <selection/>
      <selection pane="bottomLeft" activeCell="M168" sqref="M168"/>
    </sheetView>
  </sheetViews>
  <sheetFormatPr defaultColWidth="14.5" defaultRowHeight="15" customHeight="1"/>
  <cols>
    <col min="1" max="1" width="22.8166666666667" style="2" customWidth="1"/>
    <col min="2" max="2" width="29.9416666666667" style="2" customWidth="1"/>
    <col min="3" max="3" width="8.66666666666667" style="3" customWidth="1"/>
    <col min="4" max="4" width="21.4416666666667" style="4" customWidth="1"/>
    <col min="5" max="5" width="11.3333333333333" style="2" customWidth="1"/>
    <col min="6" max="6" width="12.1666666666667" style="2" customWidth="1"/>
    <col min="7" max="7" width="12.4166666666667" style="5" customWidth="1"/>
    <col min="8" max="8" width="58.9083333333333" style="2" customWidth="1"/>
    <col min="9" max="9" width="8.66666666666667" style="2" customWidth="1"/>
    <col min="10" max="10" width="25.4916666666667" style="2" customWidth="1"/>
    <col min="11" max="28" width="8.66666666666667" style="2" customWidth="1"/>
    <col min="29" max="16384" width="14.5" style="6"/>
  </cols>
  <sheetData>
    <row r="1" s="1" customFormat="1" ht="13.5" customHeight="1" spans="1:28">
      <c r="A1" s="7" t="s">
        <v>5511</v>
      </c>
      <c r="B1" s="8" t="s">
        <v>5513</v>
      </c>
      <c r="C1" s="7" t="s">
        <v>5514</v>
      </c>
      <c r="D1" s="9" t="s">
        <v>5515</v>
      </c>
      <c r="E1" s="8" t="s">
        <v>9</v>
      </c>
      <c r="F1" s="8" t="s">
        <v>6278</v>
      </c>
      <c r="G1" s="10" t="s">
        <v>7</v>
      </c>
      <c r="H1" s="7" t="s">
        <v>12</v>
      </c>
      <c r="I1" s="56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 s="1" customFormat="1" ht="13.5" customHeight="1" spans="1:28">
      <c r="A2" s="11" t="s">
        <v>3953</v>
      </c>
      <c r="B2" s="12" t="s">
        <v>6279</v>
      </c>
      <c r="C2" s="13">
        <v>1</v>
      </c>
      <c r="D2" s="14" t="s">
        <v>309</v>
      </c>
      <c r="E2" s="15" t="s">
        <v>18</v>
      </c>
      <c r="F2" s="15" t="s">
        <v>6280</v>
      </c>
      <c r="G2" s="16">
        <v>45617</v>
      </c>
      <c r="H2" s="17" t="s">
        <v>6281</v>
      </c>
      <c r="I2" s="56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</row>
    <row r="3" s="1" customFormat="1" ht="13.5" customHeight="1" spans="1:28">
      <c r="A3" s="18" t="s">
        <v>3988</v>
      </c>
      <c r="B3" s="19" t="s">
        <v>6282</v>
      </c>
      <c r="C3" s="20">
        <v>2</v>
      </c>
      <c r="D3" s="21" t="s">
        <v>6283</v>
      </c>
      <c r="E3" s="22" t="s">
        <v>18</v>
      </c>
      <c r="F3" s="22" t="s">
        <v>6284</v>
      </c>
      <c r="G3" s="23">
        <v>45630</v>
      </c>
      <c r="H3" s="24" t="s">
        <v>6285</v>
      </c>
      <c r="I3" s="56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</row>
    <row r="4" s="1" customFormat="1" ht="13.5" customHeight="1" spans="1:28">
      <c r="A4" s="25"/>
      <c r="B4" s="19" t="s">
        <v>6286</v>
      </c>
      <c r="C4" s="20">
        <v>4</v>
      </c>
      <c r="D4" s="21" t="s">
        <v>6283</v>
      </c>
      <c r="E4" s="22" t="s">
        <v>18</v>
      </c>
      <c r="F4" s="22" t="s">
        <v>6284</v>
      </c>
      <c r="G4" s="26"/>
      <c r="H4" s="25"/>
      <c r="I4" s="56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</row>
    <row r="5" s="1" customFormat="1" ht="13.5" customHeight="1" spans="1:28">
      <c r="A5" s="25"/>
      <c r="B5" s="19" t="s">
        <v>6287</v>
      </c>
      <c r="C5" s="20">
        <v>3</v>
      </c>
      <c r="D5" s="21" t="s">
        <v>6283</v>
      </c>
      <c r="E5" s="22" t="s">
        <v>18</v>
      </c>
      <c r="F5" s="22" t="s">
        <v>6284</v>
      </c>
      <c r="G5" s="26"/>
      <c r="H5" s="25"/>
      <c r="I5" s="56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</row>
    <row r="6" s="1" customFormat="1" ht="13.5" customHeight="1" spans="1:28">
      <c r="A6" s="25"/>
      <c r="B6" s="19" t="s">
        <v>6288</v>
      </c>
      <c r="C6" s="20">
        <v>3</v>
      </c>
      <c r="D6" s="21" t="s">
        <v>6283</v>
      </c>
      <c r="E6" s="22" t="s">
        <v>18</v>
      </c>
      <c r="F6" s="22" t="s">
        <v>6284</v>
      </c>
      <c r="G6" s="26"/>
      <c r="H6" s="27"/>
      <c r="I6" s="56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</row>
    <row r="7" s="1" customFormat="1" ht="13.5" customHeight="1" spans="1:28">
      <c r="A7" s="25"/>
      <c r="B7" s="19" t="s">
        <v>6289</v>
      </c>
      <c r="C7" s="20">
        <v>1</v>
      </c>
      <c r="D7" s="21" t="s">
        <v>6283</v>
      </c>
      <c r="E7" s="22" t="s">
        <v>18</v>
      </c>
      <c r="F7" s="22" t="s">
        <v>6284</v>
      </c>
      <c r="G7" s="26"/>
      <c r="H7" s="28" t="s">
        <v>6290</v>
      </c>
      <c r="I7" s="56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</row>
    <row r="8" s="1" customFormat="1" ht="13.5" customHeight="1" spans="1:28">
      <c r="A8" s="25"/>
      <c r="B8" s="19" t="s">
        <v>6289</v>
      </c>
      <c r="C8" s="20">
        <v>1</v>
      </c>
      <c r="D8" s="21" t="s">
        <v>6283</v>
      </c>
      <c r="E8" s="22" t="s">
        <v>18</v>
      </c>
      <c r="F8" s="22" t="s">
        <v>6284</v>
      </c>
      <c r="G8" s="26"/>
      <c r="H8" s="25"/>
      <c r="I8" s="56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</row>
    <row r="9" s="1" customFormat="1" ht="13.5" customHeight="1" spans="1:28">
      <c r="A9" s="25"/>
      <c r="B9" s="19" t="s">
        <v>6291</v>
      </c>
      <c r="C9" s="20">
        <v>1</v>
      </c>
      <c r="D9" s="21" t="s">
        <v>6283</v>
      </c>
      <c r="E9" s="22" t="s">
        <v>18</v>
      </c>
      <c r="F9" s="22" t="s">
        <v>6284</v>
      </c>
      <c r="G9" s="26"/>
      <c r="H9" s="25"/>
      <c r="I9" s="56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</row>
    <row r="10" s="1" customFormat="1" ht="13.5" customHeight="1" spans="1:28">
      <c r="A10" s="25"/>
      <c r="B10" s="19" t="s">
        <v>6291</v>
      </c>
      <c r="C10" s="20">
        <v>1</v>
      </c>
      <c r="D10" s="21" t="s">
        <v>6283</v>
      </c>
      <c r="E10" s="22" t="s">
        <v>18</v>
      </c>
      <c r="F10" s="22" t="s">
        <v>6284</v>
      </c>
      <c r="G10" s="26"/>
      <c r="H10" s="25"/>
      <c r="I10" s="56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</row>
    <row r="11" s="1" customFormat="1" ht="13.5" customHeight="1" spans="1:28">
      <c r="A11" s="25"/>
      <c r="B11" s="19" t="s">
        <v>6291</v>
      </c>
      <c r="C11" s="20">
        <v>1</v>
      </c>
      <c r="D11" s="21" t="s">
        <v>6283</v>
      </c>
      <c r="E11" s="22" t="s">
        <v>18</v>
      </c>
      <c r="F11" s="22" t="s">
        <v>6284</v>
      </c>
      <c r="G11" s="26"/>
      <c r="H11" s="25"/>
      <c r="I11" s="56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</row>
    <row r="12" s="1" customFormat="1" ht="13.5" customHeight="1" spans="1:28">
      <c r="A12" s="25"/>
      <c r="B12" s="19" t="s">
        <v>6291</v>
      </c>
      <c r="C12" s="20">
        <v>1</v>
      </c>
      <c r="D12" s="21" t="s">
        <v>6283</v>
      </c>
      <c r="E12" s="22" t="s">
        <v>18</v>
      </c>
      <c r="F12" s="22" t="s">
        <v>6284</v>
      </c>
      <c r="G12" s="26"/>
      <c r="H12" s="25"/>
      <c r="I12" s="56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</row>
    <row r="13" s="1" customFormat="1" ht="13.5" customHeight="1" spans="1:28">
      <c r="A13" s="25"/>
      <c r="B13" s="19" t="s">
        <v>6291</v>
      </c>
      <c r="C13" s="20">
        <v>1</v>
      </c>
      <c r="D13" s="21" t="s">
        <v>6283</v>
      </c>
      <c r="E13" s="22" t="s">
        <v>18</v>
      </c>
      <c r="F13" s="22" t="s">
        <v>6284</v>
      </c>
      <c r="G13" s="26"/>
      <c r="H13" s="25"/>
      <c r="I13" s="56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</row>
    <row r="14" s="1" customFormat="1" ht="13.5" customHeight="1" spans="1:28">
      <c r="A14" s="25"/>
      <c r="B14" s="19" t="s">
        <v>6292</v>
      </c>
      <c r="C14" s="20">
        <v>1</v>
      </c>
      <c r="D14" s="21" t="s">
        <v>6283</v>
      </c>
      <c r="E14" s="22" t="s">
        <v>18</v>
      </c>
      <c r="F14" s="22" t="s">
        <v>6284</v>
      </c>
      <c r="G14" s="26"/>
      <c r="H14" s="25"/>
      <c r="I14" s="56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</row>
    <row r="15" s="1" customFormat="1" ht="13.5" customHeight="1" spans="1:28">
      <c r="A15" s="25"/>
      <c r="B15" s="19" t="s">
        <v>6292</v>
      </c>
      <c r="C15" s="20">
        <v>1</v>
      </c>
      <c r="D15" s="21" t="s">
        <v>6283</v>
      </c>
      <c r="E15" s="22" t="s">
        <v>18</v>
      </c>
      <c r="F15" s="22" t="s">
        <v>6284</v>
      </c>
      <c r="G15" s="26"/>
      <c r="H15" s="25"/>
      <c r="I15" s="56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</row>
    <row r="16" s="1" customFormat="1" ht="13.5" customHeight="1" spans="1:28">
      <c r="A16" s="25"/>
      <c r="B16" s="19" t="s">
        <v>6292</v>
      </c>
      <c r="C16" s="20">
        <v>1</v>
      </c>
      <c r="D16" s="21" t="s">
        <v>6283</v>
      </c>
      <c r="E16" s="22" t="s">
        <v>18</v>
      </c>
      <c r="F16" s="22" t="s">
        <v>6284</v>
      </c>
      <c r="G16" s="26"/>
      <c r="H16" s="25"/>
      <c r="I16" s="56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</row>
    <row r="17" s="1" customFormat="1" ht="13.5" customHeight="1" spans="1:28">
      <c r="A17" s="25"/>
      <c r="B17" s="19" t="s">
        <v>6292</v>
      </c>
      <c r="C17" s="20">
        <v>1</v>
      </c>
      <c r="D17" s="21" t="s">
        <v>6283</v>
      </c>
      <c r="E17" s="22" t="s">
        <v>18</v>
      </c>
      <c r="F17" s="22" t="s">
        <v>6284</v>
      </c>
      <c r="G17" s="26"/>
      <c r="H17" s="25"/>
      <c r="I17" s="56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</row>
    <row r="18" s="1" customFormat="1" ht="13.5" customHeight="1" spans="1:28">
      <c r="A18" s="25"/>
      <c r="B18" s="19" t="s">
        <v>6292</v>
      </c>
      <c r="C18" s="20">
        <v>1</v>
      </c>
      <c r="D18" s="21" t="s">
        <v>6283</v>
      </c>
      <c r="E18" s="22" t="s">
        <v>18</v>
      </c>
      <c r="F18" s="22" t="s">
        <v>6284</v>
      </c>
      <c r="G18" s="26"/>
      <c r="H18" s="25"/>
      <c r="I18" s="56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</row>
    <row r="19" s="1" customFormat="1" ht="13.5" customHeight="1" spans="1:28">
      <c r="A19" s="25"/>
      <c r="B19" s="19" t="s">
        <v>6293</v>
      </c>
      <c r="C19" s="20">
        <v>1</v>
      </c>
      <c r="D19" s="21" t="s">
        <v>6283</v>
      </c>
      <c r="E19" s="22" t="s">
        <v>18</v>
      </c>
      <c r="F19" s="22" t="s">
        <v>6284</v>
      </c>
      <c r="G19" s="26"/>
      <c r="H19" s="25"/>
      <c r="I19" s="56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</row>
    <row r="20" s="1" customFormat="1" ht="13.5" customHeight="1" spans="1:28">
      <c r="A20" s="25"/>
      <c r="B20" s="19" t="s">
        <v>6293</v>
      </c>
      <c r="C20" s="20">
        <v>1</v>
      </c>
      <c r="D20" s="21" t="s">
        <v>6283</v>
      </c>
      <c r="E20" s="22" t="s">
        <v>18</v>
      </c>
      <c r="F20" s="22" t="s">
        <v>6284</v>
      </c>
      <c r="G20" s="26"/>
      <c r="H20" s="25"/>
      <c r="I20" s="56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</row>
    <row r="21" s="1" customFormat="1" ht="13.5" customHeight="1" spans="1:28">
      <c r="A21" s="25"/>
      <c r="B21" s="19" t="s">
        <v>6294</v>
      </c>
      <c r="C21" s="20">
        <v>1</v>
      </c>
      <c r="D21" s="21" t="s">
        <v>6283</v>
      </c>
      <c r="E21" s="22" t="s">
        <v>18</v>
      </c>
      <c r="F21" s="22" t="s">
        <v>6284</v>
      </c>
      <c r="G21" s="26"/>
      <c r="H21" s="25"/>
      <c r="I21" s="56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</row>
    <row r="22" s="1" customFormat="1" ht="13.5" customHeight="1" spans="1:28">
      <c r="A22" s="25"/>
      <c r="B22" s="19" t="s">
        <v>6294</v>
      </c>
      <c r="C22" s="20">
        <v>1</v>
      </c>
      <c r="D22" s="21" t="s">
        <v>6283</v>
      </c>
      <c r="E22" s="22" t="s">
        <v>18</v>
      </c>
      <c r="F22" s="22" t="s">
        <v>6284</v>
      </c>
      <c r="G22" s="26"/>
      <c r="H22" s="25"/>
      <c r="I22" s="56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</row>
    <row r="23" s="1" customFormat="1" ht="13.5" customHeight="1" spans="1:28">
      <c r="A23" s="25"/>
      <c r="B23" s="19" t="s">
        <v>6295</v>
      </c>
      <c r="C23" s="20">
        <v>1</v>
      </c>
      <c r="D23" s="21" t="s">
        <v>6283</v>
      </c>
      <c r="E23" s="22" t="s">
        <v>18</v>
      </c>
      <c r="F23" s="22" t="s">
        <v>6284</v>
      </c>
      <c r="G23" s="26"/>
      <c r="H23" s="25"/>
      <c r="I23" s="56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</row>
    <row r="24" s="1" customFormat="1" ht="13.5" customHeight="1" spans="1:28">
      <c r="A24" s="25"/>
      <c r="B24" s="19" t="s">
        <v>6295</v>
      </c>
      <c r="C24" s="20">
        <v>1</v>
      </c>
      <c r="D24" s="21" t="s">
        <v>6283</v>
      </c>
      <c r="E24" s="22" t="s">
        <v>18</v>
      </c>
      <c r="F24" s="22" t="s">
        <v>6284</v>
      </c>
      <c r="G24" s="26"/>
      <c r="H24" s="27"/>
      <c r="I24" s="56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</row>
    <row r="25" s="1" customFormat="1" ht="13.5" customHeight="1" spans="1:28">
      <c r="A25" s="25"/>
      <c r="B25" s="29" t="s">
        <v>6296</v>
      </c>
      <c r="C25" s="20">
        <v>100</v>
      </c>
      <c r="D25" s="21" t="s">
        <v>6283</v>
      </c>
      <c r="E25" s="22" t="s">
        <v>18</v>
      </c>
      <c r="F25" s="22" t="s">
        <v>6284</v>
      </c>
      <c r="G25" s="26"/>
      <c r="H25" s="30"/>
      <c r="I25" s="56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</row>
    <row r="26" s="1" customFormat="1" ht="13.5" customHeight="1" spans="1:28">
      <c r="A26" s="25"/>
      <c r="B26" s="29" t="s">
        <v>6297</v>
      </c>
      <c r="C26" s="20">
        <v>48</v>
      </c>
      <c r="D26" s="21" t="s">
        <v>6283</v>
      </c>
      <c r="E26" s="22" t="s">
        <v>18</v>
      </c>
      <c r="F26" s="22" t="s">
        <v>6298</v>
      </c>
      <c r="G26" s="26"/>
      <c r="H26" s="30"/>
      <c r="I26" s="56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</row>
    <row r="27" s="1" customFormat="1" ht="13.5" customHeight="1" spans="1:28">
      <c r="A27" s="25"/>
      <c r="B27" s="31" t="s">
        <v>6299</v>
      </c>
      <c r="C27" s="20">
        <v>1</v>
      </c>
      <c r="D27" s="21" t="s">
        <v>309</v>
      </c>
      <c r="E27" s="22" t="s">
        <v>18</v>
      </c>
      <c r="F27" s="22" t="s">
        <v>6300</v>
      </c>
      <c r="G27" s="26"/>
      <c r="H27" s="32" t="s">
        <v>6301</v>
      </c>
      <c r="I27" s="56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</row>
    <row r="28" s="1" customFormat="1" ht="13.5" customHeight="1" spans="1:28">
      <c r="A28" s="27"/>
      <c r="B28" s="31" t="s">
        <v>6302</v>
      </c>
      <c r="C28" s="20">
        <v>1</v>
      </c>
      <c r="D28" s="21" t="s">
        <v>309</v>
      </c>
      <c r="E28" s="22" t="s">
        <v>18</v>
      </c>
      <c r="F28" s="22" t="s">
        <v>6298</v>
      </c>
      <c r="G28" s="33"/>
      <c r="H28" s="34" t="s">
        <v>6303</v>
      </c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</row>
    <row r="29" s="1" customFormat="1" ht="13.5" customHeight="1" spans="1:28">
      <c r="A29" s="35" t="s">
        <v>4015</v>
      </c>
      <c r="B29" s="22" t="s">
        <v>6304</v>
      </c>
      <c r="C29" s="20">
        <v>10</v>
      </c>
      <c r="D29" s="21" t="s">
        <v>5653</v>
      </c>
      <c r="E29" s="22" t="s">
        <v>18</v>
      </c>
      <c r="F29" s="22" t="s">
        <v>6300</v>
      </c>
      <c r="G29" s="36">
        <v>45648</v>
      </c>
      <c r="H29" s="30" t="s">
        <v>6305</v>
      </c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  <row r="30" s="1" customFormat="1" ht="13.5" customHeight="1" spans="1:28">
      <c r="A30" s="35" t="s">
        <v>4060</v>
      </c>
      <c r="B30" s="37" t="s">
        <v>6297</v>
      </c>
      <c r="C30" s="20">
        <v>22</v>
      </c>
      <c r="D30" s="21" t="s">
        <v>309</v>
      </c>
      <c r="E30" s="30" t="s">
        <v>39</v>
      </c>
      <c r="F30" s="38" t="s">
        <v>6298</v>
      </c>
      <c r="G30" s="39">
        <v>45678</v>
      </c>
      <c r="H30" s="40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</row>
    <row r="31" s="1" customFormat="1" ht="13.5" customHeight="1" spans="1:28">
      <c r="A31" s="41" t="s">
        <v>4199</v>
      </c>
      <c r="B31" s="31" t="s">
        <v>6306</v>
      </c>
      <c r="C31" s="20">
        <v>30</v>
      </c>
      <c r="D31" s="21" t="s">
        <v>312</v>
      </c>
      <c r="E31" s="30" t="s">
        <v>18</v>
      </c>
      <c r="F31" s="30" t="s">
        <v>6284</v>
      </c>
      <c r="G31" s="23">
        <v>45708</v>
      </c>
      <c r="H31" s="22" t="s">
        <v>6307</v>
      </c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</row>
    <row r="32" s="1" customFormat="1" ht="13.5" customHeight="1" spans="1:28">
      <c r="A32" s="42"/>
      <c r="B32" s="43" t="s">
        <v>6308</v>
      </c>
      <c r="C32" s="44">
        <v>10</v>
      </c>
      <c r="D32" s="45" t="s">
        <v>312</v>
      </c>
      <c r="E32" s="46" t="s">
        <v>18</v>
      </c>
      <c r="F32" s="46" t="s">
        <v>6284</v>
      </c>
      <c r="G32" s="47"/>
      <c r="H32" s="46" t="s">
        <v>6309</v>
      </c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</row>
    <row r="33" s="1" customFormat="1" ht="13.5" customHeight="1" spans="1:28">
      <c r="A33" s="42"/>
      <c r="B33" s="48" t="s">
        <v>6310</v>
      </c>
      <c r="C33" s="49">
        <v>2000</v>
      </c>
      <c r="D33" s="50" t="s">
        <v>309</v>
      </c>
      <c r="E33" s="46" t="s">
        <v>18</v>
      </c>
      <c r="F33" s="51" t="s">
        <v>6298</v>
      </c>
      <c r="G33" s="47"/>
      <c r="H33" s="48" t="s">
        <v>6311</v>
      </c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</row>
    <row r="34" s="1" customFormat="1" ht="13.5" customHeight="1" spans="1:28">
      <c r="A34" s="42"/>
      <c r="B34" s="48" t="s">
        <v>6312</v>
      </c>
      <c r="C34" s="52">
        <v>100</v>
      </c>
      <c r="D34" s="53" t="s">
        <v>309</v>
      </c>
      <c r="E34" s="46" t="s">
        <v>18</v>
      </c>
      <c r="F34" s="51" t="s">
        <v>6298</v>
      </c>
      <c r="G34" s="47"/>
      <c r="H34" s="48" t="s">
        <v>6311</v>
      </c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</row>
    <row r="35" s="1" customFormat="1" ht="13.5" customHeight="1" spans="1:28">
      <c r="A35" s="42"/>
      <c r="B35" s="48" t="s">
        <v>6313</v>
      </c>
      <c r="C35" s="52">
        <v>1500</v>
      </c>
      <c r="D35" s="53" t="s">
        <v>309</v>
      </c>
      <c r="E35" s="46" t="s">
        <v>18</v>
      </c>
      <c r="F35" s="51" t="s">
        <v>6298</v>
      </c>
      <c r="G35" s="47"/>
      <c r="H35" s="48" t="s">
        <v>6311</v>
      </c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</row>
    <row r="36" s="1" customFormat="1" ht="50.25" customHeight="1" spans="1:28">
      <c r="A36" s="42"/>
      <c r="B36" s="54" t="s">
        <v>6314</v>
      </c>
      <c r="C36" s="49">
        <v>3000</v>
      </c>
      <c r="D36" s="53" t="s">
        <v>309</v>
      </c>
      <c r="E36" s="46" t="s">
        <v>18</v>
      </c>
      <c r="F36" s="51" t="s">
        <v>6298</v>
      </c>
      <c r="G36" s="47"/>
      <c r="H36" s="48" t="s">
        <v>6311</v>
      </c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</row>
    <row r="37" s="1" customFormat="1" ht="13.5" customHeight="1" spans="1:28">
      <c r="A37" s="42"/>
      <c r="B37" s="48" t="s">
        <v>6315</v>
      </c>
      <c r="C37" s="52">
        <v>100</v>
      </c>
      <c r="D37" s="53" t="s">
        <v>309</v>
      </c>
      <c r="E37" s="46" t="s">
        <v>18</v>
      </c>
      <c r="F37" s="51" t="s">
        <v>6298</v>
      </c>
      <c r="G37" s="47"/>
      <c r="H37" s="48" t="s">
        <v>6311</v>
      </c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</row>
    <row r="38" s="1" customFormat="1" ht="13.5" customHeight="1" spans="1:28">
      <c r="A38" s="42"/>
      <c r="B38" s="48" t="s">
        <v>6316</v>
      </c>
      <c r="C38" s="52">
        <v>100</v>
      </c>
      <c r="D38" s="53" t="s">
        <v>309</v>
      </c>
      <c r="E38" s="46" t="s">
        <v>18</v>
      </c>
      <c r="F38" s="51" t="s">
        <v>6298</v>
      </c>
      <c r="G38" s="47"/>
      <c r="H38" s="48" t="s">
        <v>6311</v>
      </c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</row>
    <row r="39" s="1" customFormat="1" ht="13.5" customHeight="1" spans="1:28">
      <c r="A39" s="42"/>
      <c r="B39" s="48" t="s">
        <v>6317</v>
      </c>
      <c r="C39" s="52">
        <f>2010-100</f>
        <v>1910</v>
      </c>
      <c r="D39" s="53" t="s">
        <v>309</v>
      </c>
      <c r="E39" s="46" t="s">
        <v>18</v>
      </c>
      <c r="F39" s="55" t="s">
        <v>6284</v>
      </c>
      <c r="G39" s="47"/>
      <c r="H39" s="48" t="s">
        <v>6311</v>
      </c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</row>
    <row r="40" s="1" customFormat="1" ht="13.5" customHeight="1" spans="1:28">
      <c r="A40" s="42"/>
      <c r="B40" s="48" t="s">
        <v>6318</v>
      </c>
      <c r="C40" s="52">
        <v>100</v>
      </c>
      <c r="D40" s="53" t="s">
        <v>309</v>
      </c>
      <c r="E40" s="46" t="s">
        <v>18</v>
      </c>
      <c r="F40" s="55" t="s">
        <v>6284</v>
      </c>
      <c r="G40" s="47"/>
      <c r="H40" s="48" t="s">
        <v>6311</v>
      </c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</row>
    <row r="41" s="1" customFormat="1" ht="13.5" customHeight="1" spans="1:28">
      <c r="A41" s="42"/>
      <c r="B41" s="48" t="s">
        <v>6319</v>
      </c>
      <c r="C41" s="52">
        <v>920</v>
      </c>
      <c r="D41" s="53" t="s">
        <v>309</v>
      </c>
      <c r="E41" s="46" t="s">
        <v>18</v>
      </c>
      <c r="F41" s="55" t="s">
        <v>6284</v>
      </c>
      <c r="G41" s="47"/>
      <c r="H41" s="48" t="s">
        <v>6311</v>
      </c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</row>
    <row r="42" s="1" customFormat="1" ht="13.5" customHeight="1" spans="1:28">
      <c r="A42" s="42"/>
      <c r="B42" s="48" t="s">
        <v>6320</v>
      </c>
      <c r="C42" s="52">
        <v>99</v>
      </c>
      <c r="D42" s="53" t="s">
        <v>309</v>
      </c>
      <c r="E42" s="46" t="s">
        <v>18</v>
      </c>
      <c r="F42" s="55" t="s">
        <v>6284</v>
      </c>
      <c r="G42" s="47"/>
      <c r="H42" s="48" t="s">
        <v>6311</v>
      </c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</row>
    <row r="43" s="1" customFormat="1" ht="13.5" customHeight="1" spans="1:28">
      <c r="A43" s="42"/>
      <c r="B43" s="48" t="s">
        <v>6321</v>
      </c>
      <c r="C43" s="52">
        <f>800-120</f>
        <v>680</v>
      </c>
      <c r="D43" s="53" t="s">
        <v>309</v>
      </c>
      <c r="E43" s="46" t="s">
        <v>18</v>
      </c>
      <c r="F43" s="55" t="s">
        <v>6284</v>
      </c>
      <c r="G43" s="47"/>
      <c r="H43" s="48" t="s">
        <v>6311</v>
      </c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</row>
    <row r="44" s="1" customFormat="1" ht="13.5" customHeight="1" spans="1:28">
      <c r="A44" s="42"/>
      <c r="B44" s="48" t="s">
        <v>6322</v>
      </c>
      <c r="C44" s="52">
        <v>1500</v>
      </c>
      <c r="D44" s="53" t="s">
        <v>309</v>
      </c>
      <c r="E44" s="46" t="s">
        <v>18</v>
      </c>
      <c r="F44" s="55" t="s">
        <v>6284</v>
      </c>
      <c r="G44" s="47"/>
      <c r="H44" s="48" t="s">
        <v>6311</v>
      </c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</row>
    <row r="45" s="1" customFormat="1" ht="13.5" customHeight="1" spans="1:28">
      <c r="A45" s="42"/>
      <c r="B45" s="48" t="s">
        <v>6323</v>
      </c>
      <c r="C45" s="52">
        <v>875</v>
      </c>
      <c r="D45" s="53" t="s">
        <v>309</v>
      </c>
      <c r="E45" s="46" t="s">
        <v>18</v>
      </c>
      <c r="F45" s="55" t="s">
        <v>6284</v>
      </c>
      <c r="G45" s="47"/>
      <c r="H45" s="48" t="s">
        <v>6311</v>
      </c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</row>
    <row r="46" s="1" customFormat="1" ht="13.5" customHeight="1" spans="1:28">
      <c r="A46" s="42"/>
      <c r="B46" s="48" t="s">
        <v>6324</v>
      </c>
      <c r="C46" s="52">
        <v>500</v>
      </c>
      <c r="D46" s="53" t="s">
        <v>309</v>
      </c>
      <c r="E46" s="46" t="s">
        <v>18</v>
      </c>
      <c r="F46" s="55" t="s">
        <v>6284</v>
      </c>
      <c r="G46" s="47"/>
      <c r="H46" s="48" t="s">
        <v>6311</v>
      </c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</row>
    <row r="47" s="1" customFormat="1" ht="13.5" customHeight="1" spans="1:28">
      <c r="A47" s="42"/>
      <c r="B47" s="48" t="s">
        <v>6325</v>
      </c>
      <c r="C47" s="52">
        <v>100</v>
      </c>
      <c r="D47" s="50" t="s">
        <v>312</v>
      </c>
      <c r="E47" s="46" t="s">
        <v>18</v>
      </c>
      <c r="F47" s="55" t="s">
        <v>6284</v>
      </c>
      <c r="G47" s="47"/>
      <c r="H47" s="48" t="s">
        <v>6311</v>
      </c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</row>
    <row r="48" s="1" customFormat="1" ht="13.5" customHeight="1" spans="1:28">
      <c r="A48" s="42"/>
      <c r="B48" s="48" t="s">
        <v>6326</v>
      </c>
      <c r="C48" s="52">
        <v>10</v>
      </c>
      <c r="D48" s="53" t="s">
        <v>309</v>
      </c>
      <c r="E48" s="46" t="s">
        <v>18</v>
      </c>
      <c r="F48" s="55" t="s">
        <v>6284</v>
      </c>
      <c r="G48" s="47"/>
      <c r="H48" s="48" t="s">
        <v>6311</v>
      </c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</row>
    <row r="49" s="1" customFormat="1" ht="13.5" customHeight="1" spans="1:28">
      <c r="A49" s="42"/>
      <c r="B49" s="48" t="s">
        <v>6327</v>
      </c>
      <c r="C49" s="52">
        <v>500</v>
      </c>
      <c r="D49" s="53" t="s">
        <v>309</v>
      </c>
      <c r="E49" s="46" t="s">
        <v>18</v>
      </c>
      <c r="F49" s="55" t="s">
        <v>6284</v>
      </c>
      <c r="G49" s="47"/>
      <c r="H49" s="48" t="s">
        <v>6311</v>
      </c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</row>
    <row r="50" s="1" customFormat="1" ht="13.5" customHeight="1" spans="1:28">
      <c r="A50" s="42"/>
      <c r="B50" s="48" t="s">
        <v>6328</v>
      </c>
      <c r="C50" s="52">
        <f>500-50</f>
        <v>450</v>
      </c>
      <c r="D50" s="53" t="s">
        <v>309</v>
      </c>
      <c r="E50" s="46" t="s">
        <v>18</v>
      </c>
      <c r="F50" s="55" t="s">
        <v>6284</v>
      </c>
      <c r="G50" s="47"/>
      <c r="H50" s="48" t="s">
        <v>6311</v>
      </c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</row>
    <row r="51" s="1" customFormat="1" ht="13.5" customHeight="1" spans="1:28">
      <c r="A51" s="42"/>
      <c r="B51" s="48" t="s">
        <v>6329</v>
      </c>
      <c r="C51" s="52">
        <f>100-8</f>
        <v>92</v>
      </c>
      <c r="D51" s="53" t="s">
        <v>309</v>
      </c>
      <c r="E51" s="46" t="s">
        <v>18</v>
      </c>
      <c r="F51" s="55" t="s">
        <v>6284</v>
      </c>
      <c r="G51" s="47"/>
      <c r="H51" s="48" t="s">
        <v>6311</v>
      </c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</row>
    <row r="52" s="1" customFormat="1" ht="13.5" customHeight="1" spans="1:28">
      <c r="A52" s="42"/>
      <c r="B52" s="48" t="s">
        <v>6330</v>
      </c>
      <c r="C52" s="52">
        <v>11</v>
      </c>
      <c r="D52" s="53" t="s">
        <v>309</v>
      </c>
      <c r="E52" s="46" t="s">
        <v>18</v>
      </c>
      <c r="F52" s="55" t="s">
        <v>6284</v>
      </c>
      <c r="G52" s="47"/>
      <c r="H52" s="48" t="s">
        <v>6311</v>
      </c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</row>
    <row r="53" s="1" customFormat="1" ht="13.5" customHeight="1" spans="1:28">
      <c r="A53" s="42"/>
      <c r="B53" s="48" t="s">
        <v>6331</v>
      </c>
      <c r="C53" s="52">
        <v>10</v>
      </c>
      <c r="D53" s="53" t="s">
        <v>309</v>
      </c>
      <c r="E53" s="46" t="s">
        <v>18</v>
      </c>
      <c r="F53" s="55" t="s">
        <v>6284</v>
      </c>
      <c r="G53" s="47"/>
      <c r="H53" s="48" t="s">
        <v>6332</v>
      </c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</row>
    <row r="54" s="1" customFormat="1" ht="13.5" customHeight="1" spans="1:28">
      <c r="A54" s="42"/>
      <c r="B54" s="48" t="s">
        <v>6333</v>
      </c>
      <c r="C54" s="52">
        <v>60</v>
      </c>
      <c r="D54" s="53" t="s">
        <v>309</v>
      </c>
      <c r="E54" s="46" t="s">
        <v>18</v>
      </c>
      <c r="F54" s="55" t="s">
        <v>6284</v>
      </c>
      <c r="G54" s="47"/>
      <c r="H54" s="48" t="s">
        <v>6311</v>
      </c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</row>
    <row r="55" s="1" customFormat="1" ht="13.5" customHeight="1" spans="1:28">
      <c r="A55" s="42"/>
      <c r="B55" s="48" t="s">
        <v>6334</v>
      </c>
      <c r="C55" s="52">
        <v>1</v>
      </c>
      <c r="D55" s="53" t="s">
        <v>309</v>
      </c>
      <c r="E55" s="46" t="s">
        <v>18</v>
      </c>
      <c r="F55" s="55" t="s">
        <v>6284</v>
      </c>
      <c r="G55" s="47"/>
      <c r="H55" s="48" t="s">
        <v>6311</v>
      </c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</row>
    <row r="56" s="1" customFormat="1" ht="13.5" customHeight="1" spans="1:28">
      <c r="A56" s="42"/>
      <c r="B56" s="48" t="s">
        <v>6335</v>
      </c>
      <c r="C56" s="52">
        <v>1</v>
      </c>
      <c r="D56" s="53" t="s">
        <v>309</v>
      </c>
      <c r="E56" s="46" t="s">
        <v>18</v>
      </c>
      <c r="F56" s="55" t="s">
        <v>6284</v>
      </c>
      <c r="G56" s="47"/>
      <c r="H56" s="48" t="s">
        <v>6311</v>
      </c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</row>
    <row r="57" s="1" customFormat="1" ht="13.5" customHeight="1" spans="1:28">
      <c r="A57" s="42"/>
      <c r="B57" s="55" t="s">
        <v>6336</v>
      </c>
      <c r="C57" s="52">
        <v>10</v>
      </c>
      <c r="D57" s="53" t="s">
        <v>309</v>
      </c>
      <c r="E57" s="46" t="s">
        <v>18</v>
      </c>
      <c r="F57" s="55" t="s">
        <v>6284</v>
      </c>
      <c r="G57" s="47"/>
      <c r="H57" s="48" t="s">
        <v>6311</v>
      </c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</row>
    <row r="58" s="1" customFormat="1" ht="13.5" customHeight="1" spans="1:28">
      <c r="A58" s="42"/>
      <c r="B58" s="48" t="s">
        <v>6337</v>
      </c>
      <c r="C58" s="52">
        <v>2000</v>
      </c>
      <c r="D58" s="53" t="s">
        <v>309</v>
      </c>
      <c r="E58" s="46" t="s">
        <v>18</v>
      </c>
      <c r="F58" s="55" t="s">
        <v>6284</v>
      </c>
      <c r="G58" s="47"/>
      <c r="H58" s="48" t="s">
        <v>6311</v>
      </c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</row>
    <row r="59" s="1" customFormat="1" ht="13.5" customHeight="1" spans="1:28">
      <c r="A59" s="42"/>
      <c r="B59" s="55" t="s">
        <v>6338</v>
      </c>
      <c r="C59" s="52">
        <v>1912</v>
      </c>
      <c r="D59" s="53" t="s">
        <v>309</v>
      </c>
      <c r="E59" s="46" t="s">
        <v>18</v>
      </c>
      <c r="F59" s="55" t="s">
        <v>6284</v>
      </c>
      <c r="G59" s="47"/>
      <c r="H59" s="48" t="s">
        <v>6311</v>
      </c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</row>
    <row r="60" s="1" customFormat="1" ht="13.5" customHeight="1" spans="1:28">
      <c r="A60" s="42"/>
      <c r="B60" s="55" t="s">
        <v>6339</v>
      </c>
      <c r="C60" s="52">
        <v>2030</v>
      </c>
      <c r="D60" s="53" t="s">
        <v>309</v>
      </c>
      <c r="E60" s="46" t="s">
        <v>18</v>
      </c>
      <c r="F60" s="55" t="s">
        <v>6284</v>
      </c>
      <c r="G60" s="47"/>
      <c r="H60" s="48" t="s">
        <v>6311</v>
      </c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</row>
    <row r="61" s="1" customFormat="1" ht="13.5" customHeight="1" spans="1:28">
      <c r="A61" s="42"/>
      <c r="B61" s="48" t="s">
        <v>6340</v>
      </c>
      <c r="C61" s="52">
        <v>1350</v>
      </c>
      <c r="D61" s="53" t="s">
        <v>309</v>
      </c>
      <c r="E61" s="46" t="s">
        <v>18</v>
      </c>
      <c r="F61" s="51" t="s">
        <v>6341</v>
      </c>
      <c r="G61" s="47"/>
      <c r="H61" s="48" t="s">
        <v>6311</v>
      </c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</row>
    <row r="62" s="1" customFormat="1" ht="13.5" customHeight="1" spans="1:28">
      <c r="A62" s="42"/>
      <c r="B62" s="48" t="s">
        <v>6342</v>
      </c>
      <c r="C62" s="52">
        <v>150</v>
      </c>
      <c r="D62" s="53" t="s">
        <v>309</v>
      </c>
      <c r="E62" s="46" t="s">
        <v>18</v>
      </c>
      <c r="F62" s="51" t="s">
        <v>6341</v>
      </c>
      <c r="G62" s="47"/>
      <c r="H62" s="48" t="s">
        <v>6311</v>
      </c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</row>
    <row r="63" s="1" customFormat="1" ht="13.5" customHeight="1" spans="1:28">
      <c r="A63" s="42"/>
      <c r="B63" s="48" t="s">
        <v>6343</v>
      </c>
      <c r="C63" s="52">
        <v>11</v>
      </c>
      <c r="D63" s="53" t="s">
        <v>309</v>
      </c>
      <c r="E63" s="46" t="s">
        <v>18</v>
      </c>
      <c r="F63" s="51" t="s">
        <v>6341</v>
      </c>
      <c r="G63" s="47"/>
      <c r="H63" s="48" t="s">
        <v>6311</v>
      </c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</row>
    <row r="64" s="1" customFormat="1" ht="13.5" customHeight="1" spans="1:28">
      <c r="A64" s="42"/>
      <c r="B64" s="48" t="s">
        <v>6344</v>
      </c>
      <c r="C64" s="52">
        <v>36</v>
      </c>
      <c r="D64" s="53" t="s">
        <v>309</v>
      </c>
      <c r="E64" s="46" t="s">
        <v>18</v>
      </c>
      <c r="F64" s="51" t="s">
        <v>6341</v>
      </c>
      <c r="G64" s="47"/>
      <c r="H64" s="48" t="s">
        <v>6311</v>
      </c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</row>
    <row r="65" s="1" customFormat="1" ht="13.5" customHeight="1" spans="1:28">
      <c r="A65" s="42"/>
      <c r="B65" s="48" t="s">
        <v>6345</v>
      </c>
      <c r="C65" s="52">
        <v>60</v>
      </c>
      <c r="D65" s="53" t="s">
        <v>309</v>
      </c>
      <c r="E65" s="46" t="s">
        <v>18</v>
      </c>
      <c r="F65" s="51" t="s">
        <v>6341</v>
      </c>
      <c r="G65" s="47"/>
      <c r="H65" s="48" t="s">
        <v>6311</v>
      </c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</row>
    <row r="66" s="1" customFormat="1" ht="13.5" customHeight="1" spans="1:28">
      <c r="A66" s="42"/>
      <c r="B66" s="48" t="s">
        <v>6346</v>
      </c>
      <c r="C66" s="52">
        <v>3</v>
      </c>
      <c r="D66" s="53" t="s">
        <v>309</v>
      </c>
      <c r="E66" s="46" t="s">
        <v>18</v>
      </c>
      <c r="F66" s="51" t="s">
        <v>6341</v>
      </c>
      <c r="G66" s="47"/>
      <c r="H66" s="48" t="s">
        <v>6311</v>
      </c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</row>
    <row r="67" s="1" customFormat="1" ht="13.5" customHeight="1" spans="1:28">
      <c r="A67" s="42"/>
      <c r="B67" s="48" t="s">
        <v>6347</v>
      </c>
      <c r="C67" s="52">
        <v>10</v>
      </c>
      <c r="D67" s="53" t="s">
        <v>309</v>
      </c>
      <c r="E67" s="46" t="s">
        <v>18</v>
      </c>
      <c r="F67" s="51" t="s">
        <v>6348</v>
      </c>
      <c r="G67" s="47"/>
      <c r="H67" s="48" t="s">
        <v>6311</v>
      </c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</row>
    <row r="68" s="1" customFormat="1" ht="13.5" customHeight="1" spans="1:28">
      <c r="A68" s="42"/>
      <c r="B68" s="48" t="s">
        <v>6349</v>
      </c>
      <c r="C68" s="52">
        <v>10</v>
      </c>
      <c r="D68" s="53" t="s">
        <v>309</v>
      </c>
      <c r="E68" s="46" t="s">
        <v>18</v>
      </c>
      <c r="F68" s="51" t="s">
        <v>6348</v>
      </c>
      <c r="G68" s="47"/>
      <c r="H68" s="48" t="s">
        <v>6311</v>
      </c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</row>
    <row r="69" s="1" customFormat="1" ht="13.5" customHeight="1" spans="1:28">
      <c r="A69" s="42"/>
      <c r="B69" s="48" t="s">
        <v>6350</v>
      </c>
      <c r="C69" s="52">
        <v>10</v>
      </c>
      <c r="D69" s="53" t="s">
        <v>309</v>
      </c>
      <c r="E69" s="46" t="s">
        <v>18</v>
      </c>
      <c r="F69" s="51" t="s">
        <v>6348</v>
      </c>
      <c r="G69" s="47"/>
      <c r="H69" s="48" t="s">
        <v>6311</v>
      </c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</row>
    <row r="70" s="1" customFormat="1" ht="89.25" spans="1:28">
      <c r="A70" s="42"/>
      <c r="B70" s="55" t="s">
        <v>6351</v>
      </c>
      <c r="C70" s="52">
        <v>84</v>
      </c>
      <c r="D70" s="53" t="s">
        <v>309</v>
      </c>
      <c r="E70" s="46" t="s">
        <v>18</v>
      </c>
      <c r="F70" s="55" t="s">
        <v>6284</v>
      </c>
      <c r="G70" s="47"/>
      <c r="H70" s="54" t="s">
        <v>6352</v>
      </c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</row>
    <row r="71" s="2" customFormat="1" ht="13.5" customHeight="1" spans="1:28">
      <c r="A71" s="42"/>
      <c r="B71" s="51" t="s">
        <v>6353</v>
      </c>
      <c r="C71" s="52">
        <v>1</v>
      </c>
      <c r="D71" s="58" t="s">
        <v>6354</v>
      </c>
      <c r="E71" s="51" t="s">
        <v>18</v>
      </c>
      <c r="F71" s="59" t="s">
        <v>6355</v>
      </c>
      <c r="G71" s="47"/>
      <c r="H71" s="51" t="s">
        <v>6305</v>
      </c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</row>
    <row r="72" s="2" customFormat="1" ht="13.5" customHeight="1" spans="1:28">
      <c r="A72" s="60"/>
      <c r="B72" s="51" t="s">
        <v>6356</v>
      </c>
      <c r="C72" s="52">
        <v>1</v>
      </c>
      <c r="D72" s="58" t="s">
        <v>6354</v>
      </c>
      <c r="E72" s="51" t="s">
        <v>18</v>
      </c>
      <c r="F72" s="53"/>
      <c r="G72" s="61"/>
      <c r="H72" s="51" t="s">
        <v>6305</v>
      </c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</row>
    <row r="73" s="1" customFormat="1" ht="13.5" customHeight="1" spans="1:28">
      <c r="A73" s="62" t="s">
        <v>4268</v>
      </c>
      <c r="B73" s="63" t="s">
        <v>6357</v>
      </c>
      <c r="C73" s="64">
        <v>1</v>
      </c>
      <c r="D73" s="65" t="s">
        <v>2127</v>
      </c>
      <c r="E73" s="66" t="s">
        <v>18</v>
      </c>
      <c r="F73" s="66" t="s">
        <v>6298</v>
      </c>
      <c r="G73" s="67">
        <v>45728</v>
      </c>
      <c r="H73" s="68" t="s">
        <v>6358</v>
      </c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</row>
    <row r="74" s="1" customFormat="1" ht="13.5" customHeight="1" spans="1:28">
      <c r="A74" s="69"/>
      <c r="B74" s="63" t="s">
        <v>6359</v>
      </c>
      <c r="C74" s="64">
        <v>1</v>
      </c>
      <c r="D74" s="65" t="s">
        <v>2127</v>
      </c>
      <c r="E74" s="66" t="s">
        <v>18</v>
      </c>
      <c r="F74" s="66" t="s">
        <v>6298</v>
      </c>
      <c r="G74" s="26"/>
      <c r="H74" s="68" t="s">
        <v>6360</v>
      </c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</row>
    <row r="75" s="1" customFormat="1" ht="13.5" customHeight="1" spans="1:28">
      <c r="A75" s="69"/>
      <c r="B75" s="63" t="s">
        <v>6359</v>
      </c>
      <c r="C75" s="64">
        <v>1</v>
      </c>
      <c r="D75" s="65" t="s">
        <v>2127</v>
      </c>
      <c r="E75" s="66" t="s">
        <v>18</v>
      </c>
      <c r="F75" s="66" t="s">
        <v>6298</v>
      </c>
      <c r="G75" s="26"/>
      <c r="H75" s="70" t="s">
        <v>6361</v>
      </c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</row>
    <row r="76" s="1" customFormat="1" ht="13.5" customHeight="1" spans="1:28">
      <c r="A76" s="71"/>
      <c r="B76" s="72" t="s">
        <v>6362</v>
      </c>
      <c r="C76" s="73">
        <v>1</v>
      </c>
      <c r="D76" s="65" t="s">
        <v>2127</v>
      </c>
      <c r="E76" s="74" t="s">
        <v>18</v>
      </c>
      <c r="F76" s="74" t="s">
        <v>6298</v>
      </c>
      <c r="G76" s="26"/>
      <c r="H76" s="75" t="s">
        <v>6363</v>
      </c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</row>
    <row r="77" s="1" customFormat="1" ht="13.5" customHeight="1" spans="1:28">
      <c r="A77" s="76" t="s">
        <v>4524</v>
      </c>
      <c r="B77" s="77" t="s">
        <v>6364</v>
      </c>
      <c r="C77" s="76">
        <v>1</v>
      </c>
      <c r="D77" s="78" t="s">
        <v>309</v>
      </c>
      <c r="E77" s="66" t="s">
        <v>18</v>
      </c>
      <c r="F77" s="66" t="s">
        <v>6355</v>
      </c>
      <c r="G77" s="79">
        <v>45765</v>
      </c>
      <c r="H77" s="80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</row>
    <row r="78" s="1" customFormat="1" ht="13.5" customHeight="1" spans="1:28">
      <c r="A78" s="69"/>
      <c r="B78" s="80" t="s">
        <v>6365</v>
      </c>
      <c r="C78" s="76">
        <v>5</v>
      </c>
      <c r="D78" s="78" t="s">
        <v>2251</v>
      </c>
      <c r="E78" s="66" t="s">
        <v>18</v>
      </c>
      <c r="F78" s="66" t="s">
        <v>6355</v>
      </c>
      <c r="G78" s="69"/>
      <c r="H78" s="81" t="s">
        <v>6366</v>
      </c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</row>
    <row r="79" s="1" customFormat="1" ht="13.5" customHeight="1" spans="1:28">
      <c r="A79" s="69"/>
      <c r="B79" s="78" t="s">
        <v>2092</v>
      </c>
      <c r="C79" s="76">
        <v>5</v>
      </c>
      <c r="D79" s="80" t="s">
        <v>2251</v>
      </c>
      <c r="E79" s="66" t="s">
        <v>18</v>
      </c>
      <c r="F79" s="66" t="s">
        <v>6355</v>
      </c>
      <c r="G79" s="69"/>
      <c r="H79" s="81" t="s">
        <v>6366</v>
      </c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</row>
    <row r="80" s="1" customFormat="1" ht="13.5" customHeight="1" spans="1:28">
      <c r="A80" s="69"/>
      <c r="B80" s="80" t="s">
        <v>2095</v>
      </c>
      <c r="C80" s="76">
        <v>5</v>
      </c>
      <c r="D80" s="80" t="s">
        <v>2251</v>
      </c>
      <c r="E80" s="66" t="s">
        <v>18</v>
      </c>
      <c r="F80" s="66" t="s">
        <v>6355</v>
      </c>
      <c r="G80" s="69"/>
      <c r="H80" s="81" t="s">
        <v>6366</v>
      </c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</row>
    <row r="81" s="1" customFormat="1" ht="13.5" customHeight="1" spans="1:28">
      <c r="A81" s="69"/>
      <c r="B81" s="80" t="s">
        <v>2340</v>
      </c>
      <c r="C81" s="76">
        <v>5</v>
      </c>
      <c r="D81" s="80" t="s">
        <v>2251</v>
      </c>
      <c r="E81" s="66" t="s">
        <v>18</v>
      </c>
      <c r="F81" s="66" t="s">
        <v>6355</v>
      </c>
      <c r="G81" s="69"/>
      <c r="H81" s="81" t="s">
        <v>6366</v>
      </c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</row>
    <row r="82" s="1" customFormat="1" ht="13.5" customHeight="1" spans="1:28">
      <c r="A82" s="69"/>
      <c r="B82" s="80" t="s">
        <v>2087</v>
      </c>
      <c r="C82" s="76">
        <v>2</v>
      </c>
      <c r="D82" s="80" t="s">
        <v>2251</v>
      </c>
      <c r="E82" s="66" t="s">
        <v>18</v>
      </c>
      <c r="F82" s="66" t="s">
        <v>6355</v>
      </c>
      <c r="G82" s="69"/>
      <c r="H82" s="82" t="s">
        <v>6367</v>
      </c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</row>
    <row r="83" s="1" customFormat="1" ht="13.5" customHeight="1" spans="1:28">
      <c r="A83" s="76" t="s">
        <v>4616</v>
      </c>
      <c r="B83" s="66" t="s">
        <v>6368</v>
      </c>
      <c r="C83" s="76">
        <v>5</v>
      </c>
      <c r="D83" s="80" t="s">
        <v>739</v>
      </c>
      <c r="E83" s="80" t="s">
        <v>207</v>
      </c>
      <c r="F83" s="66" t="s">
        <v>107</v>
      </c>
      <c r="G83" s="79">
        <v>45770</v>
      </c>
      <c r="H83" s="83" t="s">
        <v>6369</v>
      </c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</row>
    <row r="84" s="1" customFormat="1" ht="13.5" customHeight="1" spans="1:28">
      <c r="A84" s="76" t="s">
        <v>6370</v>
      </c>
      <c r="B84" s="83" t="s">
        <v>6371</v>
      </c>
      <c r="C84" s="76">
        <v>3</v>
      </c>
      <c r="D84" s="80" t="s">
        <v>309</v>
      </c>
      <c r="E84" s="74" t="s">
        <v>18</v>
      </c>
      <c r="F84" s="66" t="s">
        <v>6355</v>
      </c>
      <c r="G84" s="79">
        <v>45783</v>
      </c>
      <c r="H84" s="77" t="s">
        <v>6372</v>
      </c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</row>
    <row r="85" s="1" customFormat="1" ht="13.5" customHeight="1" spans="1:28">
      <c r="A85" s="62" t="s">
        <v>4649</v>
      </c>
      <c r="B85" s="66" t="s">
        <v>6306</v>
      </c>
      <c r="C85" s="62">
        <v>3</v>
      </c>
      <c r="D85" s="78" t="s">
        <v>818</v>
      </c>
      <c r="E85" s="78" t="s">
        <v>161</v>
      </c>
      <c r="F85" s="66" t="s">
        <v>6284</v>
      </c>
      <c r="G85" s="79">
        <f>'Customs Decl. &amp; Local Delivery'!J593</f>
        <v>45773</v>
      </c>
      <c r="H85" s="83" t="s">
        <v>6373</v>
      </c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</row>
    <row r="86" s="1" customFormat="1" ht="13.5" customHeight="1" spans="1:28">
      <c r="A86" s="76" t="s">
        <v>4689</v>
      </c>
      <c r="B86" s="83" t="s">
        <v>6374</v>
      </c>
      <c r="C86" s="76">
        <v>20</v>
      </c>
      <c r="D86" s="80" t="s">
        <v>309</v>
      </c>
      <c r="E86" s="66" t="s">
        <v>18</v>
      </c>
      <c r="F86" s="66" t="s">
        <v>6348</v>
      </c>
      <c r="G86" s="79">
        <v>45778</v>
      </c>
      <c r="H86" s="66"/>
      <c r="I86" s="57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</row>
    <row r="87" s="1" customFormat="1" ht="13.5" customHeight="1" spans="1:28">
      <c r="A87" s="69"/>
      <c r="B87" s="66" t="s">
        <v>6375</v>
      </c>
      <c r="C87" s="76">
        <v>3</v>
      </c>
      <c r="D87" s="80" t="s">
        <v>309</v>
      </c>
      <c r="E87" s="66" t="s">
        <v>18</v>
      </c>
      <c r="F87" s="66" t="s">
        <v>6355</v>
      </c>
      <c r="G87" s="69"/>
      <c r="H87" s="66"/>
      <c r="I87" s="57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</row>
    <row r="88" s="1" customFormat="1" ht="13.5" customHeight="1" spans="1:28">
      <c r="A88" s="76" t="s">
        <v>4765</v>
      </c>
      <c r="B88" s="66" t="s">
        <v>6357</v>
      </c>
      <c r="C88" s="76">
        <v>3</v>
      </c>
      <c r="D88" s="80" t="s">
        <v>2327</v>
      </c>
      <c r="E88" s="66" t="s">
        <v>18</v>
      </c>
      <c r="F88" s="66" t="s">
        <v>6298</v>
      </c>
      <c r="G88" s="79">
        <v>45787</v>
      </c>
      <c r="H88" s="80" t="s">
        <v>6376</v>
      </c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</row>
    <row r="89" s="1" customFormat="1" ht="13.5" customHeight="1" spans="1:28">
      <c r="A89" s="76" t="s">
        <v>4717</v>
      </c>
      <c r="B89" s="66" t="s">
        <v>6357</v>
      </c>
      <c r="C89" s="84">
        <v>2</v>
      </c>
      <c r="D89" s="80" t="s">
        <v>2302</v>
      </c>
      <c r="E89" s="66" t="s">
        <v>18</v>
      </c>
      <c r="F89" s="66" t="s">
        <v>6298</v>
      </c>
      <c r="G89" s="79">
        <v>45783</v>
      </c>
      <c r="H89" s="80" t="s">
        <v>6377</v>
      </c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</row>
    <row r="90" s="1" customFormat="1" ht="13.5" customHeight="1" spans="1:28">
      <c r="A90" s="85" t="s">
        <v>4887</v>
      </c>
      <c r="B90" s="86" t="s">
        <v>6378</v>
      </c>
      <c r="C90" s="76">
        <v>8</v>
      </c>
      <c r="D90" s="87" t="s">
        <v>2432</v>
      </c>
      <c r="E90" s="66" t="s">
        <v>18</v>
      </c>
      <c r="F90" s="66" t="s">
        <v>6341</v>
      </c>
      <c r="G90" s="67">
        <v>45803</v>
      </c>
      <c r="H90" s="77" t="s">
        <v>6379</v>
      </c>
      <c r="I90" s="57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</row>
    <row r="91" s="1" customFormat="1" ht="13.5" customHeight="1" spans="1:28">
      <c r="A91" s="26"/>
      <c r="B91" s="86" t="s">
        <v>6380</v>
      </c>
      <c r="C91" s="76">
        <v>2</v>
      </c>
      <c r="D91" s="26"/>
      <c r="E91" s="66" t="s">
        <v>18</v>
      </c>
      <c r="F91" s="66" t="s">
        <v>6341</v>
      </c>
      <c r="G91" s="26"/>
      <c r="H91" s="80" t="s">
        <v>6381</v>
      </c>
      <c r="I91" s="57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</row>
    <row r="92" s="1" customFormat="1" ht="13.5" customHeight="1" spans="1:28">
      <c r="A92" s="26"/>
      <c r="B92" s="86" t="s">
        <v>6382</v>
      </c>
      <c r="C92" s="76">
        <v>1</v>
      </c>
      <c r="D92" s="26"/>
      <c r="E92" s="66" t="s">
        <v>18</v>
      </c>
      <c r="F92" s="66" t="s">
        <v>6341</v>
      </c>
      <c r="G92" s="26"/>
      <c r="H92" s="80"/>
      <c r="I92" s="57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</row>
    <row r="93" s="1" customFormat="1" ht="13.5" customHeight="1" spans="1:28">
      <c r="A93" s="26"/>
      <c r="B93" s="88" t="s">
        <v>6383</v>
      </c>
      <c r="C93" s="76">
        <v>20</v>
      </c>
      <c r="D93" s="26"/>
      <c r="E93" s="66" t="s">
        <v>18</v>
      </c>
      <c r="F93" s="66" t="s">
        <v>6284</v>
      </c>
      <c r="G93" s="26"/>
      <c r="H93" s="80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</row>
    <row r="94" s="1" customFormat="1" ht="13.5" customHeight="1" spans="1:28">
      <c r="A94" s="26"/>
      <c r="B94" s="80" t="s">
        <v>2221</v>
      </c>
      <c r="C94" s="84">
        <v>2</v>
      </c>
      <c r="D94" s="6"/>
      <c r="E94" s="80" t="s">
        <v>18</v>
      </c>
      <c r="F94" s="66" t="s">
        <v>6298</v>
      </c>
      <c r="G94" s="6"/>
      <c r="H94" s="80" t="s">
        <v>6384</v>
      </c>
      <c r="I94" s="57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</row>
    <row r="95" s="1" customFormat="1" ht="13.5" customHeight="1" spans="1:28">
      <c r="A95" s="26"/>
      <c r="B95" s="89" t="s">
        <v>6385</v>
      </c>
      <c r="C95" s="84">
        <v>2</v>
      </c>
      <c r="D95" s="6"/>
      <c r="E95" s="80" t="s">
        <v>18</v>
      </c>
      <c r="F95" s="66" t="s">
        <v>6298</v>
      </c>
      <c r="G95" s="6"/>
      <c r="H95" s="80" t="s">
        <v>6386</v>
      </c>
      <c r="I95" s="57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</row>
    <row r="96" s="1" customFormat="1" ht="13.5" customHeight="1" spans="1:28">
      <c r="A96" s="33"/>
      <c r="B96" s="80" t="s">
        <v>6359</v>
      </c>
      <c r="C96" s="76">
        <v>1</v>
      </c>
      <c r="D96" s="6"/>
      <c r="E96" s="80" t="s">
        <v>18</v>
      </c>
      <c r="F96" s="66" t="s">
        <v>6298</v>
      </c>
      <c r="G96" s="6"/>
      <c r="H96" s="80" t="s">
        <v>6387</v>
      </c>
      <c r="I96" s="57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</row>
    <row r="97" s="1" customFormat="1" ht="13.5" customHeight="1" spans="1:28">
      <c r="A97" s="85" t="s">
        <v>309</v>
      </c>
      <c r="B97" s="74" t="s">
        <v>6388</v>
      </c>
      <c r="C97" s="85">
        <v>250</v>
      </c>
      <c r="D97" s="87" t="s">
        <v>309</v>
      </c>
      <c r="E97" s="74" t="s">
        <v>18</v>
      </c>
      <c r="F97" s="74"/>
      <c r="G97" s="67">
        <v>45800</v>
      </c>
      <c r="H97" s="90" t="s">
        <v>6389</v>
      </c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</row>
    <row r="98" s="1" customFormat="1" ht="13.5" customHeight="1" spans="1:28">
      <c r="A98" s="76" t="s">
        <v>309</v>
      </c>
      <c r="B98" s="91" t="s">
        <v>6390</v>
      </c>
      <c r="C98" s="85">
        <v>1</v>
      </c>
      <c r="D98" s="87" t="s">
        <v>309</v>
      </c>
      <c r="E98" s="74" t="s">
        <v>18</v>
      </c>
      <c r="F98" s="74" t="s">
        <v>6341</v>
      </c>
      <c r="G98" s="67">
        <v>45811</v>
      </c>
      <c r="H98" s="91" t="s">
        <v>6391</v>
      </c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</row>
    <row r="99" s="1" customFormat="1" ht="13.5" customHeight="1" spans="1:28">
      <c r="A99" s="69"/>
      <c r="B99" s="66" t="s">
        <v>6392</v>
      </c>
      <c r="C99" s="76">
        <v>2</v>
      </c>
      <c r="D99" s="80" t="s">
        <v>309</v>
      </c>
      <c r="E99" s="66" t="s">
        <v>18</v>
      </c>
      <c r="F99" s="66" t="s">
        <v>6341</v>
      </c>
      <c r="G99" s="26"/>
      <c r="H99" s="66" t="s">
        <v>6393</v>
      </c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</row>
    <row r="100" s="1" customFormat="1" ht="13.5" customHeight="1" spans="1:28">
      <c r="A100" s="69"/>
      <c r="B100" s="66" t="s">
        <v>6394</v>
      </c>
      <c r="C100" s="76">
        <v>1</v>
      </c>
      <c r="D100" s="80" t="s">
        <v>309</v>
      </c>
      <c r="E100" s="66" t="s">
        <v>18</v>
      </c>
      <c r="F100" s="66" t="s">
        <v>6341</v>
      </c>
      <c r="G100" s="33"/>
      <c r="H100" s="83" t="s">
        <v>6395</v>
      </c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</row>
    <row r="101" s="1" customFormat="1" ht="13.5" customHeight="1" spans="1:28">
      <c r="A101" s="76" t="s">
        <v>4947</v>
      </c>
      <c r="B101" s="66" t="s">
        <v>6396</v>
      </c>
      <c r="C101" s="76">
        <v>2</v>
      </c>
      <c r="D101" s="80" t="s">
        <v>6397</v>
      </c>
      <c r="E101" s="66" t="s">
        <v>18</v>
      </c>
      <c r="F101" s="66" t="s">
        <v>6355</v>
      </c>
      <c r="G101" s="79">
        <v>45811</v>
      </c>
      <c r="H101" s="80" t="s">
        <v>6398</v>
      </c>
      <c r="I101" s="56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</row>
    <row r="102" s="1" customFormat="1" ht="13.5" customHeight="1" spans="1:28">
      <c r="A102" s="76" t="s">
        <v>309</v>
      </c>
      <c r="B102" s="66" t="s">
        <v>6394</v>
      </c>
      <c r="C102" s="76">
        <v>9</v>
      </c>
      <c r="D102" s="80" t="s">
        <v>309</v>
      </c>
      <c r="E102" s="66" t="s">
        <v>18</v>
      </c>
      <c r="F102" s="66" t="s">
        <v>6341</v>
      </c>
      <c r="G102" s="79">
        <v>45816</v>
      </c>
      <c r="H102" s="83" t="s">
        <v>6399</v>
      </c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</row>
    <row r="103" s="1" customFormat="1" ht="13.5" customHeight="1" spans="1:28">
      <c r="A103" s="76" t="s">
        <v>309</v>
      </c>
      <c r="B103" s="91" t="s">
        <v>6390</v>
      </c>
      <c r="C103" s="85">
        <v>3</v>
      </c>
      <c r="D103" s="87" t="s">
        <v>309</v>
      </c>
      <c r="E103" s="74" t="s">
        <v>18</v>
      </c>
      <c r="F103" s="74" t="s">
        <v>6341</v>
      </c>
      <c r="G103" s="79">
        <v>45816</v>
      </c>
      <c r="H103" s="83" t="s">
        <v>6399</v>
      </c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</row>
    <row r="104" s="1" customFormat="1" ht="13.5" customHeight="1" spans="1:28">
      <c r="A104" s="85" t="s">
        <v>6400</v>
      </c>
      <c r="B104" s="66" t="s">
        <v>6401</v>
      </c>
      <c r="C104" s="76">
        <v>1</v>
      </c>
      <c r="D104" s="87" t="s">
        <v>6402</v>
      </c>
      <c r="E104" s="74" t="s">
        <v>18</v>
      </c>
      <c r="F104" s="83" t="s">
        <v>6403</v>
      </c>
      <c r="G104" s="79">
        <v>45824</v>
      </c>
      <c r="H104" s="87" t="s">
        <v>6404</v>
      </c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</row>
    <row r="105" s="1" customFormat="1" ht="13.5" customHeight="1" spans="1:28">
      <c r="A105" s="26"/>
      <c r="B105" s="66" t="s">
        <v>6405</v>
      </c>
      <c r="C105" s="76">
        <v>1</v>
      </c>
      <c r="D105" s="26"/>
      <c r="E105" s="74" t="s">
        <v>18</v>
      </c>
      <c r="F105" s="83" t="s">
        <v>6403</v>
      </c>
      <c r="G105" s="79">
        <v>45824</v>
      </c>
      <c r="H105" s="2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</row>
    <row r="106" s="1" customFormat="1" ht="13.5" customHeight="1" spans="1:28">
      <c r="A106" s="33"/>
      <c r="B106" s="66" t="s">
        <v>6406</v>
      </c>
      <c r="C106" s="76">
        <v>1</v>
      </c>
      <c r="D106" s="33"/>
      <c r="E106" s="74" t="s">
        <v>18</v>
      </c>
      <c r="F106" s="83" t="s">
        <v>6403</v>
      </c>
      <c r="G106" s="79">
        <v>45824</v>
      </c>
      <c r="H106" s="33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</row>
    <row r="107" s="1" customFormat="1" ht="13.5" customHeight="1" spans="1:28">
      <c r="A107" s="76" t="s">
        <v>5051</v>
      </c>
      <c r="B107" s="88" t="s">
        <v>1782</v>
      </c>
      <c r="C107" s="76">
        <v>1</v>
      </c>
      <c r="D107" s="80" t="s">
        <v>6407</v>
      </c>
      <c r="E107" s="66" t="s">
        <v>18</v>
      </c>
      <c r="F107" s="66" t="s">
        <v>6355</v>
      </c>
      <c r="G107" s="79">
        <v>45826</v>
      </c>
      <c r="H107" s="80" t="s">
        <v>6408</v>
      </c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</row>
    <row r="108" s="1" customFormat="1" ht="13.5" customHeight="1" spans="1:28">
      <c r="A108" s="69"/>
      <c r="B108" s="88" t="s">
        <v>1783</v>
      </c>
      <c r="C108" s="76">
        <v>1</v>
      </c>
      <c r="D108" s="80" t="s">
        <v>6407</v>
      </c>
      <c r="E108" s="66" t="s">
        <v>18</v>
      </c>
      <c r="F108" s="66" t="s">
        <v>6355</v>
      </c>
      <c r="G108" s="69"/>
      <c r="H108" s="69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</row>
    <row r="109" s="1" customFormat="1" ht="13.5" customHeight="1" spans="1:28">
      <c r="A109" s="69"/>
      <c r="B109" s="88" t="s">
        <v>1786</v>
      </c>
      <c r="C109" s="76">
        <v>1</v>
      </c>
      <c r="D109" s="80" t="s">
        <v>6407</v>
      </c>
      <c r="E109" s="66" t="s">
        <v>18</v>
      </c>
      <c r="F109" s="66" t="s">
        <v>6355</v>
      </c>
      <c r="G109" s="69"/>
      <c r="H109" s="69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</row>
    <row r="110" s="1" customFormat="1" ht="13.5" customHeight="1" spans="1:28">
      <c r="A110" s="69"/>
      <c r="B110" s="88" t="s">
        <v>1787</v>
      </c>
      <c r="C110" s="76">
        <v>1</v>
      </c>
      <c r="D110" s="80" t="s">
        <v>6407</v>
      </c>
      <c r="E110" s="66" t="s">
        <v>18</v>
      </c>
      <c r="F110" s="66" t="s">
        <v>6355</v>
      </c>
      <c r="G110" s="69"/>
      <c r="H110" s="69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</row>
    <row r="111" s="1" customFormat="1" ht="13.5" customHeight="1" spans="1:28">
      <c r="A111" s="76" t="s">
        <v>5083</v>
      </c>
      <c r="B111" s="66" t="s">
        <v>6306</v>
      </c>
      <c r="C111" s="76">
        <v>7</v>
      </c>
      <c r="D111" s="80" t="s">
        <v>1273</v>
      </c>
      <c r="E111" s="80" t="s">
        <v>39</v>
      </c>
      <c r="F111" s="66" t="s">
        <v>6284</v>
      </c>
      <c r="G111" s="79">
        <v>45837</v>
      </c>
      <c r="H111" s="83" t="s">
        <v>6409</v>
      </c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</row>
    <row r="112" s="1" customFormat="1" ht="13.5" customHeight="1" spans="1:28">
      <c r="A112" s="76" t="s">
        <v>5086</v>
      </c>
      <c r="B112" s="66" t="s">
        <v>6368</v>
      </c>
      <c r="C112" s="76">
        <v>5</v>
      </c>
      <c r="D112" s="80" t="s">
        <v>1283</v>
      </c>
      <c r="E112" s="80" t="s">
        <v>39</v>
      </c>
      <c r="F112" s="66" t="s">
        <v>107</v>
      </c>
      <c r="G112" s="79">
        <v>45837</v>
      </c>
      <c r="H112" s="83" t="s">
        <v>6369</v>
      </c>
      <c r="I112" s="56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</row>
    <row r="113" s="1" customFormat="1" ht="13.5" customHeight="1" spans="1:28">
      <c r="A113" s="92" t="s">
        <v>5163</v>
      </c>
      <c r="B113" s="66" t="s">
        <v>6396</v>
      </c>
      <c r="C113" s="76">
        <v>1</v>
      </c>
      <c r="D113" s="80" t="s">
        <v>6410</v>
      </c>
      <c r="E113" s="66" t="s">
        <v>18</v>
      </c>
      <c r="F113" s="66" t="s">
        <v>6355</v>
      </c>
      <c r="G113" s="79">
        <v>45850</v>
      </c>
      <c r="H113" s="80" t="s">
        <v>6305</v>
      </c>
      <c r="I113" s="56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</row>
    <row r="114" s="1" customFormat="1" ht="13.5" customHeight="1" spans="1:28">
      <c r="A114" s="76" t="s">
        <v>6411</v>
      </c>
      <c r="B114" s="83" t="s">
        <v>6412</v>
      </c>
      <c r="C114" s="62">
        <v>1</v>
      </c>
      <c r="D114" s="80" t="s">
        <v>6413</v>
      </c>
      <c r="E114" s="66" t="s">
        <v>18</v>
      </c>
      <c r="F114" s="66" t="s">
        <v>6298</v>
      </c>
      <c r="G114" s="79">
        <v>45861</v>
      </c>
      <c r="H114" s="78" t="s">
        <v>6414</v>
      </c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</row>
    <row r="115" s="1" customFormat="1" ht="13.5" customHeight="1" spans="1:28">
      <c r="A115" s="76" t="s">
        <v>6415</v>
      </c>
      <c r="B115" s="83" t="s">
        <v>6416</v>
      </c>
      <c r="C115" s="76">
        <v>1</v>
      </c>
      <c r="D115" s="80" t="s">
        <v>6417</v>
      </c>
      <c r="E115" s="66" t="s">
        <v>39</v>
      </c>
      <c r="F115" s="66" t="s">
        <v>6298</v>
      </c>
      <c r="G115" s="79">
        <v>45868</v>
      </c>
      <c r="H115" s="80" t="s">
        <v>6418</v>
      </c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</row>
    <row r="116" s="1" customFormat="1" ht="13.5" customHeight="1" spans="1:28">
      <c r="A116" s="85" t="s">
        <v>5236</v>
      </c>
      <c r="B116" s="66" t="s">
        <v>2056</v>
      </c>
      <c r="C116" s="93">
        <v>1</v>
      </c>
      <c r="D116" s="80" t="s">
        <v>2642</v>
      </c>
      <c r="E116" s="88" t="s">
        <v>18</v>
      </c>
      <c r="F116" s="66" t="s">
        <v>6298</v>
      </c>
      <c r="G116" s="79">
        <v>45867</v>
      </c>
      <c r="H116" s="78" t="s">
        <v>6419</v>
      </c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</row>
    <row r="117" s="1" customFormat="1" ht="13.5" customHeight="1" spans="1:28">
      <c r="A117" s="26"/>
      <c r="B117" s="66" t="s">
        <v>2093</v>
      </c>
      <c r="C117" s="64">
        <v>1</v>
      </c>
      <c r="D117" s="80" t="s">
        <v>2642</v>
      </c>
      <c r="E117" s="88" t="s">
        <v>18</v>
      </c>
      <c r="F117" s="66" t="s">
        <v>6298</v>
      </c>
      <c r="G117" s="69"/>
      <c r="H117" s="80" t="s">
        <v>6420</v>
      </c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</row>
    <row r="118" s="1" customFormat="1" ht="13.5" customHeight="1" spans="1:28">
      <c r="A118" s="26"/>
      <c r="B118" s="66" t="s">
        <v>2090</v>
      </c>
      <c r="C118" s="64">
        <v>1</v>
      </c>
      <c r="D118" s="80" t="s">
        <v>2642</v>
      </c>
      <c r="E118" s="88" t="s">
        <v>18</v>
      </c>
      <c r="F118" s="66" t="s">
        <v>6298</v>
      </c>
      <c r="G118" s="69"/>
      <c r="H118" s="80" t="s">
        <v>6421</v>
      </c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</row>
    <row r="119" s="1" customFormat="1" ht="13.5" customHeight="1" spans="1:28">
      <c r="A119" s="26"/>
      <c r="B119" s="66" t="s">
        <v>2092</v>
      </c>
      <c r="C119" s="64">
        <v>1</v>
      </c>
      <c r="D119" s="80" t="s">
        <v>2642</v>
      </c>
      <c r="E119" s="88" t="s">
        <v>18</v>
      </c>
      <c r="F119" s="66" t="s">
        <v>6298</v>
      </c>
      <c r="G119" s="69"/>
      <c r="H119" s="80" t="s">
        <v>6422</v>
      </c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</row>
    <row r="120" s="1" customFormat="1" ht="13.5" customHeight="1" spans="1:28">
      <c r="A120" s="26"/>
      <c r="B120" s="66" t="s">
        <v>2090</v>
      </c>
      <c r="C120" s="64">
        <v>1</v>
      </c>
      <c r="D120" s="80" t="s">
        <v>2642</v>
      </c>
      <c r="E120" s="88" t="s">
        <v>18</v>
      </c>
      <c r="F120" s="66" t="s">
        <v>6298</v>
      </c>
      <c r="G120" s="69"/>
      <c r="H120" s="80" t="s">
        <v>6423</v>
      </c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</row>
    <row r="121" s="1" customFormat="1" ht="13.5" customHeight="1" spans="1:28">
      <c r="A121" s="33"/>
      <c r="B121" s="74" t="s">
        <v>2090</v>
      </c>
      <c r="C121" s="73">
        <v>1</v>
      </c>
      <c r="D121" s="80" t="s">
        <v>2642</v>
      </c>
      <c r="E121" s="94" t="s">
        <v>18</v>
      </c>
      <c r="F121" s="74" t="s">
        <v>6298</v>
      </c>
      <c r="G121" s="69"/>
      <c r="H121" s="80" t="s">
        <v>6424</v>
      </c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</row>
    <row r="122" s="1" customFormat="1" ht="13.5" customHeight="1" spans="1:28">
      <c r="A122" s="85" t="s">
        <v>5209</v>
      </c>
      <c r="B122" s="95" t="s">
        <v>6425</v>
      </c>
      <c r="C122" s="85">
        <v>2</v>
      </c>
      <c r="D122" s="87" t="s">
        <v>309</v>
      </c>
      <c r="E122" s="74" t="s">
        <v>18</v>
      </c>
      <c r="F122" s="74" t="s">
        <v>6355</v>
      </c>
      <c r="G122" s="67">
        <v>45867</v>
      </c>
      <c r="H122" s="91" t="s">
        <v>6426</v>
      </c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</row>
    <row r="123" s="1" customFormat="1" ht="13.5" customHeight="1" spans="1:28">
      <c r="A123" s="26"/>
      <c r="B123" s="94" t="s">
        <v>6427</v>
      </c>
      <c r="C123" s="85">
        <v>3000</v>
      </c>
      <c r="D123" s="87" t="s">
        <v>309</v>
      </c>
      <c r="E123" s="74" t="s">
        <v>18</v>
      </c>
      <c r="F123" s="74" t="s">
        <v>6284</v>
      </c>
      <c r="G123" s="26"/>
      <c r="H123" s="91" t="s">
        <v>6428</v>
      </c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</row>
    <row r="124" s="1" customFormat="1" ht="13.5" customHeight="1" spans="1:28">
      <c r="A124" s="26"/>
      <c r="B124" s="86" t="s">
        <v>6429</v>
      </c>
      <c r="C124" s="76">
        <v>30000</v>
      </c>
      <c r="D124" s="87" t="s">
        <v>309</v>
      </c>
      <c r="E124" s="74" t="s">
        <v>18</v>
      </c>
      <c r="F124" s="66" t="s">
        <v>6341</v>
      </c>
      <c r="G124" s="26"/>
      <c r="H124" s="83" t="s">
        <v>6430</v>
      </c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</row>
    <row r="125" s="1" customFormat="1" ht="13.5" customHeight="1" spans="1:28">
      <c r="A125" s="26"/>
      <c r="B125" s="95" t="s">
        <v>6431</v>
      </c>
      <c r="C125" s="85">
        <v>1</v>
      </c>
      <c r="D125" s="87" t="s">
        <v>309</v>
      </c>
      <c r="E125" s="74" t="s">
        <v>18</v>
      </c>
      <c r="F125" s="66" t="s">
        <v>6341</v>
      </c>
      <c r="G125" s="26"/>
      <c r="H125" s="74" t="s">
        <v>6432</v>
      </c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</row>
    <row r="126" s="1" customFormat="1" ht="38.25" spans="1:28">
      <c r="A126" s="26"/>
      <c r="B126" s="95" t="s">
        <v>6433</v>
      </c>
      <c r="C126" s="26"/>
      <c r="D126" s="87" t="s">
        <v>309</v>
      </c>
      <c r="E126" s="74" t="s">
        <v>18</v>
      </c>
      <c r="F126" s="96" t="s">
        <v>6341</v>
      </c>
      <c r="G126" s="26"/>
      <c r="H126" s="97" t="s">
        <v>6434</v>
      </c>
      <c r="I126" s="56"/>
      <c r="J126" s="56"/>
      <c r="K126" s="56"/>
      <c r="L126" s="101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</row>
    <row r="127" s="1" customFormat="1" ht="57" customHeight="1" spans="1:28">
      <c r="A127" s="26"/>
      <c r="B127" s="94" t="s">
        <v>6351</v>
      </c>
      <c r="C127" s="26"/>
      <c r="D127" s="87" t="s">
        <v>309</v>
      </c>
      <c r="E127" s="74" t="s">
        <v>18</v>
      </c>
      <c r="F127" s="74" t="s">
        <v>6348</v>
      </c>
      <c r="G127" s="26"/>
      <c r="H127" s="98" t="s">
        <v>6435</v>
      </c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</row>
    <row r="128" s="1" customFormat="1" ht="13.5" spans="1:28">
      <c r="A128" s="33"/>
      <c r="B128" s="94" t="s">
        <v>2040</v>
      </c>
      <c r="C128" s="99">
        <v>1</v>
      </c>
      <c r="D128" s="87" t="s">
        <v>2634</v>
      </c>
      <c r="E128" s="94" t="s">
        <v>18</v>
      </c>
      <c r="F128" s="74" t="s">
        <v>6298</v>
      </c>
      <c r="G128" s="33"/>
      <c r="H128" s="80" t="s">
        <v>6436</v>
      </c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</row>
    <row r="129" s="1" customFormat="1" ht="13.5" customHeight="1" spans="1:28">
      <c r="A129" s="85" t="s">
        <v>5252</v>
      </c>
      <c r="B129" s="66" t="s">
        <v>6437</v>
      </c>
      <c r="C129" s="76">
        <v>3</v>
      </c>
      <c r="D129" s="80" t="s">
        <v>6438</v>
      </c>
      <c r="E129" s="94" t="s">
        <v>18</v>
      </c>
      <c r="F129" s="66" t="s">
        <v>6439</v>
      </c>
      <c r="G129" s="67">
        <v>45878</v>
      </c>
      <c r="H129" s="80" t="s">
        <v>6440</v>
      </c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</row>
    <row r="130" s="1" customFormat="1" ht="13.5" customHeight="1" spans="1:28">
      <c r="A130" s="26"/>
      <c r="B130" s="95" t="s">
        <v>6441</v>
      </c>
      <c r="C130" s="85">
        <v>14</v>
      </c>
      <c r="D130" s="87" t="s">
        <v>309</v>
      </c>
      <c r="E130" s="74" t="s">
        <v>18</v>
      </c>
      <c r="F130" s="74" t="s">
        <v>6341</v>
      </c>
      <c r="G130" s="26"/>
      <c r="H130" s="83" t="s">
        <v>6442</v>
      </c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</row>
    <row r="131" s="1" customFormat="1" ht="13.5" customHeight="1" spans="1:28">
      <c r="A131" s="26"/>
      <c r="B131" s="95" t="s">
        <v>6443</v>
      </c>
      <c r="C131" s="73">
        <v>400</v>
      </c>
      <c r="D131" s="80" t="s">
        <v>309</v>
      </c>
      <c r="E131" s="94" t="s">
        <v>18</v>
      </c>
      <c r="F131" s="66" t="s">
        <v>6341</v>
      </c>
      <c r="G131" s="26"/>
      <c r="H131" s="83" t="s">
        <v>6444</v>
      </c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</row>
    <row r="132" s="1" customFormat="1" ht="121.5" customHeight="1" spans="1:28">
      <c r="A132" s="26"/>
      <c r="B132" s="66" t="s">
        <v>6351</v>
      </c>
      <c r="C132" s="76">
        <v>25</v>
      </c>
      <c r="D132" s="80" t="s">
        <v>309</v>
      </c>
      <c r="E132" s="94" t="s">
        <v>18</v>
      </c>
      <c r="F132" s="66" t="s">
        <v>6445</v>
      </c>
      <c r="G132" s="26"/>
      <c r="H132" s="102" t="s">
        <v>6446</v>
      </c>
      <c r="I132" s="56"/>
      <c r="J132" s="101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</row>
    <row r="133" s="1" customFormat="1" ht="13.5" customHeight="1" spans="1:28">
      <c r="A133" s="26"/>
      <c r="B133" s="66" t="s">
        <v>6447</v>
      </c>
      <c r="C133" s="64">
        <v>4</v>
      </c>
      <c r="D133" s="80" t="s">
        <v>309</v>
      </c>
      <c r="E133" s="88" t="s">
        <v>18</v>
      </c>
      <c r="F133" s="66" t="s">
        <v>6284</v>
      </c>
      <c r="G133" s="26"/>
      <c r="H133" s="80" t="s">
        <v>6448</v>
      </c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</row>
    <row r="134" s="1" customFormat="1" ht="13.5" customHeight="1" spans="1:28">
      <c r="A134" s="26"/>
      <c r="B134" s="66" t="s">
        <v>6449</v>
      </c>
      <c r="C134" s="64">
        <v>2</v>
      </c>
      <c r="D134" s="80" t="s">
        <v>309</v>
      </c>
      <c r="E134" s="88" t="s">
        <v>18</v>
      </c>
      <c r="F134" s="66" t="s">
        <v>6284</v>
      </c>
      <c r="G134" s="26"/>
      <c r="H134" s="69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</row>
    <row r="135" s="1" customFormat="1" ht="13.5" customHeight="1" spans="1:28">
      <c r="A135" s="26"/>
      <c r="B135" s="83" t="s">
        <v>6450</v>
      </c>
      <c r="C135" s="64">
        <v>2</v>
      </c>
      <c r="D135" s="80" t="s">
        <v>309</v>
      </c>
      <c r="E135" s="88" t="s">
        <v>18</v>
      </c>
      <c r="F135" s="66" t="s">
        <v>6284</v>
      </c>
      <c r="G135" s="26"/>
      <c r="H135" s="69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</row>
    <row r="136" s="1" customFormat="1" ht="13.5" customHeight="1" spans="1:28">
      <c r="A136" s="26"/>
      <c r="B136" s="66" t="s">
        <v>6451</v>
      </c>
      <c r="C136" s="64">
        <v>10</v>
      </c>
      <c r="D136" s="80" t="s">
        <v>309</v>
      </c>
      <c r="E136" s="88" t="s">
        <v>18</v>
      </c>
      <c r="F136" s="66" t="s">
        <v>6284</v>
      </c>
      <c r="G136" s="26"/>
      <c r="H136" s="69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</row>
    <row r="137" s="1" customFormat="1" ht="13.5" customHeight="1" spans="1:28">
      <c r="A137" s="26"/>
      <c r="B137" s="83" t="s">
        <v>6452</v>
      </c>
      <c r="C137" s="64">
        <v>4</v>
      </c>
      <c r="D137" s="80" t="s">
        <v>309</v>
      </c>
      <c r="E137" s="88" t="s">
        <v>18</v>
      </c>
      <c r="F137" s="66" t="s">
        <v>6284</v>
      </c>
      <c r="G137" s="26"/>
      <c r="H137" s="69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</row>
    <row r="138" ht="17" customHeight="1" spans="1:28">
      <c r="A138" s="76" t="s">
        <v>6453</v>
      </c>
      <c r="B138" s="83" t="s">
        <v>6454</v>
      </c>
      <c r="C138" s="76">
        <v>1</v>
      </c>
      <c r="D138" s="80" t="s">
        <v>6455</v>
      </c>
      <c r="E138" s="66" t="s">
        <v>18</v>
      </c>
      <c r="F138" s="74" t="s">
        <v>6298</v>
      </c>
      <c r="G138" s="79">
        <v>45880</v>
      </c>
      <c r="H138" s="90" t="s">
        <v>6456</v>
      </c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</row>
    <row r="139" ht="17" customHeight="1" spans="1:28">
      <c r="A139" s="85" t="s">
        <v>6457</v>
      </c>
      <c r="B139" s="66" t="s">
        <v>2090</v>
      </c>
      <c r="C139" s="76">
        <v>5</v>
      </c>
      <c r="D139" s="80" t="s">
        <v>6458</v>
      </c>
      <c r="E139" s="74" t="s">
        <v>18</v>
      </c>
      <c r="F139" s="66" t="s">
        <v>6298</v>
      </c>
      <c r="G139" s="67">
        <v>45880</v>
      </c>
      <c r="H139" s="90" t="s">
        <v>6459</v>
      </c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</row>
    <row r="140" ht="17" customHeight="1" spans="1:28">
      <c r="A140" s="26"/>
      <c r="B140" s="66" t="s">
        <v>2092</v>
      </c>
      <c r="C140" s="76">
        <v>5</v>
      </c>
      <c r="D140" s="80" t="s">
        <v>6458</v>
      </c>
      <c r="E140" s="74" t="s">
        <v>18</v>
      </c>
      <c r="F140" s="66" t="s">
        <v>6298</v>
      </c>
      <c r="G140" s="26"/>
      <c r="H140" s="26"/>
      <c r="I140" s="56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</row>
    <row r="141" ht="17" customHeight="1" spans="1:28">
      <c r="A141" s="26"/>
      <c r="B141" s="66" t="s">
        <v>2093</v>
      </c>
      <c r="C141" s="76">
        <v>5</v>
      </c>
      <c r="D141" s="80" t="s">
        <v>6458</v>
      </c>
      <c r="E141" s="74" t="s">
        <v>18</v>
      </c>
      <c r="F141" s="66" t="s">
        <v>6298</v>
      </c>
      <c r="G141" s="26"/>
      <c r="H141" s="26"/>
      <c r="I141" s="56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</row>
    <row r="142" ht="17" customHeight="1" spans="1:28">
      <c r="A142" s="26"/>
      <c r="B142" s="66" t="s">
        <v>2094</v>
      </c>
      <c r="C142" s="76">
        <v>5</v>
      </c>
      <c r="D142" s="80" t="s">
        <v>6458</v>
      </c>
      <c r="E142" s="74" t="s">
        <v>18</v>
      </c>
      <c r="F142" s="66" t="s">
        <v>6298</v>
      </c>
      <c r="G142" s="26"/>
      <c r="H142" s="26"/>
      <c r="I142" s="56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</row>
    <row r="143" ht="17" customHeight="1" spans="1:28">
      <c r="A143" s="26"/>
      <c r="B143" s="66" t="s">
        <v>2340</v>
      </c>
      <c r="C143" s="76">
        <v>5</v>
      </c>
      <c r="D143" s="80" t="s">
        <v>6458</v>
      </c>
      <c r="E143" s="74" t="s">
        <v>18</v>
      </c>
      <c r="F143" s="66" t="s">
        <v>6298</v>
      </c>
      <c r="G143" s="26"/>
      <c r="H143" s="26"/>
      <c r="I143" s="56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</row>
    <row r="144" ht="17" customHeight="1" spans="1:28">
      <c r="A144" s="26"/>
      <c r="B144" s="74" t="s">
        <v>2095</v>
      </c>
      <c r="C144" s="85">
        <v>5</v>
      </c>
      <c r="D144" s="80" t="s">
        <v>6458</v>
      </c>
      <c r="E144" s="74" t="s">
        <v>18</v>
      </c>
      <c r="F144" s="74" t="s">
        <v>6298</v>
      </c>
      <c r="G144" s="26"/>
      <c r="H144" s="26"/>
      <c r="I144" s="56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</row>
    <row r="145" s="1" customFormat="1" ht="13.5" customHeight="1" spans="1:28">
      <c r="A145" s="76" t="s">
        <v>5298</v>
      </c>
      <c r="B145" s="88" t="s">
        <v>2040</v>
      </c>
      <c r="C145" s="64">
        <v>1</v>
      </c>
      <c r="D145" s="80" t="s">
        <v>2803</v>
      </c>
      <c r="E145" s="88" t="s">
        <v>18</v>
      </c>
      <c r="F145" s="66" t="s">
        <v>6298</v>
      </c>
      <c r="G145" s="79">
        <v>45883</v>
      </c>
      <c r="H145" s="80" t="s">
        <v>6460</v>
      </c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</row>
    <row r="146" s="1" customFormat="1" ht="13.5" customHeight="1" spans="1:28">
      <c r="A146" s="69"/>
      <c r="B146" s="94" t="s">
        <v>6359</v>
      </c>
      <c r="C146" s="73">
        <v>1</v>
      </c>
      <c r="D146" s="80" t="s">
        <v>2803</v>
      </c>
      <c r="E146" s="94" t="s">
        <v>18</v>
      </c>
      <c r="F146" s="74" t="s">
        <v>6298</v>
      </c>
      <c r="G146" s="69"/>
      <c r="H146" s="80" t="s">
        <v>6461</v>
      </c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</row>
    <row r="147" s="1" customFormat="1" ht="13.5" customHeight="1" spans="1:28">
      <c r="A147" s="69"/>
      <c r="B147" s="94" t="s">
        <v>2221</v>
      </c>
      <c r="C147" s="73">
        <v>1</v>
      </c>
      <c r="D147" s="80" t="s">
        <v>2803</v>
      </c>
      <c r="E147" s="94" t="s">
        <v>18</v>
      </c>
      <c r="F147" s="74" t="s">
        <v>6298</v>
      </c>
      <c r="G147" s="69"/>
      <c r="H147" s="80" t="s">
        <v>6462</v>
      </c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</row>
    <row r="148" s="1" customFormat="1" ht="13.5" customHeight="1" spans="1:28">
      <c r="A148" s="73" t="s">
        <v>5308</v>
      </c>
      <c r="B148" s="103" t="s">
        <v>6463</v>
      </c>
      <c r="C148" s="104">
        <v>1</v>
      </c>
      <c r="D148" s="80" t="s">
        <v>6464</v>
      </c>
      <c r="E148" s="88" t="s">
        <v>18</v>
      </c>
      <c r="F148" s="66" t="s">
        <v>6284</v>
      </c>
      <c r="G148" s="105">
        <v>45883</v>
      </c>
      <c r="H148" s="106" t="s">
        <v>6465</v>
      </c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</row>
    <row r="149" s="1" customFormat="1" ht="13.5" customHeight="1" spans="1:28">
      <c r="A149" s="107"/>
      <c r="B149" s="103" t="s">
        <v>6466</v>
      </c>
      <c r="C149" s="108">
        <v>1</v>
      </c>
      <c r="D149" s="80" t="s">
        <v>6464</v>
      </c>
      <c r="E149" s="88" t="s">
        <v>18</v>
      </c>
      <c r="F149" s="66" t="s">
        <v>6284</v>
      </c>
      <c r="G149" s="107"/>
      <c r="H149" s="69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</row>
    <row r="150" s="1" customFormat="1" ht="13.5" customHeight="1" spans="1:28">
      <c r="A150" s="107"/>
      <c r="B150" s="103" t="s">
        <v>6467</v>
      </c>
      <c r="C150" s="108">
        <v>1</v>
      </c>
      <c r="D150" s="80" t="s">
        <v>6464</v>
      </c>
      <c r="E150" s="88" t="s">
        <v>18</v>
      </c>
      <c r="F150" s="66" t="s">
        <v>6284</v>
      </c>
      <c r="G150" s="107"/>
      <c r="H150" s="69"/>
      <c r="I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</row>
    <row r="151" s="1" customFormat="1" ht="13.5" customHeight="1" spans="1:28">
      <c r="A151" s="107"/>
      <c r="B151" s="103" t="s">
        <v>6468</v>
      </c>
      <c r="C151" s="108">
        <v>1</v>
      </c>
      <c r="D151" s="80" t="s">
        <v>6464</v>
      </c>
      <c r="E151" s="88" t="s">
        <v>18</v>
      </c>
      <c r="F151" s="66" t="s">
        <v>6284</v>
      </c>
      <c r="G151" s="107"/>
      <c r="H151" s="69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</row>
    <row r="152" s="1" customFormat="1" ht="13.5" customHeight="1" spans="1:28">
      <c r="A152" s="107"/>
      <c r="B152" s="66" t="s">
        <v>6469</v>
      </c>
      <c r="C152" s="108">
        <v>1</v>
      </c>
      <c r="D152" s="80" t="s">
        <v>6464</v>
      </c>
      <c r="E152" s="88" t="s">
        <v>18</v>
      </c>
      <c r="F152" s="66" t="s">
        <v>6284</v>
      </c>
      <c r="G152" s="107"/>
      <c r="H152" s="69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</row>
    <row r="153" s="1" customFormat="1" ht="13.5" customHeight="1" spans="1:28">
      <c r="A153" s="107"/>
      <c r="B153" s="66" t="s">
        <v>6470</v>
      </c>
      <c r="C153" s="108">
        <v>1</v>
      </c>
      <c r="D153" s="80" t="s">
        <v>6464</v>
      </c>
      <c r="E153" s="88" t="s">
        <v>18</v>
      </c>
      <c r="F153" s="66" t="s">
        <v>6284</v>
      </c>
      <c r="G153" s="107"/>
      <c r="H153" s="69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</row>
    <row r="154" s="1" customFormat="1" ht="13.5" customHeight="1" spans="1:28">
      <c r="A154" s="107"/>
      <c r="B154" s="66" t="s">
        <v>6471</v>
      </c>
      <c r="C154" s="108">
        <v>2</v>
      </c>
      <c r="D154" s="80" t="s">
        <v>6464</v>
      </c>
      <c r="E154" s="88" t="s">
        <v>18</v>
      </c>
      <c r="F154" s="66" t="s">
        <v>6284</v>
      </c>
      <c r="G154" s="107"/>
      <c r="H154" s="69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</row>
    <row r="155" s="1" customFormat="1" ht="13.5" customHeight="1" spans="1:28">
      <c r="A155" s="6"/>
      <c r="B155" s="66" t="s">
        <v>6472</v>
      </c>
      <c r="C155" s="108">
        <v>1</v>
      </c>
      <c r="D155" s="80" t="s">
        <v>6464</v>
      </c>
      <c r="E155" s="88" t="s">
        <v>18</v>
      </c>
      <c r="F155" s="66" t="s">
        <v>6284</v>
      </c>
      <c r="G155" s="6"/>
      <c r="H155" s="69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</row>
    <row r="156" s="1" customFormat="1" ht="13.5" customHeight="1" spans="1:28">
      <c r="A156" s="109" t="s">
        <v>5360</v>
      </c>
      <c r="B156" s="110" t="s">
        <v>6473</v>
      </c>
      <c r="C156" s="111">
        <v>1</v>
      </c>
      <c r="D156" s="112" t="s">
        <v>6474</v>
      </c>
      <c r="E156" s="110" t="s">
        <v>18</v>
      </c>
      <c r="F156" s="110" t="s">
        <v>6284</v>
      </c>
      <c r="G156" s="113">
        <v>45889</v>
      </c>
      <c r="H156" s="114" t="s">
        <v>6475</v>
      </c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</row>
    <row r="157" s="1" customFormat="1" ht="16.5" customHeight="1" spans="1:28">
      <c r="A157" s="26"/>
      <c r="B157" s="115" t="s">
        <v>6476</v>
      </c>
      <c r="C157" s="109">
        <v>1</v>
      </c>
      <c r="D157" s="114" t="s">
        <v>6474</v>
      </c>
      <c r="E157" s="116" t="s">
        <v>18</v>
      </c>
      <c r="F157" s="116" t="s">
        <v>6284</v>
      </c>
      <c r="G157" s="26"/>
      <c r="H157" s="2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</row>
    <row r="158" s="1" customFormat="1" customHeight="1" spans="1:28">
      <c r="A158" s="33"/>
      <c r="B158" s="117" t="s">
        <v>6382</v>
      </c>
      <c r="C158" s="118">
        <v>4</v>
      </c>
      <c r="D158" s="112" t="s">
        <v>309</v>
      </c>
      <c r="E158" s="110" t="s">
        <v>18</v>
      </c>
      <c r="F158" s="110" t="s">
        <v>6439</v>
      </c>
      <c r="G158" s="33"/>
      <c r="H158" s="119" t="s">
        <v>6477</v>
      </c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</row>
    <row r="159" s="1" customFormat="1" ht="13.5" customHeight="1" spans="1:28">
      <c r="A159" s="120" t="s">
        <v>5411</v>
      </c>
      <c r="B159" s="116" t="s">
        <v>6478</v>
      </c>
      <c r="C159" s="120">
        <v>1</v>
      </c>
      <c r="D159" s="114" t="s">
        <v>1610</v>
      </c>
      <c r="E159" s="116" t="s">
        <v>39</v>
      </c>
      <c r="F159" s="116" t="s">
        <v>107</v>
      </c>
      <c r="G159" s="113">
        <v>45900</v>
      </c>
      <c r="H159" s="121" t="s">
        <v>6479</v>
      </c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</row>
    <row r="160" s="1" customFormat="1" ht="13.5" customHeight="1" spans="1:28">
      <c r="A160" s="118" t="s">
        <v>5453</v>
      </c>
      <c r="B160" s="110" t="s">
        <v>6480</v>
      </c>
      <c r="C160" s="118">
        <v>1</v>
      </c>
      <c r="D160" s="112" t="s">
        <v>1664</v>
      </c>
      <c r="E160" s="110" t="s">
        <v>18</v>
      </c>
      <c r="F160" s="110" t="s">
        <v>6439</v>
      </c>
      <c r="G160" s="113">
        <v>45905</v>
      </c>
      <c r="H160" s="119" t="s">
        <v>6481</v>
      </c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</row>
    <row r="161" s="1" customFormat="1" ht="13.5" customHeight="1" spans="1:28">
      <c r="A161" s="69"/>
      <c r="B161" s="110" t="s">
        <v>6482</v>
      </c>
      <c r="C161" s="118">
        <v>1</v>
      </c>
      <c r="D161" s="112" t="s">
        <v>1664</v>
      </c>
      <c r="E161" s="110" t="s">
        <v>18</v>
      </c>
      <c r="F161" s="110" t="s">
        <v>6439</v>
      </c>
      <c r="G161" s="26"/>
      <c r="H161" s="69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</row>
    <row r="162" s="1" customFormat="1" ht="13.5" customHeight="1" spans="1:28">
      <c r="A162" s="71"/>
      <c r="B162" s="116" t="s">
        <v>6483</v>
      </c>
      <c r="C162" s="120">
        <v>1</v>
      </c>
      <c r="D162" s="114" t="s">
        <v>1664</v>
      </c>
      <c r="E162" s="116" t="s">
        <v>18</v>
      </c>
      <c r="F162" s="110" t="s">
        <v>6439</v>
      </c>
      <c r="G162" s="26"/>
      <c r="H162" s="71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</row>
    <row r="163" s="1" customFormat="1" ht="13.5" customHeight="1" spans="1:28">
      <c r="A163" s="122" t="s">
        <v>6484</v>
      </c>
      <c r="B163" s="123" t="s">
        <v>6485</v>
      </c>
      <c r="C163" s="8">
        <v>2</v>
      </c>
      <c r="D163" s="124"/>
      <c r="E163" s="125" t="s">
        <v>18</v>
      </c>
      <c r="F163" s="126" t="s">
        <v>6284</v>
      </c>
      <c r="G163" s="127"/>
      <c r="H163" s="128" t="s">
        <v>6486</v>
      </c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</row>
    <row r="164" s="1" customFormat="1" ht="13.5" customHeight="1" spans="1:28">
      <c r="A164" s="26"/>
      <c r="B164" s="123" t="s">
        <v>6487</v>
      </c>
      <c r="C164" s="8">
        <v>2</v>
      </c>
      <c r="D164" s="124"/>
      <c r="E164" s="125" t="s">
        <v>18</v>
      </c>
      <c r="F164" s="126" t="s">
        <v>6284</v>
      </c>
      <c r="G164" s="26"/>
      <c r="H164" s="69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</row>
    <row r="165" s="1" customFormat="1" ht="13.5" customHeight="1" spans="1:28">
      <c r="A165" s="26"/>
      <c r="B165" s="123" t="s">
        <v>6488</v>
      </c>
      <c r="C165" s="8">
        <v>2</v>
      </c>
      <c r="D165" s="124"/>
      <c r="E165" s="125" t="s">
        <v>18</v>
      </c>
      <c r="F165" s="126" t="s">
        <v>6284</v>
      </c>
      <c r="G165" s="26"/>
      <c r="H165" s="69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</row>
    <row r="166" s="1" customFormat="1" ht="27" customHeight="1" spans="1:28">
      <c r="A166" s="26"/>
      <c r="B166" s="126" t="s">
        <v>1786</v>
      </c>
      <c r="C166" s="122">
        <v>1</v>
      </c>
      <c r="D166" s="129"/>
      <c r="E166" s="130" t="s">
        <v>18</v>
      </c>
      <c r="F166" s="126" t="s">
        <v>6284</v>
      </c>
      <c r="G166" s="26"/>
      <c r="H166" s="131" t="s">
        <v>6489</v>
      </c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</row>
    <row r="167" s="1" customFormat="1" ht="27.75" customHeight="1" spans="1:28">
      <c r="A167" s="26"/>
      <c r="B167" s="126" t="s">
        <v>6490</v>
      </c>
      <c r="C167" s="122">
        <v>1</v>
      </c>
      <c r="D167" s="129"/>
      <c r="E167" s="130" t="s">
        <v>18</v>
      </c>
      <c r="F167" s="126" t="s">
        <v>6284</v>
      </c>
      <c r="G167" s="26"/>
      <c r="H167" s="2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</row>
    <row r="168" ht="50" customHeight="1" spans="1:28">
      <c r="A168" s="26"/>
      <c r="B168" s="132" t="s">
        <v>6491</v>
      </c>
      <c r="C168" s="8">
        <v>18</v>
      </c>
      <c r="D168" s="124"/>
      <c r="E168" s="125" t="s">
        <v>18</v>
      </c>
      <c r="F168" s="126" t="s">
        <v>6284</v>
      </c>
      <c r="G168" s="26"/>
      <c r="H168" s="123" t="s">
        <v>6492</v>
      </c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</row>
    <row r="169" s="1" customFormat="1" ht="13.5" customHeight="1" spans="1:28">
      <c r="A169" s="26"/>
      <c r="B169" s="133" t="s">
        <v>6447</v>
      </c>
      <c r="C169" s="134">
        <v>2</v>
      </c>
      <c r="D169" s="124"/>
      <c r="E169" s="125" t="s">
        <v>18</v>
      </c>
      <c r="F169" s="133" t="s">
        <v>6284</v>
      </c>
      <c r="G169" s="26"/>
      <c r="H169" s="9" t="s">
        <v>6493</v>
      </c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</row>
    <row r="170" s="1" customFormat="1" ht="13.5" customHeight="1" spans="1:28">
      <c r="A170" s="26"/>
      <c r="B170" s="133" t="s">
        <v>6449</v>
      </c>
      <c r="C170" s="135">
        <v>2</v>
      </c>
      <c r="D170" s="124"/>
      <c r="E170" s="125" t="s">
        <v>18</v>
      </c>
      <c r="F170" s="133" t="s">
        <v>6284</v>
      </c>
      <c r="G170" s="26"/>
      <c r="H170" s="69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</row>
    <row r="171" s="1" customFormat="1" ht="13.5" customHeight="1" spans="1:28">
      <c r="A171" s="26"/>
      <c r="B171" s="136" t="s">
        <v>6450</v>
      </c>
      <c r="C171" s="135">
        <v>2</v>
      </c>
      <c r="D171" s="124"/>
      <c r="E171" s="125" t="s">
        <v>18</v>
      </c>
      <c r="F171" s="133" t="s">
        <v>6284</v>
      </c>
      <c r="G171" s="26"/>
      <c r="H171" s="69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</row>
    <row r="172" s="1" customFormat="1" ht="13.5" customHeight="1" spans="1:28">
      <c r="A172" s="26"/>
      <c r="B172" s="133" t="s">
        <v>6451</v>
      </c>
      <c r="C172" s="135">
        <v>10</v>
      </c>
      <c r="D172" s="124"/>
      <c r="E172" s="125" t="s">
        <v>18</v>
      </c>
      <c r="F172" s="133" t="s">
        <v>6284</v>
      </c>
      <c r="G172" s="26"/>
      <c r="H172" s="69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</row>
    <row r="173" s="1" customFormat="1" ht="13.5" customHeight="1" spans="1:28">
      <c r="A173" s="26"/>
      <c r="B173" s="137" t="s">
        <v>6452</v>
      </c>
      <c r="C173" s="138">
        <v>2</v>
      </c>
      <c r="D173" s="129"/>
      <c r="E173" s="125" t="s">
        <v>18</v>
      </c>
      <c r="F173" s="126" t="s">
        <v>6284</v>
      </c>
      <c r="G173" s="26"/>
      <c r="H173" s="71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</row>
    <row r="174" s="1" customFormat="1" ht="21" customHeight="1" spans="1:28">
      <c r="A174" s="26"/>
      <c r="B174" s="123" t="s">
        <v>6485</v>
      </c>
      <c r="C174" s="8">
        <v>1</v>
      </c>
      <c r="D174" s="139"/>
      <c r="E174" s="125" t="s">
        <v>18</v>
      </c>
      <c r="F174" s="126" t="s">
        <v>6284</v>
      </c>
      <c r="G174" s="26"/>
      <c r="H174" s="9" t="s">
        <v>6494</v>
      </c>
      <c r="I174" s="56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</row>
    <row r="175" s="1" customFormat="1" ht="19" customHeight="1" spans="1:28">
      <c r="A175" s="26"/>
      <c r="B175" s="123" t="s">
        <v>6487</v>
      </c>
      <c r="C175" s="8">
        <v>1</v>
      </c>
      <c r="D175" s="139"/>
      <c r="E175" s="125" t="s">
        <v>18</v>
      </c>
      <c r="F175" s="126" t="s">
        <v>6284</v>
      </c>
      <c r="G175" s="26"/>
      <c r="H175" s="69"/>
      <c r="I175" s="56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</row>
    <row r="176" s="1" customFormat="1" ht="19" customHeight="1" spans="1:28">
      <c r="A176" s="26"/>
      <c r="B176" s="123" t="s">
        <v>6488</v>
      </c>
      <c r="C176" s="8">
        <v>1</v>
      </c>
      <c r="D176" s="139"/>
      <c r="E176" s="125" t="s">
        <v>18</v>
      </c>
      <c r="F176" s="126" t="s">
        <v>6284</v>
      </c>
      <c r="G176" s="26"/>
      <c r="H176" s="69"/>
      <c r="I176" s="56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</row>
    <row r="177" s="1" customFormat="1" ht="19" customHeight="1" spans="1:28">
      <c r="A177" s="33"/>
      <c r="B177" s="133" t="s">
        <v>6495</v>
      </c>
      <c r="C177" s="8">
        <v>1</v>
      </c>
      <c r="D177" s="124"/>
      <c r="E177" s="125" t="s">
        <v>18</v>
      </c>
      <c r="F177" s="133" t="s">
        <v>6284</v>
      </c>
      <c r="G177" s="33"/>
      <c r="H177" s="133" t="s">
        <v>6496</v>
      </c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</row>
    <row r="178" s="1" customFormat="1" ht="13.5" customHeight="1" spans="1:28">
      <c r="A178" s="8" t="s">
        <v>5442</v>
      </c>
      <c r="B178" s="133" t="s">
        <v>6497</v>
      </c>
      <c r="C178" s="8">
        <v>4</v>
      </c>
      <c r="D178" s="124"/>
      <c r="E178" s="133" t="s">
        <v>161</v>
      </c>
      <c r="F178" s="133" t="s">
        <v>6284</v>
      </c>
      <c r="G178" s="140"/>
      <c r="H178" s="133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</row>
    <row r="179" s="1" customFormat="1" ht="13.5" spans="1:28">
      <c r="A179" s="8" t="s">
        <v>5442</v>
      </c>
      <c r="B179" s="141" t="s">
        <v>2093</v>
      </c>
      <c r="C179" s="142">
        <v>3</v>
      </c>
      <c r="D179" s="124"/>
      <c r="E179" s="125" t="s">
        <v>18</v>
      </c>
      <c r="F179" s="133" t="s">
        <v>6298</v>
      </c>
      <c r="G179" s="143"/>
      <c r="H179" s="132" t="s">
        <v>6498</v>
      </c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</row>
    <row r="180" s="1" customFormat="1" ht="19" customHeight="1" spans="1:28">
      <c r="A180" s="71"/>
      <c r="B180" s="144" t="s">
        <v>2095</v>
      </c>
      <c r="C180" s="122">
        <v>1</v>
      </c>
      <c r="D180" s="129"/>
      <c r="E180" s="130" t="s">
        <v>18</v>
      </c>
      <c r="F180" s="126" t="s">
        <v>6298</v>
      </c>
      <c r="G180" s="26"/>
      <c r="H180" s="126" t="s">
        <v>6499</v>
      </c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</row>
    <row r="181" s="1" customFormat="1" ht="13.5" customHeight="1" spans="1:28">
      <c r="A181" s="8" t="s">
        <v>1978</v>
      </c>
      <c r="B181" s="133" t="s">
        <v>6478</v>
      </c>
      <c r="C181" s="8">
        <v>1</v>
      </c>
      <c r="D181" s="124"/>
      <c r="E181" s="125" t="s">
        <v>207</v>
      </c>
      <c r="F181" s="125" t="s">
        <v>107</v>
      </c>
      <c r="G181" s="145"/>
      <c r="H181" s="133" t="s">
        <v>6500</v>
      </c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</row>
    <row r="182" s="1" customFormat="1" ht="13.5" customHeight="1" spans="1:28">
      <c r="A182" s="146" t="s">
        <v>1756</v>
      </c>
      <c r="B182" s="147" t="s">
        <v>6447</v>
      </c>
      <c r="C182" s="142">
        <v>2</v>
      </c>
      <c r="D182" s="139"/>
      <c r="E182" s="147" t="s">
        <v>39</v>
      </c>
      <c r="F182" s="133" t="s">
        <v>6284</v>
      </c>
      <c r="G182" s="148"/>
      <c r="H182" s="149" t="s">
        <v>6493</v>
      </c>
      <c r="I182" s="56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</row>
    <row r="183" s="1" customFormat="1" ht="13.5" customHeight="1" spans="1:28">
      <c r="A183" s="26"/>
      <c r="B183" s="147" t="s">
        <v>6449</v>
      </c>
      <c r="C183" s="142">
        <v>2</v>
      </c>
      <c r="D183" s="139"/>
      <c r="E183" s="133" t="s">
        <v>39</v>
      </c>
      <c r="F183" s="133" t="s">
        <v>6284</v>
      </c>
      <c r="G183" s="26"/>
      <c r="H183" s="69"/>
      <c r="I183" s="56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</row>
    <row r="184" s="1" customFormat="1" ht="13.5" customHeight="1" spans="1:28">
      <c r="A184" s="26"/>
      <c r="B184" s="150" t="s">
        <v>6450</v>
      </c>
      <c r="C184" s="8">
        <v>2</v>
      </c>
      <c r="D184" s="139"/>
      <c r="E184" s="133" t="s">
        <v>39</v>
      </c>
      <c r="F184" s="133" t="s">
        <v>6284</v>
      </c>
      <c r="G184" s="26"/>
      <c r="H184" s="69"/>
      <c r="I184" s="56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</row>
    <row r="185" s="1" customFormat="1" ht="13.5" customHeight="1" spans="1:28">
      <c r="A185" s="26"/>
      <c r="B185" s="147" t="s">
        <v>6451</v>
      </c>
      <c r="C185" s="142">
        <v>10</v>
      </c>
      <c r="D185" s="139"/>
      <c r="E185" s="133" t="s">
        <v>39</v>
      </c>
      <c r="F185" s="133" t="s">
        <v>6284</v>
      </c>
      <c r="G185" s="26"/>
      <c r="H185" s="69"/>
      <c r="I185" s="56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</row>
    <row r="186" s="1" customFormat="1" ht="13.5" customHeight="1" spans="1:28">
      <c r="A186" s="26"/>
      <c r="B186" s="151" t="s">
        <v>6452</v>
      </c>
      <c r="C186" s="122">
        <v>2</v>
      </c>
      <c r="D186" s="152"/>
      <c r="E186" s="126" t="s">
        <v>39</v>
      </c>
      <c r="F186" s="126" t="s">
        <v>6284</v>
      </c>
      <c r="G186" s="26"/>
      <c r="H186" s="71"/>
      <c r="I186" s="56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</row>
    <row r="187" s="1" customFormat="1" ht="13.5" customHeight="1" spans="1:28">
      <c r="A187" s="26"/>
      <c r="B187" s="123" t="s">
        <v>6485</v>
      </c>
      <c r="C187" s="8">
        <v>1</v>
      </c>
      <c r="D187" s="124"/>
      <c r="E187" s="133" t="s">
        <v>39</v>
      </c>
      <c r="F187" s="126" t="s">
        <v>6284</v>
      </c>
      <c r="G187" s="26"/>
      <c r="H187" s="9" t="s">
        <v>6494</v>
      </c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</row>
    <row r="188" s="1" customFormat="1" ht="13.5" customHeight="1" spans="1:28">
      <c r="A188" s="26"/>
      <c r="B188" s="123" t="s">
        <v>6487</v>
      </c>
      <c r="C188" s="8">
        <v>1</v>
      </c>
      <c r="D188" s="124"/>
      <c r="E188" s="133" t="s">
        <v>39</v>
      </c>
      <c r="F188" s="126" t="s">
        <v>6284</v>
      </c>
      <c r="G188" s="26"/>
      <c r="H188" s="69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</row>
    <row r="189" s="1" customFormat="1" ht="13.5" customHeight="1" spans="1:28">
      <c r="A189" s="26"/>
      <c r="B189" s="153" t="s">
        <v>6488</v>
      </c>
      <c r="C189" s="146">
        <v>1</v>
      </c>
      <c r="D189" s="129"/>
      <c r="E189" s="126" t="s">
        <v>39</v>
      </c>
      <c r="F189" s="126" t="s">
        <v>6284</v>
      </c>
      <c r="G189" s="26"/>
      <c r="H189" s="71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</row>
    <row r="190" ht="39" customHeight="1" spans="1:28">
      <c r="A190" s="33"/>
      <c r="B190" s="154" t="s">
        <v>6491</v>
      </c>
      <c r="C190" s="155">
        <v>2</v>
      </c>
      <c r="D190" s="139"/>
      <c r="E190" s="133" t="s">
        <v>39</v>
      </c>
      <c r="F190" s="133" t="s">
        <v>6284</v>
      </c>
      <c r="G190" s="33"/>
      <c r="H190" s="123" t="s">
        <v>6501</v>
      </c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</row>
    <row r="191" s="1" customFormat="1" ht="13.5" customHeight="1" spans="1:28">
      <c r="A191" s="142" t="s">
        <v>5442</v>
      </c>
      <c r="B191" s="147" t="s">
        <v>6502</v>
      </c>
      <c r="C191" s="142">
        <v>5</v>
      </c>
      <c r="D191" s="139"/>
      <c r="E191" s="125" t="s">
        <v>18</v>
      </c>
      <c r="F191" s="133" t="s">
        <v>6284</v>
      </c>
      <c r="G191" s="140"/>
      <c r="H191" s="156" t="s">
        <v>6503</v>
      </c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</row>
    <row r="192" s="1" customFormat="1" ht="13.5" customHeight="1" spans="1:28">
      <c r="A192" s="69"/>
      <c r="B192" s="147" t="s">
        <v>6504</v>
      </c>
      <c r="C192" s="142">
        <v>3</v>
      </c>
      <c r="D192" s="139"/>
      <c r="E192" s="125" t="s">
        <v>18</v>
      </c>
      <c r="F192" s="133" t="s">
        <v>6284</v>
      </c>
      <c r="G192" s="69"/>
      <c r="H192" s="69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</row>
    <row r="193" s="1" customFormat="1" ht="13.5" customHeight="1" spans="1:28">
      <c r="A193" s="69"/>
      <c r="B193" s="147" t="s">
        <v>6505</v>
      </c>
      <c r="C193" s="142">
        <v>4</v>
      </c>
      <c r="D193" s="139"/>
      <c r="E193" s="125" t="s">
        <v>18</v>
      </c>
      <c r="F193" s="133" t="s">
        <v>6284</v>
      </c>
      <c r="G193" s="69"/>
      <c r="H193" s="69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</row>
    <row r="194" s="1" customFormat="1" ht="13.5" customHeight="1" spans="1:28">
      <c r="A194" s="69"/>
      <c r="B194" s="147" t="s">
        <v>6506</v>
      </c>
      <c r="C194" s="142">
        <v>20</v>
      </c>
      <c r="D194" s="139"/>
      <c r="E194" s="125" t="s">
        <v>18</v>
      </c>
      <c r="F194" s="133" t="s">
        <v>6284</v>
      </c>
      <c r="G194" s="69"/>
      <c r="H194" s="69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</row>
    <row r="195" s="1" customFormat="1" ht="13.5" customHeight="1" spans="1:28">
      <c r="A195" s="69"/>
      <c r="B195" s="147" t="s">
        <v>6507</v>
      </c>
      <c r="C195" s="142">
        <v>16</v>
      </c>
      <c r="D195" s="139"/>
      <c r="E195" s="125" t="s">
        <v>18</v>
      </c>
      <c r="F195" s="133" t="s">
        <v>6284</v>
      </c>
      <c r="G195" s="69"/>
      <c r="H195" s="69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</row>
    <row r="196" s="1" customFormat="1" ht="13.5" customHeight="1" spans="1:28">
      <c r="A196" s="69"/>
      <c r="B196" s="147" t="s">
        <v>6508</v>
      </c>
      <c r="C196" s="142">
        <v>16</v>
      </c>
      <c r="D196" s="139"/>
      <c r="E196" s="125" t="s">
        <v>18</v>
      </c>
      <c r="F196" s="133" t="s">
        <v>6284</v>
      </c>
      <c r="G196" s="69"/>
      <c r="H196" s="69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</row>
    <row r="197" s="1" customFormat="1" ht="13.5" customHeight="1" spans="1:28">
      <c r="A197" s="71"/>
      <c r="B197" s="158" t="s">
        <v>77</v>
      </c>
      <c r="C197" s="159">
        <v>1</v>
      </c>
      <c r="D197" s="160"/>
      <c r="E197" s="161" t="s">
        <v>18</v>
      </c>
      <c r="F197" s="162" t="s">
        <v>6284</v>
      </c>
      <c r="G197" s="71"/>
      <c r="H197" s="71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</row>
    <row r="198" s="1" customFormat="1" ht="13.5" customHeight="1" spans="1:28">
      <c r="A198" s="142" t="s">
        <v>6509</v>
      </c>
      <c r="B198" s="163" t="s">
        <v>6510</v>
      </c>
      <c r="C198" s="8">
        <v>3</v>
      </c>
      <c r="D198" s="139"/>
      <c r="E198" s="125" t="s">
        <v>18</v>
      </c>
      <c r="F198" s="133" t="s">
        <v>6284</v>
      </c>
      <c r="G198" s="140"/>
      <c r="H198" s="128" t="s">
        <v>6511</v>
      </c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</row>
    <row r="199" s="1" customFormat="1" ht="13.5" customHeight="1" spans="1:28">
      <c r="A199" s="69"/>
      <c r="B199" s="163" t="s">
        <v>6512</v>
      </c>
      <c r="C199" s="8">
        <v>3</v>
      </c>
      <c r="D199" s="139"/>
      <c r="E199" s="125" t="s">
        <v>18</v>
      </c>
      <c r="F199" s="133" t="s">
        <v>6284</v>
      </c>
      <c r="G199" s="69"/>
      <c r="H199" s="69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</row>
    <row r="200" s="1" customFormat="1" ht="13.5" customHeight="1" spans="1:28">
      <c r="A200" s="69"/>
      <c r="B200" s="163" t="s">
        <v>6513</v>
      </c>
      <c r="C200" s="8">
        <v>3</v>
      </c>
      <c r="D200" s="139"/>
      <c r="E200" s="125" t="s">
        <v>18</v>
      </c>
      <c r="F200" s="133" t="s">
        <v>6284</v>
      </c>
      <c r="G200" s="69"/>
      <c r="H200" s="69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</row>
    <row r="201" s="1" customFormat="1" ht="13.5" customHeight="1" spans="1:28">
      <c r="A201" s="69"/>
      <c r="B201" s="163" t="s">
        <v>1780</v>
      </c>
      <c r="C201" s="8">
        <v>1</v>
      </c>
      <c r="D201" s="139"/>
      <c r="E201" s="125" t="s">
        <v>18</v>
      </c>
      <c r="F201" s="133" t="s">
        <v>6284</v>
      </c>
      <c r="G201" s="69"/>
      <c r="H201" s="69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</row>
    <row r="202" s="1" customFormat="1" ht="13.5" customHeight="1" spans="1:28">
      <c r="A202" s="69"/>
      <c r="B202" s="164" t="s">
        <v>6514</v>
      </c>
      <c r="C202" s="8">
        <v>1</v>
      </c>
      <c r="D202" s="139"/>
      <c r="E202" s="125" t="s">
        <v>18</v>
      </c>
      <c r="F202" s="133" t="s">
        <v>6284</v>
      </c>
      <c r="G202" s="69"/>
      <c r="H202" s="69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</row>
    <row r="203" s="1" customFormat="1" ht="13.5" customHeight="1" spans="1:28">
      <c r="A203" s="69"/>
      <c r="B203" s="165" t="s">
        <v>6515</v>
      </c>
      <c r="C203" s="8">
        <v>1</v>
      </c>
      <c r="D203" s="139"/>
      <c r="E203" s="125" t="s">
        <v>18</v>
      </c>
      <c r="F203" s="133" t="s">
        <v>6284</v>
      </c>
      <c r="G203" s="69"/>
      <c r="H203" s="69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</row>
    <row r="204" s="1" customFormat="1" ht="13.5" customHeight="1" spans="1:28">
      <c r="A204" s="69"/>
      <c r="B204" s="164" t="s">
        <v>6516</v>
      </c>
      <c r="C204" s="8">
        <v>1</v>
      </c>
      <c r="D204" s="139"/>
      <c r="E204" s="125" t="s">
        <v>18</v>
      </c>
      <c r="F204" s="133" t="s">
        <v>6284</v>
      </c>
      <c r="G204" s="69"/>
      <c r="H204" s="69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</row>
    <row r="205" s="1" customFormat="1" ht="13.5" customHeight="1" spans="1:28">
      <c r="A205" s="69"/>
      <c r="B205" s="164" t="s">
        <v>6517</v>
      </c>
      <c r="C205" s="8">
        <v>1</v>
      </c>
      <c r="D205" s="139"/>
      <c r="E205" s="125" t="s">
        <v>18</v>
      </c>
      <c r="F205" s="133" t="s">
        <v>6284</v>
      </c>
      <c r="G205" s="69"/>
      <c r="H205" s="69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</row>
    <row r="206" s="1" customFormat="1" ht="13.5" customHeight="1" spans="1:28">
      <c r="A206" s="69"/>
      <c r="B206" s="164" t="s">
        <v>6518</v>
      </c>
      <c r="C206" s="8">
        <v>1</v>
      </c>
      <c r="D206" s="139"/>
      <c r="E206" s="125" t="s">
        <v>18</v>
      </c>
      <c r="F206" s="133" t="s">
        <v>6284</v>
      </c>
      <c r="G206" s="69"/>
      <c r="H206" s="69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</row>
    <row r="207" s="1" customFormat="1" ht="13.5" customHeight="1" spans="1:28">
      <c r="A207" s="69"/>
      <c r="B207" s="164" t="s">
        <v>6519</v>
      </c>
      <c r="C207" s="8">
        <v>1</v>
      </c>
      <c r="D207" s="139"/>
      <c r="E207" s="125" t="s">
        <v>18</v>
      </c>
      <c r="F207" s="133" t="s">
        <v>6284</v>
      </c>
      <c r="G207" s="69"/>
      <c r="H207" s="69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</row>
    <row r="208" ht="17" customHeight="1" spans="1:28">
      <c r="A208" s="8" t="s">
        <v>1788</v>
      </c>
      <c r="B208" s="147" t="s">
        <v>6520</v>
      </c>
      <c r="C208" s="155">
        <v>5</v>
      </c>
      <c r="D208" s="139"/>
      <c r="E208" s="125" t="s">
        <v>18</v>
      </c>
      <c r="F208" s="133" t="s">
        <v>6284</v>
      </c>
      <c r="G208" s="146"/>
      <c r="H208" s="124" t="s">
        <v>6521</v>
      </c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</row>
    <row r="209" ht="17" customHeight="1" spans="1:28">
      <c r="A209" s="71"/>
      <c r="B209" s="166" t="s">
        <v>6522</v>
      </c>
      <c r="C209" s="167">
        <v>5</v>
      </c>
      <c r="D209" s="152"/>
      <c r="E209" s="130" t="s">
        <v>18</v>
      </c>
      <c r="F209" s="126" t="s">
        <v>6284</v>
      </c>
      <c r="G209" s="26"/>
      <c r="H209" s="71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</row>
    <row r="210" s="1" customFormat="1" ht="13.5" customHeight="1" spans="1:28">
      <c r="A210" s="8" t="s">
        <v>5442</v>
      </c>
      <c r="B210" s="164" t="s">
        <v>6523</v>
      </c>
      <c r="C210" s="8">
        <v>1</v>
      </c>
      <c r="D210" s="139"/>
      <c r="E210" s="125" t="s">
        <v>18</v>
      </c>
      <c r="F210" s="133" t="s">
        <v>6298</v>
      </c>
      <c r="G210" s="8"/>
      <c r="H210" s="9" t="s">
        <v>6524</v>
      </c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</row>
    <row r="211" s="1" customFormat="1" ht="13.5" customHeight="1" spans="1:28">
      <c r="A211" s="69"/>
      <c r="B211" s="164" t="s">
        <v>2114</v>
      </c>
      <c r="C211" s="8">
        <v>2</v>
      </c>
      <c r="D211" s="139"/>
      <c r="E211" s="125" t="s">
        <v>18</v>
      </c>
      <c r="F211" s="133" t="s">
        <v>6298</v>
      </c>
      <c r="G211" s="168"/>
      <c r="H211" s="9" t="s">
        <v>6525</v>
      </c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</row>
    <row r="212" s="1" customFormat="1" ht="13.5" customHeight="1" spans="1:28">
      <c r="A212" s="71"/>
      <c r="B212" s="169" t="s">
        <v>6526</v>
      </c>
      <c r="C212" s="146">
        <v>1</v>
      </c>
      <c r="D212" s="152"/>
      <c r="E212" s="130" t="s">
        <v>18</v>
      </c>
      <c r="F212" s="126" t="s">
        <v>6298</v>
      </c>
      <c r="G212" s="170"/>
      <c r="H212" s="131" t="s">
        <v>6527</v>
      </c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</row>
    <row r="213" s="1" customFormat="1" ht="16.5" customHeight="1" spans="1:28">
      <c r="A213" s="146" t="s">
        <v>1795</v>
      </c>
      <c r="B213" s="164" t="s">
        <v>6528</v>
      </c>
      <c r="C213" s="8">
        <v>30</v>
      </c>
      <c r="D213" s="139"/>
      <c r="E213" s="125" t="s">
        <v>18</v>
      </c>
      <c r="F213" s="133" t="s">
        <v>6284</v>
      </c>
      <c r="G213" s="10"/>
      <c r="H213" s="123" t="s">
        <v>6529</v>
      </c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</row>
    <row r="214" s="1" customFormat="1" ht="21" customHeight="1" spans="1:28">
      <c r="A214" s="33"/>
      <c r="B214" s="164" t="s">
        <v>6530</v>
      </c>
      <c r="C214" s="8">
        <v>6</v>
      </c>
      <c r="D214" s="139"/>
      <c r="E214" s="125" t="s">
        <v>18</v>
      </c>
      <c r="F214" s="133" t="s">
        <v>6284</v>
      </c>
      <c r="G214" s="145"/>
      <c r="H214" s="171" t="s">
        <v>6531</v>
      </c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</row>
    <row r="215" s="1" customFormat="1" ht="13.5" customHeight="1" spans="1:28">
      <c r="A215" s="172"/>
      <c r="B215" s="173"/>
      <c r="C215" s="172"/>
      <c r="D215" s="174"/>
      <c r="E215" s="175"/>
      <c r="F215" s="56"/>
      <c r="G215" s="176"/>
      <c r="H215" s="17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</row>
    <row r="216" s="1" customFormat="1" ht="13.5" customHeight="1" spans="1:28">
      <c r="A216" s="172"/>
      <c r="B216" s="173"/>
      <c r="C216" s="172"/>
      <c r="D216" s="174"/>
      <c r="E216" s="175"/>
      <c r="F216" s="56"/>
      <c r="G216" s="176"/>
      <c r="H216" s="17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</row>
    <row r="217" s="1" customFormat="1" ht="13.5" customHeight="1" spans="1:28">
      <c r="A217" s="172"/>
      <c r="B217" s="173"/>
      <c r="C217" s="172"/>
      <c r="D217" s="174"/>
      <c r="E217" s="175"/>
      <c r="F217" s="56"/>
      <c r="G217" s="176"/>
      <c r="H217" s="17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</row>
    <row r="218" s="1" customFormat="1" ht="13.5" customHeight="1" spans="1:28">
      <c r="A218" s="172"/>
      <c r="B218" s="173"/>
      <c r="C218" s="172"/>
      <c r="D218" s="174"/>
      <c r="E218" s="175"/>
      <c r="F218" s="56"/>
      <c r="G218" s="176"/>
      <c r="H218" s="17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</row>
    <row r="219" s="1" customFormat="1" ht="13.5" customHeight="1" spans="1:28">
      <c r="A219" s="172"/>
      <c r="B219" s="173"/>
      <c r="C219" s="172"/>
      <c r="D219" s="174"/>
      <c r="E219" s="175"/>
      <c r="F219" s="56"/>
      <c r="G219" s="176"/>
      <c r="H219" s="17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</row>
  </sheetData>
  <autoFilter xmlns:etc="http://www.wps.cn/officeDocument/2017/etCustomData" ref="A1:I214" etc:filterBottomFollowUsedRange="0">
    <extLst/>
  </autoFilter>
  <mergeCells count="70">
    <mergeCell ref="A3:A28"/>
    <mergeCell ref="A31:A72"/>
    <mergeCell ref="A73:A76"/>
    <mergeCell ref="A77:A82"/>
    <mergeCell ref="A86:A87"/>
    <mergeCell ref="A90:A96"/>
    <mergeCell ref="A98:A100"/>
    <mergeCell ref="A104:A106"/>
    <mergeCell ref="A107:A110"/>
    <mergeCell ref="A116:A121"/>
    <mergeCell ref="A122:A128"/>
    <mergeCell ref="A129:A137"/>
    <mergeCell ref="A139:A144"/>
    <mergeCell ref="A145:A147"/>
    <mergeCell ref="A148:A155"/>
    <mergeCell ref="A156:A158"/>
    <mergeCell ref="A160:A162"/>
    <mergeCell ref="A163:A177"/>
    <mergeCell ref="A179:A180"/>
    <mergeCell ref="A182:A190"/>
    <mergeCell ref="A191:A197"/>
    <mergeCell ref="A198:A207"/>
    <mergeCell ref="A208:A209"/>
    <mergeCell ref="A210:A212"/>
    <mergeCell ref="A213:A214"/>
    <mergeCell ref="C125:C127"/>
    <mergeCell ref="D90:D96"/>
    <mergeCell ref="D104:D106"/>
    <mergeCell ref="F71:F72"/>
    <mergeCell ref="G3:G28"/>
    <mergeCell ref="G31:G72"/>
    <mergeCell ref="G73:G76"/>
    <mergeCell ref="G77:G82"/>
    <mergeCell ref="G86:G87"/>
    <mergeCell ref="G90:G96"/>
    <mergeCell ref="G98:G100"/>
    <mergeCell ref="G107:G110"/>
    <mergeCell ref="G116:G121"/>
    <mergeCell ref="G122:G128"/>
    <mergeCell ref="G129:G137"/>
    <mergeCell ref="G139:G144"/>
    <mergeCell ref="G145:G147"/>
    <mergeCell ref="G148:G155"/>
    <mergeCell ref="G156:G158"/>
    <mergeCell ref="G160:G162"/>
    <mergeCell ref="G163:G177"/>
    <mergeCell ref="G179:G180"/>
    <mergeCell ref="G182:G190"/>
    <mergeCell ref="G191:G197"/>
    <mergeCell ref="G198:G207"/>
    <mergeCell ref="G208:G209"/>
    <mergeCell ref="G210:G212"/>
    <mergeCell ref="H3:H6"/>
    <mergeCell ref="H7:H24"/>
    <mergeCell ref="H104:H106"/>
    <mergeCell ref="H107:H110"/>
    <mergeCell ref="H133:H137"/>
    <mergeCell ref="H139:H144"/>
    <mergeCell ref="H148:H155"/>
    <mergeCell ref="H156:H157"/>
    <mergeCell ref="H160:H162"/>
    <mergeCell ref="H163:H165"/>
    <mergeCell ref="H166:H167"/>
    <mergeCell ref="H169:H173"/>
    <mergeCell ref="H174:H176"/>
    <mergeCell ref="H182:H186"/>
    <mergeCell ref="H187:H189"/>
    <mergeCell ref="H191:H197"/>
    <mergeCell ref="H198:H207"/>
    <mergeCell ref="H208:H209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2025 RAC</vt:lpstr>
      <vt:lpstr>2025 MBT</vt:lpstr>
      <vt:lpstr>Customs Decl. &amp; Local Delivery</vt:lpstr>
      <vt:lpstr>SP</vt:lpstr>
      <vt:lpstr>物料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white Lo</cp:lastModifiedBy>
  <dcterms:created xsi:type="dcterms:W3CDTF">2025-08-25T14:59:00Z</dcterms:created>
  <dcterms:modified xsi:type="dcterms:W3CDTF">2025-08-25T07:31:31Z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35B441D14AA5442BB1060E6D1F027664_12</vt:lpwstr>
  </property>
  <property fmtid="{D5CDD505-2E9C-101B-9397-08002B2CF9AE}" pid="4" name="KSOProductBuildVer">
    <vt:lpwstr>2052-12.1.0.22529</vt:lpwstr>
  </property>
</Properties>
</file>